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-data_analytics\Day 5\"/>
    </mc:Choice>
  </mc:AlternateContent>
  <xr:revisionPtr revIDLastSave="0" documentId="13_ncr:1_{C7D504A6-7B55-4719-983E-BAB70C36A904}" xr6:coauthVersionLast="47" xr6:coauthVersionMax="47" xr10:uidLastSave="{00000000-0000-0000-0000-000000000000}"/>
  <bookViews>
    <workbookView xWindow="-108" yWindow="-108" windowWidth="23256" windowHeight="12456" activeTab="2" xr2:uid="{5DCADB7C-E968-4B70-A96A-A9B66B7ABA58}"/>
  </bookViews>
  <sheets>
    <sheet name="DATA VALIDATIONS" sheetId="4" r:id="rId1"/>
    <sheet name="CONDITIONAL FORMATTING" sheetId="3" r:id="rId2"/>
    <sheet name="ADVANCED CONDITIONALS" sheetId="1" r:id="rId3"/>
    <sheet name="Main Data" sheetId="2" r:id="rId4"/>
  </sheets>
  <definedNames>
    <definedName name="_xlcn.WorksheetConnection_Table44" hidden="1">Table44[]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4" name="Table44" connection="WorksheetConnection_Table4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J8" i="4"/>
  <c r="K501" i="3" a="1"/>
  <c r="K501" i="3" s="1"/>
  <c r="K500" i="3" a="1"/>
  <c r="K500" i="3" s="1"/>
  <c r="K499" i="3" a="1"/>
  <c r="K499" i="3" s="1"/>
  <c r="K498" i="3" a="1"/>
  <c r="K498" i="3" s="1"/>
  <c r="K497" i="3" a="1"/>
  <c r="K497" i="3" s="1"/>
  <c r="K496" i="3" a="1"/>
  <c r="K496" i="3" s="1"/>
  <c r="K495" i="3" a="1"/>
  <c r="K495" i="3" s="1"/>
  <c r="K494" i="3" a="1"/>
  <c r="K494" i="3" s="1"/>
  <c r="K493" i="3" a="1"/>
  <c r="K493" i="3" s="1"/>
  <c r="K492" i="3" a="1"/>
  <c r="K492" i="3" s="1"/>
  <c r="K491" i="3" a="1"/>
  <c r="K491" i="3" s="1"/>
  <c r="K490" i="3" a="1"/>
  <c r="K490" i="3" s="1"/>
  <c r="K489" i="3" a="1"/>
  <c r="K489" i="3" s="1"/>
  <c r="K488" i="3" a="1"/>
  <c r="K488" i="3" s="1"/>
  <c r="K487" i="3" a="1"/>
  <c r="K487" i="3" s="1"/>
  <c r="K486" i="3" a="1"/>
  <c r="K486" i="3" s="1"/>
  <c r="K485" i="3" a="1"/>
  <c r="K485" i="3" s="1"/>
  <c r="K484" i="3" a="1"/>
  <c r="K484" i="3" s="1"/>
  <c r="K483" i="3" a="1"/>
  <c r="K483" i="3" s="1"/>
  <c r="K482" i="3" a="1"/>
  <c r="K482" i="3" s="1"/>
  <c r="K481" i="3" a="1"/>
  <c r="K481" i="3" s="1"/>
  <c r="K480" i="3" a="1"/>
  <c r="K480" i="3" s="1"/>
  <c r="K479" i="3" a="1"/>
  <c r="K479" i="3" s="1"/>
  <c r="K478" i="3" a="1"/>
  <c r="K478" i="3" s="1"/>
  <c r="K477" i="3" a="1"/>
  <c r="K477" i="3" s="1"/>
  <c r="K476" i="3" a="1"/>
  <c r="K476" i="3" s="1"/>
  <c r="K475" i="3" a="1"/>
  <c r="K475" i="3" s="1"/>
  <c r="K474" i="3" a="1"/>
  <c r="K474" i="3" s="1"/>
  <c r="K473" i="3" a="1"/>
  <c r="K473" i="3" s="1"/>
  <c r="K472" i="3" a="1"/>
  <c r="K472" i="3" s="1"/>
  <c r="K471" i="3" a="1"/>
  <c r="K471" i="3" s="1"/>
  <c r="K470" i="3" a="1"/>
  <c r="K470" i="3" s="1"/>
  <c r="K469" i="3" a="1"/>
  <c r="K469" i="3" s="1"/>
  <c r="K468" i="3" a="1"/>
  <c r="K468" i="3" s="1"/>
  <c r="K467" i="3" a="1"/>
  <c r="K467" i="3" s="1"/>
  <c r="K466" i="3" a="1"/>
  <c r="K466" i="3" s="1"/>
  <c r="K465" i="3" a="1"/>
  <c r="K465" i="3" s="1"/>
  <c r="K464" i="3" a="1"/>
  <c r="K464" i="3" s="1"/>
  <c r="K463" i="3" a="1"/>
  <c r="K463" i="3" s="1"/>
  <c r="K462" i="3" a="1"/>
  <c r="K462" i="3" s="1"/>
  <c r="K461" i="3" a="1"/>
  <c r="K461" i="3" s="1"/>
  <c r="K460" i="3" a="1"/>
  <c r="K460" i="3" s="1"/>
  <c r="K459" i="3" a="1"/>
  <c r="K459" i="3" s="1"/>
  <c r="K458" i="3" a="1"/>
  <c r="K458" i="3" s="1"/>
  <c r="K457" i="3" a="1"/>
  <c r="K457" i="3" s="1"/>
  <c r="K456" i="3" a="1"/>
  <c r="K456" i="3" s="1"/>
  <c r="K455" i="3" a="1"/>
  <c r="K455" i="3" s="1"/>
  <c r="K454" i="3" a="1"/>
  <c r="K454" i="3" s="1"/>
  <c r="K453" i="3" a="1"/>
  <c r="K453" i="3" s="1"/>
  <c r="K452" i="3" a="1"/>
  <c r="K452" i="3" s="1"/>
  <c r="K451" i="3" a="1"/>
  <c r="K451" i="3" s="1"/>
  <c r="K450" i="3" a="1"/>
  <c r="K450" i="3" s="1"/>
  <c r="K449" i="3" a="1"/>
  <c r="K449" i="3" s="1"/>
  <c r="K448" i="3" a="1"/>
  <c r="K448" i="3" s="1"/>
  <c r="K447" i="3" a="1"/>
  <c r="K447" i="3" s="1"/>
  <c r="K446" i="3" a="1"/>
  <c r="K446" i="3" s="1"/>
  <c r="K445" i="3" a="1"/>
  <c r="K445" i="3" s="1"/>
  <c r="K444" i="3" a="1"/>
  <c r="K444" i="3" s="1"/>
  <c r="K443" i="3" a="1"/>
  <c r="K443" i="3" s="1"/>
  <c r="K442" i="3" a="1"/>
  <c r="K442" i="3" s="1"/>
  <c r="K441" i="3" a="1"/>
  <c r="K441" i="3" s="1"/>
  <c r="K440" i="3" a="1"/>
  <c r="K440" i="3" s="1"/>
  <c r="K439" i="3" a="1"/>
  <c r="K439" i="3" s="1"/>
  <c r="K438" i="3" a="1"/>
  <c r="K438" i="3" s="1"/>
  <c r="K437" i="3" a="1"/>
  <c r="K437" i="3" s="1"/>
  <c r="K436" i="3" a="1"/>
  <c r="K436" i="3" s="1"/>
  <c r="K435" i="3" a="1"/>
  <c r="K435" i="3" s="1"/>
  <c r="K434" i="3" a="1"/>
  <c r="K434" i="3" s="1"/>
  <c r="K433" i="3" a="1"/>
  <c r="K433" i="3" s="1"/>
  <c r="K432" i="3" a="1"/>
  <c r="K432" i="3" s="1"/>
  <c r="K431" i="3" a="1"/>
  <c r="K431" i="3" s="1"/>
  <c r="K430" i="3" a="1"/>
  <c r="K430" i="3" s="1"/>
  <c r="K429" i="3" a="1"/>
  <c r="K429" i="3" s="1"/>
  <c r="K428" i="3" a="1"/>
  <c r="K428" i="3" s="1"/>
  <c r="K427" i="3" a="1"/>
  <c r="K427" i="3" s="1"/>
  <c r="K426" i="3" a="1"/>
  <c r="K426" i="3" s="1"/>
  <c r="K425" i="3" a="1"/>
  <c r="K425" i="3" s="1"/>
  <c r="K424" i="3" a="1"/>
  <c r="K424" i="3" s="1"/>
  <c r="K423" i="3" a="1"/>
  <c r="K423" i="3" s="1"/>
  <c r="K422" i="3" a="1"/>
  <c r="K422" i="3" s="1"/>
  <c r="K421" i="3" a="1"/>
  <c r="K421" i="3" s="1"/>
  <c r="K420" i="3" a="1"/>
  <c r="K420" i="3" s="1"/>
  <c r="K419" i="3" a="1"/>
  <c r="K419" i="3" s="1"/>
  <c r="K418" i="3" a="1"/>
  <c r="K418" i="3" s="1"/>
  <c r="K417" i="3" a="1"/>
  <c r="K417" i="3" s="1"/>
  <c r="K416" i="3" a="1"/>
  <c r="K416" i="3" s="1"/>
  <c r="K415" i="3" a="1"/>
  <c r="K415" i="3" s="1"/>
  <c r="K414" i="3" a="1"/>
  <c r="K414" i="3" s="1"/>
  <c r="K413" i="3" a="1"/>
  <c r="K413" i="3" s="1"/>
  <c r="K412" i="3" a="1"/>
  <c r="K412" i="3" s="1"/>
  <c r="K411" i="3" a="1"/>
  <c r="K411" i="3" s="1"/>
  <c r="K410" i="3" a="1"/>
  <c r="K410" i="3" s="1"/>
  <c r="K409" i="3" a="1"/>
  <c r="K409" i="3" s="1"/>
  <c r="K408" i="3" a="1"/>
  <c r="K408" i="3" s="1"/>
  <c r="K407" i="3" a="1"/>
  <c r="K407" i="3" s="1"/>
  <c r="K406" i="3" a="1"/>
  <c r="K406" i="3" s="1"/>
  <c r="K405" i="3" a="1"/>
  <c r="K405" i="3" s="1"/>
  <c r="K404" i="3" a="1"/>
  <c r="K404" i="3" s="1"/>
  <c r="K403" i="3" a="1"/>
  <c r="K403" i="3" s="1"/>
  <c r="K402" i="3" a="1"/>
  <c r="K402" i="3" s="1"/>
  <c r="K401" i="3" a="1"/>
  <c r="K401" i="3" s="1"/>
  <c r="K400" i="3" a="1"/>
  <c r="K400" i="3" s="1"/>
  <c r="K399" i="3" a="1"/>
  <c r="K399" i="3" s="1"/>
  <c r="K398" i="3" a="1"/>
  <c r="K398" i="3" s="1"/>
  <c r="K397" i="3" a="1"/>
  <c r="K397" i="3" s="1"/>
  <c r="K396" i="3" a="1"/>
  <c r="K396" i="3" s="1"/>
  <c r="K395" i="3" a="1"/>
  <c r="K395" i="3" s="1"/>
  <c r="K394" i="3" a="1"/>
  <c r="K394" i="3" s="1"/>
  <c r="K393" i="3" a="1"/>
  <c r="K393" i="3" s="1"/>
  <c r="K392" i="3" a="1"/>
  <c r="K392" i="3" s="1"/>
  <c r="K391" i="3" a="1"/>
  <c r="K391" i="3" s="1"/>
  <c r="K390" i="3" a="1"/>
  <c r="K390" i="3" s="1"/>
  <c r="K389" i="3" a="1"/>
  <c r="K389" i="3" s="1"/>
  <c r="K388" i="3" a="1"/>
  <c r="K388" i="3" s="1"/>
  <c r="K387" i="3" a="1"/>
  <c r="K387" i="3" s="1"/>
  <c r="K386" i="3" a="1"/>
  <c r="K386" i="3" s="1"/>
  <c r="K385" i="3" a="1"/>
  <c r="K385" i="3" s="1"/>
  <c r="K384" i="3" a="1"/>
  <c r="K384" i="3" s="1"/>
  <c r="K383" i="3" a="1"/>
  <c r="K383" i="3" s="1"/>
  <c r="K382" i="3" a="1"/>
  <c r="K382" i="3" s="1"/>
  <c r="K381" i="3" a="1"/>
  <c r="K381" i="3" s="1"/>
  <c r="K380" i="3" a="1"/>
  <c r="K380" i="3" s="1"/>
  <c r="K379" i="3" a="1"/>
  <c r="K379" i="3" s="1"/>
  <c r="K378" i="3" a="1"/>
  <c r="K378" i="3" s="1"/>
  <c r="K377" i="3" a="1"/>
  <c r="K377" i="3" s="1"/>
  <c r="K376" i="3" a="1"/>
  <c r="K376" i="3" s="1"/>
  <c r="K375" i="3" a="1"/>
  <c r="K375" i="3" s="1"/>
  <c r="K374" i="3" a="1"/>
  <c r="K374" i="3" s="1"/>
  <c r="K373" i="3" a="1"/>
  <c r="K373" i="3" s="1"/>
  <c r="K372" i="3" a="1"/>
  <c r="K372" i="3" s="1"/>
  <c r="K371" i="3" a="1"/>
  <c r="K371" i="3" s="1"/>
  <c r="K370" i="3" a="1"/>
  <c r="K370" i="3" s="1"/>
  <c r="K369" i="3" a="1"/>
  <c r="K369" i="3" s="1"/>
  <c r="K368" i="3" a="1"/>
  <c r="K368" i="3" s="1"/>
  <c r="K367" i="3" a="1"/>
  <c r="K367" i="3" s="1"/>
  <c r="K366" i="3" a="1"/>
  <c r="K366" i="3" s="1"/>
  <c r="K365" i="3" a="1"/>
  <c r="K365" i="3" s="1"/>
  <c r="K364" i="3" a="1"/>
  <c r="K364" i="3" s="1"/>
  <c r="K363" i="3" a="1"/>
  <c r="K363" i="3" s="1"/>
  <c r="K362" i="3" a="1"/>
  <c r="K362" i="3" s="1"/>
  <c r="K361" i="3" a="1"/>
  <c r="K361" i="3" s="1"/>
  <c r="K360" i="3" a="1"/>
  <c r="K360" i="3" s="1"/>
  <c r="K359" i="3" a="1"/>
  <c r="K359" i="3" s="1"/>
  <c r="K358" i="3" a="1"/>
  <c r="K358" i="3" s="1"/>
  <c r="K357" i="3" a="1"/>
  <c r="K357" i="3" s="1"/>
  <c r="K356" i="3" a="1"/>
  <c r="K356" i="3" s="1"/>
  <c r="K355" i="3" a="1"/>
  <c r="K355" i="3" s="1"/>
  <c r="K354" i="3" a="1"/>
  <c r="K354" i="3" s="1"/>
  <c r="K353" i="3" a="1"/>
  <c r="K353" i="3" s="1"/>
  <c r="K352" i="3" a="1"/>
  <c r="K352" i="3" s="1"/>
  <c r="K351" i="3" a="1"/>
  <c r="K351" i="3" s="1"/>
  <c r="K350" i="3" a="1"/>
  <c r="K350" i="3" s="1"/>
  <c r="K349" i="3" a="1"/>
  <c r="K349" i="3" s="1"/>
  <c r="K348" i="3" a="1"/>
  <c r="K348" i="3" s="1"/>
  <c r="K347" i="3" a="1"/>
  <c r="K347" i="3" s="1"/>
  <c r="K346" i="3" a="1"/>
  <c r="K346" i="3" s="1"/>
  <c r="K345" i="3" a="1"/>
  <c r="K345" i="3" s="1"/>
  <c r="K344" i="3" a="1"/>
  <c r="K344" i="3" s="1"/>
  <c r="K343" i="3" a="1"/>
  <c r="K343" i="3" s="1"/>
  <c r="K342" i="3" a="1"/>
  <c r="K342" i="3" s="1"/>
  <c r="K341" i="3" a="1"/>
  <c r="K341" i="3" s="1"/>
  <c r="K340" i="3" a="1"/>
  <c r="K340" i="3" s="1"/>
  <c r="K339" i="3" a="1"/>
  <c r="K339" i="3" s="1"/>
  <c r="K338" i="3" a="1"/>
  <c r="K338" i="3" s="1"/>
  <c r="K337" i="3" a="1"/>
  <c r="K337" i="3" s="1"/>
  <c r="K336" i="3" a="1"/>
  <c r="K336" i="3" s="1"/>
  <c r="K335" i="3" a="1"/>
  <c r="K335" i="3" s="1"/>
  <c r="K334" i="3" a="1"/>
  <c r="K334" i="3" s="1"/>
  <c r="K333" i="3" a="1"/>
  <c r="K333" i="3" s="1"/>
  <c r="K332" i="3" a="1"/>
  <c r="K332" i="3" s="1"/>
  <c r="K331" i="3" a="1"/>
  <c r="K331" i="3" s="1"/>
  <c r="K330" i="3" a="1"/>
  <c r="K330" i="3" s="1"/>
  <c r="K329" i="3" a="1"/>
  <c r="K329" i="3" s="1"/>
  <c r="K328" i="3" a="1"/>
  <c r="K328" i="3" s="1"/>
  <c r="K327" i="3" a="1"/>
  <c r="K327" i="3" s="1"/>
  <c r="K326" i="3" a="1"/>
  <c r="K326" i="3" s="1"/>
  <c r="K325" i="3" a="1"/>
  <c r="K325" i="3" s="1"/>
  <c r="K324" i="3" a="1"/>
  <c r="K324" i="3" s="1"/>
  <c r="K323" i="3" a="1"/>
  <c r="K323" i="3" s="1"/>
  <c r="K322" i="3" a="1"/>
  <c r="K322" i="3" s="1"/>
  <c r="K321" i="3" a="1"/>
  <c r="K321" i="3" s="1"/>
  <c r="K320" i="3" a="1"/>
  <c r="K320" i="3" s="1"/>
  <c r="K319" i="3" a="1"/>
  <c r="K319" i="3" s="1"/>
  <c r="K318" i="3" a="1"/>
  <c r="K318" i="3" s="1"/>
  <c r="K317" i="3" a="1"/>
  <c r="K317" i="3" s="1"/>
  <c r="K316" i="3" a="1"/>
  <c r="K316" i="3" s="1"/>
  <c r="K315" i="3" a="1"/>
  <c r="K315" i="3" s="1"/>
  <c r="K314" i="3" a="1"/>
  <c r="K314" i="3" s="1"/>
  <c r="K313" i="3" a="1"/>
  <c r="K313" i="3" s="1"/>
  <c r="K312" i="3" a="1"/>
  <c r="K312" i="3" s="1"/>
  <c r="K311" i="3" a="1"/>
  <c r="K311" i="3" s="1"/>
  <c r="K310" i="3" a="1"/>
  <c r="K310" i="3" s="1"/>
  <c r="K309" i="3" a="1"/>
  <c r="K309" i="3" s="1"/>
  <c r="K308" i="3" a="1"/>
  <c r="K308" i="3" s="1"/>
  <c r="K307" i="3" a="1"/>
  <c r="K307" i="3" s="1"/>
  <c r="K306" i="3" a="1"/>
  <c r="K306" i="3" s="1"/>
  <c r="K305" i="3" a="1"/>
  <c r="K305" i="3" s="1"/>
  <c r="K304" i="3" a="1"/>
  <c r="K304" i="3" s="1"/>
  <c r="K303" i="3" a="1"/>
  <c r="K303" i="3" s="1"/>
  <c r="K302" i="3" a="1"/>
  <c r="K302" i="3" s="1"/>
  <c r="K301" i="3" a="1"/>
  <c r="K301" i="3" s="1"/>
  <c r="K300" i="3" a="1"/>
  <c r="K300" i="3" s="1"/>
  <c r="K299" i="3" a="1"/>
  <c r="K299" i="3" s="1"/>
  <c r="K298" i="3" a="1"/>
  <c r="K298" i="3" s="1"/>
  <c r="K297" i="3" a="1"/>
  <c r="K297" i="3" s="1"/>
  <c r="K296" i="3" a="1"/>
  <c r="K296" i="3" s="1"/>
  <c r="K295" i="3" a="1"/>
  <c r="K295" i="3" s="1"/>
  <c r="K294" i="3" a="1"/>
  <c r="K294" i="3" s="1"/>
  <c r="K293" i="3" a="1"/>
  <c r="K293" i="3" s="1"/>
  <c r="K292" i="3" a="1"/>
  <c r="K292" i="3" s="1"/>
  <c r="K291" i="3" a="1"/>
  <c r="K291" i="3" s="1"/>
  <c r="K290" i="3" a="1"/>
  <c r="K290" i="3" s="1"/>
  <c r="K289" i="3" a="1"/>
  <c r="K289" i="3" s="1"/>
  <c r="K288" i="3" a="1"/>
  <c r="K288" i="3" s="1"/>
  <c r="K287" i="3" a="1"/>
  <c r="K287" i="3" s="1"/>
  <c r="K286" i="3" a="1"/>
  <c r="K286" i="3" s="1"/>
  <c r="K285" i="3" a="1"/>
  <c r="K285" i="3" s="1"/>
  <c r="K284" i="3" a="1"/>
  <c r="K284" i="3" s="1"/>
  <c r="K283" i="3" a="1"/>
  <c r="K283" i="3" s="1"/>
  <c r="K282" i="3" a="1"/>
  <c r="K282" i="3" s="1"/>
  <c r="K281" i="3" a="1"/>
  <c r="K281" i="3" s="1"/>
  <c r="K280" i="3" a="1"/>
  <c r="K280" i="3" s="1"/>
  <c r="K279" i="3" a="1"/>
  <c r="K279" i="3" s="1"/>
  <c r="K278" i="3" a="1"/>
  <c r="K278" i="3" s="1"/>
  <c r="K277" i="3" a="1"/>
  <c r="K277" i="3" s="1"/>
  <c r="K276" i="3" a="1"/>
  <c r="K276" i="3" s="1"/>
  <c r="K275" i="3" a="1"/>
  <c r="K275" i="3" s="1"/>
  <c r="K274" i="3" a="1"/>
  <c r="K274" i="3" s="1"/>
  <c r="K273" i="3" a="1"/>
  <c r="K273" i="3" s="1"/>
  <c r="K272" i="3" a="1"/>
  <c r="K272" i="3" s="1"/>
  <c r="K271" i="3" a="1"/>
  <c r="K271" i="3" s="1"/>
  <c r="K270" i="3" a="1"/>
  <c r="K270" i="3" s="1"/>
  <c r="K269" i="3" a="1"/>
  <c r="K269" i="3" s="1"/>
  <c r="K268" i="3" a="1"/>
  <c r="K268" i="3" s="1"/>
  <c r="K267" i="3" a="1"/>
  <c r="K267" i="3" s="1"/>
  <c r="K266" i="3" a="1"/>
  <c r="K266" i="3" s="1"/>
  <c r="K265" i="3" a="1"/>
  <c r="K265" i="3" s="1"/>
  <c r="K264" i="3" a="1"/>
  <c r="K264" i="3" s="1"/>
  <c r="K263" i="3" a="1"/>
  <c r="K263" i="3" s="1"/>
  <c r="K262" i="3" a="1"/>
  <c r="K262" i="3" s="1"/>
  <c r="K261" i="3" a="1"/>
  <c r="K261" i="3" s="1"/>
  <c r="K260" i="3" a="1"/>
  <c r="K260" i="3" s="1"/>
  <c r="K259" i="3" a="1"/>
  <c r="K259" i="3" s="1"/>
  <c r="K258" i="3" a="1"/>
  <c r="K258" i="3" s="1"/>
  <c r="K257" i="3" a="1"/>
  <c r="K257" i="3" s="1"/>
  <c r="K256" i="3" a="1"/>
  <c r="K256" i="3" s="1"/>
  <c r="K255" i="3" a="1"/>
  <c r="K255" i="3" s="1"/>
  <c r="K254" i="3" a="1"/>
  <c r="K254" i="3" s="1"/>
  <c r="K253" i="3" a="1"/>
  <c r="K253" i="3" s="1"/>
  <c r="K252" i="3" a="1"/>
  <c r="K252" i="3" s="1"/>
  <c r="K251" i="3" a="1"/>
  <c r="K251" i="3" s="1"/>
  <c r="K250" i="3" a="1"/>
  <c r="K250" i="3" s="1"/>
  <c r="K249" i="3" a="1"/>
  <c r="K249" i="3" s="1"/>
  <c r="K248" i="3" a="1"/>
  <c r="K248" i="3" s="1"/>
  <c r="K247" i="3" a="1"/>
  <c r="K247" i="3" s="1"/>
  <c r="K246" i="3" a="1"/>
  <c r="K246" i="3" s="1"/>
  <c r="K245" i="3" a="1"/>
  <c r="K245" i="3" s="1"/>
  <c r="K244" i="3" a="1"/>
  <c r="K244" i="3" s="1"/>
  <c r="K243" i="3" a="1"/>
  <c r="K243" i="3" s="1"/>
  <c r="K242" i="3" a="1"/>
  <c r="K242" i="3" s="1"/>
  <c r="K241" i="3" a="1"/>
  <c r="K241" i="3" s="1"/>
  <c r="K240" i="3" a="1"/>
  <c r="K240" i="3" s="1"/>
  <c r="K239" i="3" a="1"/>
  <c r="K239" i="3" s="1"/>
  <c r="K238" i="3" a="1"/>
  <c r="K238" i="3" s="1"/>
  <c r="K237" i="3" a="1"/>
  <c r="K237" i="3" s="1"/>
  <c r="K236" i="3" a="1"/>
  <c r="K236" i="3" s="1"/>
  <c r="K235" i="3" a="1"/>
  <c r="K235" i="3" s="1"/>
  <c r="K234" i="3" a="1"/>
  <c r="K234" i="3" s="1"/>
  <c r="K233" i="3" a="1"/>
  <c r="K233" i="3" s="1"/>
  <c r="K232" i="3" a="1"/>
  <c r="K232" i="3" s="1"/>
  <c r="K231" i="3" a="1"/>
  <c r="K231" i="3" s="1"/>
  <c r="K230" i="3" a="1"/>
  <c r="K230" i="3" s="1"/>
  <c r="K229" i="3" a="1"/>
  <c r="K229" i="3" s="1"/>
  <c r="K228" i="3" a="1"/>
  <c r="K228" i="3" s="1"/>
  <c r="K227" i="3" a="1"/>
  <c r="K227" i="3" s="1"/>
  <c r="K226" i="3" a="1"/>
  <c r="K226" i="3" s="1"/>
  <c r="K225" i="3" a="1"/>
  <c r="K225" i="3" s="1"/>
  <c r="K224" i="3" a="1"/>
  <c r="K224" i="3" s="1"/>
  <c r="K223" i="3" a="1"/>
  <c r="K223" i="3" s="1"/>
  <c r="K222" i="3" a="1"/>
  <c r="K222" i="3" s="1"/>
  <c r="K221" i="3" a="1"/>
  <c r="K221" i="3" s="1"/>
  <c r="K220" i="3" a="1"/>
  <c r="K220" i="3" s="1"/>
  <c r="K219" i="3" a="1"/>
  <c r="K219" i="3" s="1"/>
  <c r="K218" i="3" a="1"/>
  <c r="K218" i="3" s="1"/>
  <c r="K217" i="3" a="1"/>
  <c r="K217" i="3" s="1"/>
  <c r="K216" i="3" a="1"/>
  <c r="K216" i="3" s="1"/>
  <c r="K215" i="3" a="1"/>
  <c r="K215" i="3" s="1"/>
  <c r="K214" i="3" a="1"/>
  <c r="K214" i="3" s="1"/>
  <c r="K213" i="3" a="1"/>
  <c r="K213" i="3" s="1"/>
  <c r="K212" i="3" a="1"/>
  <c r="K212" i="3" s="1"/>
  <c r="K211" i="3" a="1"/>
  <c r="K211" i="3" s="1"/>
  <c r="K210" i="3" a="1"/>
  <c r="K210" i="3" s="1"/>
  <c r="K209" i="3" a="1"/>
  <c r="K209" i="3" s="1"/>
  <c r="K208" i="3" a="1"/>
  <c r="K208" i="3" s="1"/>
  <c r="K207" i="3" a="1"/>
  <c r="K207" i="3" s="1"/>
  <c r="K206" i="3" a="1"/>
  <c r="K206" i="3" s="1"/>
  <c r="K205" i="3" a="1"/>
  <c r="K205" i="3" s="1"/>
  <c r="K204" i="3" a="1"/>
  <c r="K204" i="3" s="1"/>
  <c r="K203" i="3" a="1"/>
  <c r="K203" i="3" s="1"/>
  <c r="K202" i="3" a="1"/>
  <c r="K202" i="3" s="1"/>
  <c r="K201" i="3" a="1"/>
  <c r="K201" i="3" s="1"/>
  <c r="K200" i="3" a="1"/>
  <c r="K200" i="3" s="1"/>
  <c r="K199" i="3" a="1"/>
  <c r="K199" i="3" s="1"/>
  <c r="K198" i="3" a="1"/>
  <c r="K198" i="3" s="1"/>
  <c r="K197" i="3" a="1"/>
  <c r="K197" i="3" s="1"/>
  <c r="K196" i="3" a="1"/>
  <c r="K196" i="3" s="1"/>
  <c r="K195" i="3" a="1"/>
  <c r="K195" i="3" s="1"/>
  <c r="K194" i="3" a="1"/>
  <c r="K194" i="3" s="1"/>
  <c r="K193" i="3" a="1"/>
  <c r="K193" i="3" s="1"/>
  <c r="K192" i="3" a="1"/>
  <c r="K192" i="3" s="1"/>
  <c r="K191" i="3" a="1"/>
  <c r="K191" i="3" s="1"/>
  <c r="K190" i="3" a="1"/>
  <c r="K190" i="3" s="1"/>
  <c r="K189" i="3" a="1"/>
  <c r="K189" i="3" s="1"/>
  <c r="K188" i="3" a="1"/>
  <c r="K188" i="3" s="1"/>
  <c r="K187" i="3" a="1"/>
  <c r="K187" i="3" s="1"/>
  <c r="K186" i="3" a="1"/>
  <c r="K186" i="3" s="1"/>
  <c r="K185" i="3" a="1"/>
  <c r="K185" i="3" s="1"/>
  <c r="K184" i="3" a="1"/>
  <c r="K184" i="3" s="1"/>
  <c r="K183" i="3" a="1"/>
  <c r="K183" i="3" s="1"/>
  <c r="K182" i="3" a="1"/>
  <c r="K182" i="3" s="1"/>
  <c r="K181" i="3" a="1"/>
  <c r="K181" i="3" s="1"/>
  <c r="K180" i="3" a="1"/>
  <c r="K180" i="3" s="1"/>
  <c r="K179" i="3" a="1"/>
  <c r="K179" i="3" s="1"/>
  <c r="K178" i="3" a="1"/>
  <c r="K178" i="3" s="1"/>
  <c r="K177" i="3" a="1"/>
  <c r="K177" i="3" s="1"/>
  <c r="K176" i="3" a="1"/>
  <c r="K176" i="3" s="1"/>
  <c r="K175" i="3" a="1"/>
  <c r="K175" i="3" s="1"/>
  <c r="K174" i="3" a="1"/>
  <c r="K174" i="3" s="1"/>
  <c r="K173" i="3" a="1"/>
  <c r="K173" i="3" s="1"/>
  <c r="K172" i="3" a="1"/>
  <c r="K172" i="3" s="1"/>
  <c r="K171" i="3" a="1"/>
  <c r="K171" i="3" s="1"/>
  <c r="K170" i="3" a="1"/>
  <c r="K170" i="3" s="1"/>
  <c r="K169" i="3" a="1"/>
  <c r="K169" i="3" s="1"/>
  <c r="K168" i="3" a="1"/>
  <c r="K168" i="3" s="1"/>
  <c r="K167" i="3" a="1"/>
  <c r="K167" i="3" s="1"/>
  <c r="K166" i="3" a="1"/>
  <c r="K166" i="3" s="1"/>
  <c r="K165" i="3" a="1"/>
  <c r="K165" i="3" s="1"/>
  <c r="K164" i="3" a="1"/>
  <c r="K164" i="3" s="1"/>
  <c r="K163" i="3" a="1"/>
  <c r="K163" i="3" s="1"/>
  <c r="K162" i="3" a="1"/>
  <c r="K162" i="3" s="1"/>
  <c r="K161" i="3" a="1"/>
  <c r="K161" i="3" s="1"/>
  <c r="K160" i="3" a="1"/>
  <c r="K160" i="3" s="1"/>
  <c r="K159" i="3" a="1"/>
  <c r="K159" i="3" s="1"/>
  <c r="K158" i="3" a="1"/>
  <c r="K158" i="3" s="1"/>
  <c r="K157" i="3" a="1"/>
  <c r="K157" i="3" s="1"/>
  <c r="K156" i="3" a="1"/>
  <c r="K156" i="3" s="1"/>
  <c r="K155" i="3" a="1"/>
  <c r="K155" i="3" s="1"/>
  <c r="K154" i="3" a="1"/>
  <c r="K154" i="3" s="1"/>
  <c r="K153" i="3" a="1"/>
  <c r="K153" i="3" s="1"/>
  <c r="K152" i="3" a="1"/>
  <c r="K152" i="3" s="1"/>
  <c r="K151" i="3" a="1"/>
  <c r="K151" i="3" s="1"/>
  <c r="K150" i="3" a="1"/>
  <c r="K150" i="3" s="1"/>
  <c r="K149" i="3" a="1"/>
  <c r="K149" i="3" s="1"/>
  <c r="K148" i="3" a="1"/>
  <c r="K148" i="3" s="1"/>
  <c r="K147" i="3" a="1"/>
  <c r="K147" i="3" s="1"/>
  <c r="K146" i="3" a="1"/>
  <c r="K146" i="3" s="1"/>
  <c r="K145" i="3" a="1"/>
  <c r="K145" i="3" s="1"/>
  <c r="K144" i="3" a="1"/>
  <c r="K144" i="3" s="1"/>
  <c r="K143" i="3" a="1"/>
  <c r="K143" i="3" s="1"/>
  <c r="K142" i="3" a="1"/>
  <c r="K142" i="3" s="1"/>
  <c r="K141" i="3" a="1"/>
  <c r="K141" i="3" s="1"/>
  <c r="K140" i="3" a="1"/>
  <c r="K140" i="3" s="1"/>
  <c r="K139" i="3" a="1"/>
  <c r="K139" i="3" s="1"/>
  <c r="K138" i="3" a="1"/>
  <c r="K138" i="3" s="1"/>
  <c r="K137" i="3" a="1"/>
  <c r="K137" i="3" s="1"/>
  <c r="K136" i="3" a="1"/>
  <c r="K136" i="3" s="1"/>
  <c r="K135" i="3" a="1"/>
  <c r="K135" i="3" s="1"/>
  <c r="K134" i="3" a="1"/>
  <c r="K134" i="3" s="1"/>
  <c r="K133" i="3" a="1"/>
  <c r="K133" i="3" s="1"/>
  <c r="K132" i="3" a="1"/>
  <c r="K132" i="3" s="1"/>
  <c r="K131" i="3" a="1"/>
  <c r="K131" i="3" s="1"/>
  <c r="K130" i="3" a="1"/>
  <c r="K130" i="3" s="1"/>
  <c r="K129" i="3" a="1"/>
  <c r="K129" i="3" s="1"/>
  <c r="K128" i="3" a="1"/>
  <c r="K128" i="3" s="1"/>
  <c r="K127" i="3" a="1"/>
  <c r="K127" i="3" s="1"/>
  <c r="K126" i="3" a="1"/>
  <c r="K126" i="3" s="1"/>
  <c r="K125" i="3" a="1"/>
  <c r="K125" i="3" s="1"/>
  <c r="K124" i="3" a="1"/>
  <c r="K124" i="3" s="1"/>
  <c r="K123" i="3" a="1"/>
  <c r="K123" i="3" s="1"/>
  <c r="K122" i="3" a="1"/>
  <c r="K122" i="3" s="1"/>
  <c r="K121" i="3" a="1"/>
  <c r="K121" i="3" s="1"/>
  <c r="K120" i="3" a="1"/>
  <c r="K120" i="3" s="1"/>
  <c r="K119" i="3" a="1"/>
  <c r="K119" i="3" s="1"/>
  <c r="K118" i="3" a="1"/>
  <c r="K118" i="3" s="1"/>
  <c r="K117" i="3" a="1"/>
  <c r="K117" i="3" s="1"/>
  <c r="K116" i="3" a="1"/>
  <c r="K116" i="3" s="1"/>
  <c r="K115" i="3" a="1"/>
  <c r="K115" i="3" s="1"/>
  <c r="K114" i="3" a="1"/>
  <c r="K114" i="3" s="1"/>
  <c r="K113" i="3" a="1"/>
  <c r="K113" i="3" s="1"/>
  <c r="K112" i="3" a="1"/>
  <c r="K112" i="3" s="1"/>
  <c r="K111" i="3" a="1"/>
  <c r="K111" i="3" s="1"/>
  <c r="K110" i="3" a="1"/>
  <c r="K110" i="3" s="1"/>
  <c r="K109" i="3" a="1"/>
  <c r="K109" i="3" s="1"/>
  <c r="K108" i="3" a="1"/>
  <c r="K108" i="3" s="1"/>
  <c r="K107" i="3" a="1"/>
  <c r="K107" i="3" s="1"/>
  <c r="K106" i="3" a="1"/>
  <c r="K106" i="3" s="1"/>
  <c r="K105" i="3" a="1"/>
  <c r="K105" i="3" s="1"/>
  <c r="K104" i="3" a="1"/>
  <c r="K104" i="3" s="1"/>
  <c r="K103" i="3" a="1"/>
  <c r="K103" i="3" s="1"/>
  <c r="K102" i="3" a="1"/>
  <c r="K102" i="3" s="1"/>
  <c r="K101" i="3" a="1"/>
  <c r="K101" i="3" s="1"/>
  <c r="K100" i="3" a="1"/>
  <c r="K100" i="3" s="1"/>
  <c r="K99" i="3" a="1"/>
  <c r="K99" i="3" s="1"/>
  <c r="K98" i="3" a="1"/>
  <c r="K98" i="3" s="1"/>
  <c r="K97" i="3" a="1"/>
  <c r="K97" i="3" s="1"/>
  <c r="K96" i="3" a="1"/>
  <c r="K96" i="3" s="1"/>
  <c r="K95" i="3" a="1"/>
  <c r="K95" i="3" s="1"/>
  <c r="K94" i="3" a="1"/>
  <c r="K94" i="3" s="1"/>
  <c r="K93" i="3" a="1"/>
  <c r="K93" i="3" s="1"/>
  <c r="K92" i="3" a="1"/>
  <c r="K92" i="3" s="1"/>
  <c r="K91" i="3" a="1"/>
  <c r="K91" i="3" s="1"/>
  <c r="K90" i="3" a="1"/>
  <c r="K90" i="3" s="1"/>
  <c r="K89" i="3" a="1"/>
  <c r="K89" i="3" s="1"/>
  <c r="K88" i="3" a="1"/>
  <c r="K88" i="3" s="1"/>
  <c r="K87" i="3" a="1"/>
  <c r="K87" i="3" s="1"/>
  <c r="K86" i="3" a="1"/>
  <c r="K86" i="3" s="1"/>
  <c r="K85" i="3" a="1"/>
  <c r="K85" i="3" s="1"/>
  <c r="K84" i="3" a="1"/>
  <c r="K84" i="3" s="1"/>
  <c r="K83" i="3" a="1"/>
  <c r="K83" i="3" s="1"/>
  <c r="K82" i="3" a="1"/>
  <c r="K82" i="3" s="1"/>
  <c r="K81" i="3" a="1"/>
  <c r="K81" i="3" s="1"/>
  <c r="K80" i="3" a="1"/>
  <c r="K80" i="3" s="1"/>
  <c r="K79" i="3" a="1"/>
  <c r="K79" i="3" s="1"/>
  <c r="K78" i="3" a="1"/>
  <c r="K78" i="3" s="1"/>
  <c r="K77" i="3" a="1"/>
  <c r="K77" i="3" s="1"/>
  <c r="K76" i="3" a="1"/>
  <c r="K76" i="3" s="1"/>
  <c r="K75" i="3" a="1"/>
  <c r="K75" i="3" s="1"/>
  <c r="K74" i="3" a="1"/>
  <c r="K74" i="3" s="1"/>
  <c r="K73" i="3" a="1"/>
  <c r="K73" i="3" s="1"/>
  <c r="K72" i="3" a="1"/>
  <c r="K72" i="3" s="1"/>
  <c r="K71" i="3" a="1"/>
  <c r="K71" i="3" s="1"/>
  <c r="K70" i="3" a="1"/>
  <c r="K70" i="3" s="1"/>
  <c r="K69" i="3" a="1"/>
  <c r="K69" i="3" s="1"/>
  <c r="K68" i="3" a="1"/>
  <c r="K68" i="3" s="1"/>
  <c r="K67" i="3" a="1"/>
  <c r="K67" i="3" s="1"/>
  <c r="K66" i="3" a="1"/>
  <c r="K66" i="3" s="1"/>
  <c r="K65" i="3" a="1"/>
  <c r="K65" i="3" s="1"/>
  <c r="K64" i="3" a="1"/>
  <c r="K64" i="3" s="1"/>
  <c r="K63" i="3" a="1"/>
  <c r="K63" i="3" s="1"/>
  <c r="K62" i="3" a="1"/>
  <c r="K62" i="3" s="1"/>
  <c r="K61" i="3" a="1"/>
  <c r="K61" i="3" s="1"/>
  <c r="K60" i="3" a="1"/>
  <c r="K60" i="3" s="1"/>
  <c r="K59" i="3" a="1"/>
  <c r="K59" i="3" s="1"/>
  <c r="K58" i="3" a="1"/>
  <c r="K58" i="3" s="1"/>
  <c r="K57" i="3" a="1"/>
  <c r="K57" i="3" s="1"/>
  <c r="K56" i="3" a="1"/>
  <c r="K56" i="3" s="1"/>
  <c r="K55" i="3" a="1"/>
  <c r="K55" i="3" s="1"/>
  <c r="K54" i="3" a="1"/>
  <c r="K54" i="3" s="1"/>
  <c r="K53" i="3" a="1"/>
  <c r="K53" i="3" s="1"/>
  <c r="K52" i="3" a="1"/>
  <c r="K52" i="3" s="1"/>
  <c r="K51" i="3" a="1"/>
  <c r="K51" i="3" s="1"/>
  <c r="K50" i="3" a="1"/>
  <c r="K50" i="3" s="1"/>
  <c r="K49" i="3" a="1"/>
  <c r="K49" i="3" s="1"/>
  <c r="K48" i="3" a="1"/>
  <c r="K48" i="3" s="1"/>
  <c r="K47" i="3" a="1"/>
  <c r="K47" i="3" s="1"/>
  <c r="K46" i="3" a="1"/>
  <c r="K46" i="3" s="1"/>
  <c r="K45" i="3" a="1"/>
  <c r="K45" i="3" s="1"/>
  <c r="K44" i="3" a="1"/>
  <c r="K44" i="3" s="1"/>
  <c r="K43" i="3" a="1"/>
  <c r="K43" i="3" s="1"/>
  <c r="K42" i="3" a="1"/>
  <c r="K42" i="3" s="1"/>
  <c r="K41" i="3" a="1"/>
  <c r="K41" i="3" s="1"/>
  <c r="K40" i="3" a="1"/>
  <c r="K40" i="3" s="1"/>
  <c r="K39" i="3" a="1"/>
  <c r="K39" i="3" s="1"/>
  <c r="K38" i="3" a="1"/>
  <c r="K38" i="3" s="1"/>
  <c r="K37" i="3" a="1"/>
  <c r="K37" i="3" s="1"/>
  <c r="K36" i="3" a="1"/>
  <c r="K36" i="3" s="1"/>
  <c r="K35" i="3" a="1"/>
  <c r="K35" i="3" s="1"/>
  <c r="K34" i="3" a="1"/>
  <c r="K34" i="3" s="1"/>
  <c r="K33" i="3" a="1"/>
  <c r="K33" i="3" s="1"/>
  <c r="K32" i="3" a="1"/>
  <c r="K32" i="3" s="1"/>
  <c r="K31" i="3" a="1"/>
  <c r="K31" i="3" s="1"/>
  <c r="K30" i="3" a="1"/>
  <c r="K30" i="3" s="1"/>
  <c r="K29" i="3" a="1"/>
  <c r="K29" i="3" s="1"/>
  <c r="K28" i="3" a="1"/>
  <c r="K28" i="3" s="1"/>
  <c r="K27" i="3" a="1"/>
  <c r="K27" i="3" s="1"/>
  <c r="K26" i="3" a="1"/>
  <c r="K26" i="3" s="1"/>
  <c r="K25" i="3" a="1"/>
  <c r="K25" i="3" s="1"/>
  <c r="K24" i="3" a="1"/>
  <c r="K24" i="3" s="1"/>
  <c r="K23" i="3" a="1"/>
  <c r="K23" i="3" s="1"/>
  <c r="K22" i="3" a="1"/>
  <c r="K22" i="3" s="1"/>
  <c r="K21" i="3" a="1"/>
  <c r="K21" i="3" s="1"/>
  <c r="K20" i="3" a="1"/>
  <c r="K20" i="3" s="1"/>
  <c r="K19" i="3" a="1"/>
  <c r="K19" i="3" s="1"/>
  <c r="K18" i="3" a="1"/>
  <c r="K18" i="3" s="1"/>
  <c r="K17" i="3" a="1"/>
  <c r="K17" i="3" s="1"/>
  <c r="K16" i="3" a="1"/>
  <c r="K16" i="3" s="1"/>
  <c r="K15" i="3" a="1"/>
  <c r="K15" i="3" s="1"/>
  <c r="K14" i="3" a="1"/>
  <c r="K14" i="3" s="1"/>
  <c r="K13" i="3" a="1"/>
  <c r="K13" i="3" s="1"/>
  <c r="K12" i="3" a="1"/>
  <c r="K12" i="3" s="1"/>
  <c r="K11" i="3" a="1"/>
  <c r="K11" i="3" s="1"/>
  <c r="K10" i="3" a="1"/>
  <c r="K10" i="3" s="1"/>
  <c r="K9" i="3" a="1"/>
  <c r="K9" i="3" s="1"/>
  <c r="K8" i="3" a="1"/>
  <c r="K8" i="3" s="1"/>
  <c r="K7" i="3" a="1"/>
  <c r="K7" i="3" s="1"/>
  <c r="K6" i="3" a="1"/>
  <c r="K6" i="3" s="1"/>
  <c r="K5" i="3" a="1"/>
  <c r="K5" i="3" s="1"/>
  <c r="K4" i="3" a="1"/>
  <c r="K4" i="3" s="1"/>
  <c r="K3" i="3" a="1"/>
  <c r="K3" i="3" s="1"/>
  <c r="K2" i="3" a="1"/>
  <c r="K2" i="3" s="1"/>
  <c r="N501" i="2"/>
  <c r="M501" i="2"/>
  <c r="O501" i="2" s="1"/>
  <c r="L501" i="2"/>
  <c r="K501" i="2"/>
  <c r="K501" i="2" a="1"/>
  <c r="N500" i="2"/>
  <c r="M500" i="2"/>
  <c r="O500" i="2" s="1"/>
  <c r="L500" i="2"/>
  <c r="K500" i="2" a="1"/>
  <c r="K500" i="2" s="1"/>
  <c r="N499" i="2"/>
  <c r="M499" i="2"/>
  <c r="O499" i="2" s="1"/>
  <c r="L499" i="2"/>
  <c r="K499" i="2"/>
  <c r="K499" i="2" a="1"/>
  <c r="N498" i="2"/>
  <c r="M498" i="2"/>
  <c r="O498" i="2" s="1"/>
  <c r="L498" i="2"/>
  <c r="K498" i="2" a="1"/>
  <c r="K498" i="2" s="1"/>
  <c r="N497" i="2"/>
  <c r="M497" i="2"/>
  <c r="O497" i="2" s="1"/>
  <c r="L497" i="2"/>
  <c r="K497" i="2"/>
  <c r="K497" i="2" a="1"/>
  <c r="N496" i="2"/>
  <c r="M496" i="2"/>
  <c r="O496" i="2" s="1"/>
  <c r="L496" i="2"/>
  <c r="K496" i="2"/>
  <c r="K496" i="2" a="1"/>
  <c r="N495" i="2"/>
  <c r="M495" i="2"/>
  <c r="O495" i="2" s="1"/>
  <c r="L495" i="2"/>
  <c r="K495" i="2"/>
  <c r="K495" i="2" a="1"/>
  <c r="N494" i="2"/>
  <c r="M494" i="2"/>
  <c r="O494" i="2" s="1"/>
  <c r="L494" i="2"/>
  <c r="K494" i="2" a="1"/>
  <c r="K494" i="2" s="1"/>
  <c r="N493" i="2"/>
  <c r="M493" i="2"/>
  <c r="O493" i="2" s="1"/>
  <c r="L493" i="2"/>
  <c r="K493" i="2" a="1"/>
  <c r="K493" i="2" s="1"/>
  <c r="N492" i="2"/>
  <c r="M492" i="2"/>
  <c r="O492" i="2" s="1"/>
  <c r="L492" i="2"/>
  <c r="K492" i="2" a="1"/>
  <c r="K492" i="2" s="1"/>
  <c r="N491" i="2"/>
  <c r="M491" i="2"/>
  <c r="O491" i="2" s="1"/>
  <c r="L491" i="2"/>
  <c r="K491" i="2" a="1"/>
  <c r="K491" i="2" s="1"/>
  <c r="N490" i="2"/>
  <c r="M490" i="2"/>
  <c r="O490" i="2" s="1"/>
  <c r="L490" i="2"/>
  <c r="K490" i="2" a="1"/>
  <c r="K490" i="2" s="1"/>
  <c r="N489" i="2"/>
  <c r="M489" i="2"/>
  <c r="O489" i="2" s="1"/>
  <c r="L489" i="2"/>
  <c r="K489" i="2" a="1"/>
  <c r="K489" i="2" s="1"/>
  <c r="N488" i="2"/>
  <c r="M488" i="2"/>
  <c r="O488" i="2" s="1"/>
  <c r="L488" i="2"/>
  <c r="K488" i="2" a="1"/>
  <c r="K488" i="2" s="1"/>
  <c r="N487" i="2"/>
  <c r="M487" i="2"/>
  <c r="O487" i="2" s="1"/>
  <c r="L487" i="2"/>
  <c r="K487" i="2"/>
  <c r="K487" i="2" a="1"/>
  <c r="N486" i="2"/>
  <c r="M486" i="2"/>
  <c r="O486" i="2" s="1"/>
  <c r="L486" i="2"/>
  <c r="K486" i="2" a="1"/>
  <c r="K486" i="2" s="1"/>
  <c r="N485" i="2"/>
  <c r="M485" i="2"/>
  <c r="O485" i="2" s="1"/>
  <c r="L485" i="2"/>
  <c r="K485" i="2"/>
  <c r="K485" i="2" a="1"/>
  <c r="N484" i="2"/>
  <c r="M484" i="2"/>
  <c r="O484" i="2" s="1"/>
  <c r="L484" i="2"/>
  <c r="K484" i="2"/>
  <c r="K484" i="2" a="1"/>
  <c r="N483" i="2"/>
  <c r="M483" i="2"/>
  <c r="O483" i="2" s="1"/>
  <c r="L483" i="2"/>
  <c r="K483" i="2" a="1"/>
  <c r="K483" i="2" s="1"/>
  <c r="N482" i="2"/>
  <c r="M482" i="2"/>
  <c r="O482" i="2" s="1"/>
  <c r="L482" i="2"/>
  <c r="K482" i="2" a="1"/>
  <c r="K482" i="2" s="1"/>
  <c r="N481" i="2"/>
  <c r="M481" i="2"/>
  <c r="O481" i="2" s="1"/>
  <c r="L481" i="2"/>
  <c r="K481" i="2" a="1"/>
  <c r="K481" i="2" s="1"/>
  <c r="N480" i="2"/>
  <c r="M480" i="2"/>
  <c r="O480" i="2" s="1"/>
  <c r="L480" i="2"/>
  <c r="K480" i="2" a="1"/>
  <c r="K480" i="2" s="1"/>
  <c r="N479" i="2"/>
  <c r="M479" i="2"/>
  <c r="O479" i="2" s="1"/>
  <c r="L479" i="2"/>
  <c r="K479" i="2" a="1"/>
  <c r="K479" i="2" s="1"/>
  <c r="N478" i="2"/>
  <c r="M478" i="2"/>
  <c r="O478" i="2" s="1"/>
  <c r="L478" i="2"/>
  <c r="K478" i="2" a="1"/>
  <c r="K478" i="2" s="1"/>
  <c r="N477" i="2"/>
  <c r="M477" i="2"/>
  <c r="O477" i="2" s="1"/>
  <c r="L477" i="2"/>
  <c r="K477" i="2" a="1"/>
  <c r="K477" i="2" s="1"/>
  <c r="N476" i="2"/>
  <c r="M476" i="2"/>
  <c r="O476" i="2" s="1"/>
  <c r="L476" i="2"/>
  <c r="K476" i="2"/>
  <c r="K476" i="2" a="1"/>
  <c r="N475" i="2"/>
  <c r="M475" i="2"/>
  <c r="O475" i="2" s="1"/>
  <c r="L475" i="2"/>
  <c r="K475" i="2"/>
  <c r="K475" i="2" a="1"/>
  <c r="N474" i="2"/>
  <c r="M474" i="2"/>
  <c r="O474" i="2" s="1"/>
  <c r="L474" i="2"/>
  <c r="K474" i="2" a="1"/>
  <c r="K474" i="2" s="1"/>
  <c r="N473" i="2"/>
  <c r="M473" i="2"/>
  <c r="O473" i="2" s="1"/>
  <c r="L473" i="2"/>
  <c r="K473" i="2"/>
  <c r="K473" i="2" a="1"/>
  <c r="N472" i="2"/>
  <c r="M472" i="2"/>
  <c r="O472" i="2" s="1"/>
  <c r="L472" i="2"/>
  <c r="K472" i="2"/>
  <c r="K472" i="2" a="1"/>
  <c r="N471" i="2"/>
  <c r="M471" i="2"/>
  <c r="O471" i="2" s="1"/>
  <c r="L471" i="2"/>
  <c r="K471" i="2"/>
  <c r="K471" i="2" a="1"/>
  <c r="N470" i="2"/>
  <c r="M470" i="2"/>
  <c r="O470" i="2" s="1"/>
  <c r="L470" i="2"/>
  <c r="K470" i="2" a="1"/>
  <c r="K470" i="2" s="1"/>
  <c r="N469" i="2"/>
  <c r="M469" i="2"/>
  <c r="O469" i="2" s="1"/>
  <c r="L469" i="2"/>
  <c r="K469" i="2" a="1"/>
  <c r="K469" i="2" s="1"/>
  <c r="N468" i="2"/>
  <c r="M468" i="2"/>
  <c r="O468" i="2" s="1"/>
  <c r="L468" i="2"/>
  <c r="K468" i="2" a="1"/>
  <c r="K468" i="2" s="1"/>
  <c r="N467" i="2"/>
  <c r="M467" i="2"/>
  <c r="O467" i="2" s="1"/>
  <c r="L467" i="2"/>
  <c r="K467" i="2" a="1"/>
  <c r="K467" i="2" s="1"/>
  <c r="N466" i="2"/>
  <c r="M466" i="2"/>
  <c r="O466" i="2" s="1"/>
  <c r="L466" i="2"/>
  <c r="K466" i="2" a="1"/>
  <c r="K466" i="2" s="1"/>
  <c r="N465" i="2"/>
  <c r="M465" i="2"/>
  <c r="O465" i="2" s="1"/>
  <c r="L465" i="2"/>
  <c r="K465" i="2" a="1"/>
  <c r="K465" i="2" s="1"/>
  <c r="N464" i="2"/>
  <c r="M464" i="2"/>
  <c r="O464" i="2" s="1"/>
  <c r="L464" i="2"/>
  <c r="K464" i="2" a="1"/>
  <c r="K464" i="2" s="1"/>
  <c r="N463" i="2"/>
  <c r="M463" i="2"/>
  <c r="O463" i="2" s="1"/>
  <c r="L463" i="2"/>
  <c r="K463" i="2"/>
  <c r="K463" i="2" a="1"/>
  <c r="N462" i="2"/>
  <c r="M462" i="2"/>
  <c r="O462" i="2" s="1"/>
  <c r="L462" i="2"/>
  <c r="K462" i="2" a="1"/>
  <c r="K462" i="2" s="1"/>
  <c r="N461" i="2"/>
  <c r="M461" i="2"/>
  <c r="O461" i="2" s="1"/>
  <c r="L461" i="2"/>
  <c r="K461" i="2"/>
  <c r="K461" i="2" a="1"/>
  <c r="N460" i="2"/>
  <c r="M460" i="2"/>
  <c r="O460" i="2" s="1"/>
  <c r="L460" i="2"/>
  <c r="K460" i="2"/>
  <c r="K460" i="2" a="1"/>
  <c r="N459" i="2"/>
  <c r="M459" i="2"/>
  <c r="O459" i="2" s="1"/>
  <c r="L459" i="2"/>
  <c r="K459" i="2" a="1"/>
  <c r="K459" i="2" s="1"/>
  <c r="N458" i="2"/>
  <c r="M458" i="2"/>
  <c r="O458" i="2" s="1"/>
  <c r="L458" i="2"/>
  <c r="K458" i="2" a="1"/>
  <c r="K458" i="2" s="1"/>
  <c r="N457" i="2"/>
  <c r="M457" i="2"/>
  <c r="O457" i="2" s="1"/>
  <c r="L457" i="2"/>
  <c r="K457" i="2" a="1"/>
  <c r="K457" i="2" s="1"/>
  <c r="N456" i="2"/>
  <c r="M456" i="2"/>
  <c r="O456" i="2" s="1"/>
  <c r="L456" i="2"/>
  <c r="K456" i="2"/>
  <c r="K456" i="2" a="1"/>
  <c r="N455" i="2"/>
  <c r="M455" i="2"/>
  <c r="O455" i="2" s="1"/>
  <c r="L455" i="2"/>
  <c r="K455" i="2" a="1"/>
  <c r="K455" i="2" s="1"/>
  <c r="N454" i="2"/>
  <c r="M454" i="2"/>
  <c r="O454" i="2" s="1"/>
  <c r="L454" i="2"/>
  <c r="K454" i="2"/>
  <c r="K454" i="2" a="1"/>
  <c r="N453" i="2"/>
  <c r="M453" i="2"/>
  <c r="O453" i="2" s="1"/>
  <c r="L453" i="2"/>
  <c r="K453" i="2" a="1"/>
  <c r="K453" i="2" s="1"/>
  <c r="N452" i="2"/>
  <c r="M452" i="2"/>
  <c r="O452" i="2" s="1"/>
  <c r="L452" i="2"/>
  <c r="K452" i="2" a="1"/>
  <c r="K452" i="2" s="1"/>
  <c r="N451" i="2"/>
  <c r="M451" i="2"/>
  <c r="O451" i="2" s="1"/>
  <c r="L451" i="2"/>
  <c r="K451" i="2" a="1"/>
  <c r="K451" i="2" s="1"/>
  <c r="N450" i="2"/>
  <c r="M450" i="2"/>
  <c r="O450" i="2" s="1"/>
  <c r="L450" i="2"/>
  <c r="K450" i="2" a="1"/>
  <c r="K450" i="2" s="1"/>
  <c r="N449" i="2"/>
  <c r="M449" i="2"/>
  <c r="O449" i="2" s="1"/>
  <c r="L449" i="2"/>
  <c r="K449" i="2"/>
  <c r="K449" i="2" a="1"/>
  <c r="N448" i="2"/>
  <c r="M448" i="2"/>
  <c r="O448" i="2" s="1"/>
  <c r="L448" i="2"/>
  <c r="K448" i="2" a="1"/>
  <c r="K448" i="2" s="1"/>
  <c r="N447" i="2"/>
  <c r="M447" i="2"/>
  <c r="O447" i="2" s="1"/>
  <c r="L447" i="2"/>
  <c r="K447" i="2" a="1"/>
  <c r="K447" i="2" s="1"/>
  <c r="N446" i="2"/>
  <c r="M446" i="2"/>
  <c r="O446" i="2" s="1"/>
  <c r="L446" i="2"/>
  <c r="K446" i="2"/>
  <c r="K446" i="2" a="1"/>
  <c r="N445" i="2"/>
  <c r="M445" i="2"/>
  <c r="O445" i="2" s="1"/>
  <c r="L445" i="2"/>
  <c r="K445" i="2" a="1"/>
  <c r="K445" i="2" s="1"/>
  <c r="O444" i="2"/>
  <c r="N444" i="2"/>
  <c r="M444" i="2"/>
  <c r="L444" i="2"/>
  <c r="K444" i="2"/>
  <c r="K444" i="2" a="1"/>
  <c r="N443" i="2"/>
  <c r="M443" i="2"/>
  <c r="O443" i="2" s="1"/>
  <c r="L443" i="2"/>
  <c r="K443" i="2" a="1"/>
  <c r="K443" i="2" s="1"/>
  <c r="O442" i="2"/>
  <c r="N442" i="2"/>
  <c r="M442" i="2"/>
  <c r="L442" i="2"/>
  <c r="K442" i="2" a="1"/>
  <c r="K442" i="2" s="1"/>
  <c r="N441" i="2"/>
  <c r="M441" i="2"/>
  <c r="O441" i="2" s="1"/>
  <c r="L441" i="2"/>
  <c r="K441" i="2" a="1"/>
  <c r="K441" i="2" s="1"/>
  <c r="N440" i="2"/>
  <c r="M440" i="2"/>
  <c r="O440" i="2" s="1"/>
  <c r="L440" i="2"/>
  <c r="K440" i="2" a="1"/>
  <c r="K440" i="2" s="1"/>
  <c r="N439" i="2"/>
  <c r="M439" i="2"/>
  <c r="O439" i="2" s="1"/>
  <c r="L439" i="2"/>
  <c r="K439" i="2" a="1"/>
  <c r="K439" i="2" s="1"/>
  <c r="N438" i="2"/>
  <c r="M438" i="2"/>
  <c r="O438" i="2" s="1"/>
  <c r="L438" i="2"/>
  <c r="K438" i="2" a="1"/>
  <c r="K438" i="2" s="1"/>
  <c r="N437" i="2"/>
  <c r="M437" i="2"/>
  <c r="O437" i="2" s="1"/>
  <c r="L437" i="2"/>
  <c r="K437" i="2" a="1"/>
  <c r="K437" i="2" s="1"/>
  <c r="O436" i="2"/>
  <c r="N436" i="2"/>
  <c r="M436" i="2"/>
  <c r="L436" i="2"/>
  <c r="K436" i="2"/>
  <c r="K436" i="2" a="1"/>
  <c r="N435" i="2"/>
  <c r="M435" i="2"/>
  <c r="O435" i="2" s="1"/>
  <c r="L435" i="2"/>
  <c r="K435" i="2"/>
  <c r="K435" i="2" a="1"/>
  <c r="N434" i="2"/>
  <c r="M434" i="2"/>
  <c r="O434" i="2" s="1"/>
  <c r="L434" i="2"/>
  <c r="K434" i="2" a="1"/>
  <c r="K434" i="2" s="1"/>
  <c r="N433" i="2"/>
  <c r="M433" i="2"/>
  <c r="O433" i="2" s="1"/>
  <c r="L433" i="2"/>
  <c r="K433" i="2"/>
  <c r="K433" i="2" a="1"/>
  <c r="N432" i="2"/>
  <c r="M432" i="2"/>
  <c r="O432" i="2" s="1"/>
  <c r="L432" i="2"/>
  <c r="K432" i="2" a="1"/>
  <c r="K432" i="2" s="1"/>
  <c r="N431" i="2"/>
  <c r="M431" i="2"/>
  <c r="O431" i="2" s="1"/>
  <c r="L431" i="2"/>
  <c r="K431" i="2" a="1"/>
  <c r="K431" i="2" s="1"/>
  <c r="O430" i="2"/>
  <c r="N430" i="2"/>
  <c r="M430" i="2"/>
  <c r="L430" i="2"/>
  <c r="K430" i="2" a="1"/>
  <c r="K430" i="2" s="1"/>
  <c r="N429" i="2"/>
  <c r="M429" i="2"/>
  <c r="O429" i="2" s="1"/>
  <c r="L429" i="2"/>
  <c r="K429" i="2" a="1"/>
  <c r="K429" i="2" s="1"/>
  <c r="O428" i="2"/>
  <c r="N428" i="2"/>
  <c r="M428" i="2"/>
  <c r="L428" i="2"/>
  <c r="K428" i="2" a="1"/>
  <c r="K428" i="2" s="1"/>
  <c r="N427" i="2"/>
  <c r="M427" i="2"/>
  <c r="O427" i="2" s="1"/>
  <c r="L427" i="2"/>
  <c r="K427" i="2" a="1"/>
  <c r="K427" i="2" s="1"/>
  <c r="N426" i="2"/>
  <c r="M426" i="2"/>
  <c r="O426" i="2" s="1"/>
  <c r="L426" i="2"/>
  <c r="K426" i="2" a="1"/>
  <c r="K426" i="2" s="1"/>
  <c r="N425" i="2"/>
  <c r="M425" i="2"/>
  <c r="O425" i="2" s="1"/>
  <c r="L425" i="2"/>
  <c r="K425" i="2"/>
  <c r="K425" i="2" a="1"/>
  <c r="N424" i="2"/>
  <c r="M424" i="2"/>
  <c r="O424" i="2" s="1"/>
  <c r="L424" i="2"/>
  <c r="K424" i="2" a="1"/>
  <c r="K424" i="2" s="1"/>
  <c r="N423" i="2"/>
  <c r="M423" i="2"/>
  <c r="O423" i="2" s="1"/>
  <c r="L423" i="2"/>
  <c r="K423" i="2"/>
  <c r="K423" i="2" a="1"/>
  <c r="N422" i="2"/>
  <c r="M422" i="2"/>
  <c r="O422" i="2" s="1"/>
  <c r="L422" i="2"/>
  <c r="K422" i="2"/>
  <c r="K422" i="2" a="1"/>
  <c r="N421" i="2"/>
  <c r="M421" i="2"/>
  <c r="O421" i="2" s="1"/>
  <c r="L421" i="2"/>
  <c r="K421" i="2" a="1"/>
  <c r="K421" i="2" s="1"/>
  <c r="O420" i="2"/>
  <c r="N420" i="2"/>
  <c r="M420" i="2"/>
  <c r="L420" i="2"/>
  <c r="K420" i="2" a="1"/>
  <c r="K420" i="2" s="1"/>
  <c r="N419" i="2"/>
  <c r="M419" i="2"/>
  <c r="O419" i="2" s="1"/>
  <c r="L419" i="2"/>
  <c r="K419" i="2" a="1"/>
  <c r="K419" i="2" s="1"/>
  <c r="O418" i="2"/>
  <c r="N418" i="2"/>
  <c r="M418" i="2"/>
  <c r="L418" i="2"/>
  <c r="K418" i="2" a="1"/>
  <c r="K418" i="2" s="1"/>
  <c r="N417" i="2"/>
  <c r="M417" i="2"/>
  <c r="O417" i="2" s="1"/>
  <c r="L417" i="2"/>
  <c r="K417" i="2" a="1"/>
  <c r="K417" i="2" s="1"/>
  <c r="N416" i="2"/>
  <c r="M416" i="2"/>
  <c r="O416" i="2" s="1"/>
  <c r="L416" i="2"/>
  <c r="K416" i="2" a="1"/>
  <c r="K416" i="2" s="1"/>
  <c r="N415" i="2"/>
  <c r="M415" i="2"/>
  <c r="O415" i="2" s="1"/>
  <c r="L415" i="2"/>
  <c r="K415" i="2"/>
  <c r="K415" i="2" a="1"/>
  <c r="N414" i="2"/>
  <c r="M414" i="2"/>
  <c r="O414" i="2" s="1"/>
  <c r="L414" i="2"/>
  <c r="K414" i="2" a="1"/>
  <c r="K414" i="2" s="1"/>
  <c r="N413" i="2"/>
  <c r="M413" i="2"/>
  <c r="O413" i="2" s="1"/>
  <c r="L413" i="2"/>
  <c r="K413" i="2" a="1"/>
  <c r="K413" i="2" s="1"/>
  <c r="O412" i="2"/>
  <c r="N412" i="2"/>
  <c r="M412" i="2"/>
  <c r="L412" i="2"/>
  <c r="K412" i="2"/>
  <c r="K412" i="2" a="1"/>
  <c r="N411" i="2"/>
  <c r="M411" i="2"/>
  <c r="O411" i="2" s="1"/>
  <c r="L411" i="2"/>
  <c r="K411" i="2"/>
  <c r="K411" i="2" a="1"/>
  <c r="O410" i="2"/>
  <c r="N410" i="2"/>
  <c r="M410" i="2"/>
  <c r="L410" i="2"/>
  <c r="K410" i="2" a="1"/>
  <c r="K410" i="2" s="1"/>
  <c r="N409" i="2"/>
  <c r="M409" i="2"/>
  <c r="O409" i="2" s="1"/>
  <c r="L409" i="2"/>
  <c r="K409" i="2" a="1"/>
  <c r="K409" i="2" s="1"/>
  <c r="N408" i="2"/>
  <c r="M408" i="2"/>
  <c r="O408" i="2" s="1"/>
  <c r="L408" i="2"/>
  <c r="K408" i="2" a="1"/>
  <c r="K408" i="2" s="1"/>
  <c r="N407" i="2"/>
  <c r="M407" i="2"/>
  <c r="O407" i="2" s="1"/>
  <c r="L407" i="2"/>
  <c r="K407" i="2" a="1"/>
  <c r="K407" i="2" s="1"/>
  <c r="N406" i="2"/>
  <c r="M406" i="2"/>
  <c r="O406" i="2" s="1"/>
  <c r="L406" i="2"/>
  <c r="K406" i="2"/>
  <c r="K406" i="2" a="1"/>
  <c r="N405" i="2"/>
  <c r="M405" i="2"/>
  <c r="O405" i="2" s="1"/>
  <c r="L405" i="2"/>
  <c r="K405" i="2" a="1"/>
  <c r="K405" i="2" s="1"/>
  <c r="O404" i="2"/>
  <c r="N404" i="2"/>
  <c r="M404" i="2"/>
  <c r="L404" i="2"/>
  <c r="K404" i="2" a="1"/>
  <c r="K404" i="2" s="1"/>
  <c r="N403" i="2"/>
  <c r="M403" i="2"/>
  <c r="O403" i="2" s="1"/>
  <c r="L403" i="2"/>
  <c r="K403" i="2" a="1"/>
  <c r="K403" i="2" s="1"/>
  <c r="N402" i="2"/>
  <c r="M402" i="2"/>
  <c r="O402" i="2" s="1"/>
  <c r="L402" i="2"/>
  <c r="K402" i="2" a="1"/>
  <c r="K402" i="2" s="1"/>
  <c r="N401" i="2"/>
  <c r="M401" i="2"/>
  <c r="O401" i="2" s="1"/>
  <c r="L401" i="2"/>
  <c r="K401" i="2"/>
  <c r="K401" i="2" a="1"/>
  <c r="N400" i="2"/>
  <c r="M400" i="2"/>
  <c r="O400" i="2" s="1"/>
  <c r="L400" i="2"/>
  <c r="K400" i="2"/>
  <c r="K400" i="2" a="1"/>
  <c r="N399" i="2"/>
  <c r="M399" i="2"/>
  <c r="O399" i="2" s="1"/>
  <c r="L399" i="2"/>
  <c r="K399" i="2" a="1"/>
  <c r="K399" i="2" s="1"/>
  <c r="N398" i="2"/>
  <c r="M398" i="2"/>
  <c r="O398" i="2" s="1"/>
  <c r="L398" i="2"/>
  <c r="K398" i="2" a="1"/>
  <c r="K398" i="2" s="1"/>
  <c r="N397" i="2"/>
  <c r="M397" i="2"/>
  <c r="O397" i="2" s="1"/>
  <c r="L397" i="2"/>
  <c r="K397" i="2" a="1"/>
  <c r="K397" i="2" s="1"/>
  <c r="O396" i="2"/>
  <c r="N396" i="2"/>
  <c r="M396" i="2"/>
  <c r="L396" i="2"/>
  <c r="K396" i="2" a="1"/>
  <c r="K396" i="2" s="1"/>
  <c r="N395" i="2"/>
  <c r="M395" i="2"/>
  <c r="O395" i="2" s="1"/>
  <c r="L395" i="2"/>
  <c r="K395" i="2" a="1"/>
  <c r="K395" i="2" s="1"/>
  <c r="O394" i="2"/>
  <c r="N394" i="2"/>
  <c r="M394" i="2"/>
  <c r="L394" i="2"/>
  <c r="K394" i="2"/>
  <c r="K394" i="2" a="1"/>
  <c r="N393" i="2"/>
  <c r="M393" i="2"/>
  <c r="O393" i="2" s="1"/>
  <c r="L393" i="2"/>
  <c r="K393" i="2"/>
  <c r="K393" i="2" a="1"/>
  <c r="N392" i="2"/>
  <c r="M392" i="2"/>
  <c r="O392" i="2" s="1"/>
  <c r="L392" i="2"/>
  <c r="K392" i="2" a="1"/>
  <c r="K392" i="2" s="1"/>
  <c r="N391" i="2"/>
  <c r="M391" i="2"/>
  <c r="O391" i="2" s="1"/>
  <c r="L391" i="2"/>
  <c r="K391" i="2"/>
  <c r="K391" i="2" a="1"/>
  <c r="O390" i="2"/>
  <c r="N390" i="2"/>
  <c r="M390" i="2"/>
  <c r="L390" i="2"/>
  <c r="K390" i="2" a="1"/>
  <c r="K390" i="2" s="1"/>
  <c r="N389" i="2"/>
  <c r="M389" i="2"/>
  <c r="O389" i="2" s="1"/>
  <c r="L389" i="2"/>
  <c r="K389" i="2" a="1"/>
  <c r="K389" i="2" s="1"/>
  <c r="N388" i="2"/>
  <c r="M388" i="2"/>
  <c r="O388" i="2" s="1"/>
  <c r="L388" i="2"/>
  <c r="K388" i="2"/>
  <c r="K388" i="2" a="1"/>
  <c r="N387" i="2"/>
  <c r="M387" i="2"/>
  <c r="O387" i="2" s="1"/>
  <c r="L387" i="2"/>
  <c r="K387" i="2"/>
  <c r="K387" i="2" a="1"/>
  <c r="N386" i="2"/>
  <c r="M386" i="2"/>
  <c r="O386" i="2" s="1"/>
  <c r="L386" i="2"/>
  <c r="K386" i="2" a="1"/>
  <c r="K386" i="2" s="1"/>
  <c r="N385" i="2"/>
  <c r="M385" i="2"/>
  <c r="O385" i="2" s="1"/>
  <c r="L385" i="2"/>
  <c r="K385" i="2"/>
  <c r="K385" i="2" a="1"/>
  <c r="N384" i="2"/>
  <c r="M384" i="2"/>
  <c r="O384" i="2" s="1"/>
  <c r="L384" i="2"/>
  <c r="K384" i="2"/>
  <c r="K384" i="2" a="1"/>
  <c r="N383" i="2"/>
  <c r="M383" i="2"/>
  <c r="O383" i="2" s="1"/>
  <c r="L383" i="2"/>
  <c r="K383" i="2"/>
  <c r="K383" i="2" a="1"/>
  <c r="N382" i="2"/>
  <c r="M382" i="2"/>
  <c r="O382" i="2" s="1"/>
  <c r="L382" i="2"/>
  <c r="K382" i="2" a="1"/>
  <c r="K382" i="2" s="1"/>
  <c r="N381" i="2"/>
  <c r="M381" i="2"/>
  <c r="O381" i="2" s="1"/>
  <c r="L381" i="2"/>
  <c r="K381" i="2" a="1"/>
  <c r="K381" i="2" s="1"/>
  <c r="O380" i="2"/>
  <c r="N380" i="2"/>
  <c r="M380" i="2"/>
  <c r="L380" i="2"/>
  <c r="K380" i="2" a="1"/>
  <c r="K380" i="2" s="1"/>
  <c r="N379" i="2"/>
  <c r="M379" i="2"/>
  <c r="O379" i="2" s="1"/>
  <c r="L379" i="2"/>
  <c r="K379" i="2" a="1"/>
  <c r="K379" i="2" s="1"/>
  <c r="N378" i="2"/>
  <c r="M378" i="2"/>
  <c r="O378" i="2" s="1"/>
  <c r="L378" i="2"/>
  <c r="K378" i="2"/>
  <c r="K378" i="2" a="1"/>
  <c r="N377" i="2"/>
  <c r="M377" i="2"/>
  <c r="O377" i="2" s="1"/>
  <c r="L377" i="2"/>
  <c r="K377" i="2"/>
  <c r="K377" i="2" a="1"/>
  <c r="N376" i="2"/>
  <c r="M376" i="2"/>
  <c r="O376" i="2" s="1"/>
  <c r="L376" i="2"/>
  <c r="K376" i="2"/>
  <c r="K376" i="2" a="1"/>
  <c r="N375" i="2"/>
  <c r="M375" i="2"/>
  <c r="O375" i="2" s="1"/>
  <c r="L375" i="2"/>
  <c r="K375" i="2"/>
  <c r="K375" i="2" a="1"/>
  <c r="N374" i="2"/>
  <c r="M374" i="2"/>
  <c r="O374" i="2" s="1"/>
  <c r="L374" i="2"/>
  <c r="K374" i="2" a="1"/>
  <c r="K374" i="2" s="1"/>
  <c r="N373" i="2"/>
  <c r="M373" i="2"/>
  <c r="O373" i="2" s="1"/>
  <c r="L373" i="2"/>
  <c r="K373" i="2" a="1"/>
  <c r="K373" i="2" s="1"/>
  <c r="O372" i="2"/>
  <c r="N372" i="2"/>
  <c r="M372" i="2"/>
  <c r="L372" i="2"/>
  <c r="K372" i="2" a="1"/>
  <c r="K372" i="2" s="1"/>
  <c r="N371" i="2"/>
  <c r="M371" i="2"/>
  <c r="O371" i="2" s="1"/>
  <c r="L371" i="2"/>
  <c r="K371" i="2"/>
  <c r="K371" i="2" a="1"/>
  <c r="O370" i="2"/>
  <c r="N370" i="2"/>
  <c r="M370" i="2"/>
  <c r="L370" i="2"/>
  <c r="K370" i="2" a="1"/>
  <c r="K370" i="2" s="1"/>
  <c r="N369" i="2"/>
  <c r="M369" i="2"/>
  <c r="O369" i="2" s="1"/>
  <c r="L369" i="2"/>
  <c r="K369" i="2"/>
  <c r="K369" i="2" a="1"/>
  <c r="N368" i="2"/>
  <c r="M368" i="2"/>
  <c r="O368" i="2" s="1"/>
  <c r="L368" i="2"/>
  <c r="K368" i="2" a="1"/>
  <c r="K368" i="2" s="1"/>
  <c r="N367" i="2"/>
  <c r="M367" i="2"/>
  <c r="O367" i="2" s="1"/>
  <c r="L367" i="2"/>
  <c r="K367" i="2" a="1"/>
  <c r="K367" i="2" s="1"/>
  <c r="O366" i="2"/>
  <c r="N366" i="2"/>
  <c r="M366" i="2"/>
  <c r="L366" i="2"/>
  <c r="K366" i="2" a="1"/>
  <c r="K366" i="2" s="1"/>
  <c r="N365" i="2"/>
  <c r="M365" i="2"/>
  <c r="O365" i="2" s="1"/>
  <c r="L365" i="2"/>
  <c r="K365" i="2" a="1"/>
  <c r="K365" i="2" s="1"/>
  <c r="O364" i="2"/>
  <c r="N364" i="2"/>
  <c r="M364" i="2"/>
  <c r="L364" i="2"/>
  <c r="K364" i="2"/>
  <c r="K364" i="2" a="1"/>
  <c r="N363" i="2"/>
  <c r="M363" i="2"/>
  <c r="O363" i="2" s="1"/>
  <c r="L363" i="2"/>
  <c r="K363" i="2" a="1"/>
  <c r="K363" i="2" s="1"/>
  <c r="N362" i="2"/>
  <c r="M362" i="2"/>
  <c r="O362" i="2" s="1"/>
  <c r="L362" i="2"/>
  <c r="K362" i="2"/>
  <c r="K362" i="2" a="1"/>
  <c r="N361" i="2"/>
  <c r="M361" i="2"/>
  <c r="O361" i="2" s="1"/>
  <c r="L361" i="2"/>
  <c r="K361" i="2"/>
  <c r="K361" i="2" a="1"/>
  <c r="N360" i="2"/>
  <c r="M360" i="2"/>
  <c r="O360" i="2" s="1"/>
  <c r="L360" i="2"/>
  <c r="K360" i="2"/>
  <c r="K360" i="2" a="1"/>
  <c r="N359" i="2"/>
  <c r="M359" i="2"/>
  <c r="O359" i="2" s="1"/>
  <c r="L359" i="2"/>
  <c r="K359" i="2" a="1"/>
  <c r="K359" i="2" s="1"/>
  <c r="N358" i="2"/>
  <c r="M358" i="2"/>
  <c r="O358" i="2" s="1"/>
  <c r="L358" i="2"/>
  <c r="K358" i="2"/>
  <c r="K358" i="2" a="1"/>
  <c r="N357" i="2"/>
  <c r="M357" i="2"/>
  <c r="O357" i="2" s="1"/>
  <c r="L357" i="2"/>
  <c r="K357" i="2" a="1"/>
  <c r="K357" i="2" s="1"/>
  <c r="O356" i="2"/>
  <c r="N356" i="2"/>
  <c r="M356" i="2"/>
  <c r="L356" i="2"/>
  <c r="K356" i="2" a="1"/>
  <c r="K356" i="2" s="1"/>
  <c r="N355" i="2"/>
  <c r="M355" i="2"/>
  <c r="O355" i="2" s="1"/>
  <c r="L355" i="2"/>
  <c r="K355" i="2" a="1"/>
  <c r="K355" i="2" s="1"/>
  <c r="N354" i="2"/>
  <c r="M354" i="2"/>
  <c r="O354" i="2" s="1"/>
  <c r="L354" i="2"/>
  <c r="K354" i="2" a="1"/>
  <c r="K354" i="2" s="1"/>
  <c r="N353" i="2"/>
  <c r="M353" i="2"/>
  <c r="O353" i="2" s="1"/>
  <c r="L353" i="2"/>
  <c r="K353" i="2"/>
  <c r="K353" i="2" a="1"/>
  <c r="N352" i="2"/>
  <c r="M352" i="2"/>
  <c r="O352" i="2" s="1"/>
  <c r="L352" i="2"/>
  <c r="K352" i="2" a="1"/>
  <c r="K352" i="2" s="1"/>
  <c r="N351" i="2"/>
  <c r="M351" i="2"/>
  <c r="O351" i="2" s="1"/>
  <c r="L351" i="2"/>
  <c r="K351" i="2" a="1"/>
  <c r="K351" i="2" s="1"/>
  <c r="N350" i="2"/>
  <c r="M350" i="2"/>
  <c r="O350" i="2" s="1"/>
  <c r="L350" i="2"/>
  <c r="K350" i="2" a="1"/>
  <c r="K350" i="2" s="1"/>
  <c r="N349" i="2"/>
  <c r="M349" i="2"/>
  <c r="O349" i="2" s="1"/>
  <c r="L349" i="2"/>
  <c r="K349" i="2"/>
  <c r="K349" i="2" a="1"/>
  <c r="O348" i="2"/>
  <c r="N348" i="2"/>
  <c r="M348" i="2"/>
  <c r="L348" i="2"/>
  <c r="K348" i="2" a="1"/>
  <c r="K348" i="2" s="1"/>
  <c r="N347" i="2"/>
  <c r="M347" i="2"/>
  <c r="O347" i="2" s="1"/>
  <c r="L347" i="2"/>
  <c r="K347" i="2" a="1"/>
  <c r="K347" i="2" s="1"/>
  <c r="O346" i="2"/>
  <c r="N346" i="2"/>
  <c r="M346" i="2"/>
  <c r="L346" i="2"/>
  <c r="K346" i="2"/>
  <c r="K346" i="2" a="1"/>
  <c r="N345" i="2"/>
  <c r="M345" i="2"/>
  <c r="O345" i="2" s="1"/>
  <c r="L345" i="2"/>
  <c r="K345" i="2"/>
  <c r="K345" i="2" a="1"/>
  <c r="N344" i="2"/>
  <c r="M344" i="2"/>
  <c r="O344" i="2" s="1"/>
  <c r="L344" i="2"/>
  <c r="K344" i="2" a="1"/>
  <c r="K344" i="2" s="1"/>
  <c r="N343" i="2"/>
  <c r="M343" i="2"/>
  <c r="O343" i="2" s="1"/>
  <c r="L343" i="2"/>
  <c r="K343" i="2"/>
  <c r="K343" i="2" a="1"/>
  <c r="O342" i="2"/>
  <c r="N342" i="2"/>
  <c r="M342" i="2"/>
  <c r="L342" i="2"/>
  <c r="K342" i="2" a="1"/>
  <c r="K342" i="2" s="1"/>
  <c r="N341" i="2"/>
  <c r="M341" i="2"/>
  <c r="O341" i="2" s="1"/>
  <c r="L341" i="2"/>
  <c r="K341" i="2" a="1"/>
  <c r="K341" i="2" s="1"/>
  <c r="O340" i="2"/>
  <c r="N340" i="2"/>
  <c r="M340" i="2"/>
  <c r="L340" i="2"/>
  <c r="K340" i="2"/>
  <c r="K340" i="2" a="1"/>
  <c r="N339" i="2"/>
  <c r="M339" i="2"/>
  <c r="O339" i="2" s="1"/>
  <c r="L339" i="2"/>
  <c r="K339" i="2" a="1"/>
  <c r="K339" i="2" s="1"/>
  <c r="N338" i="2"/>
  <c r="M338" i="2"/>
  <c r="O338" i="2" s="1"/>
  <c r="L338" i="2"/>
  <c r="K338" i="2" a="1"/>
  <c r="K338" i="2" s="1"/>
  <c r="N337" i="2"/>
  <c r="M337" i="2"/>
  <c r="O337" i="2" s="1"/>
  <c r="L337" i="2"/>
  <c r="K337" i="2"/>
  <c r="K337" i="2" a="1"/>
  <c r="N336" i="2"/>
  <c r="M336" i="2"/>
  <c r="O336" i="2" s="1"/>
  <c r="L336" i="2"/>
  <c r="K336" i="2"/>
  <c r="K336" i="2" a="1"/>
  <c r="N335" i="2"/>
  <c r="M335" i="2"/>
  <c r="O335" i="2" s="1"/>
  <c r="L335" i="2"/>
  <c r="K335" i="2"/>
  <c r="K335" i="2" a="1"/>
  <c r="N334" i="2"/>
  <c r="M334" i="2"/>
  <c r="O334" i="2" s="1"/>
  <c r="L334" i="2"/>
  <c r="K334" i="2"/>
  <c r="K334" i="2" a="1"/>
  <c r="N333" i="2"/>
  <c r="M333" i="2"/>
  <c r="O333" i="2" s="1"/>
  <c r="L333" i="2"/>
  <c r="K333" i="2" a="1"/>
  <c r="K333" i="2" s="1"/>
  <c r="O332" i="2"/>
  <c r="N332" i="2"/>
  <c r="M332" i="2"/>
  <c r="L332" i="2"/>
  <c r="K332" i="2" a="1"/>
  <c r="K332" i="2" s="1"/>
  <c r="O331" i="2"/>
  <c r="N331" i="2"/>
  <c r="M331" i="2"/>
  <c r="L331" i="2"/>
  <c r="K331" i="2" a="1"/>
  <c r="K331" i="2" s="1"/>
  <c r="O330" i="2"/>
  <c r="N330" i="2"/>
  <c r="M330" i="2"/>
  <c r="L330" i="2"/>
  <c r="K330" i="2" a="1"/>
  <c r="K330" i="2" s="1"/>
  <c r="N329" i="2"/>
  <c r="M329" i="2"/>
  <c r="O329" i="2" s="1"/>
  <c r="L329" i="2"/>
  <c r="K329" i="2" a="1"/>
  <c r="K329" i="2" s="1"/>
  <c r="N328" i="2"/>
  <c r="M328" i="2"/>
  <c r="O328" i="2" s="1"/>
  <c r="L328" i="2"/>
  <c r="K328" i="2" a="1"/>
  <c r="K328" i="2" s="1"/>
  <c r="N327" i="2"/>
  <c r="M327" i="2"/>
  <c r="O327" i="2" s="1"/>
  <c r="L327" i="2"/>
  <c r="K327" i="2" a="1"/>
  <c r="K327" i="2" s="1"/>
  <c r="N326" i="2"/>
  <c r="M326" i="2"/>
  <c r="O326" i="2" s="1"/>
  <c r="L326" i="2"/>
  <c r="K326" i="2"/>
  <c r="K326" i="2" a="1"/>
  <c r="N325" i="2"/>
  <c r="M325" i="2"/>
  <c r="O325" i="2" s="1"/>
  <c r="L325" i="2"/>
  <c r="K325" i="2" a="1"/>
  <c r="K325" i="2" s="1"/>
  <c r="N324" i="2"/>
  <c r="M324" i="2"/>
  <c r="O324" i="2" s="1"/>
  <c r="L324" i="2"/>
  <c r="K324" i="2"/>
  <c r="K324" i="2" a="1"/>
  <c r="N323" i="2"/>
  <c r="M323" i="2"/>
  <c r="O323" i="2" s="1"/>
  <c r="L323" i="2"/>
  <c r="K323" i="2" a="1"/>
  <c r="K323" i="2" s="1"/>
  <c r="O322" i="2"/>
  <c r="N322" i="2"/>
  <c r="M322" i="2"/>
  <c r="L322" i="2"/>
  <c r="K322" i="2" a="1"/>
  <c r="K322" i="2" s="1"/>
  <c r="O321" i="2"/>
  <c r="N321" i="2"/>
  <c r="M321" i="2"/>
  <c r="L321" i="2"/>
  <c r="K321" i="2" a="1"/>
  <c r="K321" i="2" s="1"/>
  <c r="O320" i="2"/>
  <c r="N320" i="2"/>
  <c r="M320" i="2"/>
  <c r="L320" i="2"/>
  <c r="K320" i="2" a="1"/>
  <c r="K320" i="2" s="1"/>
  <c r="O319" i="2"/>
  <c r="N319" i="2"/>
  <c r="M319" i="2"/>
  <c r="L319" i="2"/>
  <c r="K319" i="2" a="1"/>
  <c r="K319" i="2" s="1"/>
  <c r="O318" i="2"/>
  <c r="N318" i="2"/>
  <c r="M318" i="2"/>
  <c r="L318" i="2"/>
  <c r="K318" i="2"/>
  <c r="K318" i="2" a="1"/>
  <c r="O317" i="2"/>
  <c r="N317" i="2"/>
  <c r="M317" i="2"/>
  <c r="L317" i="2"/>
  <c r="K317" i="2" a="1"/>
  <c r="K317" i="2" s="1"/>
  <c r="N316" i="2"/>
  <c r="M316" i="2"/>
  <c r="O316" i="2" s="1"/>
  <c r="L316" i="2"/>
  <c r="K316" i="2" a="1"/>
  <c r="K316" i="2" s="1"/>
  <c r="N315" i="2"/>
  <c r="M315" i="2"/>
  <c r="O315" i="2" s="1"/>
  <c r="L315" i="2"/>
  <c r="K315" i="2" a="1"/>
  <c r="K315" i="2" s="1"/>
  <c r="N314" i="2"/>
  <c r="M314" i="2"/>
  <c r="O314" i="2" s="1"/>
  <c r="L314" i="2"/>
  <c r="K314" i="2"/>
  <c r="K314" i="2" a="1"/>
  <c r="N313" i="2"/>
  <c r="M313" i="2"/>
  <c r="O313" i="2" s="1"/>
  <c r="L313" i="2"/>
  <c r="K313" i="2" a="1"/>
  <c r="K313" i="2" s="1"/>
  <c r="N312" i="2"/>
  <c r="M312" i="2"/>
  <c r="O312" i="2" s="1"/>
  <c r="L312" i="2"/>
  <c r="K312" i="2"/>
  <c r="K312" i="2" a="1"/>
  <c r="N311" i="2"/>
  <c r="M311" i="2"/>
  <c r="O311" i="2" s="1"/>
  <c r="L311" i="2"/>
  <c r="K311" i="2" a="1"/>
  <c r="K311" i="2" s="1"/>
  <c r="O310" i="2"/>
  <c r="N310" i="2"/>
  <c r="M310" i="2"/>
  <c r="L310" i="2"/>
  <c r="K310" i="2"/>
  <c r="K310" i="2" a="1"/>
  <c r="O309" i="2"/>
  <c r="N309" i="2"/>
  <c r="M309" i="2"/>
  <c r="L309" i="2"/>
  <c r="K309" i="2" a="1"/>
  <c r="K309" i="2" s="1"/>
  <c r="O308" i="2"/>
  <c r="N308" i="2"/>
  <c r="M308" i="2"/>
  <c r="L308" i="2"/>
  <c r="K308" i="2" a="1"/>
  <c r="K308" i="2" s="1"/>
  <c r="O307" i="2"/>
  <c r="N307" i="2"/>
  <c r="M307" i="2"/>
  <c r="L307" i="2"/>
  <c r="K307" i="2" a="1"/>
  <c r="K307" i="2" s="1"/>
  <c r="O306" i="2"/>
  <c r="N306" i="2"/>
  <c r="M306" i="2"/>
  <c r="L306" i="2"/>
  <c r="K306" i="2" a="1"/>
  <c r="K306" i="2" s="1"/>
  <c r="N305" i="2"/>
  <c r="M305" i="2"/>
  <c r="O305" i="2" s="1"/>
  <c r="L305" i="2"/>
  <c r="K305" i="2" a="1"/>
  <c r="K305" i="2" s="1"/>
  <c r="N304" i="2"/>
  <c r="M304" i="2"/>
  <c r="O304" i="2" s="1"/>
  <c r="L304" i="2"/>
  <c r="K304" i="2" a="1"/>
  <c r="K304" i="2" s="1"/>
  <c r="N303" i="2"/>
  <c r="M303" i="2"/>
  <c r="O303" i="2" s="1"/>
  <c r="L303" i="2"/>
  <c r="K303" i="2" a="1"/>
  <c r="K303" i="2" s="1"/>
  <c r="N302" i="2"/>
  <c r="M302" i="2"/>
  <c r="O302" i="2" s="1"/>
  <c r="L302" i="2"/>
  <c r="K302" i="2"/>
  <c r="K302" i="2" a="1"/>
  <c r="N301" i="2"/>
  <c r="M301" i="2"/>
  <c r="O301" i="2" s="1"/>
  <c r="L301" i="2"/>
  <c r="K301" i="2" a="1"/>
  <c r="K301" i="2" s="1"/>
  <c r="N300" i="2"/>
  <c r="M300" i="2"/>
  <c r="O300" i="2" s="1"/>
  <c r="L300" i="2"/>
  <c r="K300" i="2"/>
  <c r="K300" i="2" a="1"/>
  <c r="N299" i="2"/>
  <c r="M299" i="2"/>
  <c r="O299" i="2" s="1"/>
  <c r="L299" i="2"/>
  <c r="K299" i="2" a="1"/>
  <c r="K299" i="2" s="1"/>
  <c r="O298" i="2"/>
  <c r="N298" i="2"/>
  <c r="M298" i="2"/>
  <c r="L298" i="2"/>
  <c r="K298" i="2" a="1"/>
  <c r="K298" i="2" s="1"/>
  <c r="O297" i="2"/>
  <c r="N297" i="2"/>
  <c r="M297" i="2"/>
  <c r="L297" i="2"/>
  <c r="K297" i="2" a="1"/>
  <c r="K297" i="2" s="1"/>
  <c r="O296" i="2"/>
  <c r="N296" i="2"/>
  <c r="M296" i="2"/>
  <c r="L296" i="2"/>
  <c r="K296" i="2" a="1"/>
  <c r="K296" i="2" s="1"/>
  <c r="O295" i="2"/>
  <c r="N295" i="2"/>
  <c r="M295" i="2"/>
  <c r="L295" i="2"/>
  <c r="K295" i="2" a="1"/>
  <c r="K295" i="2" s="1"/>
  <c r="N294" i="2"/>
  <c r="M294" i="2"/>
  <c r="O294" i="2" s="1"/>
  <c r="L294" i="2"/>
  <c r="K294" i="2"/>
  <c r="K294" i="2" a="1"/>
  <c r="O293" i="2"/>
  <c r="N293" i="2"/>
  <c r="M293" i="2"/>
  <c r="L293" i="2"/>
  <c r="K293" i="2" a="1"/>
  <c r="K293" i="2" s="1"/>
  <c r="N292" i="2"/>
  <c r="M292" i="2"/>
  <c r="O292" i="2" s="1"/>
  <c r="L292" i="2"/>
  <c r="K292" i="2" a="1"/>
  <c r="K292" i="2" s="1"/>
  <c r="N291" i="2"/>
  <c r="M291" i="2"/>
  <c r="O291" i="2" s="1"/>
  <c r="L291" i="2"/>
  <c r="K291" i="2" a="1"/>
  <c r="K291" i="2" s="1"/>
  <c r="N290" i="2"/>
  <c r="M290" i="2"/>
  <c r="O290" i="2" s="1"/>
  <c r="L290" i="2"/>
  <c r="K290" i="2"/>
  <c r="K290" i="2" a="1"/>
  <c r="N289" i="2"/>
  <c r="M289" i="2"/>
  <c r="O289" i="2" s="1"/>
  <c r="L289" i="2"/>
  <c r="K289" i="2" a="1"/>
  <c r="K289" i="2" s="1"/>
  <c r="N288" i="2"/>
  <c r="M288" i="2"/>
  <c r="O288" i="2" s="1"/>
  <c r="L288" i="2"/>
  <c r="K288" i="2" a="1"/>
  <c r="K288" i="2" s="1"/>
  <c r="N287" i="2"/>
  <c r="M287" i="2"/>
  <c r="O287" i="2" s="1"/>
  <c r="L287" i="2"/>
  <c r="K287" i="2" a="1"/>
  <c r="K287" i="2" s="1"/>
  <c r="O286" i="2"/>
  <c r="N286" i="2"/>
  <c r="M286" i="2"/>
  <c r="L286" i="2"/>
  <c r="K286" i="2" a="1"/>
  <c r="K286" i="2" s="1"/>
  <c r="O285" i="2"/>
  <c r="N285" i="2"/>
  <c r="M285" i="2"/>
  <c r="L285" i="2"/>
  <c r="K285" i="2" a="1"/>
  <c r="K285" i="2" s="1"/>
  <c r="O284" i="2"/>
  <c r="N284" i="2"/>
  <c r="M284" i="2"/>
  <c r="L284" i="2"/>
  <c r="K284" i="2" a="1"/>
  <c r="K284" i="2" s="1"/>
  <c r="O283" i="2"/>
  <c r="N283" i="2"/>
  <c r="M283" i="2"/>
  <c r="L283" i="2"/>
  <c r="K283" i="2" a="1"/>
  <c r="K283" i="2" s="1"/>
  <c r="O282" i="2"/>
  <c r="N282" i="2"/>
  <c r="M282" i="2"/>
  <c r="L282" i="2"/>
  <c r="K282" i="2" a="1"/>
  <c r="K282" i="2" s="1"/>
  <c r="N281" i="2"/>
  <c r="M281" i="2"/>
  <c r="O281" i="2" s="1"/>
  <c r="L281" i="2"/>
  <c r="K281" i="2" a="1"/>
  <c r="K281" i="2" s="1"/>
  <c r="N280" i="2"/>
  <c r="M280" i="2"/>
  <c r="O280" i="2" s="1"/>
  <c r="L280" i="2"/>
  <c r="K280" i="2"/>
  <c r="K280" i="2" a="1"/>
  <c r="N279" i="2"/>
  <c r="M279" i="2"/>
  <c r="O279" i="2" s="1"/>
  <c r="L279" i="2"/>
  <c r="K279" i="2" a="1"/>
  <c r="K279" i="2" s="1"/>
  <c r="N278" i="2"/>
  <c r="M278" i="2"/>
  <c r="O278" i="2" s="1"/>
  <c r="L278" i="2"/>
  <c r="K278" i="2"/>
  <c r="K278" i="2" a="1"/>
  <c r="N277" i="2"/>
  <c r="M277" i="2"/>
  <c r="O277" i="2" s="1"/>
  <c r="L277" i="2"/>
  <c r="K277" i="2" a="1"/>
  <c r="K277" i="2" s="1"/>
  <c r="N276" i="2"/>
  <c r="M276" i="2"/>
  <c r="O276" i="2" s="1"/>
  <c r="L276" i="2"/>
  <c r="K276" i="2"/>
  <c r="K276" i="2" a="1"/>
  <c r="N275" i="2"/>
  <c r="M275" i="2"/>
  <c r="O275" i="2" s="1"/>
  <c r="L275" i="2"/>
  <c r="K275" i="2" a="1"/>
  <c r="K275" i="2" s="1"/>
  <c r="O274" i="2"/>
  <c r="N274" i="2"/>
  <c r="M274" i="2"/>
  <c r="L274" i="2"/>
  <c r="K274" i="2" a="1"/>
  <c r="K274" i="2" s="1"/>
  <c r="O273" i="2"/>
  <c r="N273" i="2"/>
  <c r="M273" i="2"/>
  <c r="L273" i="2"/>
  <c r="K273" i="2" a="1"/>
  <c r="K273" i="2" s="1"/>
  <c r="O272" i="2"/>
  <c r="N272" i="2"/>
  <c r="M272" i="2"/>
  <c r="L272" i="2"/>
  <c r="K272" i="2" a="1"/>
  <c r="K272" i="2" s="1"/>
  <c r="O271" i="2"/>
  <c r="N271" i="2"/>
  <c r="M271" i="2"/>
  <c r="L271" i="2"/>
  <c r="K271" i="2" a="1"/>
  <c r="K271" i="2" s="1"/>
  <c r="N270" i="2"/>
  <c r="M270" i="2"/>
  <c r="O270" i="2" s="1"/>
  <c r="L270" i="2"/>
  <c r="K270" i="2"/>
  <c r="K270" i="2" a="1"/>
  <c r="O269" i="2"/>
  <c r="N269" i="2"/>
  <c r="M269" i="2"/>
  <c r="L269" i="2"/>
  <c r="K269" i="2" a="1"/>
  <c r="K269" i="2" s="1"/>
  <c r="N268" i="2"/>
  <c r="M268" i="2"/>
  <c r="O268" i="2" s="1"/>
  <c r="L268" i="2"/>
  <c r="K268" i="2" a="1"/>
  <c r="K268" i="2" s="1"/>
  <c r="N267" i="2"/>
  <c r="M267" i="2"/>
  <c r="O267" i="2" s="1"/>
  <c r="L267" i="2"/>
  <c r="K267" i="2" a="1"/>
  <c r="K267" i="2" s="1"/>
  <c r="N266" i="2"/>
  <c r="M266" i="2"/>
  <c r="O266" i="2" s="1"/>
  <c r="L266" i="2"/>
  <c r="K266" i="2"/>
  <c r="K266" i="2" a="1"/>
  <c r="N265" i="2"/>
  <c r="M265" i="2"/>
  <c r="O265" i="2" s="1"/>
  <c r="L265" i="2"/>
  <c r="K265" i="2" a="1"/>
  <c r="K265" i="2" s="1"/>
  <c r="N264" i="2"/>
  <c r="M264" i="2"/>
  <c r="O264" i="2" s="1"/>
  <c r="L264" i="2"/>
  <c r="K264" i="2" a="1"/>
  <c r="K264" i="2" s="1"/>
  <c r="N263" i="2"/>
  <c r="M263" i="2"/>
  <c r="O263" i="2" s="1"/>
  <c r="L263" i="2"/>
  <c r="K263" i="2" a="1"/>
  <c r="K263" i="2" s="1"/>
  <c r="O262" i="2"/>
  <c r="N262" i="2"/>
  <c r="M262" i="2"/>
  <c r="L262" i="2"/>
  <c r="K262" i="2" a="1"/>
  <c r="K262" i="2" s="1"/>
  <c r="O261" i="2"/>
  <c r="N261" i="2"/>
  <c r="M261" i="2"/>
  <c r="L261" i="2"/>
  <c r="K261" i="2" a="1"/>
  <c r="K261" i="2" s="1"/>
  <c r="O260" i="2"/>
  <c r="N260" i="2"/>
  <c r="M260" i="2"/>
  <c r="L260" i="2"/>
  <c r="K260" i="2" a="1"/>
  <c r="K260" i="2" s="1"/>
  <c r="O259" i="2"/>
  <c r="N259" i="2"/>
  <c r="M259" i="2"/>
  <c r="L259" i="2"/>
  <c r="K259" i="2" a="1"/>
  <c r="K259" i="2" s="1"/>
  <c r="O258" i="2"/>
  <c r="N258" i="2"/>
  <c r="M258" i="2"/>
  <c r="L258" i="2"/>
  <c r="K258" i="2" a="1"/>
  <c r="K258" i="2" s="1"/>
  <c r="O257" i="2"/>
  <c r="N257" i="2"/>
  <c r="M257" i="2"/>
  <c r="L257" i="2"/>
  <c r="K257" i="2" a="1"/>
  <c r="K257" i="2" s="1"/>
  <c r="N256" i="2"/>
  <c r="M256" i="2"/>
  <c r="O256" i="2" s="1"/>
  <c r="L256" i="2"/>
  <c r="K256" i="2" a="1"/>
  <c r="K256" i="2" s="1"/>
  <c r="N255" i="2"/>
  <c r="M255" i="2"/>
  <c r="O255" i="2" s="1"/>
  <c r="L255" i="2"/>
  <c r="K255" i="2" a="1"/>
  <c r="K255" i="2" s="1"/>
  <c r="N254" i="2"/>
  <c r="M254" i="2"/>
  <c r="O254" i="2" s="1"/>
  <c r="L254" i="2"/>
  <c r="K254" i="2"/>
  <c r="K254" i="2" a="1"/>
  <c r="N253" i="2"/>
  <c r="M253" i="2"/>
  <c r="O253" i="2" s="1"/>
  <c r="L253" i="2"/>
  <c r="K253" i="2" a="1"/>
  <c r="K253" i="2" s="1"/>
  <c r="N252" i="2"/>
  <c r="M252" i="2"/>
  <c r="O252" i="2" s="1"/>
  <c r="L252" i="2"/>
  <c r="K252" i="2"/>
  <c r="K252" i="2" a="1"/>
  <c r="N251" i="2"/>
  <c r="M251" i="2"/>
  <c r="O251" i="2" s="1"/>
  <c r="L251" i="2"/>
  <c r="K251" i="2" a="1"/>
  <c r="K251" i="2" s="1"/>
  <c r="O250" i="2"/>
  <c r="N250" i="2"/>
  <c r="M250" i="2"/>
  <c r="L250" i="2"/>
  <c r="K250" i="2" a="1"/>
  <c r="K250" i="2" s="1"/>
  <c r="O249" i="2"/>
  <c r="N249" i="2"/>
  <c r="M249" i="2"/>
  <c r="L249" i="2"/>
  <c r="K249" i="2" a="1"/>
  <c r="K249" i="2" s="1"/>
  <c r="O248" i="2"/>
  <c r="N248" i="2"/>
  <c r="M248" i="2"/>
  <c r="L248" i="2"/>
  <c r="K248" i="2" a="1"/>
  <c r="K248" i="2" s="1"/>
  <c r="O247" i="2"/>
  <c r="N247" i="2"/>
  <c r="M247" i="2"/>
  <c r="L247" i="2"/>
  <c r="K247" i="2" a="1"/>
  <c r="K247" i="2" s="1"/>
  <c r="N246" i="2"/>
  <c r="M246" i="2"/>
  <c r="O246" i="2" s="1"/>
  <c r="L246" i="2"/>
  <c r="K246" i="2"/>
  <c r="K246" i="2" a="1"/>
  <c r="O245" i="2"/>
  <c r="N245" i="2"/>
  <c r="M245" i="2"/>
  <c r="L245" i="2"/>
  <c r="K245" i="2" a="1"/>
  <c r="K245" i="2" s="1"/>
  <c r="N244" i="2"/>
  <c r="M244" i="2"/>
  <c r="O244" i="2" s="1"/>
  <c r="L244" i="2"/>
  <c r="K244" i="2" a="1"/>
  <c r="K244" i="2" s="1"/>
  <c r="N243" i="2"/>
  <c r="M243" i="2"/>
  <c r="O243" i="2" s="1"/>
  <c r="L243" i="2"/>
  <c r="K243" i="2" a="1"/>
  <c r="K243" i="2" s="1"/>
  <c r="N242" i="2"/>
  <c r="M242" i="2"/>
  <c r="O242" i="2" s="1"/>
  <c r="L242" i="2"/>
  <c r="K242" i="2"/>
  <c r="K242" i="2" a="1"/>
  <c r="N241" i="2"/>
  <c r="M241" i="2"/>
  <c r="O241" i="2" s="1"/>
  <c r="L241" i="2"/>
  <c r="K241" i="2" a="1"/>
  <c r="K241" i="2" s="1"/>
  <c r="N240" i="2"/>
  <c r="M240" i="2"/>
  <c r="O240" i="2" s="1"/>
  <c r="L240" i="2"/>
  <c r="K240" i="2"/>
  <c r="K240" i="2" a="1"/>
  <c r="N239" i="2"/>
  <c r="M239" i="2"/>
  <c r="O239" i="2" s="1"/>
  <c r="L239" i="2"/>
  <c r="K239" i="2" a="1"/>
  <c r="K239" i="2" s="1"/>
  <c r="O238" i="2"/>
  <c r="N238" i="2"/>
  <c r="M238" i="2"/>
  <c r="L238" i="2"/>
  <c r="K238" i="2"/>
  <c r="K238" i="2" a="1"/>
  <c r="O237" i="2"/>
  <c r="N237" i="2"/>
  <c r="M237" i="2"/>
  <c r="L237" i="2"/>
  <c r="K237" i="2" a="1"/>
  <c r="K237" i="2" s="1"/>
  <c r="O236" i="2"/>
  <c r="N236" i="2"/>
  <c r="M236" i="2"/>
  <c r="L236" i="2"/>
  <c r="K236" i="2" a="1"/>
  <c r="K236" i="2" s="1"/>
  <c r="O235" i="2"/>
  <c r="N235" i="2"/>
  <c r="M235" i="2"/>
  <c r="L235" i="2"/>
  <c r="K235" i="2" a="1"/>
  <c r="K235" i="2" s="1"/>
  <c r="O234" i="2"/>
  <c r="N234" i="2"/>
  <c r="M234" i="2"/>
  <c r="L234" i="2"/>
  <c r="K234" i="2" a="1"/>
  <c r="K234" i="2" s="1"/>
  <c r="N233" i="2"/>
  <c r="M233" i="2"/>
  <c r="O233" i="2" s="1"/>
  <c r="L233" i="2"/>
  <c r="K233" i="2" a="1"/>
  <c r="K233" i="2" s="1"/>
  <c r="N232" i="2"/>
  <c r="M232" i="2"/>
  <c r="O232" i="2" s="1"/>
  <c r="L232" i="2"/>
  <c r="K232" i="2" a="1"/>
  <c r="K232" i="2" s="1"/>
  <c r="N231" i="2"/>
  <c r="M231" i="2"/>
  <c r="O231" i="2" s="1"/>
  <c r="L231" i="2"/>
  <c r="K231" i="2" a="1"/>
  <c r="K231" i="2" s="1"/>
  <c r="N230" i="2"/>
  <c r="M230" i="2"/>
  <c r="O230" i="2" s="1"/>
  <c r="L230" i="2"/>
  <c r="K230" i="2"/>
  <c r="K230" i="2" a="1"/>
  <c r="N229" i="2"/>
  <c r="M229" i="2"/>
  <c r="O229" i="2" s="1"/>
  <c r="L229" i="2"/>
  <c r="K229" i="2" a="1"/>
  <c r="K229" i="2" s="1"/>
  <c r="N228" i="2"/>
  <c r="M228" i="2"/>
  <c r="O228" i="2" s="1"/>
  <c r="L228" i="2"/>
  <c r="K228" i="2"/>
  <c r="K228" i="2" a="1"/>
  <c r="N227" i="2"/>
  <c r="M227" i="2"/>
  <c r="O227" i="2" s="1"/>
  <c r="L227" i="2"/>
  <c r="K227" i="2" a="1"/>
  <c r="K227" i="2" s="1"/>
  <c r="O226" i="2"/>
  <c r="N226" i="2"/>
  <c r="M226" i="2"/>
  <c r="L226" i="2"/>
  <c r="K226" i="2" a="1"/>
  <c r="K226" i="2" s="1"/>
  <c r="O225" i="2"/>
  <c r="N225" i="2"/>
  <c r="M225" i="2"/>
  <c r="L225" i="2"/>
  <c r="K225" i="2" a="1"/>
  <c r="K225" i="2" s="1"/>
  <c r="O224" i="2"/>
  <c r="N224" i="2"/>
  <c r="M224" i="2"/>
  <c r="L224" i="2"/>
  <c r="K224" i="2" a="1"/>
  <c r="K224" i="2" s="1"/>
  <c r="O223" i="2"/>
  <c r="N223" i="2"/>
  <c r="M223" i="2"/>
  <c r="L223" i="2"/>
  <c r="K223" i="2" a="1"/>
  <c r="K223" i="2" s="1"/>
  <c r="O222" i="2"/>
  <c r="N222" i="2"/>
  <c r="M222" i="2"/>
  <c r="L222" i="2"/>
  <c r="K222" i="2"/>
  <c r="K222" i="2" a="1"/>
  <c r="O221" i="2"/>
  <c r="N221" i="2"/>
  <c r="M221" i="2"/>
  <c r="L221" i="2"/>
  <c r="K221" i="2" a="1"/>
  <c r="K221" i="2" s="1"/>
  <c r="N220" i="2"/>
  <c r="M220" i="2"/>
  <c r="O220" i="2" s="1"/>
  <c r="L220" i="2"/>
  <c r="K220" i="2" a="1"/>
  <c r="K220" i="2" s="1"/>
  <c r="N219" i="2"/>
  <c r="M219" i="2"/>
  <c r="O219" i="2" s="1"/>
  <c r="L219" i="2"/>
  <c r="K219" i="2" a="1"/>
  <c r="K219" i="2" s="1"/>
  <c r="N218" i="2"/>
  <c r="M218" i="2"/>
  <c r="O218" i="2" s="1"/>
  <c r="L218" i="2"/>
  <c r="K218" i="2"/>
  <c r="K218" i="2" a="1"/>
  <c r="N217" i="2"/>
  <c r="M217" i="2"/>
  <c r="O217" i="2" s="1"/>
  <c r="L217" i="2"/>
  <c r="K217" i="2" a="1"/>
  <c r="K217" i="2" s="1"/>
  <c r="N216" i="2"/>
  <c r="M216" i="2"/>
  <c r="O216" i="2" s="1"/>
  <c r="L216" i="2"/>
  <c r="K216" i="2" a="1"/>
  <c r="K216" i="2" s="1"/>
  <c r="N215" i="2"/>
  <c r="M215" i="2"/>
  <c r="O215" i="2" s="1"/>
  <c r="L215" i="2"/>
  <c r="K215" i="2" a="1"/>
  <c r="K215" i="2" s="1"/>
  <c r="O214" i="2"/>
  <c r="N214" i="2"/>
  <c r="M214" i="2"/>
  <c r="L214" i="2"/>
  <c r="K214" i="2" a="1"/>
  <c r="K214" i="2" s="1"/>
  <c r="O213" i="2"/>
  <c r="N213" i="2"/>
  <c r="M213" i="2"/>
  <c r="L213" i="2"/>
  <c r="K213" i="2" a="1"/>
  <c r="K213" i="2" s="1"/>
  <c r="O212" i="2"/>
  <c r="N212" i="2"/>
  <c r="M212" i="2"/>
  <c r="L212" i="2"/>
  <c r="K212" i="2" a="1"/>
  <c r="K212" i="2" s="1"/>
  <c r="O211" i="2"/>
  <c r="N211" i="2"/>
  <c r="M211" i="2"/>
  <c r="L211" i="2"/>
  <c r="K211" i="2" a="1"/>
  <c r="K211" i="2" s="1"/>
  <c r="O210" i="2"/>
  <c r="N210" i="2"/>
  <c r="M210" i="2"/>
  <c r="L210" i="2"/>
  <c r="K210" i="2" a="1"/>
  <c r="K210" i="2" s="1"/>
  <c r="N209" i="2"/>
  <c r="M209" i="2"/>
  <c r="O209" i="2" s="1"/>
  <c r="L209" i="2"/>
  <c r="K209" i="2" a="1"/>
  <c r="K209" i="2" s="1"/>
  <c r="N208" i="2"/>
  <c r="M208" i="2"/>
  <c r="O208" i="2" s="1"/>
  <c r="L208" i="2"/>
  <c r="K208" i="2" a="1"/>
  <c r="K208" i="2" s="1"/>
  <c r="N207" i="2"/>
  <c r="M207" i="2"/>
  <c r="O207" i="2" s="1"/>
  <c r="L207" i="2"/>
  <c r="K207" i="2" a="1"/>
  <c r="K207" i="2" s="1"/>
  <c r="N206" i="2"/>
  <c r="M206" i="2"/>
  <c r="O206" i="2" s="1"/>
  <c r="L206" i="2"/>
  <c r="K206" i="2"/>
  <c r="K206" i="2" a="1"/>
  <c r="N205" i="2"/>
  <c r="M205" i="2"/>
  <c r="O205" i="2" s="1"/>
  <c r="L205" i="2"/>
  <c r="K205" i="2" a="1"/>
  <c r="K205" i="2" s="1"/>
  <c r="N204" i="2"/>
  <c r="M204" i="2"/>
  <c r="O204" i="2" s="1"/>
  <c r="L204" i="2"/>
  <c r="K204" i="2"/>
  <c r="K204" i="2" a="1"/>
  <c r="N203" i="2"/>
  <c r="M203" i="2"/>
  <c r="O203" i="2" s="1"/>
  <c r="L203" i="2"/>
  <c r="K203" i="2" a="1"/>
  <c r="K203" i="2" s="1"/>
  <c r="O202" i="2"/>
  <c r="N202" i="2"/>
  <c r="M202" i="2"/>
  <c r="L202" i="2"/>
  <c r="K202" i="2" a="1"/>
  <c r="K202" i="2" s="1"/>
  <c r="N201" i="2"/>
  <c r="M201" i="2"/>
  <c r="O201" i="2" s="1"/>
  <c r="L201" i="2"/>
  <c r="K201" i="2" a="1"/>
  <c r="K201" i="2" s="1"/>
  <c r="O200" i="2"/>
  <c r="N200" i="2"/>
  <c r="M200" i="2"/>
  <c r="L200" i="2"/>
  <c r="K200" i="2" a="1"/>
  <c r="K200" i="2" s="1"/>
  <c r="O199" i="2"/>
  <c r="N199" i="2"/>
  <c r="M199" i="2"/>
  <c r="L199" i="2"/>
  <c r="K199" i="2" a="1"/>
  <c r="K199" i="2" s="1"/>
  <c r="N198" i="2"/>
  <c r="M198" i="2"/>
  <c r="O198" i="2" s="1"/>
  <c r="L198" i="2"/>
  <c r="K198" i="2" a="1"/>
  <c r="K198" i="2" s="1"/>
  <c r="O197" i="2"/>
  <c r="N197" i="2"/>
  <c r="M197" i="2"/>
  <c r="L197" i="2"/>
  <c r="K197" i="2" a="1"/>
  <c r="K197" i="2" s="1"/>
  <c r="N196" i="2"/>
  <c r="M196" i="2"/>
  <c r="O196" i="2" s="1"/>
  <c r="L196" i="2"/>
  <c r="K196" i="2" a="1"/>
  <c r="K196" i="2" s="1"/>
  <c r="N195" i="2"/>
  <c r="M195" i="2"/>
  <c r="O195" i="2" s="1"/>
  <c r="L195" i="2"/>
  <c r="K195" i="2" a="1"/>
  <c r="K195" i="2" s="1"/>
  <c r="N194" i="2"/>
  <c r="M194" i="2"/>
  <c r="O194" i="2" s="1"/>
  <c r="L194" i="2"/>
  <c r="K194" i="2"/>
  <c r="K194" i="2" a="1"/>
  <c r="N193" i="2"/>
  <c r="M193" i="2"/>
  <c r="O193" i="2" s="1"/>
  <c r="L193" i="2"/>
  <c r="K193" i="2"/>
  <c r="K193" i="2" a="1"/>
  <c r="N192" i="2"/>
  <c r="M192" i="2"/>
  <c r="O192" i="2" s="1"/>
  <c r="L192" i="2"/>
  <c r="K192" i="2"/>
  <c r="K192" i="2" a="1"/>
  <c r="N191" i="2"/>
  <c r="M191" i="2"/>
  <c r="O191" i="2" s="1"/>
  <c r="L191" i="2"/>
  <c r="K191" i="2"/>
  <c r="K191" i="2" a="1"/>
  <c r="N190" i="2"/>
  <c r="M190" i="2"/>
  <c r="O190" i="2" s="1"/>
  <c r="L190" i="2"/>
  <c r="K190" i="2"/>
  <c r="K190" i="2" a="1"/>
  <c r="N189" i="2"/>
  <c r="M189" i="2"/>
  <c r="O189" i="2" s="1"/>
  <c r="L189" i="2"/>
  <c r="K189" i="2"/>
  <c r="K189" i="2" a="1"/>
  <c r="N188" i="2"/>
  <c r="M188" i="2"/>
  <c r="O188" i="2" s="1"/>
  <c r="L188" i="2"/>
  <c r="K188" i="2"/>
  <c r="K188" i="2" a="1"/>
  <c r="N187" i="2"/>
  <c r="M187" i="2"/>
  <c r="O187" i="2" s="1"/>
  <c r="L187" i="2"/>
  <c r="K187" i="2"/>
  <c r="K187" i="2" a="1"/>
  <c r="N186" i="2"/>
  <c r="M186" i="2"/>
  <c r="O186" i="2" s="1"/>
  <c r="L186" i="2"/>
  <c r="K186" i="2"/>
  <c r="K186" i="2" a="1"/>
  <c r="N185" i="2"/>
  <c r="M185" i="2"/>
  <c r="O185" i="2" s="1"/>
  <c r="L185" i="2"/>
  <c r="K185" i="2"/>
  <c r="K185" i="2" a="1"/>
  <c r="N184" i="2"/>
  <c r="M184" i="2"/>
  <c r="O184" i="2" s="1"/>
  <c r="L184" i="2"/>
  <c r="K184" i="2"/>
  <c r="K184" i="2" a="1"/>
  <c r="N183" i="2"/>
  <c r="M183" i="2"/>
  <c r="O183" i="2" s="1"/>
  <c r="L183" i="2"/>
  <c r="K183" i="2"/>
  <c r="K183" i="2" a="1"/>
  <c r="N182" i="2"/>
  <c r="M182" i="2"/>
  <c r="O182" i="2" s="1"/>
  <c r="L182" i="2"/>
  <c r="K182" i="2"/>
  <c r="K182" i="2" a="1"/>
  <c r="N181" i="2"/>
  <c r="M181" i="2"/>
  <c r="O181" i="2" s="1"/>
  <c r="L181" i="2"/>
  <c r="K181" i="2"/>
  <c r="K181" i="2" a="1"/>
  <c r="N180" i="2"/>
  <c r="M180" i="2"/>
  <c r="O180" i="2" s="1"/>
  <c r="L180" i="2"/>
  <c r="K180" i="2"/>
  <c r="K180" i="2" a="1"/>
  <c r="N179" i="2"/>
  <c r="M179" i="2"/>
  <c r="O179" i="2" s="1"/>
  <c r="L179" i="2"/>
  <c r="K179" i="2"/>
  <c r="K179" i="2" a="1"/>
  <c r="N178" i="2"/>
  <c r="M178" i="2"/>
  <c r="O178" i="2" s="1"/>
  <c r="L178" i="2"/>
  <c r="K178" i="2"/>
  <c r="K178" i="2" a="1"/>
  <c r="N177" i="2"/>
  <c r="M177" i="2"/>
  <c r="O177" i="2" s="1"/>
  <c r="L177" i="2"/>
  <c r="K177" i="2"/>
  <c r="K177" i="2" a="1"/>
  <c r="N176" i="2"/>
  <c r="M176" i="2"/>
  <c r="O176" i="2" s="1"/>
  <c r="L176" i="2"/>
  <c r="K176" i="2"/>
  <c r="K176" i="2" a="1"/>
  <c r="N175" i="2"/>
  <c r="M175" i="2"/>
  <c r="O175" i="2" s="1"/>
  <c r="L175" i="2"/>
  <c r="K175" i="2"/>
  <c r="K175" i="2" a="1"/>
  <c r="N174" i="2"/>
  <c r="M174" i="2"/>
  <c r="O174" i="2" s="1"/>
  <c r="L174" i="2"/>
  <c r="K174" i="2"/>
  <c r="K174" i="2" a="1"/>
  <c r="N173" i="2"/>
  <c r="M173" i="2"/>
  <c r="O173" i="2" s="1"/>
  <c r="L173" i="2"/>
  <c r="K173" i="2"/>
  <c r="K173" i="2" a="1"/>
  <c r="N172" i="2"/>
  <c r="M172" i="2"/>
  <c r="O172" i="2" s="1"/>
  <c r="L172" i="2"/>
  <c r="K172" i="2"/>
  <c r="K172" i="2" a="1"/>
  <c r="N171" i="2"/>
  <c r="M171" i="2"/>
  <c r="O171" i="2" s="1"/>
  <c r="L171" i="2"/>
  <c r="K171" i="2"/>
  <c r="K171" i="2" a="1"/>
  <c r="N170" i="2"/>
  <c r="M170" i="2"/>
  <c r="O170" i="2" s="1"/>
  <c r="L170" i="2"/>
  <c r="K170" i="2"/>
  <c r="K170" i="2" a="1"/>
  <c r="N169" i="2"/>
  <c r="M169" i="2"/>
  <c r="O169" i="2" s="1"/>
  <c r="L169" i="2"/>
  <c r="K169" i="2"/>
  <c r="K169" i="2" a="1"/>
  <c r="N168" i="2"/>
  <c r="M168" i="2"/>
  <c r="O168" i="2" s="1"/>
  <c r="L168" i="2"/>
  <c r="K168" i="2"/>
  <c r="K168" i="2" a="1"/>
  <c r="N167" i="2"/>
  <c r="M167" i="2"/>
  <c r="O167" i="2" s="1"/>
  <c r="L167" i="2"/>
  <c r="K167" i="2"/>
  <c r="K167" i="2" a="1"/>
  <c r="N166" i="2"/>
  <c r="M166" i="2"/>
  <c r="O166" i="2" s="1"/>
  <c r="L166" i="2"/>
  <c r="K166" i="2"/>
  <c r="K166" i="2" a="1"/>
  <c r="N165" i="2"/>
  <c r="M165" i="2"/>
  <c r="O165" i="2" s="1"/>
  <c r="L165" i="2"/>
  <c r="K165" i="2"/>
  <c r="K165" i="2" a="1"/>
  <c r="N164" i="2"/>
  <c r="M164" i="2"/>
  <c r="O164" i="2" s="1"/>
  <c r="L164" i="2"/>
  <c r="K164" i="2"/>
  <c r="K164" i="2" a="1"/>
  <c r="N163" i="2"/>
  <c r="M163" i="2"/>
  <c r="O163" i="2" s="1"/>
  <c r="L163" i="2"/>
  <c r="K163" i="2"/>
  <c r="K163" i="2" a="1"/>
  <c r="N162" i="2"/>
  <c r="M162" i="2"/>
  <c r="O162" i="2" s="1"/>
  <c r="L162" i="2"/>
  <c r="K162" i="2"/>
  <c r="K162" i="2" a="1"/>
  <c r="N161" i="2"/>
  <c r="M161" i="2"/>
  <c r="O161" i="2" s="1"/>
  <c r="L161" i="2"/>
  <c r="K161" i="2"/>
  <c r="K161" i="2" a="1"/>
  <c r="N160" i="2"/>
  <c r="M160" i="2"/>
  <c r="O160" i="2" s="1"/>
  <c r="L160" i="2"/>
  <c r="K160" i="2"/>
  <c r="K160" i="2" a="1"/>
  <c r="N159" i="2"/>
  <c r="M159" i="2"/>
  <c r="O159" i="2" s="1"/>
  <c r="L159" i="2"/>
  <c r="K159" i="2"/>
  <c r="K159" i="2" a="1"/>
  <c r="N158" i="2"/>
  <c r="M158" i="2"/>
  <c r="O158" i="2" s="1"/>
  <c r="L158" i="2"/>
  <c r="K158" i="2"/>
  <c r="K158" i="2" a="1"/>
  <c r="N157" i="2"/>
  <c r="M157" i="2"/>
  <c r="O157" i="2" s="1"/>
  <c r="L157" i="2"/>
  <c r="K157" i="2"/>
  <c r="K157" i="2" a="1"/>
  <c r="N156" i="2"/>
  <c r="M156" i="2"/>
  <c r="O156" i="2" s="1"/>
  <c r="L156" i="2"/>
  <c r="K156" i="2"/>
  <c r="K156" i="2" a="1"/>
  <c r="N155" i="2"/>
  <c r="M155" i="2"/>
  <c r="O155" i="2" s="1"/>
  <c r="L155" i="2"/>
  <c r="K155" i="2"/>
  <c r="K155" i="2" a="1"/>
  <c r="N154" i="2"/>
  <c r="M154" i="2"/>
  <c r="O154" i="2" s="1"/>
  <c r="L154" i="2"/>
  <c r="K154" i="2"/>
  <c r="K154" i="2" a="1"/>
  <c r="N153" i="2"/>
  <c r="M153" i="2"/>
  <c r="O153" i="2" s="1"/>
  <c r="L153" i="2"/>
  <c r="K153" i="2"/>
  <c r="K153" i="2" a="1"/>
  <c r="O152" i="2"/>
  <c r="N152" i="2"/>
  <c r="M152" i="2"/>
  <c r="L152" i="2"/>
  <c r="K152" i="2"/>
  <c r="K152" i="2" a="1"/>
  <c r="N151" i="2"/>
  <c r="M151" i="2"/>
  <c r="O151" i="2" s="1"/>
  <c r="L151" i="2"/>
  <c r="K151" i="2"/>
  <c r="K151" i="2" a="1"/>
  <c r="O150" i="2"/>
  <c r="N150" i="2"/>
  <c r="M150" i="2"/>
  <c r="L150" i="2"/>
  <c r="K150" i="2"/>
  <c r="K150" i="2" a="1"/>
  <c r="N149" i="2"/>
  <c r="M149" i="2"/>
  <c r="O149" i="2" s="1"/>
  <c r="L149" i="2"/>
  <c r="K149" i="2"/>
  <c r="K149" i="2" a="1"/>
  <c r="O148" i="2"/>
  <c r="N148" i="2"/>
  <c r="M148" i="2"/>
  <c r="L148" i="2"/>
  <c r="K148" i="2"/>
  <c r="K148" i="2" a="1"/>
  <c r="N147" i="2"/>
  <c r="M147" i="2"/>
  <c r="O147" i="2" s="1"/>
  <c r="L147" i="2"/>
  <c r="K147" i="2" a="1"/>
  <c r="K147" i="2" s="1"/>
  <c r="N146" i="2"/>
  <c r="M146" i="2"/>
  <c r="O146" i="2" s="1"/>
  <c r="L146" i="2"/>
  <c r="K146" i="2"/>
  <c r="K146" i="2" a="1"/>
  <c r="N145" i="2"/>
  <c r="M145" i="2"/>
  <c r="O145" i="2" s="1"/>
  <c r="L145" i="2"/>
  <c r="K145" i="2" a="1"/>
  <c r="K145" i="2" s="1"/>
  <c r="N144" i="2"/>
  <c r="M144" i="2"/>
  <c r="O144" i="2" s="1"/>
  <c r="L144" i="2"/>
  <c r="K144" i="2"/>
  <c r="K144" i="2" a="1"/>
  <c r="N143" i="2"/>
  <c r="M143" i="2"/>
  <c r="O143" i="2" s="1"/>
  <c r="L143" i="2"/>
  <c r="K143" i="2" a="1"/>
  <c r="K143" i="2" s="1"/>
  <c r="N142" i="2"/>
  <c r="M142" i="2"/>
  <c r="O142" i="2" s="1"/>
  <c r="L142" i="2"/>
  <c r="K142" i="2"/>
  <c r="K142" i="2" a="1"/>
  <c r="N141" i="2"/>
  <c r="M141" i="2"/>
  <c r="O141" i="2" s="1"/>
  <c r="L141" i="2"/>
  <c r="K141" i="2" a="1"/>
  <c r="K141" i="2" s="1"/>
  <c r="N140" i="2"/>
  <c r="M140" i="2"/>
  <c r="O140" i="2" s="1"/>
  <c r="L140" i="2"/>
  <c r="K140" i="2"/>
  <c r="K140" i="2" a="1"/>
  <c r="N139" i="2"/>
  <c r="M139" i="2"/>
  <c r="O139" i="2" s="1"/>
  <c r="L139" i="2"/>
  <c r="K139" i="2" a="1"/>
  <c r="K139" i="2" s="1"/>
  <c r="O138" i="2"/>
  <c r="N138" i="2"/>
  <c r="M138" i="2"/>
  <c r="L138" i="2"/>
  <c r="K138" i="2"/>
  <c r="K138" i="2" a="1"/>
  <c r="N137" i="2"/>
  <c r="M137" i="2"/>
  <c r="O137" i="2" s="1"/>
  <c r="L137" i="2"/>
  <c r="K137" i="2" a="1"/>
  <c r="K137" i="2" s="1"/>
  <c r="O136" i="2"/>
  <c r="N136" i="2"/>
  <c r="M136" i="2"/>
  <c r="L136" i="2"/>
  <c r="K136" i="2"/>
  <c r="K136" i="2" a="1"/>
  <c r="N135" i="2"/>
  <c r="M135" i="2"/>
  <c r="O135" i="2" s="1"/>
  <c r="L135" i="2"/>
  <c r="K135" i="2" a="1"/>
  <c r="K135" i="2" s="1"/>
  <c r="N134" i="2"/>
  <c r="M134" i="2"/>
  <c r="O134" i="2" s="1"/>
  <c r="L134" i="2"/>
  <c r="K134" i="2"/>
  <c r="K134" i="2" a="1"/>
  <c r="N133" i="2"/>
  <c r="M133" i="2"/>
  <c r="O133" i="2" s="1"/>
  <c r="L133" i="2"/>
  <c r="K133" i="2" a="1"/>
  <c r="K133" i="2" s="1"/>
  <c r="N132" i="2"/>
  <c r="M132" i="2"/>
  <c r="O132" i="2" s="1"/>
  <c r="L132" i="2"/>
  <c r="K132" i="2"/>
  <c r="K132" i="2" a="1"/>
  <c r="N131" i="2"/>
  <c r="M131" i="2"/>
  <c r="O131" i="2" s="1"/>
  <c r="L131" i="2"/>
  <c r="K131" i="2" a="1"/>
  <c r="K131" i="2" s="1"/>
  <c r="N130" i="2"/>
  <c r="M130" i="2"/>
  <c r="O130" i="2" s="1"/>
  <c r="L130" i="2"/>
  <c r="K130" i="2"/>
  <c r="K130" i="2" a="1"/>
  <c r="N129" i="2"/>
  <c r="M129" i="2"/>
  <c r="O129" i="2" s="1"/>
  <c r="L129" i="2"/>
  <c r="K129" i="2" a="1"/>
  <c r="K129" i="2" s="1"/>
  <c r="N128" i="2"/>
  <c r="M128" i="2"/>
  <c r="O128" i="2" s="1"/>
  <c r="L128" i="2"/>
  <c r="K128" i="2"/>
  <c r="K128" i="2" a="1"/>
  <c r="N127" i="2"/>
  <c r="M127" i="2"/>
  <c r="O127" i="2" s="1"/>
  <c r="L127" i="2"/>
  <c r="K127" i="2" a="1"/>
  <c r="K127" i="2" s="1"/>
  <c r="O126" i="2"/>
  <c r="N126" i="2"/>
  <c r="M126" i="2"/>
  <c r="L126" i="2"/>
  <c r="K126" i="2"/>
  <c r="K126" i="2" a="1"/>
  <c r="N125" i="2"/>
  <c r="M125" i="2"/>
  <c r="O125" i="2" s="1"/>
  <c r="L125" i="2"/>
  <c r="K125" i="2" a="1"/>
  <c r="K125" i="2" s="1"/>
  <c r="O124" i="2"/>
  <c r="N124" i="2"/>
  <c r="M124" i="2"/>
  <c r="L124" i="2"/>
  <c r="K124" i="2"/>
  <c r="K124" i="2" a="1"/>
  <c r="N123" i="2"/>
  <c r="M123" i="2"/>
  <c r="O123" i="2" s="1"/>
  <c r="L123" i="2"/>
  <c r="K123" i="2" a="1"/>
  <c r="K123" i="2" s="1"/>
  <c r="N122" i="2"/>
  <c r="M122" i="2"/>
  <c r="O122" i="2" s="1"/>
  <c r="L122" i="2"/>
  <c r="K122" i="2"/>
  <c r="K122" i="2" a="1"/>
  <c r="N121" i="2"/>
  <c r="M121" i="2"/>
  <c r="O121" i="2" s="1"/>
  <c r="L121" i="2"/>
  <c r="K121" i="2" a="1"/>
  <c r="K121" i="2" s="1"/>
  <c r="N120" i="2"/>
  <c r="M120" i="2"/>
  <c r="O120" i="2" s="1"/>
  <c r="L120" i="2"/>
  <c r="K120" i="2"/>
  <c r="K120" i="2" a="1"/>
  <c r="N119" i="2"/>
  <c r="M119" i="2"/>
  <c r="O119" i="2" s="1"/>
  <c r="L119" i="2"/>
  <c r="K119" i="2" a="1"/>
  <c r="K119" i="2" s="1"/>
  <c r="N118" i="2"/>
  <c r="M118" i="2"/>
  <c r="O118" i="2" s="1"/>
  <c r="L118" i="2"/>
  <c r="K118" i="2"/>
  <c r="K118" i="2" a="1"/>
  <c r="N117" i="2"/>
  <c r="M117" i="2"/>
  <c r="O117" i="2" s="1"/>
  <c r="L117" i="2"/>
  <c r="K117" i="2" a="1"/>
  <c r="K117" i="2" s="1"/>
  <c r="N116" i="2"/>
  <c r="M116" i="2"/>
  <c r="O116" i="2" s="1"/>
  <c r="L116" i="2"/>
  <c r="K116" i="2"/>
  <c r="K116" i="2" a="1"/>
  <c r="N115" i="2"/>
  <c r="M115" i="2"/>
  <c r="O115" i="2" s="1"/>
  <c r="L115" i="2"/>
  <c r="K115" i="2" a="1"/>
  <c r="K115" i="2" s="1"/>
  <c r="O114" i="2"/>
  <c r="N114" i="2"/>
  <c r="M114" i="2"/>
  <c r="L114" i="2"/>
  <c r="K114" i="2"/>
  <c r="K114" i="2" a="1"/>
  <c r="N113" i="2"/>
  <c r="M113" i="2"/>
  <c r="O113" i="2" s="1"/>
  <c r="L113" i="2"/>
  <c r="K113" i="2" a="1"/>
  <c r="K113" i="2" s="1"/>
  <c r="O112" i="2"/>
  <c r="N112" i="2"/>
  <c r="M112" i="2"/>
  <c r="L112" i="2"/>
  <c r="K112" i="2"/>
  <c r="K112" i="2" a="1"/>
  <c r="N111" i="2"/>
  <c r="M111" i="2"/>
  <c r="O111" i="2" s="1"/>
  <c r="L111" i="2"/>
  <c r="K111" i="2" a="1"/>
  <c r="K111" i="2" s="1"/>
  <c r="N110" i="2"/>
  <c r="M110" i="2"/>
  <c r="O110" i="2" s="1"/>
  <c r="L110" i="2"/>
  <c r="K110" i="2"/>
  <c r="K110" i="2" a="1"/>
  <c r="N109" i="2"/>
  <c r="M109" i="2"/>
  <c r="O109" i="2" s="1"/>
  <c r="L109" i="2"/>
  <c r="K109" i="2" a="1"/>
  <c r="K109" i="2" s="1"/>
  <c r="N108" i="2"/>
  <c r="M108" i="2"/>
  <c r="O108" i="2" s="1"/>
  <c r="L108" i="2"/>
  <c r="K108" i="2"/>
  <c r="K108" i="2" a="1"/>
  <c r="N107" i="2"/>
  <c r="M107" i="2"/>
  <c r="O107" i="2" s="1"/>
  <c r="L107" i="2"/>
  <c r="K107" i="2" a="1"/>
  <c r="K107" i="2" s="1"/>
  <c r="N106" i="2"/>
  <c r="M106" i="2"/>
  <c r="O106" i="2" s="1"/>
  <c r="L106" i="2"/>
  <c r="K106" i="2"/>
  <c r="K106" i="2" a="1"/>
  <c r="N105" i="2"/>
  <c r="M105" i="2"/>
  <c r="O105" i="2" s="1"/>
  <c r="L105" i="2"/>
  <c r="K105" i="2" a="1"/>
  <c r="K105" i="2" s="1"/>
  <c r="N104" i="2"/>
  <c r="M104" i="2"/>
  <c r="O104" i="2" s="1"/>
  <c r="L104" i="2"/>
  <c r="K104" i="2"/>
  <c r="K104" i="2" a="1"/>
  <c r="N103" i="2"/>
  <c r="M103" i="2"/>
  <c r="O103" i="2" s="1"/>
  <c r="L103" i="2"/>
  <c r="K103" i="2" a="1"/>
  <c r="K103" i="2" s="1"/>
  <c r="O102" i="2"/>
  <c r="N102" i="2"/>
  <c r="M102" i="2"/>
  <c r="L102" i="2"/>
  <c r="K102" i="2"/>
  <c r="K102" i="2" a="1"/>
  <c r="N101" i="2"/>
  <c r="M101" i="2"/>
  <c r="O101" i="2" s="1"/>
  <c r="L101" i="2"/>
  <c r="K101" i="2" a="1"/>
  <c r="K101" i="2" s="1"/>
  <c r="O100" i="2"/>
  <c r="N100" i="2"/>
  <c r="M100" i="2"/>
  <c r="L100" i="2"/>
  <c r="K100" i="2"/>
  <c r="K100" i="2" a="1"/>
  <c r="N99" i="2"/>
  <c r="M99" i="2"/>
  <c r="O99" i="2" s="1"/>
  <c r="L99" i="2"/>
  <c r="K99" i="2" a="1"/>
  <c r="K99" i="2" s="1"/>
  <c r="N98" i="2"/>
  <c r="M98" i="2"/>
  <c r="O98" i="2" s="1"/>
  <c r="L98" i="2"/>
  <c r="K98" i="2"/>
  <c r="K98" i="2" a="1"/>
  <c r="N97" i="2"/>
  <c r="M97" i="2"/>
  <c r="O97" i="2" s="1"/>
  <c r="L97" i="2"/>
  <c r="K97" i="2" a="1"/>
  <c r="K97" i="2" s="1"/>
  <c r="N96" i="2"/>
  <c r="M96" i="2"/>
  <c r="O96" i="2" s="1"/>
  <c r="L96" i="2"/>
  <c r="K96" i="2"/>
  <c r="K96" i="2" a="1"/>
  <c r="N95" i="2"/>
  <c r="M95" i="2"/>
  <c r="O95" i="2" s="1"/>
  <c r="L95" i="2"/>
  <c r="K95" i="2" a="1"/>
  <c r="K95" i="2" s="1"/>
  <c r="N94" i="2"/>
  <c r="M94" i="2"/>
  <c r="O94" i="2" s="1"/>
  <c r="L94" i="2"/>
  <c r="K94" i="2"/>
  <c r="K94" i="2" a="1"/>
  <c r="N93" i="2"/>
  <c r="M93" i="2"/>
  <c r="O93" i="2" s="1"/>
  <c r="L93" i="2"/>
  <c r="K93" i="2" a="1"/>
  <c r="K93" i="2" s="1"/>
  <c r="N92" i="2"/>
  <c r="M92" i="2"/>
  <c r="O92" i="2" s="1"/>
  <c r="L92" i="2"/>
  <c r="K92" i="2"/>
  <c r="K92" i="2" a="1"/>
  <c r="N91" i="2"/>
  <c r="M91" i="2"/>
  <c r="O91" i="2" s="1"/>
  <c r="L91" i="2"/>
  <c r="K91" i="2" a="1"/>
  <c r="K91" i="2" s="1"/>
  <c r="O90" i="2"/>
  <c r="N90" i="2"/>
  <c r="M90" i="2"/>
  <c r="L90" i="2"/>
  <c r="K90" i="2"/>
  <c r="K90" i="2" a="1"/>
  <c r="N89" i="2"/>
  <c r="M89" i="2"/>
  <c r="O89" i="2" s="1"/>
  <c r="L89" i="2"/>
  <c r="K89" i="2" a="1"/>
  <c r="K89" i="2" s="1"/>
  <c r="O88" i="2"/>
  <c r="N88" i="2"/>
  <c r="M88" i="2"/>
  <c r="L88" i="2"/>
  <c r="K88" i="2"/>
  <c r="K88" i="2" a="1"/>
  <c r="N87" i="2"/>
  <c r="M87" i="2"/>
  <c r="O87" i="2" s="1"/>
  <c r="L87" i="2"/>
  <c r="K87" i="2" a="1"/>
  <c r="K87" i="2" s="1"/>
  <c r="N86" i="2"/>
  <c r="M86" i="2"/>
  <c r="O86" i="2" s="1"/>
  <c r="L86" i="2"/>
  <c r="K86" i="2"/>
  <c r="K86" i="2" a="1"/>
  <c r="N85" i="2"/>
  <c r="M85" i="2"/>
  <c r="O85" i="2" s="1"/>
  <c r="L85" i="2"/>
  <c r="K85" i="2" a="1"/>
  <c r="K85" i="2" s="1"/>
  <c r="N84" i="2"/>
  <c r="M84" i="2"/>
  <c r="O84" i="2" s="1"/>
  <c r="L84" i="2"/>
  <c r="K84" i="2"/>
  <c r="K84" i="2" a="1"/>
  <c r="N83" i="2"/>
  <c r="M83" i="2"/>
  <c r="O83" i="2" s="1"/>
  <c r="L83" i="2"/>
  <c r="K83" i="2" a="1"/>
  <c r="K83" i="2" s="1"/>
  <c r="N82" i="2"/>
  <c r="M82" i="2"/>
  <c r="O82" i="2" s="1"/>
  <c r="L82" i="2"/>
  <c r="K82" i="2"/>
  <c r="K82" i="2" a="1"/>
  <c r="N81" i="2"/>
  <c r="M81" i="2"/>
  <c r="O81" i="2" s="1"/>
  <c r="L81" i="2"/>
  <c r="K81" i="2" a="1"/>
  <c r="K81" i="2" s="1"/>
  <c r="N80" i="2"/>
  <c r="M80" i="2"/>
  <c r="O80" i="2" s="1"/>
  <c r="L80" i="2"/>
  <c r="K80" i="2"/>
  <c r="K80" i="2" a="1"/>
  <c r="N79" i="2"/>
  <c r="M79" i="2"/>
  <c r="O79" i="2" s="1"/>
  <c r="L79" i="2"/>
  <c r="K79" i="2" a="1"/>
  <c r="K79" i="2" s="1"/>
  <c r="O78" i="2"/>
  <c r="N78" i="2"/>
  <c r="M78" i="2"/>
  <c r="L78" i="2"/>
  <c r="K78" i="2"/>
  <c r="K78" i="2" a="1"/>
  <c r="N77" i="2"/>
  <c r="M77" i="2"/>
  <c r="O77" i="2" s="1"/>
  <c r="L77" i="2"/>
  <c r="K77" i="2" a="1"/>
  <c r="K77" i="2" s="1"/>
  <c r="O76" i="2"/>
  <c r="N76" i="2"/>
  <c r="M76" i="2"/>
  <c r="L76" i="2"/>
  <c r="K76" i="2"/>
  <c r="K76" i="2" a="1"/>
  <c r="N75" i="2"/>
  <c r="M75" i="2"/>
  <c r="O75" i="2" s="1"/>
  <c r="L75" i="2"/>
  <c r="K75" i="2" a="1"/>
  <c r="K75" i="2" s="1"/>
  <c r="N74" i="2"/>
  <c r="M74" i="2"/>
  <c r="O74" i="2" s="1"/>
  <c r="L74" i="2"/>
  <c r="K74" i="2"/>
  <c r="K74" i="2" a="1"/>
  <c r="N73" i="2"/>
  <c r="M73" i="2"/>
  <c r="O73" i="2" s="1"/>
  <c r="L73" i="2"/>
  <c r="K73" i="2" a="1"/>
  <c r="K73" i="2" s="1"/>
  <c r="N72" i="2"/>
  <c r="M72" i="2"/>
  <c r="O72" i="2" s="1"/>
  <c r="L72" i="2"/>
  <c r="K72" i="2"/>
  <c r="K72" i="2" a="1"/>
  <c r="N71" i="2"/>
  <c r="M71" i="2"/>
  <c r="O71" i="2" s="1"/>
  <c r="L71" i="2"/>
  <c r="K71" i="2" a="1"/>
  <c r="K71" i="2" s="1"/>
  <c r="N70" i="2"/>
  <c r="M70" i="2"/>
  <c r="O70" i="2" s="1"/>
  <c r="L70" i="2"/>
  <c r="K70" i="2"/>
  <c r="K70" i="2" a="1"/>
  <c r="N69" i="2"/>
  <c r="M69" i="2"/>
  <c r="O69" i="2" s="1"/>
  <c r="L69" i="2"/>
  <c r="K69" i="2" a="1"/>
  <c r="K69" i="2" s="1"/>
  <c r="N68" i="2"/>
  <c r="M68" i="2"/>
  <c r="O68" i="2" s="1"/>
  <c r="L68" i="2"/>
  <c r="K68" i="2"/>
  <c r="K68" i="2" a="1"/>
  <c r="N67" i="2"/>
  <c r="M67" i="2"/>
  <c r="O67" i="2" s="1"/>
  <c r="L67" i="2"/>
  <c r="K67" i="2" a="1"/>
  <c r="K67" i="2" s="1"/>
  <c r="O66" i="2"/>
  <c r="N66" i="2"/>
  <c r="M66" i="2"/>
  <c r="L66" i="2"/>
  <c r="K66" i="2"/>
  <c r="K66" i="2" a="1"/>
  <c r="N65" i="2"/>
  <c r="M65" i="2"/>
  <c r="O65" i="2" s="1"/>
  <c r="L65" i="2"/>
  <c r="K65" i="2" a="1"/>
  <c r="K65" i="2" s="1"/>
  <c r="O64" i="2"/>
  <c r="N64" i="2"/>
  <c r="M64" i="2"/>
  <c r="L64" i="2"/>
  <c r="K64" i="2"/>
  <c r="K64" i="2" a="1"/>
  <c r="N63" i="2"/>
  <c r="M63" i="2"/>
  <c r="O63" i="2" s="1"/>
  <c r="L63" i="2"/>
  <c r="K63" i="2" a="1"/>
  <c r="K63" i="2" s="1"/>
  <c r="N62" i="2"/>
  <c r="M62" i="2"/>
  <c r="O62" i="2" s="1"/>
  <c r="L62" i="2"/>
  <c r="K62" i="2"/>
  <c r="K62" i="2" a="1"/>
  <c r="N61" i="2"/>
  <c r="M61" i="2"/>
  <c r="O61" i="2" s="1"/>
  <c r="L61" i="2"/>
  <c r="K61" i="2" a="1"/>
  <c r="K61" i="2" s="1"/>
  <c r="N60" i="2"/>
  <c r="M60" i="2"/>
  <c r="O60" i="2" s="1"/>
  <c r="L60" i="2"/>
  <c r="K60" i="2"/>
  <c r="K60" i="2" a="1"/>
  <c r="N59" i="2"/>
  <c r="M59" i="2"/>
  <c r="O59" i="2" s="1"/>
  <c r="L59" i="2"/>
  <c r="K59" i="2" a="1"/>
  <c r="K59" i="2" s="1"/>
  <c r="N58" i="2"/>
  <c r="M58" i="2"/>
  <c r="O58" i="2" s="1"/>
  <c r="L58" i="2"/>
  <c r="K58" i="2"/>
  <c r="K58" i="2" a="1"/>
  <c r="N57" i="2"/>
  <c r="M57" i="2"/>
  <c r="O57" i="2" s="1"/>
  <c r="L57" i="2"/>
  <c r="K57" i="2" a="1"/>
  <c r="K57" i="2" s="1"/>
  <c r="N56" i="2"/>
  <c r="M56" i="2"/>
  <c r="O56" i="2" s="1"/>
  <c r="L56" i="2"/>
  <c r="K56" i="2"/>
  <c r="K56" i="2" a="1"/>
  <c r="N55" i="2"/>
  <c r="M55" i="2"/>
  <c r="O55" i="2" s="1"/>
  <c r="L55" i="2"/>
  <c r="K55" i="2" a="1"/>
  <c r="K55" i="2" s="1"/>
  <c r="O54" i="2"/>
  <c r="N54" i="2"/>
  <c r="M54" i="2"/>
  <c r="L54" i="2"/>
  <c r="K54" i="2"/>
  <c r="K54" i="2" a="1"/>
  <c r="N53" i="2"/>
  <c r="M53" i="2"/>
  <c r="O53" i="2" s="1"/>
  <c r="L53" i="2"/>
  <c r="K53" i="2" a="1"/>
  <c r="K53" i="2" s="1"/>
  <c r="O52" i="2"/>
  <c r="N52" i="2"/>
  <c r="M52" i="2"/>
  <c r="L52" i="2"/>
  <c r="K52" i="2"/>
  <c r="K52" i="2" a="1"/>
  <c r="N51" i="2"/>
  <c r="M51" i="2"/>
  <c r="O51" i="2" s="1"/>
  <c r="L51" i="2"/>
  <c r="K51" i="2" a="1"/>
  <c r="K51" i="2" s="1"/>
  <c r="N50" i="2"/>
  <c r="M50" i="2"/>
  <c r="O50" i="2" s="1"/>
  <c r="L50" i="2"/>
  <c r="K50" i="2"/>
  <c r="K50" i="2" a="1"/>
  <c r="N49" i="2"/>
  <c r="M49" i="2"/>
  <c r="O49" i="2" s="1"/>
  <c r="L49" i="2"/>
  <c r="K49" i="2" a="1"/>
  <c r="K49" i="2" s="1"/>
  <c r="N48" i="2"/>
  <c r="M48" i="2"/>
  <c r="O48" i="2" s="1"/>
  <c r="L48" i="2"/>
  <c r="K48" i="2"/>
  <c r="K48" i="2" a="1"/>
  <c r="N47" i="2"/>
  <c r="M47" i="2"/>
  <c r="O47" i="2" s="1"/>
  <c r="L47" i="2"/>
  <c r="K47" i="2" a="1"/>
  <c r="K47" i="2" s="1"/>
  <c r="N46" i="2"/>
  <c r="M46" i="2"/>
  <c r="O46" i="2" s="1"/>
  <c r="L46" i="2"/>
  <c r="K46" i="2"/>
  <c r="K46" i="2" a="1"/>
  <c r="N45" i="2"/>
  <c r="M45" i="2"/>
  <c r="O45" i="2" s="1"/>
  <c r="L45" i="2"/>
  <c r="K45" i="2" a="1"/>
  <c r="K45" i="2" s="1"/>
  <c r="N44" i="2"/>
  <c r="M44" i="2"/>
  <c r="O44" i="2" s="1"/>
  <c r="L44" i="2"/>
  <c r="K44" i="2"/>
  <c r="K44" i="2" a="1"/>
  <c r="N43" i="2"/>
  <c r="M43" i="2"/>
  <c r="O43" i="2" s="1"/>
  <c r="L43" i="2"/>
  <c r="K43" i="2" a="1"/>
  <c r="K43" i="2" s="1"/>
  <c r="O42" i="2"/>
  <c r="N42" i="2"/>
  <c r="M42" i="2"/>
  <c r="L42" i="2"/>
  <c r="K42" i="2"/>
  <c r="K42" i="2" a="1"/>
  <c r="N41" i="2"/>
  <c r="M41" i="2"/>
  <c r="O41" i="2" s="1"/>
  <c r="L41" i="2"/>
  <c r="K41" i="2" a="1"/>
  <c r="K41" i="2" s="1"/>
  <c r="O40" i="2"/>
  <c r="N40" i="2"/>
  <c r="M40" i="2"/>
  <c r="L40" i="2"/>
  <c r="K40" i="2"/>
  <c r="K40" i="2" a="1"/>
  <c r="N39" i="2"/>
  <c r="M39" i="2"/>
  <c r="O39" i="2" s="1"/>
  <c r="L39" i="2"/>
  <c r="K39" i="2" a="1"/>
  <c r="K39" i="2" s="1"/>
  <c r="N38" i="2"/>
  <c r="M38" i="2"/>
  <c r="O38" i="2" s="1"/>
  <c r="L38" i="2"/>
  <c r="K38" i="2"/>
  <c r="K38" i="2" a="1"/>
  <c r="N37" i="2"/>
  <c r="M37" i="2"/>
  <c r="O37" i="2" s="1"/>
  <c r="L37" i="2"/>
  <c r="K37" i="2" a="1"/>
  <c r="K37" i="2" s="1"/>
  <c r="N36" i="2"/>
  <c r="M36" i="2"/>
  <c r="O36" i="2" s="1"/>
  <c r="L36" i="2"/>
  <c r="K36" i="2"/>
  <c r="K36" i="2" a="1"/>
  <c r="N35" i="2"/>
  <c r="M35" i="2"/>
  <c r="O35" i="2" s="1"/>
  <c r="L35" i="2"/>
  <c r="K35" i="2" a="1"/>
  <c r="K35" i="2" s="1"/>
  <c r="N34" i="2"/>
  <c r="M34" i="2"/>
  <c r="O34" i="2" s="1"/>
  <c r="L34" i="2"/>
  <c r="K34" i="2"/>
  <c r="K34" i="2" a="1"/>
  <c r="N33" i="2"/>
  <c r="M33" i="2"/>
  <c r="O33" i="2" s="1"/>
  <c r="L33" i="2"/>
  <c r="K33" i="2" a="1"/>
  <c r="K33" i="2" s="1"/>
  <c r="N32" i="2"/>
  <c r="M32" i="2"/>
  <c r="O32" i="2" s="1"/>
  <c r="L32" i="2"/>
  <c r="K32" i="2"/>
  <c r="K32" i="2" a="1"/>
  <c r="N31" i="2"/>
  <c r="M31" i="2"/>
  <c r="O31" i="2" s="1"/>
  <c r="L31" i="2"/>
  <c r="K31" i="2" a="1"/>
  <c r="K31" i="2" s="1"/>
  <c r="O30" i="2"/>
  <c r="N30" i="2"/>
  <c r="M30" i="2"/>
  <c r="L30" i="2"/>
  <c r="K30" i="2"/>
  <c r="K30" i="2" a="1"/>
  <c r="N29" i="2"/>
  <c r="M29" i="2"/>
  <c r="O29" i="2" s="1"/>
  <c r="L29" i="2"/>
  <c r="K29" i="2" a="1"/>
  <c r="K29" i="2" s="1"/>
  <c r="O28" i="2"/>
  <c r="N28" i="2"/>
  <c r="M28" i="2"/>
  <c r="L28" i="2"/>
  <c r="K28" i="2"/>
  <c r="K28" i="2" a="1"/>
  <c r="N27" i="2"/>
  <c r="M27" i="2"/>
  <c r="O27" i="2" s="1"/>
  <c r="L27" i="2"/>
  <c r="K27" i="2" a="1"/>
  <c r="K27" i="2" s="1"/>
  <c r="N26" i="2"/>
  <c r="M26" i="2"/>
  <c r="O26" i="2" s="1"/>
  <c r="L26" i="2"/>
  <c r="K26" i="2"/>
  <c r="K26" i="2" a="1"/>
  <c r="N25" i="2"/>
  <c r="M25" i="2"/>
  <c r="O25" i="2" s="1"/>
  <c r="L25" i="2"/>
  <c r="K25" i="2" a="1"/>
  <c r="K25" i="2" s="1"/>
  <c r="N24" i="2"/>
  <c r="M24" i="2"/>
  <c r="O24" i="2" s="1"/>
  <c r="L24" i="2"/>
  <c r="K24" i="2"/>
  <c r="K24" i="2" a="1"/>
  <c r="N23" i="2"/>
  <c r="M23" i="2"/>
  <c r="O23" i="2" s="1"/>
  <c r="L23" i="2"/>
  <c r="K23" i="2" a="1"/>
  <c r="K23" i="2" s="1"/>
  <c r="N22" i="2"/>
  <c r="M22" i="2"/>
  <c r="O22" i="2" s="1"/>
  <c r="L22" i="2"/>
  <c r="K22" i="2"/>
  <c r="K22" i="2" a="1"/>
  <c r="N21" i="2"/>
  <c r="M21" i="2"/>
  <c r="O21" i="2" s="1"/>
  <c r="L21" i="2"/>
  <c r="K21" i="2" a="1"/>
  <c r="K21" i="2" s="1"/>
  <c r="N20" i="2"/>
  <c r="M20" i="2"/>
  <c r="O20" i="2" s="1"/>
  <c r="L20" i="2"/>
  <c r="K20" i="2"/>
  <c r="K20" i="2" a="1"/>
  <c r="N19" i="2"/>
  <c r="M19" i="2"/>
  <c r="O19" i="2" s="1"/>
  <c r="L19" i="2"/>
  <c r="K19" i="2" a="1"/>
  <c r="K19" i="2" s="1"/>
  <c r="O18" i="2"/>
  <c r="N18" i="2"/>
  <c r="M18" i="2"/>
  <c r="L18" i="2"/>
  <c r="K18" i="2"/>
  <c r="K18" i="2" a="1"/>
  <c r="N17" i="2"/>
  <c r="M17" i="2"/>
  <c r="O17" i="2" s="1"/>
  <c r="L17" i="2"/>
  <c r="K17" i="2" a="1"/>
  <c r="K17" i="2" s="1"/>
  <c r="O16" i="2"/>
  <c r="N16" i="2"/>
  <c r="M16" i="2"/>
  <c r="L16" i="2"/>
  <c r="K16" i="2"/>
  <c r="K16" i="2" a="1"/>
  <c r="N15" i="2"/>
  <c r="M15" i="2"/>
  <c r="O15" i="2" s="1"/>
  <c r="L15" i="2"/>
  <c r="K15" i="2" a="1"/>
  <c r="K15" i="2" s="1"/>
  <c r="N14" i="2"/>
  <c r="M14" i="2"/>
  <c r="O14" i="2" s="1"/>
  <c r="L14" i="2"/>
  <c r="K14" i="2"/>
  <c r="K14" i="2" a="1"/>
  <c r="N13" i="2"/>
  <c r="M13" i="2"/>
  <c r="O13" i="2" s="1"/>
  <c r="L13" i="2"/>
  <c r="K13" i="2" a="1"/>
  <c r="K13" i="2" s="1"/>
  <c r="N12" i="2"/>
  <c r="M12" i="2"/>
  <c r="O12" i="2" s="1"/>
  <c r="L12" i="2"/>
  <c r="K12" i="2"/>
  <c r="K12" i="2" a="1"/>
  <c r="N11" i="2"/>
  <c r="M11" i="2"/>
  <c r="O11" i="2" s="1"/>
  <c r="L11" i="2"/>
  <c r="K11" i="2" a="1"/>
  <c r="K11" i="2" s="1"/>
  <c r="N10" i="2"/>
  <c r="M10" i="2"/>
  <c r="O10" i="2" s="1"/>
  <c r="L10" i="2"/>
  <c r="K10" i="2"/>
  <c r="K10" i="2" a="1"/>
  <c r="N9" i="2"/>
  <c r="M9" i="2"/>
  <c r="O9" i="2" s="1"/>
  <c r="L9" i="2"/>
  <c r="K9" i="2" a="1"/>
  <c r="K9" i="2" s="1"/>
  <c r="N8" i="2"/>
  <c r="M8" i="2"/>
  <c r="O8" i="2" s="1"/>
  <c r="L8" i="2"/>
  <c r="K8" i="2"/>
  <c r="K8" i="2" a="1"/>
  <c r="N7" i="2"/>
  <c r="M7" i="2"/>
  <c r="O7" i="2" s="1"/>
  <c r="L7" i="2"/>
  <c r="K7" i="2" a="1"/>
  <c r="K7" i="2" s="1"/>
  <c r="O6" i="2"/>
  <c r="N6" i="2"/>
  <c r="M6" i="2"/>
  <c r="L6" i="2"/>
  <c r="K6" i="2"/>
  <c r="K6" i="2" a="1"/>
  <c r="N5" i="2"/>
  <c r="M5" i="2"/>
  <c r="O5" i="2" s="1"/>
  <c r="L5" i="2"/>
  <c r="K5" i="2" a="1"/>
  <c r="K5" i="2" s="1"/>
  <c r="O4" i="2"/>
  <c r="N4" i="2"/>
  <c r="M4" i="2"/>
  <c r="L4" i="2"/>
  <c r="K4" i="2"/>
  <c r="K4" i="2" a="1"/>
  <c r="N3" i="2"/>
  <c r="M3" i="2"/>
  <c r="O3" i="2" s="1"/>
  <c r="L3" i="2"/>
  <c r="K3" i="2" a="1"/>
  <c r="K3" i="2" s="1"/>
  <c r="N2" i="2"/>
  <c r="M2" i="2"/>
  <c r="O2" i="2" s="1"/>
  <c r="L2" i="2"/>
  <c r="K2" i="2"/>
  <c r="K2" i="2" a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2AE55-A5EF-4DC4-935C-C5368AEB574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940898F-C90F-4292-8A67-D2CA94A7D9C1}" name="WorksheetConnection_Table44" type="102" refreshedVersion="8" minRefreshableVersion="5">
    <extLst>
      <ext xmlns:x15="http://schemas.microsoft.com/office/spreadsheetml/2010/11/main" uri="{DE250136-89BD-433C-8126-D09CA5730AF9}">
        <x15:connection id="Table44">
          <x15:rangePr sourceName="_xlcn.WorksheetConnection_Table44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<sst xmlns="http://schemas.openxmlformats.org/spreadsheetml/2006/main" count="7637" uniqueCount="100">
  <si>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</si>
  <si>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</si>
  <si>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</si>
  <si>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</si>
  <si>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</si>
  <si>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</si>
  <si>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</si>
  <si>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</si>
  <si>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</si>
  <si>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</si>
  <si>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</si>
  <si>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</si>
  <si>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</si>
  <si>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</si>
  <si>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</si>
  <si>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</si>
  <si>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</si>
  <si>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</si>
  <si>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</si>
  <si>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</si>
  <si>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</si>
  <si>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</si>
  <si>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</si>
  <si>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</si>
  <si>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</si>
  <si>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</si>
  <si>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</si>
  <si>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</si>
  <si>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</si>
  <si>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</si>
  <si>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</si>
  <si>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</si>
  <si>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</si>
  <si>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</si>
  <si>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</si>
  <si>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</si>
  <si>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</si>
  <si>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</si>
  <si>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</si>
  <si>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</si>
  <si>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ON</t>
  </si>
  <si>
    <t>OFF</t>
  </si>
  <si>
    <t>Sales Status</t>
  </si>
  <si>
    <t>Year</t>
  </si>
  <si>
    <t>Month</t>
  </si>
  <si>
    <t>Day</t>
  </si>
  <si>
    <t>Monthname</t>
  </si>
  <si>
    <t>Sparkline (Lines)</t>
  </si>
  <si>
    <t>Sparklines (Column)</t>
  </si>
  <si>
    <t>Sales &gt;40000</t>
  </si>
  <si>
    <t>Sales &gt;50000</t>
  </si>
  <si>
    <t>Sales &lt;10000</t>
  </si>
  <si>
    <t>Sales &gt;20000</t>
  </si>
  <si>
    <t>CONDITIONAL FORMATTING (SALES)</t>
  </si>
  <si>
    <t>CONDITIONAL FORMATTING (PROFIT)</t>
  </si>
  <si>
    <t>Profit &lt; 1000</t>
  </si>
  <si>
    <t>Sales &lt;=40000 , &gt;=20000</t>
  </si>
  <si>
    <t>Products</t>
  </si>
  <si>
    <t>PRODUCTS</t>
  </si>
  <si>
    <t>REGIONS</t>
  </si>
  <si>
    <t>CATEGORIES</t>
  </si>
  <si>
    <t>CLOTHING</t>
  </si>
  <si>
    <t>FURNITURE</t>
  </si>
  <si>
    <t>ELECTRONICS</t>
  </si>
  <si>
    <t>Categories</t>
  </si>
  <si>
    <t>Qnty  &gt; 7</t>
  </si>
  <si>
    <t>Qnty &gt;5</t>
  </si>
  <si>
    <t>Qnty&lt;5</t>
  </si>
  <si>
    <t>BUTTONS</t>
  </si>
  <si>
    <t>Whole Number</t>
  </si>
  <si>
    <t>Between</t>
  </si>
  <si>
    <t>Greater Than</t>
  </si>
  <si>
    <t>Less Than</t>
  </si>
  <si>
    <t>Sr. NO</t>
  </si>
  <si>
    <t>Lists</t>
  </si>
  <si>
    <t>Text Length</t>
  </si>
  <si>
    <t xml:space="preserve">East </t>
  </si>
  <si>
    <t>Regions</t>
  </si>
  <si>
    <t>Numbers</t>
  </si>
  <si>
    <t>CTRL + H</t>
  </si>
  <si>
    <t>CTRL +G</t>
  </si>
  <si>
    <t>Replace Values</t>
  </si>
  <si>
    <t>Checking Blanks</t>
  </si>
  <si>
    <t>ALT +A +M</t>
  </si>
  <si>
    <t>Remove Duplicates</t>
  </si>
  <si>
    <t>QUICK CLEANING KEYS</t>
  </si>
  <si>
    <t>QUANTITY</t>
  </si>
  <si>
    <t>CATEGORY CONDITIONS (HIGHLIGHT ROW)</t>
  </si>
  <si>
    <t>Between 10 &amp; 50</t>
  </si>
  <si>
    <t>Greater Than 50</t>
  </si>
  <si>
    <t>Less Than 100</t>
  </si>
  <si>
    <t>MERC</t>
  </si>
  <si>
    <t>BMW</t>
  </si>
  <si>
    <t>DACIA</t>
  </si>
  <si>
    <t>FORD</t>
  </si>
  <si>
    <t>AMG</t>
  </si>
  <si>
    <t>Profit &gt;12000</t>
  </si>
  <si>
    <t>Profit &gt;3000</t>
  </si>
  <si>
    <t>Profit &gt;7000</t>
  </si>
  <si>
    <t>Profit 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</si>
</sst>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2" fillId="3" borderId="1" xfId="0" applyFont="1" applyFill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1" fontId="2" fillId="3" borderId="2" xfId="0" applyNumberFormat="1" applyFont="1" applyFill="1" applyBorder="1"/>
    <xf numFmtId="1" fontId="2" fillId="3" borderId="3" xfId="0" applyNumberFormat="1" applyFont="1" applyFill="1" applyBorder="1"/>
    <xf numFmtId="0" fontId="0" fillId="4" borderId="4" xfId="0" applyFill="1" applyBorder="1"/>
    <xf numFmtId="14" fontId="0" fillId="4" borderId="5" xfId="0" applyNumberFormat="1" applyFill="1" applyBorder="1"/>
    <xf numFmtId="0" fontId="0" fillId="4" borderId="5" xfId="0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0" fontId="0" fillId="5" borderId="4" xfId="0" applyFill="1" applyBorder="1"/>
    <xf numFmtId="14" fontId="0" fillId="5" borderId="5" xfId="0" applyNumberFormat="1" applyFill="1" applyBorder="1"/>
    <xf numFmtId="0" fontId="0" fillId="5" borderId="5" xfId="0" applyFill="1" applyBorder="1"/>
    <xf numFmtId="1" fontId="0" fillId="5" borderId="5" xfId="0" applyNumberFormat="1" applyFill="1" applyBorder="1"/>
    <xf numFmtId="1" fontId="0" fillId="5" borderId="6" xfId="0" applyNumberFormat="1" applyFill="1" applyBorder="1"/>
    <xf numFmtId="0" fontId="0" fillId="5" borderId="7" xfId="0" applyFill="1" applyBorder="1"/>
    <xf numFmtId="14" fontId="0" fillId="5" borderId="8" xfId="0" applyNumberFormat="1" applyFill="1" applyBorder="1"/>
    <xf numFmtId="0" fontId="0" fillId="5" borderId="8" xfId="0" applyFill="1" applyBorder="1"/>
    <xf numFmtId="1" fontId="0" fillId="5" borderId="8" xfId="0" applyNumberFormat="1" applyFill="1" applyBorder="1"/>
    <xf numFmtId="1" fontId="0" fillId="5" borderId="9" xfId="0" applyNumberFormat="1" applyFill="1" applyBorder="1"/>
    <xf numFmtId="0" fontId="0" fillId="0" borderId="10" xfId="0" applyBorder="1" applyAlignment="1">
      <alignment horizontal="center"/>
    </xf>
    <xf numFmtId="0" fontId="3" fillId="2" borderId="10" xfId="1" applyFont="1" applyBorder="1" applyAlignment="1">
      <alignment horizontal="center"/>
    </xf>
    <xf numFmtId="1" fontId="0" fillId="5" borderId="0" xfId="0" applyNumberFormat="1" applyFill="1"/>
    <xf numFmtId="1" fontId="0" fillId="5" borderId="11" xfId="0" applyNumberFormat="1" applyFill="1" applyBorder="1"/>
    <xf numFmtId="0" fontId="0" fillId="5" borderId="0" xfId="0" applyFill="1"/>
    <xf numFmtId="0" fontId="3" fillId="2" borderId="10" xfId="1" applyFont="1" applyBorder="1"/>
    <xf numFmtId="0" fontId="1" fillId="2" borderId="10" xfId="1" applyBorder="1" applyAlignment="1">
      <alignment horizontal="center"/>
    </xf>
    <xf numFmtId="0" fontId="1" fillId="2" borderId="10" xfId="1" applyBorder="1"/>
    <xf numFmtId="14" fontId="0" fillId="0" borderId="10" xfId="0" applyNumberFormat="1" applyBorder="1" applyAlignment="1">
      <alignment horizontal="center"/>
    </xf>
    <xf numFmtId="0" fontId="0" fillId="0" borderId="10" xfId="0" applyBorder="1"/>
    <xf numFmtId="0" fontId="1" fillId="2" borderId="10" xfId="1" applyBorder="1" applyAlignment="1">
      <alignment horizontal="center"/>
    </xf>
    <xf numFmtId="0" fontId="1" fillId="2" borderId="10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14" xfId="1" applyBorder="1" applyAlignment="1">
      <alignment horizontal="center" vertical="center"/>
    </xf>
    <xf numFmtId="0" fontId="3" fillId="2" borderId="10" xfId="1" applyFont="1" applyBorder="1" applyAlignment="1">
      <alignment horizontal="center"/>
    </xf>
    <xf numFmtId="0" fontId="3" fillId="2" borderId="0" xfId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Good" xfId="1" builtinId="26"/>
    <cellStyle name="Normal" xfId="0" builtinId="0"/>
  </cellStyles>
  <dxfs count="107">
    <dxf>
      <font>
        <color rgb="FFFF0000"/>
      </font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ont>
        <color theme="9" tint="-0.24994659260841701"/>
      </font>
      <fill>
        <patternFill>
          <bgColor theme="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5" tint="-0.24994659260841701"/>
      </font>
      <fill>
        <patternFill>
          <bgColor theme="4" tint="0.79998168889431442"/>
        </patternFill>
      </fill>
    </dxf>
    <dxf>
      <font>
        <color rgb="FFF36BE3"/>
      </font>
      <fill>
        <patternFill>
          <bgColor theme="4" tint="0.79998168889431442"/>
        </patternFill>
      </fill>
    </dxf>
    <dxf>
      <font>
        <color theme="2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strike val="0"/>
        <u/>
        <color rgb="FFFF0000"/>
      </font>
      <fill>
        <patternFill>
          <bgColor theme="5" tint="0.39994506668294322"/>
        </patternFill>
      </fill>
    </dxf>
    <dxf>
      <font>
        <b/>
        <i/>
      </font>
      <fill>
        <patternFill patternType="mediumGray">
          <fgColor theme="3"/>
          <bgColor theme="3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00FFCC"/>
        </patternFill>
      </fill>
    </dxf>
    <dxf>
      <font>
        <b/>
        <i/>
        <color theme="8" tint="-0.24994659260841701"/>
      </font>
      <fill>
        <patternFill>
          <bgColor theme="9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rgb="FFFF99FF"/>
        </patternFill>
      </fill>
    </dxf>
    <dxf>
      <font>
        <color auto="1"/>
      </font>
      <fill>
        <patternFill>
          <bgColor rgb="FF00FFCC"/>
        </patternFill>
      </fill>
    </dxf>
    <dxf>
      <font>
        <color rgb="FFFF0000"/>
      </font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ont>
        <color theme="9" tint="-0.24994659260841701"/>
      </font>
      <fill>
        <patternFill>
          <bgColor theme="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5" tint="-0.24994659260841701"/>
      </font>
      <fill>
        <patternFill>
          <bgColor theme="4" tint="0.79998168889431442"/>
        </patternFill>
      </fill>
    </dxf>
    <dxf>
      <font>
        <color rgb="FFF36BE3"/>
      </font>
      <fill>
        <patternFill>
          <bgColor theme="4" tint="0.79998168889431442"/>
        </patternFill>
      </fill>
    </dxf>
    <dxf>
      <font>
        <color theme="2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strike val="0"/>
        <u/>
        <color rgb="FFFF0000"/>
      </font>
      <fill>
        <patternFill>
          <bgColor theme="5" tint="0.39994506668294322"/>
        </patternFill>
      </fill>
    </dxf>
    <dxf>
      <font>
        <b/>
        <i/>
      </font>
      <fill>
        <patternFill patternType="mediumGray">
          <fgColor theme="3"/>
          <bgColor theme="3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b/>
        <i/>
        <color theme="8" tint="-0.24994659260841701"/>
      </font>
      <fill>
        <patternFill>
          <bgColor theme="9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rgb="FFFF99FF"/>
        </patternFill>
      </fill>
    </dxf>
    <dxf>
      <font>
        <color rgb="FFFF0000"/>
      </font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ont>
        <color theme="9" tint="-0.24994659260841701"/>
      </font>
      <fill>
        <patternFill>
          <bgColor theme="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5" tint="-0.24994659260841701"/>
      </font>
      <fill>
        <patternFill>
          <bgColor theme="4" tint="0.79998168889431442"/>
        </patternFill>
      </fill>
    </dxf>
    <dxf>
      <font>
        <color rgb="FFF36BE3"/>
      </font>
      <fill>
        <patternFill>
          <bgColor theme="4" tint="0.79998168889431442"/>
        </patternFill>
      </fill>
    </dxf>
    <dxf>
      <font>
        <color theme="2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strike val="0"/>
        <u/>
        <color rgb="FFFF0000"/>
      </font>
      <fill>
        <patternFill>
          <bgColor theme="5" tint="0.39994506668294322"/>
        </patternFill>
      </fill>
    </dxf>
    <dxf>
      <font>
        <b/>
        <i/>
      </font>
      <fill>
        <patternFill patternType="mediumGray">
          <fgColor theme="3"/>
          <bgColor theme="3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00FFCC"/>
        </patternFill>
      </fill>
    </dxf>
    <dxf>
      <font>
        <b/>
        <i/>
        <color theme="8" tint="-0.24994659260841701"/>
      </font>
      <fill>
        <patternFill>
          <bgColor theme="9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FFCC"/>
      <color rgb="FFFF99FF"/>
      <color rgb="FFF36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57A471-52CD-435D-8D8B-5BF246122EF0}" name="Table44" displayName="Table44" ref="A1:K501" totalsRowShown="0" headerRowDxfId="106" dataDxfId="104" headerRowBorderDxfId="105">
  <autoFilter ref="A1:K501" xr:uid="{B057A471-52CD-435D-8D8B-5BF246122EF0}"/>
  <sortState xmlns:xlrd2="http://schemas.microsoft.com/office/spreadsheetml/2017/richdata2" ref="A2:K501">
    <sortCondition ref="A1:A501"/>
  </sortState>
  <tableColumns count="11">
    <tableColumn id="1" xr3:uid="{D4EAE8BD-816C-4A7A-995A-855F52B44D67}" name="Order_ID" dataDxfId="103"/>
    <tableColumn id="2" xr3:uid="{B496BAA8-3CF3-4057-B3D2-74DD260D91AC}" name="Date" dataDxfId="102"/>
    <tableColumn id="3" xr3:uid="{FDBDF578-2583-4F66-BB39-4940A5344165}" name="City" dataDxfId="101"/>
    <tableColumn id="4" xr3:uid="{B661ADAD-D2B7-4E18-A370-21B8D81ADDBA}" name="State" dataDxfId="100"/>
    <tableColumn id="5" xr3:uid="{D88ADBDD-3F1D-4A91-AD71-0B6920E2323E}" name="Region" dataDxfId="99"/>
    <tableColumn id="6" xr3:uid="{4098A117-94CB-4281-BCD9-6F0994CE52CA}" name="Category" dataDxfId="98"/>
    <tableColumn id="7" xr3:uid="{0A2D97CE-691A-424C-8E77-C437D7C77066}" name="Product" dataDxfId="97"/>
    <tableColumn id="8" xr3:uid="{0B9BABE9-1738-403A-B759-724C69D0E0B3}" name="Sales" dataDxfId="96"/>
    <tableColumn id="9" xr3:uid="{7D350E38-F1BB-48D0-9791-AE05CBF7A3C4}" name="Quantity" dataDxfId="95"/>
    <tableColumn id="10" xr3:uid="{69831ACC-CF5C-401A-B8FA-B7C0AF9240DD}" name="Profit" dataDxfId="94"/>
    <tableColumn id="11" xr3:uid="{769FCC4F-6EC4-4023-903F-E6C9D02D4C2B}" name="Sales Status" dataDxfId="93">
      <calculatedColumnFormula array="1">_xlfn.IFS(Table44[[#This Row],[Sales]]&gt;40000,"Best Sales",Table44[[#This Row],[Sales]]&gt;20000,"Average Sales",Table44[[#This Row],[Sales]]&gt;0,"Poor Sales")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DE859-5D09-496C-8B68-922EBE0BC041}" name="Table4" displayName="Table4" ref="A1:K501" totalsRowShown="0" headerRowDxfId="92" dataDxfId="90" headerRowBorderDxfId="91">
  <autoFilter ref="A1:K501" xr:uid="{C4FDE859-5D09-496C-8B68-922EBE0BC041}"/>
  <tableColumns count="11">
    <tableColumn id="1" xr3:uid="{CF13BCF2-8AB1-4F8D-B0EC-7ADBB2905202}" name="Order_ID" dataDxfId="89"/>
    <tableColumn id="2" xr3:uid="{624B848C-EDE4-4198-95A4-8C78E076B64E}" name="Date" dataDxfId="88"/>
    <tableColumn id="3" xr3:uid="{E4383BCC-E424-42F5-B248-8DBB461CF237}" name="City" dataDxfId="87"/>
    <tableColumn id="4" xr3:uid="{32CB8A3F-079B-4745-9007-E7F08CF47405}" name="State" dataDxfId="86"/>
    <tableColumn id="5" xr3:uid="{AF0AEC24-4FB3-4158-AD4A-ECE0670FFB37}" name="Region" dataDxfId="85"/>
    <tableColumn id="6" xr3:uid="{94150631-648D-4E11-A6A5-385E21EE6F61}" name="Category" dataDxfId="84"/>
    <tableColumn id="7" xr3:uid="{7EDC7D5B-63C2-4930-BB4E-3734A30B9FB1}" name="Product" dataDxfId="83"/>
    <tableColumn id="8" xr3:uid="{DEBC41C6-8088-4001-BF5E-61258BEF120B}" name="Sales" dataDxfId="82"/>
    <tableColumn id="9" xr3:uid="{E2B4A5D9-7FFB-458D-B2C9-1661C4058903}" name="Quantity" dataDxfId="81"/>
    <tableColumn id="10" xr3:uid="{1D794C2F-4C38-40B8-B97B-8A90ABD6AEF6}" name="Profit" dataDxfId="80"/>
    <tableColumn id="11" xr3:uid="{EDA374F2-0AF6-4701-B02E-BAC957E0391E}" name="Sales Status" dataDxfId="79">
      <calculatedColumnFormula array="1">_xlfn.IFS(Table4[[#This Row],[Sales]]&gt;40000,"Best Sales",Table4[[#This Row],[Sales]]&gt;20000,"Average Sales",Table4[[#This Row],[Sales]]&gt;0,"Poor Sales")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3745B-9EBC-4485-AA06-B657D3586F12}" name="Table43" displayName="Table43" ref="A1:Q501" totalsRowShown="0" headerRowDxfId="78" dataDxfId="76" headerRowBorderDxfId="77">
  <autoFilter ref="A1:Q501" xr:uid="{76D3745B-9EBC-4485-AA06-B657D3586F12}"/>
  <tableColumns count="17">
    <tableColumn id="1" xr3:uid="{9C7036F6-134B-4CB0-87AC-9F0CBE99B5F0}" name="Order_ID" dataDxfId="75"/>
    <tableColumn id="2" xr3:uid="{6EB3F655-E09C-4385-8C5D-6DAF6B2093EA}" name="Date" dataDxfId="74"/>
    <tableColumn id="3" xr3:uid="{2E572A51-3EB9-4F94-8D3F-5FFBA400A772}" name="City" dataDxfId="73"/>
    <tableColumn id="4" xr3:uid="{7E7F1D78-7D80-4779-9A61-B7CB939473DC}" name="State" dataDxfId="72"/>
    <tableColumn id="5" xr3:uid="{F5765AE3-AF21-4199-A8F0-EAE6CFDDB04F}" name="Region" dataDxfId="71"/>
    <tableColumn id="6" xr3:uid="{72972F34-F8A9-409F-9CF6-8321F1417C53}" name="Category" dataDxfId="70"/>
    <tableColumn id="7" xr3:uid="{A7A0563E-C788-455E-865E-C5C3E14D5CD2}" name="Product" dataDxfId="69"/>
    <tableColumn id="8" xr3:uid="{7783E0D7-7C67-4E50-84A9-60C69786807E}" name="Sales" dataDxfId="68"/>
    <tableColumn id="9" xr3:uid="{9E35AE64-7E98-4509-8B2B-BC0C29056181}" name="Quantity" dataDxfId="67"/>
    <tableColumn id="10" xr3:uid="{42F7513B-1D21-4AEF-8F92-1A2D64036AF4}" name="Profit" dataDxfId="66"/>
    <tableColumn id="11" xr3:uid="{CF96561F-7609-4A6E-B237-F2C38B7C064C}" name="Sales Status" dataDxfId="65">
      <calculatedColumnFormula array="1">_xlfn.IFS(Table43[[#This Row],[Sales]]&gt;40000,"Best Sales",Table43[[#This Row],[Sales]]&gt;20000,"Average Sales",Table43[[#This Row],[Sales]]&gt;0,"Poor Sales")</calculatedColumnFormula>
    </tableColumn>
    <tableColumn id="12" xr3:uid="{EA4EDEA5-2D7C-4F0E-BC4F-81A02AE42725}" name="Year" dataDxfId="64">
      <calculatedColumnFormula>YEAR(Table43[[#This Row],[Date]])</calculatedColumnFormula>
    </tableColumn>
    <tableColumn id="13" xr3:uid="{6C63FC47-9239-4885-9FA0-3C2488EE5373}" name="Month" dataDxfId="63">
      <calculatedColumnFormula>MONTH(Table43[[#This Row],[Date]])</calculatedColumnFormula>
    </tableColumn>
    <tableColumn id="14" xr3:uid="{422C2FC6-A96E-4D6A-90F8-CAEFA07EF5D0}" name="Day" dataDxfId="62">
      <calculatedColumnFormula>DAY(Table43[[#This Row],[Date]])</calculatedColumnFormula>
    </tableColumn>
    <tableColumn id="15" xr3:uid="{FF4B9CE7-3B18-4B43-B271-CFB7CCA5B779}" name="Monthname" dataDxfId="61">
      <calculatedColumnFormula>TEXT(DATE(2023,Table43[[#This Row],[Month]],1),"mmm")</calculatedColumnFormula>
    </tableColumn>
    <tableColumn id="16" xr3:uid="{D54E2BF8-D3A5-4CA9-9BC3-105DE465E14C}" name="Sparkline (Lines)" dataDxfId="60"/>
    <tableColumn id="17" xr3:uid="{FFCFDCA6-7C63-42A3-B894-C7FFD07AE149}" name="Sparklines (Column)" dataDxfId="5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6BB2-66B0-4ED3-A70C-1CA697E75088}">
  <dimension ref="B5:O12"/>
  <sheetViews>
    <sheetView zoomScale="119" workbookViewId="0">
      <selection activeCell="L12" sqref="L12"/>
    </sheetView>
  </sheetViews>
  <sheetFormatPr defaultRowHeight="14.4" x14ac:dyDescent="0.3"/>
  <cols>
    <col min="2" max="2" width="10.44140625" bestFit="1" customWidth="1"/>
    <col min="5" max="5" width="15.44140625" bestFit="1" customWidth="1"/>
    <col min="6" max="6" width="14.6640625" bestFit="1" customWidth="1"/>
    <col min="7" max="7" width="12.88671875" bestFit="1" customWidth="1"/>
    <col min="9" max="9" width="11" bestFit="1" customWidth="1"/>
    <col min="10" max="10" width="11.44140625" customWidth="1"/>
    <col min="11" max="11" width="11" bestFit="1" customWidth="1"/>
    <col min="12" max="12" width="10.44140625" bestFit="1" customWidth="1"/>
  </cols>
  <sheetData>
    <row r="5" spans="2:15" x14ac:dyDescent="0.3">
      <c r="B5" s="28" t="s">
        <v>78</v>
      </c>
    </row>
    <row r="6" spans="2:15" x14ac:dyDescent="0.3">
      <c r="B6" s="28" t="s">
        <v>75</v>
      </c>
      <c r="D6" s="32" t="s">
        <v>73</v>
      </c>
      <c r="E6" s="31" t="s">
        <v>69</v>
      </c>
      <c r="F6" s="31"/>
      <c r="G6" s="31"/>
      <c r="H6" s="32" t="s">
        <v>74</v>
      </c>
      <c r="I6" s="31" t="s">
        <v>1</v>
      </c>
      <c r="J6" s="31"/>
      <c r="K6" s="31"/>
      <c r="L6" s="33" t="s">
        <v>75</v>
      </c>
      <c r="O6" s="27" t="s">
        <v>77</v>
      </c>
    </row>
    <row r="7" spans="2:15" x14ac:dyDescent="0.3">
      <c r="B7" s="28" t="s">
        <v>1</v>
      </c>
      <c r="D7" s="32"/>
      <c r="E7" s="21" t="s">
        <v>88</v>
      </c>
      <c r="F7" s="21" t="s">
        <v>89</v>
      </c>
      <c r="G7" s="21" t="s">
        <v>90</v>
      </c>
      <c r="H7" s="32"/>
      <c r="I7" s="21" t="s">
        <v>70</v>
      </c>
      <c r="J7" s="21" t="s">
        <v>71</v>
      </c>
      <c r="K7" s="21" t="s">
        <v>72</v>
      </c>
      <c r="L7" s="34"/>
      <c r="O7" s="21" t="s">
        <v>20</v>
      </c>
    </row>
    <row r="8" spans="2:15" x14ac:dyDescent="0.3">
      <c r="D8" s="21">
        <v>1</v>
      </c>
      <c r="E8" s="21">
        <v>50</v>
      </c>
      <c r="F8" s="21">
        <v>51</v>
      </c>
      <c r="G8" s="21">
        <v>99</v>
      </c>
      <c r="H8" s="21" t="s">
        <v>12</v>
      </c>
      <c r="I8" s="29">
        <v>46162</v>
      </c>
      <c r="J8" s="29">
        <f ca="1">TODAY()</f>
        <v>46160</v>
      </c>
      <c r="K8" s="29">
        <f ca="1">TODAY()</f>
        <v>46160</v>
      </c>
      <c r="L8" s="21" t="s">
        <v>91</v>
      </c>
      <c r="O8" s="21" t="s">
        <v>12</v>
      </c>
    </row>
    <row r="9" spans="2:15" x14ac:dyDescent="0.3">
      <c r="D9" s="21">
        <v>2</v>
      </c>
      <c r="E9" s="21">
        <v>40</v>
      </c>
      <c r="F9" s="21">
        <v>85</v>
      </c>
      <c r="G9" s="21">
        <v>5</v>
      </c>
      <c r="H9" s="21" t="s">
        <v>76</v>
      </c>
      <c r="I9" s="29">
        <v>46144</v>
      </c>
      <c r="J9" s="29">
        <v>46161</v>
      </c>
      <c r="K9" s="29">
        <v>46190</v>
      </c>
      <c r="L9" s="21" t="s">
        <v>93</v>
      </c>
      <c r="O9" s="21" t="s">
        <v>76</v>
      </c>
    </row>
    <row r="10" spans="2:15" x14ac:dyDescent="0.3">
      <c r="D10" s="21">
        <v>3</v>
      </c>
      <c r="E10" s="21">
        <v>45</v>
      </c>
      <c r="F10" s="21">
        <v>65</v>
      </c>
      <c r="G10" s="21">
        <v>58</v>
      </c>
      <c r="H10" s="21" t="s">
        <v>23</v>
      </c>
      <c r="I10" s="29">
        <v>46143</v>
      </c>
      <c r="J10" s="29">
        <v>46162</v>
      </c>
      <c r="K10" s="29">
        <v>46220</v>
      </c>
      <c r="L10" s="21" t="s">
        <v>92</v>
      </c>
      <c r="O10" s="21" t="s">
        <v>23</v>
      </c>
    </row>
    <row r="11" spans="2:15" x14ac:dyDescent="0.3">
      <c r="D11" s="21">
        <v>4</v>
      </c>
      <c r="E11" s="21">
        <v>35</v>
      </c>
      <c r="F11" s="21">
        <v>86</v>
      </c>
      <c r="G11" s="21">
        <v>37</v>
      </c>
      <c r="H11" s="21" t="s">
        <v>12</v>
      </c>
      <c r="I11" s="29">
        <v>46174</v>
      </c>
      <c r="J11" s="29">
        <v>46163</v>
      </c>
      <c r="K11" s="29">
        <v>46250</v>
      </c>
      <c r="L11" s="21" t="s">
        <v>95</v>
      </c>
    </row>
    <row r="12" spans="2:15" x14ac:dyDescent="0.3">
      <c r="D12" s="21">
        <v>5</v>
      </c>
      <c r="E12" s="21">
        <v>45</v>
      </c>
      <c r="F12" s="21">
        <v>80</v>
      </c>
      <c r="G12" s="21">
        <v>75</v>
      </c>
      <c r="H12" s="21" t="s">
        <v>76</v>
      </c>
      <c r="I12" s="29">
        <v>46147</v>
      </c>
      <c r="J12" s="29">
        <v>46164</v>
      </c>
      <c r="K12" s="29">
        <v>46280</v>
      </c>
      <c r="L12" s="21" t="s">
        <v>94</v>
      </c>
    </row>
  </sheetData>
  <mergeCells count="5">
    <mergeCell ref="E6:G6"/>
    <mergeCell ref="D6:D7"/>
    <mergeCell ref="H6:H7"/>
    <mergeCell ref="I6:K6"/>
    <mergeCell ref="L6:L7"/>
  </mergeCells>
  <dataValidations count="8">
    <dataValidation type="whole" allowBlank="1" showInputMessage="1" showErrorMessage="1" error="You have enter invalid input._x000a_Please enter number between 10 and 50_x000a_" prompt="Enter numbers that are between 10 and 50." sqref="E8:E12" xr:uid="{09E52164-7980-427C-95FF-00232754F73C}">
      <formula1>10</formula1>
      <formula2>50</formula2>
    </dataValidation>
    <dataValidation type="whole" operator="greaterThan" allowBlank="1" showInputMessage="1" showErrorMessage="1" sqref="F8:F12" xr:uid="{033480D2-FCEA-41C5-B713-90B255E70945}">
      <formula1>50</formula1>
    </dataValidation>
    <dataValidation type="whole" operator="lessThan" allowBlank="1" showInputMessage="1" showErrorMessage="1" sqref="G8:G12" xr:uid="{71351792-4E28-42B7-B2A3-DF30D49A8C91}">
      <formula1>100</formula1>
    </dataValidation>
    <dataValidation type="list" allowBlank="1" showInputMessage="1" showErrorMessage="1" sqref="H8:H12" xr:uid="{3129780F-439C-4E4E-90F9-F577354B4E3D}">
      <formula1>$O$7:$O$10</formula1>
    </dataValidation>
    <dataValidation type="date" allowBlank="1" showInputMessage="1" showErrorMessage="1" sqref="I8:I12" xr:uid="{9BB15FE1-C4C7-40CA-9E1A-C714B5E98F89}">
      <formula1>46143</formula1>
      <formula2>46174</formula2>
    </dataValidation>
    <dataValidation type="date" operator="greaterThan" allowBlank="1" showInputMessage="1" showErrorMessage="1" sqref="J8:J12" xr:uid="{A2253306-882E-4D56-9F06-B4DF6EC0E4AF}">
      <formula1>46142</formula1>
    </dataValidation>
    <dataValidation type="date" operator="lessThan" allowBlank="1" showInputMessage="1" showErrorMessage="1" sqref="K8:K12" xr:uid="{7D340FB7-514F-490F-810A-BBCA3C57A68D}">
      <formula1>46387</formula1>
    </dataValidation>
    <dataValidation type="textLength" allowBlank="1" showInputMessage="1" showErrorMessage="1" sqref="L8:L12" xr:uid="{C37CA3E8-7BBF-4A45-8AD8-5AAC3DE9771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77D5-BA29-42E5-BEA2-6C5A1CD02994}">
  <dimension ref="A1:S501"/>
  <sheetViews>
    <sheetView topLeftCell="B1" zoomScale="107" zoomScaleNormal="100" workbookViewId="0">
      <selection activeCell="M10" sqref="M10"/>
    </sheetView>
  </sheetViews>
  <sheetFormatPr defaultRowHeight="14.4" x14ac:dyDescent="0.3"/>
  <cols>
    <col min="1" max="1" width="11" customWidth="1"/>
    <col min="2" max="2" width="10.5546875" bestFit="1" customWidth="1"/>
    <col min="4" max="4" width="11.88671875" customWidth="1"/>
    <col min="5" max="5" width="10.5546875" customWidth="1"/>
    <col min="6" max="6" width="10.77734375" bestFit="1" customWidth="1"/>
    <col min="8" max="8" width="9.33203125" bestFit="1" customWidth="1"/>
    <col min="10" max="10" width="12" customWidth="1"/>
    <col min="11" max="11" width="13.109375" bestFit="1" customWidth="1"/>
    <col min="18" max="18" width="10.77734375" bestFit="1" customWidth="1"/>
    <col min="19" max="19" width="16.6640625" bestFit="1" customWidth="1"/>
  </cols>
  <sheetData>
    <row r="1" spans="1:19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4" t="s">
        <v>42</v>
      </c>
    </row>
    <row r="2" spans="1:19" ht="15" thickTop="1" x14ac:dyDescent="0.3">
      <c r="A2" s="6">
        <v>1</v>
      </c>
      <c r="B2" s="7">
        <v>45197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9">
        <v>46482.46</v>
      </c>
      <c r="I2" s="8">
        <v>8</v>
      </c>
      <c r="J2" s="10">
        <v>12648.46</v>
      </c>
      <c r="K2" s="24" t="str" cm="1">
        <f t="array" ref="K2">_xlfn.IFS(Table44[[#This Row],[Sales]]&gt;40000,"Best Sales",Table44[[#This Row],[Sales]]&gt;20000,"Average Sales",Table44[[#This Row],[Sales]]&gt;0,"Poor Sales")</f>
        <v>Best Sales</v>
      </c>
    </row>
    <row r="3" spans="1:19" x14ac:dyDescent="0.3">
      <c r="A3" s="11">
        <v>2</v>
      </c>
      <c r="B3" s="12">
        <v>45274</v>
      </c>
      <c r="C3" s="13" t="s">
        <v>15</v>
      </c>
      <c r="D3" s="13" t="s">
        <v>16</v>
      </c>
      <c r="E3" s="13" t="s">
        <v>17</v>
      </c>
      <c r="F3" s="13" t="s">
        <v>13</v>
      </c>
      <c r="G3" s="13" t="s">
        <v>14</v>
      </c>
      <c r="H3" s="14">
        <v>47951.42</v>
      </c>
      <c r="I3" s="13">
        <v>10</v>
      </c>
      <c r="J3" s="15">
        <v>9869.94</v>
      </c>
      <c r="K3" s="14" t="str" cm="1">
        <f t="array" ref="K3">_xlfn.IFS(Table44[[#This Row],[Sales]]&gt;40000,"Best Sales",Table44[[#This Row],[Sales]]&gt;20000,"Average Sales",Table44[[#This Row],[Sales]]&gt;0,"Poor Sales")</f>
        <v>Best Sales</v>
      </c>
      <c r="R3" s="35" t="s">
        <v>85</v>
      </c>
      <c r="S3" s="35"/>
    </row>
    <row r="4" spans="1:19" x14ac:dyDescent="0.3">
      <c r="A4" s="6">
        <v>3</v>
      </c>
      <c r="B4" s="7">
        <v>45136</v>
      </c>
      <c r="C4" s="8" t="s">
        <v>18</v>
      </c>
      <c r="D4" s="8" t="s">
        <v>19</v>
      </c>
      <c r="E4" s="8" t="s">
        <v>20</v>
      </c>
      <c r="F4" s="8" t="s">
        <v>13</v>
      </c>
      <c r="G4" s="8" t="s">
        <v>21</v>
      </c>
      <c r="H4" s="9">
        <v>24461.75</v>
      </c>
      <c r="I4" s="8">
        <v>3</v>
      </c>
      <c r="J4" s="10">
        <v>7086.73</v>
      </c>
      <c r="K4" s="14" t="str" cm="1">
        <f t="array" ref="K4">_xlfn.IFS(Table44[[#This Row],[Sales]]&gt;40000,"Best Sales",Table44[[#This Row],[Sales]]&gt;20000,"Average Sales",Table44[[#This Row],[Sales]]&gt;0,"Poor Sales")</f>
        <v>Average Sales</v>
      </c>
    </row>
    <row r="5" spans="1:19" x14ac:dyDescent="0.3">
      <c r="A5" s="11">
        <v>4</v>
      </c>
      <c r="B5" s="12">
        <v>45044</v>
      </c>
      <c r="C5" s="13" t="s">
        <v>22</v>
      </c>
      <c r="D5" s="13" t="s">
        <v>22</v>
      </c>
      <c r="E5" s="13" t="s">
        <v>23</v>
      </c>
      <c r="F5" s="13" t="s">
        <v>24</v>
      </c>
      <c r="G5" s="13" t="s">
        <v>25</v>
      </c>
      <c r="H5" s="14">
        <v>11804.18</v>
      </c>
      <c r="I5" s="13">
        <v>5</v>
      </c>
      <c r="J5" s="15">
        <v>2281.2199999999998</v>
      </c>
      <c r="K5" s="14" t="str" cm="1">
        <f t="array" ref="K5">_xlfn.IFS(Table44[[#This Row],[Sales]]&gt;40000,"Best Sales",Table44[[#This Row],[Sales]]&gt;20000,"Average Sales",Table44[[#This Row],[Sales]]&gt;0,"Poor Sales")</f>
        <v>Poor Sales</v>
      </c>
      <c r="R5" s="28" t="s">
        <v>79</v>
      </c>
      <c r="S5" s="30" t="s">
        <v>81</v>
      </c>
    </row>
    <row r="6" spans="1:19" x14ac:dyDescent="0.3">
      <c r="A6" s="6">
        <v>5</v>
      </c>
      <c r="B6" s="7">
        <v>45175</v>
      </c>
      <c r="C6" s="8" t="s">
        <v>26</v>
      </c>
      <c r="D6" s="8" t="s">
        <v>27</v>
      </c>
      <c r="E6" s="8" t="s">
        <v>12</v>
      </c>
      <c r="F6" s="8" t="s">
        <v>24</v>
      </c>
      <c r="G6" s="8" t="s">
        <v>28</v>
      </c>
      <c r="H6" s="9">
        <v>32428.83</v>
      </c>
      <c r="I6" s="8">
        <v>7</v>
      </c>
      <c r="J6" s="10">
        <v>6931.45</v>
      </c>
      <c r="K6" s="14" t="str" cm="1">
        <f t="array" ref="K6">_xlfn.IFS(Table44[[#This Row],[Sales]]&gt;40000,"Best Sales",Table44[[#This Row],[Sales]]&gt;20000,"Average Sales",Table44[[#This Row],[Sales]]&gt;0,"Poor Sales")</f>
        <v>Average Sales</v>
      </c>
      <c r="R6" s="28" t="s">
        <v>80</v>
      </c>
      <c r="S6" s="30" t="s">
        <v>82</v>
      </c>
    </row>
    <row r="7" spans="1:19" x14ac:dyDescent="0.3">
      <c r="A7" s="11">
        <v>6</v>
      </c>
      <c r="B7" s="12">
        <v>45004</v>
      </c>
      <c r="C7" s="13" t="s">
        <v>18</v>
      </c>
      <c r="D7" s="13" t="s">
        <v>19</v>
      </c>
      <c r="E7" s="13" t="s">
        <v>17</v>
      </c>
      <c r="F7" s="13" t="s">
        <v>24</v>
      </c>
      <c r="G7" s="13" t="s">
        <v>29</v>
      </c>
      <c r="H7" s="14">
        <v>25931.95</v>
      </c>
      <c r="I7" s="13">
        <v>4</v>
      </c>
      <c r="J7" s="15">
        <v>1541.8</v>
      </c>
      <c r="K7" s="14" t="str" cm="1">
        <f t="array" ref="K7">_xlfn.IFS(Table44[[#This Row],[Sales]]&gt;40000,"Best Sales",Table44[[#This Row],[Sales]]&gt;20000,"Average Sales",Table44[[#This Row],[Sales]]&gt;0,"Poor Sales")</f>
        <v>Average Sales</v>
      </c>
      <c r="R7" s="28" t="s">
        <v>83</v>
      </c>
      <c r="S7" s="30" t="s">
        <v>84</v>
      </c>
    </row>
    <row r="8" spans="1:19" x14ac:dyDescent="0.3">
      <c r="A8" s="6">
        <v>7</v>
      </c>
      <c r="B8" s="7">
        <v>45258</v>
      </c>
      <c r="C8" s="8" t="s">
        <v>30</v>
      </c>
      <c r="D8" s="8" t="s">
        <v>16</v>
      </c>
      <c r="E8" s="8" t="s">
        <v>23</v>
      </c>
      <c r="F8" s="8" t="s">
        <v>24</v>
      </c>
      <c r="G8" s="8" t="s">
        <v>25</v>
      </c>
      <c r="H8" s="9">
        <v>15599.35</v>
      </c>
      <c r="I8" s="8">
        <v>4</v>
      </c>
      <c r="J8" s="10">
        <v>2837.29</v>
      </c>
      <c r="K8" s="14" t="str" cm="1">
        <f t="array" ref="K8">_xlfn.IFS(Table44[[#This Row],[Sales]]&gt;40000,"Best Sales",Table44[[#This Row],[Sales]]&gt;20000,"Average Sales",Table44[[#This Row],[Sales]]&gt;0,"Poor Sales")</f>
        <v>Poor Sales</v>
      </c>
    </row>
    <row r="9" spans="1:19" x14ac:dyDescent="0.3">
      <c r="A9" s="11">
        <v>8</v>
      </c>
      <c r="B9" s="12">
        <v>45165</v>
      </c>
      <c r="C9" s="13" t="s">
        <v>18</v>
      </c>
      <c r="D9" s="13" t="s">
        <v>19</v>
      </c>
      <c r="E9" s="13" t="s">
        <v>20</v>
      </c>
      <c r="F9" s="13" t="s">
        <v>31</v>
      </c>
      <c r="G9" s="13" t="s">
        <v>32</v>
      </c>
      <c r="H9" s="14">
        <v>31649</v>
      </c>
      <c r="I9" s="13">
        <v>5</v>
      </c>
      <c r="J9" s="15">
        <v>3646.09</v>
      </c>
      <c r="K9" s="14" t="str" cm="1">
        <f t="array" ref="K9">_xlfn.IFS(Table44[[#This Row],[Sales]]&gt;40000,"Best Sales",Table44[[#This Row],[Sales]]&gt;20000,"Average Sales",Table44[[#This Row],[Sales]]&gt;0,"Poor Sales")</f>
        <v>Average Sales</v>
      </c>
    </row>
    <row r="10" spans="1:19" x14ac:dyDescent="0.3">
      <c r="A10" s="6">
        <v>9</v>
      </c>
      <c r="B10" s="7">
        <v>45027</v>
      </c>
      <c r="C10" s="8" t="s">
        <v>15</v>
      </c>
      <c r="D10" s="8" t="s">
        <v>16</v>
      </c>
      <c r="E10" s="8" t="s">
        <v>12</v>
      </c>
      <c r="F10" s="8" t="s">
        <v>24</v>
      </c>
      <c r="G10" s="8" t="s">
        <v>29</v>
      </c>
      <c r="H10" s="9">
        <v>555555</v>
      </c>
      <c r="I10" s="8">
        <v>7</v>
      </c>
      <c r="J10" s="10">
        <v>2025</v>
      </c>
      <c r="K10" s="14" t="str" cm="1">
        <f t="array" ref="K10">_xlfn.IFS(Table44[[#This Row],[Sales]]&gt;40000,"Best Sales",Table44[[#This Row],[Sales]]&gt;20000,"Average Sales",Table44[[#This Row],[Sales]]&gt;0,"Poor Sales")</f>
        <v>Best Sales</v>
      </c>
    </row>
    <row r="11" spans="1:19" x14ac:dyDescent="0.3">
      <c r="A11" s="11">
        <v>10</v>
      </c>
      <c r="B11" s="12">
        <v>45097</v>
      </c>
      <c r="C11" s="13" t="s">
        <v>30</v>
      </c>
      <c r="D11" s="13" t="s">
        <v>16</v>
      </c>
      <c r="E11" s="13" t="s">
        <v>17</v>
      </c>
      <c r="F11" s="13" t="s">
        <v>31</v>
      </c>
      <c r="G11" s="13" t="s">
        <v>33</v>
      </c>
      <c r="H11" s="14">
        <v>31852.71</v>
      </c>
      <c r="I11" s="13">
        <v>5</v>
      </c>
      <c r="J11" s="15">
        <v>9113.66</v>
      </c>
      <c r="K11" s="14" t="str" cm="1">
        <f t="array" ref="K11">_xlfn.IFS(Table44[[#This Row],[Sales]]&gt;40000,"Best Sales",Table44[[#This Row],[Sales]]&gt;20000,"Average Sales",Table44[[#This Row],[Sales]]&gt;0,"Poor Sales")</f>
        <v>Average Sales</v>
      </c>
    </row>
    <row r="12" spans="1:19" x14ac:dyDescent="0.3">
      <c r="A12" s="6">
        <v>11</v>
      </c>
      <c r="B12" s="7">
        <v>45272</v>
      </c>
      <c r="C12" s="8" t="s">
        <v>22</v>
      </c>
      <c r="D12" s="8" t="s">
        <v>22</v>
      </c>
      <c r="E12" s="8" t="s">
        <v>23</v>
      </c>
      <c r="F12" s="8" t="s">
        <v>31</v>
      </c>
      <c r="G12" s="8" t="s">
        <v>32</v>
      </c>
      <c r="H12" s="9">
        <v>46127.15</v>
      </c>
      <c r="I12" s="8">
        <v>7</v>
      </c>
      <c r="J12" s="10">
        <v>12556.39</v>
      </c>
      <c r="K12" s="14" t="str" cm="1">
        <f t="array" ref="K12">_xlfn.IFS(Table44[[#This Row],[Sales]]&gt;40000,"Best Sales",Table44[[#This Row],[Sales]]&gt;20000,"Average Sales",Table44[[#This Row],[Sales]]&gt;0,"Poor Sales")</f>
        <v>Best Sales</v>
      </c>
    </row>
    <row r="13" spans="1:19" x14ac:dyDescent="0.3">
      <c r="A13" s="11">
        <v>12</v>
      </c>
      <c r="B13" s="12">
        <v>45123</v>
      </c>
      <c r="C13" s="13" t="s">
        <v>18</v>
      </c>
      <c r="D13" s="13" t="s">
        <v>19</v>
      </c>
      <c r="E13" s="13" t="s">
        <v>20</v>
      </c>
      <c r="F13" s="13" t="s">
        <v>13</v>
      </c>
      <c r="G13" s="13" t="s">
        <v>34</v>
      </c>
      <c r="H13" s="14">
        <v>16045.71</v>
      </c>
      <c r="I13" s="13">
        <v>10</v>
      </c>
      <c r="J13" s="15">
        <v>921.15</v>
      </c>
      <c r="K13" s="14" t="str" cm="1">
        <f t="array" ref="K13">_xlfn.IFS(Table44[[#This Row],[Sales]]&gt;40000,"Best Sales",Table44[[#This Row],[Sales]]&gt;20000,"Average Sales",Table44[[#This Row],[Sales]]&gt;0,"Poor Sales")</f>
        <v>Poor Sales</v>
      </c>
    </row>
    <row r="14" spans="1:19" x14ac:dyDescent="0.3">
      <c r="A14" s="6">
        <v>13</v>
      </c>
      <c r="B14" s="7">
        <v>45004</v>
      </c>
      <c r="C14" s="8" t="s">
        <v>35</v>
      </c>
      <c r="D14" s="8" t="s">
        <v>36</v>
      </c>
      <c r="E14" s="8" t="s">
        <v>20</v>
      </c>
      <c r="F14" s="8" t="s">
        <v>31</v>
      </c>
      <c r="G14" s="8" t="s">
        <v>32</v>
      </c>
      <c r="H14" s="9">
        <v>17293.28</v>
      </c>
      <c r="I14" s="8">
        <v>3</v>
      </c>
      <c r="J14" s="10">
        <v>3755.05</v>
      </c>
      <c r="K14" s="14" t="str" cm="1">
        <f t="array" ref="K14">_xlfn.IFS(Table44[[#This Row],[Sales]]&gt;40000,"Best Sales",Table44[[#This Row],[Sales]]&gt;20000,"Average Sales",Table44[[#This Row],[Sales]]&gt;0,"Poor Sales")</f>
        <v>Poor Sales</v>
      </c>
    </row>
    <row r="15" spans="1:19" x14ac:dyDescent="0.3">
      <c r="A15" s="11">
        <v>14</v>
      </c>
      <c r="B15" s="12">
        <v>45278</v>
      </c>
      <c r="C15" s="13" t="s">
        <v>37</v>
      </c>
      <c r="D15" s="13" t="s">
        <v>27</v>
      </c>
      <c r="E15" s="13" t="s">
        <v>12</v>
      </c>
      <c r="F15" s="13" t="s">
        <v>13</v>
      </c>
      <c r="G15" s="13" t="s">
        <v>34</v>
      </c>
      <c r="H15" s="14">
        <v>34137.550000000003</v>
      </c>
      <c r="I15" s="13">
        <v>4</v>
      </c>
      <c r="J15" s="15">
        <v>1912.63</v>
      </c>
      <c r="K15" s="14" t="str" cm="1">
        <f t="array" ref="K15">_xlfn.IFS(Table44[[#This Row],[Sales]]&gt;40000,"Best Sales",Table44[[#This Row],[Sales]]&gt;20000,"Average Sales",Table44[[#This Row],[Sales]]&gt;0,"Poor Sales")</f>
        <v>Average Sales</v>
      </c>
    </row>
    <row r="16" spans="1:19" x14ac:dyDescent="0.3">
      <c r="A16" s="6">
        <v>15</v>
      </c>
      <c r="B16" s="7">
        <v>44966</v>
      </c>
      <c r="C16" s="8" t="s">
        <v>38</v>
      </c>
      <c r="D16" s="8" t="s">
        <v>27</v>
      </c>
      <c r="E16" s="8" t="s">
        <v>17</v>
      </c>
      <c r="F16" s="8" t="s">
        <v>24</v>
      </c>
      <c r="G16" s="8" t="s">
        <v>29</v>
      </c>
      <c r="H16" s="9">
        <v>37166.230000000003</v>
      </c>
      <c r="I16" s="8">
        <v>9</v>
      </c>
      <c r="J16" s="10">
        <v>4660.25</v>
      </c>
      <c r="K16" s="14" t="str" cm="1">
        <f t="array" ref="K16">_xlfn.IFS(Table44[[#This Row],[Sales]]&gt;40000,"Best Sales",Table44[[#This Row],[Sales]]&gt;20000,"Average Sales",Table44[[#This Row],[Sales]]&gt;0,"Poor Sales")</f>
        <v>Average Sales</v>
      </c>
    </row>
    <row r="17" spans="1:11" x14ac:dyDescent="0.3">
      <c r="A17" s="11">
        <v>16</v>
      </c>
      <c r="B17" s="12">
        <v>45001</v>
      </c>
      <c r="C17" s="13" t="s">
        <v>38</v>
      </c>
      <c r="D17" s="13" t="s">
        <v>27</v>
      </c>
      <c r="E17" s="13" t="s">
        <v>17</v>
      </c>
      <c r="F17" s="13" t="s">
        <v>13</v>
      </c>
      <c r="G17" s="13" t="s">
        <v>21</v>
      </c>
      <c r="H17" s="14">
        <v>7067.15</v>
      </c>
      <c r="I17" s="13">
        <v>10</v>
      </c>
      <c r="J17" s="15">
        <v>959.24</v>
      </c>
      <c r="K17" s="14" t="str" cm="1">
        <f t="array" ref="K17">_xlfn.IFS(Table44[[#This Row],[Sales]]&gt;40000,"Best Sales",Table44[[#This Row],[Sales]]&gt;20000,"Average Sales",Table44[[#This Row],[Sales]]&gt;0,"Poor Sales")</f>
        <v>Poor Sales</v>
      </c>
    </row>
    <row r="18" spans="1:11" x14ac:dyDescent="0.3">
      <c r="A18" s="6">
        <v>17</v>
      </c>
      <c r="B18" s="7">
        <v>45119</v>
      </c>
      <c r="C18" s="8" t="s">
        <v>15</v>
      </c>
      <c r="D18" s="8" t="s">
        <v>16</v>
      </c>
      <c r="E18" s="8" t="s">
        <v>17</v>
      </c>
      <c r="F18" s="8" t="s">
        <v>31</v>
      </c>
      <c r="G18" s="8" t="s">
        <v>33</v>
      </c>
      <c r="H18" s="9">
        <v>28440.25</v>
      </c>
      <c r="I18" s="8">
        <v>7</v>
      </c>
      <c r="J18" s="10">
        <v>8317.2999999999993</v>
      </c>
      <c r="K18" s="14" t="str" cm="1">
        <f t="array" ref="K18">_xlfn.IFS(Table44[[#This Row],[Sales]]&gt;40000,"Best Sales",Table44[[#This Row],[Sales]]&gt;20000,"Average Sales",Table44[[#This Row],[Sales]]&gt;0,"Poor Sales")</f>
        <v>Average Sales</v>
      </c>
    </row>
    <row r="19" spans="1:11" x14ac:dyDescent="0.3">
      <c r="A19" s="11">
        <v>18</v>
      </c>
      <c r="B19" s="12">
        <v>45259</v>
      </c>
      <c r="C19" s="13" t="s">
        <v>22</v>
      </c>
      <c r="D19" s="13" t="s">
        <v>22</v>
      </c>
      <c r="E19" s="13" t="s">
        <v>17</v>
      </c>
      <c r="F19" s="13" t="s">
        <v>13</v>
      </c>
      <c r="G19" s="13" t="s">
        <v>34</v>
      </c>
      <c r="H19" s="14">
        <v>4336.55</v>
      </c>
      <c r="I19" s="13">
        <v>10</v>
      </c>
      <c r="J19" s="15">
        <v>883.82</v>
      </c>
      <c r="K19" s="14" t="str" cm="1">
        <f t="array" ref="K19">_xlfn.IFS(Table44[[#This Row],[Sales]]&gt;40000,"Best Sales",Table44[[#This Row],[Sales]]&gt;20000,"Average Sales",Table44[[#This Row],[Sales]]&gt;0,"Poor Sales")</f>
        <v>Poor Sales</v>
      </c>
    </row>
    <row r="20" spans="1:11" x14ac:dyDescent="0.3">
      <c r="A20" s="6">
        <v>19</v>
      </c>
      <c r="B20" s="7">
        <v>45282</v>
      </c>
      <c r="C20" s="8" t="s">
        <v>22</v>
      </c>
      <c r="D20" s="8" t="s">
        <v>22</v>
      </c>
      <c r="E20" s="8" t="s">
        <v>17</v>
      </c>
      <c r="F20" s="8" t="s">
        <v>13</v>
      </c>
      <c r="G20" s="8" t="s">
        <v>14</v>
      </c>
      <c r="H20" s="9">
        <v>1239.49</v>
      </c>
      <c r="I20" s="8">
        <v>4</v>
      </c>
      <c r="J20" s="10">
        <v>278.37</v>
      </c>
      <c r="K20" s="14" t="str" cm="1">
        <f t="array" ref="K20">_xlfn.IFS(Table44[[#This Row],[Sales]]&gt;40000,"Best Sales",Table44[[#This Row],[Sales]]&gt;20000,"Average Sales",Table44[[#This Row],[Sales]]&gt;0,"Poor Sales")</f>
        <v>Poor Sales</v>
      </c>
    </row>
    <row r="21" spans="1:11" x14ac:dyDescent="0.3">
      <c r="A21" s="11">
        <v>20</v>
      </c>
      <c r="B21" s="12">
        <v>45003</v>
      </c>
      <c r="C21" s="13" t="s">
        <v>26</v>
      </c>
      <c r="D21" s="13" t="s">
        <v>27</v>
      </c>
      <c r="E21" s="13" t="s">
        <v>17</v>
      </c>
      <c r="F21" s="13" t="s">
        <v>24</v>
      </c>
      <c r="G21" s="13" t="s">
        <v>25</v>
      </c>
      <c r="H21" s="14">
        <v>12013.15</v>
      </c>
      <c r="I21" s="13">
        <v>7</v>
      </c>
      <c r="J21" s="15">
        <v>968.92</v>
      </c>
      <c r="K21" s="14" t="str" cm="1">
        <f t="array" ref="K21">_xlfn.IFS(Table44[[#This Row],[Sales]]&gt;40000,"Best Sales",Table44[[#This Row],[Sales]]&gt;20000,"Average Sales",Table44[[#This Row],[Sales]]&gt;0,"Poor Sales")</f>
        <v>Poor Sales</v>
      </c>
    </row>
    <row r="22" spans="1:11" x14ac:dyDescent="0.3">
      <c r="A22" s="6">
        <v>21</v>
      </c>
      <c r="B22" s="7">
        <v>44972</v>
      </c>
      <c r="C22" s="8" t="s">
        <v>10</v>
      </c>
      <c r="D22" s="8" t="s">
        <v>11</v>
      </c>
      <c r="E22" s="8" t="s">
        <v>17</v>
      </c>
      <c r="F22" s="8" t="s">
        <v>31</v>
      </c>
      <c r="G22" s="8" t="s">
        <v>39</v>
      </c>
      <c r="H22" s="9">
        <v>43252.06</v>
      </c>
      <c r="I22" s="8">
        <v>10</v>
      </c>
      <c r="J22" s="10">
        <v>8949.06</v>
      </c>
      <c r="K22" s="14" t="str" cm="1">
        <f t="array" ref="K22">_xlfn.IFS(Table44[[#This Row],[Sales]]&gt;40000,"Best Sales",Table44[[#This Row],[Sales]]&gt;20000,"Average Sales",Table44[[#This Row],[Sales]]&gt;0,"Poor Sales")</f>
        <v>Best Sales</v>
      </c>
    </row>
    <row r="23" spans="1:11" x14ac:dyDescent="0.3">
      <c r="A23" s="11">
        <v>22</v>
      </c>
      <c r="B23" s="12">
        <v>45175</v>
      </c>
      <c r="C23" s="13" t="s">
        <v>26</v>
      </c>
      <c r="D23" s="13" t="s">
        <v>27</v>
      </c>
      <c r="E23" s="13" t="s">
        <v>17</v>
      </c>
      <c r="F23" s="13" t="s">
        <v>24</v>
      </c>
      <c r="G23" s="13" t="s">
        <v>29</v>
      </c>
      <c r="H23" s="14">
        <v>13136.74</v>
      </c>
      <c r="I23" s="13">
        <v>10</v>
      </c>
      <c r="J23" s="15">
        <v>2907.53</v>
      </c>
      <c r="K23" s="14" t="str" cm="1">
        <f t="array" ref="K23">_xlfn.IFS(Table44[[#This Row],[Sales]]&gt;40000,"Best Sales",Table44[[#This Row],[Sales]]&gt;20000,"Average Sales",Table44[[#This Row],[Sales]]&gt;0,"Poor Sales")</f>
        <v>Poor Sales</v>
      </c>
    </row>
    <row r="24" spans="1:11" x14ac:dyDescent="0.3">
      <c r="A24" s="6">
        <v>23</v>
      </c>
      <c r="B24" s="7">
        <v>45260</v>
      </c>
      <c r="C24" s="8" t="s">
        <v>26</v>
      </c>
      <c r="D24" s="8" t="s">
        <v>27</v>
      </c>
      <c r="E24" s="8" t="s">
        <v>20</v>
      </c>
      <c r="F24" s="8" t="s">
        <v>31</v>
      </c>
      <c r="G24" s="8" t="s">
        <v>39</v>
      </c>
      <c r="H24" s="9">
        <v>35956.54</v>
      </c>
      <c r="I24" s="8">
        <v>1</v>
      </c>
      <c r="J24" s="10">
        <v>6308.41</v>
      </c>
      <c r="K24" s="14" t="str" cm="1">
        <f t="array" ref="K24">_xlfn.IFS(Table44[[#This Row],[Sales]]&gt;40000,"Best Sales",Table44[[#This Row],[Sales]]&gt;20000,"Average Sales",Table44[[#This Row],[Sales]]&gt;0,"Poor Sales")</f>
        <v>Average Sales</v>
      </c>
    </row>
    <row r="25" spans="1:11" x14ac:dyDescent="0.3">
      <c r="A25" s="11">
        <v>24</v>
      </c>
      <c r="B25" s="12">
        <v>45103</v>
      </c>
      <c r="C25" s="13" t="s">
        <v>18</v>
      </c>
      <c r="D25" s="13" t="s">
        <v>19</v>
      </c>
      <c r="E25" s="13" t="s">
        <v>20</v>
      </c>
      <c r="F25" s="13" t="s">
        <v>31</v>
      </c>
      <c r="G25" s="13" t="s">
        <v>33</v>
      </c>
      <c r="H25" s="14">
        <v>36894.9</v>
      </c>
      <c r="I25" s="13">
        <v>5</v>
      </c>
      <c r="J25" s="15">
        <v>10265.879999999999</v>
      </c>
      <c r="K25" s="14" t="str" cm="1">
        <f t="array" ref="K25">_xlfn.IFS(Table44[[#This Row],[Sales]]&gt;40000,"Best Sales",Table44[[#This Row],[Sales]]&gt;20000,"Average Sales",Table44[[#This Row],[Sales]]&gt;0,"Poor Sales")</f>
        <v>Average Sales</v>
      </c>
    </row>
    <row r="26" spans="1:11" x14ac:dyDescent="0.3">
      <c r="A26" s="6">
        <v>25</v>
      </c>
      <c r="B26" s="7">
        <v>45176</v>
      </c>
      <c r="C26" s="8" t="s">
        <v>35</v>
      </c>
      <c r="D26" s="8" t="s">
        <v>36</v>
      </c>
      <c r="E26" s="8" t="s">
        <v>12</v>
      </c>
      <c r="F26" s="8" t="s">
        <v>13</v>
      </c>
      <c r="G26" s="8" t="s">
        <v>34</v>
      </c>
      <c r="H26" s="9">
        <v>36393.839999999997</v>
      </c>
      <c r="I26" s="8">
        <v>2</v>
      </c>
      <c r="J26" s="10">
        <v>4029.33</v>
      </c>
      <c r="K26" s="14" t="str" cm="1">
        <f t="array" ref="K26">_xlfn.IFS(Table44[[#This Row],[Sales]]&gt;40000,"Best Sales",Table44[[#This Row],[Sales]]&gt;20000,"Average Sales",Table44[[#This Row],[Sales]]&gt;0,"Poor Sales")</f>
        <v>Average Sales</v>
      </c>
    </row>
    <row r="27" spans="1:11" x14ac:dyDescent="0.3">
      <c r="A27" s="11">
        <v>26</v>
      </c>
      <c r="B27" s="12">
        <v>45153</v>
      </c>
      <c r="C27" s="13" t="s">
        <v>26</v>
      </c>
      <c r="D27" s="13" t="s">
        <v>27</v>
      </c>
      <c r="E27" s="13" t="s">
        <v>12</v>
      </c>
      <c r="F27" s="13" t="s">
        <v>24</v>
      </c>
      <c r="G27" s="13" t="s">
        <v>29</v>
      </c>
      <c r="H27" s="14">
        <v>18244.080000000002</v>
      </c>
      <c r="I27" s="13">
        <v>10</v>
      </c>
      <c r="J27" s="15">
        <v>1308.29</v>
      </c>
      <c r="K27" s="14" t="str" cm="1">
        <f t="array" ref="K27">_xlfn.IFS(Table44[[#This Row],[Sales]]&gt;40000,"Best Sales",Table44[[#This Row],[Sales]]&gt;20000,"Average Sales",Table44[[#This Row],[Sales]]&gt;0,"Poor Sales")</f>
        <v>Poor Sales</v>
      </c>
    </row>
    <row r="28" spans="1:11" x14ac:dyDescent="0.3">
      <c r="A28" s="6">
        <v>27</v>
      </c>
      <c r="B28" s="7">
        <v>45050</v>
      </c>
      <c r="C28" s="8" t="s">
        <v>18</v>
      </c>
      <c r="D28" s="8" t="s">
        <v>19</v>
      </c>
      <c r="E28" s="8" t="s">
        <v>12</v>
      </c>
      <c r="F28" s="8" t="s">
        <v>24</v>
      </c>
      <c r="G28" s="8" t="s">
        <v>25</v>
      </c>
      <c r="H28" s="9">
        <v>39573.279999999999</v>
      </c>
      <c r="I28" s="8">
        <v>7</v>
      </c>
      <c r="J28" s="10">
        <v>6877.16</v>
      </c>
      <c r="K28" s="14" t="str" cm="1">
        <f t="array" ref="K28">_xlfn.IFS(Table44[[#This Row],[Sales]]&gt;40000,"Best Sales",Table44[[#This Row],[Sales]]&gt;20000,"Average Sales",Table44[[#This Row],[Sales]]&gt;0,"Poor Sales")</f>
        <v>Average Sales</v>
      </c>
    </row>
    <row r="29" spans="1:11" x14ac:dyDescent="0.3">
      <c r="A29" s="11">
        <v>28</v>
      </c>
      <c r="B29" s="12">
        <v>44968</v>
      </c>
      <c r="C29" s="13" t="s">
        <v>37</v>
      </c>
      <c r="D29" s="13" t="s">
        <v>27</v>
      </c>
      <c r="E29" s="13" t="s">
        <v>12</v>
      </c>
      <c r="F29" s="13" t="s">
        <v>24</v>
      </c>
      <c r="G29" s="13" t="s">
        <v>25</v>
      </c>
      <c r="H29" s="14">
        <v>16112.12</v>
      </c>
      <c r="I29" s="13">
        <v>2</v>
      </c>
      <c r="J29" s="15">
        <v>2614.2399999999998</v>
      </c>
      <c r="K29" s="14" t="str" cm="1">
        <f t="array" ref="K29">_xlfn.IFS(Table44[[#This Row],[Sales]]&gt;40000,"Best Sales",Table44[[#This Row],[Sales]]&gt;20000,"Average Sales",Table44[[#This Row],[Sales]]&gt;0,"Poor Sales")</f>
        <v>Poor Sales</v>
      </c>
    </row>
    <row r="30" spans="1:11" x14ac:dyDescent="0.3">
      <c r="A30" s="6">
        <v>29</v>
      </c>
      <c r="B30" s="7">
        <v>45166</v>
      </c>
      <c r="C30" s="8" t="s">
        <v>18</v>
      </c>
      <c r="D30" s="8" t="s">
        <v>19</v>
      </c>
      <c r="E30" s="8" t="s">
        <v>12</v>
      </c>
      <c r="F30" s="8" t="s">
        <v>13</v>
      </c>
      <c r="G30" s="8" t="s">
        <v>14</v>
      </c>
      <c r="H30" s="9">
        <v>17197.509999999998</v>
      </c>
      <c r="I30" s="8">
        <v>3</v>
      </c>
      <c r="J30" s="10">
        <v>1675.41</v>
      </c>
      <c r="K30" s="14" t="str" cm="1">
        <f t="array" ref="K30">_xlfn.IFS(Table44[[#This Row],[Sales]]&gt;40000,"Best Sales",Table44[[#This Row],[Sales]]&gt;20000,"Average Sales",Table44[[#This Row],[Sales]]&gt;0,"Poor Sales")</f>
        <v>Poor Sales</v>
      </c>
    </row>
    <row r="31" spans="1:11" x14ac:dyDescent="0.3">
      <c r="A31" s="11">
        <v>30</v>
      </c>
      <c r="B31" s="12">
        <v>44995</v>
      </c>
      <c r="C31" s="13" t="s">
        <v>30</v>
      </c>
      <c r="D31" s="13" t="s">
        <v>16</v>
      </c>
      <c r="E31" s="13" t="s">
        <v>12</v>
      </c>
      <c r="F31" s="13" t="s">
        <v>31</v>
      </c>
      <c r="G31" s="13" t="s">
        <v>39</v>
      </c>
      <c r="H31" s="14">
        <v>40062.949999999997</v>
      </c>
      <c r="I31" s="13">
        <v>5</v>
      </c>
      <c r="J31" s="15">
        <v>11536.21</v>
      </c>
      <c r="K31" s="14" t="str" cm="1">
        <f t="array" ref="K31">_xlfn.IFS(Table44[[#This Row],[Sales]]&gt;40000,"Best Sales",Table44[[#This Row],[Sales]]&gt;20000,"Average Sales",Table44[[#This Row],[Sales]]&gt;0,"Poor Sales")</f>
        <v>Best Sales</v>
      </c>
    </row>
    <row r="32" spans="1:11" x14ac:dyDescent="0.3">
      <c r="A32" s="6">
        <v>31</v>
      </c>
      <c r="B32" s="7">
        <v>45217</v>
      </c>
      <c r="C32" s="8" t="s">
        <v>15</v>
      </c>
      <c r="D32" s="8" t="s">
        <v>16</v>
      </c>
      <c r="E32" s="8" t="s">
        <v>12</v>
      </c>
      <c r="F32" s="8" t="s">
        <v>24</v>
      </c>
      <c r="G32" s="8" t="s">
        <v>25</v>
      </c>
      <c r="H32" s="9">
        <v>30699.4</v>
      </c>
      <c r="I32" s="8">
        <v>2</v>
      </c>
      <c r="J32" s="10">
        <v>5821.81</v>
      </c>
      <c r="K32" s="14" t="str" cm="1">
        <f t="array" ref="K32">_xlfn.IFS(Table44[[#This Row],[Sales]]&gt;40000,"Best Sales",Table44[[#This Row],[Sales]]&gt;20000,"Average Sales",Table44[[#This Row],[Sales]]&gt;0,"Poor Sales")</f>
        <v>Average Sales</v>
      </c>
    </row>
    <row r="33" spans="1:11" x14ac:dyDescent="0.3">
      <c r="A33" s="11">
        <v>32</v>
      </c>
      <c r="B33" s="12">
        <v>45127</v>
      </c>
      <c r="C33" s="13" t="s">
        <v>22</v>
      </c>
      <c r="D33" s="13" t="s">
        <v>22</v>
      </c>
      <c r="E33" s="13" t="s">
        <v>12</v>
      </c>
      <c r="F33" s="13" t="s">
        <v>31</v>
      </c>
      <c r="G33" s="13" t="s">
        <v>32</v>
      </c>
      <c r="H33" s="14">
        <v>46798.46</v>
      </c>
      <c r="I33" s="13">
        <v>8</v>
      </c>
      <c r="J33" s="15">
        <v>12650.58</v>
      </c>
      <c r="K33" s="14" t="str" cm="1">
        <f t="array" ref="K33">_xlfn.IFS(Table44[[#This Row],[Sales]]&gt;40000,"Best Sales",Table44[[#This Row],[Sales]]&gt;20000,"Average Sales",Table44[[#This Row],[Sales]]&gt;0,"Poor Sales")</f>
        <v>Best Sales</v>
      </c>
    </row>
    <row r="34" spans="1:11" x14ac:dyDescent="0.3">
      <c r="A34" s="6">
        <v>33</v>
      </c>
      <c r="B34" s="7">
        <v>45005</v>
      </c>
      <c r="C34" s="8" t="s">
        <v>30</v>
      </c>
      <c r="D34" s="8" t="s">
        <v>16</v>
      </c>
      <c r="E34" s="8" t="s">
        <v>12</v>
      </c>
      <c r="F34" s="8" t="s">
        <v>24</v>
      </c>
      <c r="G34" s="8" t="s">
        <v>28</v>
      </c>
      <c r="H34" s="9">
        <v>18545.72</v>
      </c>
      <c r="I34" s="8">
        <v>9</v>
      </c>
      <c r="J34" s="10">
        <v>3893.71</v>
      </c>
      <c r="K34" s="14" t="str" cm="1">
        <f t="array" ref="K34">_xlfn.IFS(Table44[[#This Row],[Sales]]&gt;40000,"Best Sales",Table44[[#This Row],[Sales]]&gt;20000,"Average Sales",Table44[[#This Row],[Sales]]&gt;0,"Poor Sales")</f>
        <v>Poor Sales</v>
      </c>
    </row>
    <row r="35" spans="1:11" x14ac:dyDescent="0.3">
      <c r="A35" s="11">
        <v>34</v>
      </c>
      <c r="B35" s="12">
        <v>45097</v>
      </c>
      <c r="C35" s="13" t="s">
        <v>15</v>
      </c>
      <c r="D35" s="13" t="s">
        <v>16</v>
      </c>
      <c r="E35" s="13" t="s">
        <v>12</v>
      </c>
      <c r="F35" s="13" t="s">
        <v>24</v>
      </c>
      <c r="G35" s="13" t="s">
        <v>25</v>
      </c>
      <c r="H35" s="14">
        <v>47078.67</v>
      </c>
      <c r="I35" s="13">
        <v>4</v>
      </c>
      <c r="J35" s="15">
        <v>5416.29</v>
      </c>
      <c r="K35" s="14" t="str" cm="1">
        <f t="array" ref="K35">_xlfn.IFS(Table44[[#This Row],[Sales]]&gt;40000,"Best Sales",Table44[[#This Row],[Sales]]&gt;20000,"Average Sales",Table44[[#This Row],[Sales]]&gt;0,"Poor Sales")</f>
        <v>Best Sales</v>
      </c>
    </row>
    <row r="36" spans="1:11" x14ac:dyDescent="0.3">
      <c r="A36" s="6">
        <v>35</v>
      </c>
      <c r="B36" s="7">
        <v>44983</v>
      </c>
      <c r="C36" s="8" t="s">
        <v>37</v>
      </c>
      <c r="D36" s="8" t="s">
        <v>27</v>
      </c>
      <c r="E36" s="8" t="s">
        <v>12</v>
      </c>
      <c r="F36" s="8" t="s">
        <v>13</v>
      </c>
      <c r="G36" s="8" t="s">
        <v>21</v>
      </c>
      <c r="H36" s="9">
        <v>45410.16</v>
      </c>
      <c r="I36" s="8">
        <v>2</v>
      </c>
      <c r="J36" s="10">
        <v>6601.61</v>
      </c>
      <c r="K36" s="14" t="str" cm="1">
        <f t="array" ref="K36">_xlfn.IFS(Table44[[#This Row],[Sales]]&gt;40000,"Best Sales",Table44[[#This Row],[Sales]]&gt;20000,"Average Sales",Table44[[#This Row],[Sales]]&gt;0,"Poor Sales")</f>
        <v>Best Sales</v>
      </c>
    </row>
    <row r="37" spans="1:11" x14ac:dyDescent="0.3">
      <c r="A37" s="11">
        <v>36</v>
      </c>
      <c r="B37" s="12">
        <v>45083</v>
      </c>
      <c r="C37" s="13" t="s">
        <v>18</v>
      </c>
      <c r="D37" s="13" t="s">
        <v>19</v>
      </c>
      <c r="E37" s="13" t="s">
        <v>12</v>
      </c>
      <c r="F37" s="13" t="s">
        <v>31</v>
      </c>
      <c r="G37" s="13" t="s">
        <v>32</v>
      </c>
      <c r="H37" s="14">
        <v>8022.9</v>
      </c>
      <c r="I37" s="13">
        <v>9</v>
      </c>
      <c r="J37" s="15">
        <v>1118.83</v>
      </c>
      <c r="K37" s="14" t="str" cm="1">
        <f t="array" ref="K37">_xlfn.IFS(Table44[[#This Row],[Sales]]&gt;40000,"Best Sales",Table44[[#This Row],[Sales]]&gt;20000,"Average Sales",Table44[[#This Row],[Sales]]&gt;0,"Poor Sales")</f>
        <v>Poor Sales</v>
      </c>
    </row>
    <row r="38" spans="1:11" x14ac:dyDescent="0.3">
      <c r="A38" s="6">
        <v>37</v>
      </c>
      <c r="B38" s="7">
        <v>45039</v>
      </c>
      <c r="C38" s="8" t="s">
        <v>15</v>
      </c>
      <c r="D38" s="8" t="s">
        <v>16</v>
      </c>
      <c r="E38" s="8" t="s">
        <v>12</v>
      </c>
      <c r="F38" s="8" t="s">
        <v>13</v>
      </c>
      <c r="G38" s="8" t="s">
        <v>34</v>
      </c>
      <c r="H38" s="9">
        <v>34478.959999999999</v>
      </c>
      <c r="I38" s="8">
        <v>5</v>
      </c>
      <c r="J38" s="10">
        <v>4118.41</v>
      </c>
      <c r="K38" s="14" t="str" cm="1">
        <f t="array" ref="K38">_xlfn.IFS(Table44[[#This Row],[Sales]]&gt;40000,"Best Sales",Table44[[#This Row],[Sales]]&gt;20000,"Average Sales",Table44[[#This Row],[Sales]]&gt;0,"Poor Sales")</f>
        <v>Average Sales</v>
      </c>
    </row>
    <row r="39" spans="1:11" x14ac:dyDescent="0.3">
      <c r="A39" s="11">
        <v>38</v>
      </c>
      <c r="B39" s="12">
        <v>45247</v>
      </c>
      <c r="C39" s="13" t="s">
        <v>18</v>
      </c>
      <c r="D39" s="13" t="s">
        <v>19</v>
      </c>
      <c r="E39" s="13" t="s">
        <v>12</v>
      </c>
      <c r="F39" s="13" t="s">
        <v>31</v>
      </c>
      <c r="G39" s="13" t="s">
        <v>33</v>
      </c>
      <c r="H39" s="14">
        <v>34640.65</v>
      </c>
      <c r="I39" s="13">
        <v>10</v>
      </c>
      <c r="J39" s="15">
        <v>9567.4500000000007</v>
      </c>
      <c r="K39" s="14" t="str" cm="1">
        <f t="array" ref="K39">_xlfn.IFS(Table44[[#This Row],[Sales]]&gt;40000,"Best Sales",Table44[[#This Row],[Sales]]&gt;20000,"Average Sales",Table44[[#This Row],[Sales]]&gt;0,"Poor Sales")</f>
        <v>Average Sales</v>
      </c>
    </row>
    <row r="40" spans="1:11" x14ac:dyDescent="0.3">
      <c r="A40" s="6">
        <v>39</v>
      </c>
      <c r="B40" s="7">
        <v>44941</v>
      </c>
      <c r="C40" s="8" t="s">
        <v>26</v>
      </c>
      <c r="D40" s="8" t="s">
        <v>27</v>
      </c>
      <c r="E40" s="8" t="s">
        <v>12</v>
      </c>
      <c r="F40" s="8" t="s">
        <v>13</v>
      </c>
      <c r="G40" s="8" t="s">
        <v>34</v>
      </c>
      <c r="H40" s="9">
        <v>3218.7</v>
      </c>
      <c r="I40" s="8">
        <v>3</v>
      </c>
      <c r="J40" s="10">
        <v>572.08000000000004</v>
      </c>
      <c r="K40" s="14" t="str" cm="1">
        <f t="array" ref="K40">_xlfn.IFS(Table44[[#This Row],[Sales]]&gt;40000,"Best Sales",Table44[[#This Row],[Sales]]&gt;20000,"Average Sales",Table44[[#This Row],[Sales]]&gt;0,"Poor Sales")</f>
        <v>Poor Sales</v>
      </c>
    </row>
    <row r="41" spans="1:11" x14ac:dyDescent="0.3">
      <c r="A41" s="11">
        <v>40</v>
      </c>
      <c r="B41" s="12">
        <v>44941</v>
      </c>
      <c r="C41" s="13" t="s">
        <v>22</v>
      </c>
      <c r="D41" s="13" t="s">
        <v>22</v>
      </c>
      <c r="E41" s="13" t="s">
        <v>12</v>
      </c>
      <c r="F41" s="13" t="s">
        <v>31</v>
      </c>
      <c r="G41" s="13" t="s">
        <v>33</v>
      </c>
      <c r="H41" s="14">
        <v>28642.2</v>
      </c>
      <c r="I41" s="13">
        <v>5</v>
      </c>
      <c r="J41" s="15">
        <v>2312.54</v>
      </c>
      <c r="K41" s="14" t="str" cm="1">
        <f t="array" ref="K41">_xlfn.IFS(Table44[[#This Row],[Sales]]&gt;40000,"Best Sales",Table44[[#This Row],[Sales]]&gt;20000,"Average Sales",Table44[[#This Row],[Sales]]&gt;0,"Poor Sales")</f>
        <v>Average Sales</v>
      </c>
    </row>
    <row r="42" spans="1:11" x14ac:dyDescent="0.3">
      <c r="A42" s="6">
        <v>41</v>
      </c>
      <c r="B42" s="7">
        <v>45238</v>
      </c>
      <c r="C42" s="8" t="s">
        <v>15</v>
      </c>
      <c r="D42" s="8" t="s">
        <v>16</v>
      </c>
      <c r="E42" s="8" t="s">
        <v>12</v>
      </c>
      <c r="F42" s="8" t="s">
        <v>13</v>
      </c>
      <c r="G42" s="8" t="s">
        <v>14</v>
      </c>
      <c r="H42" s="9">
        <v>30927.86</v>
      </c>
      <c r="I42" s="8">
        <v>10</v>
      </c>
      <c r="J42" s="10">
        <v>8460.2199999999993</v>
      </c>
      <c r="K42" s="14" t="str" cm="1">
        <f t="array" ref="K42">_xlfn.IFS(Table44[[#This Row],[Sales]]&gt;40000,"Best Sales",Table44[[#This Row],[Sales]]&gt;20000,"Average Sales",Table44[[#This Row],[Sales]]&gt;0,"Poor Sales")</f>
        <v>Average Sales</v>
      </c>
    </row>
    <row r="43" spans="1:11" x14ac:dyDescent="0.3">
      <c r="A43" s="11">
        <v>42</v>
      </c>
      <c r="B43" s="12">
        <v>45143</v>
      </c>
      <c r="C43" s="13" t="s">
        <v>10</v>
      </c>
      <c r="D43" s="13" t="s">
        <v>11</v>
      </c>
      <c r="E43" s="13" t="s">
        <v>12</v>
      </c>
      <c r="F43" s="13" t="s">
        <v>31</v>
      </c>
      <c r="G43" s="13" t="s">
        <v>32</v>
      </c>
      <c r="H43" s="14">
        <v>32426.75</v>
      </c>
      <c r="I43" s="13">
        <v>7</v>
      </c>
      <c r="J43" s="15">
        <v>8518.11</v>
      </c>
      <c r="K43" s="14" t="str" cm="1">
        <f t="array" ref="K43">_xlfn.IFS(Table44[[#This Row],[Sales]]&gt;40000,"Best Sales",Table44[[#This Row],[Sales]]&gt;20000,"Average Sales",Table44[[#This Row],[Sales]]&gt;0,"Poor Sales")</f>
        <v>Average Sales</v>
      </c>
    </row>
    <row r="44" spans="1:11" x14ac:dyDescent="0.3">
      <c r="A44" s="6">
        <v>43</v>
      </c>
      <c r="B44" s="7">
        <v>45283</v>
      </c>
      <c r="C44" s="8" t="s">
        <v>38</v>
      </c>
      <c r="D44" s="8" t="s">
        <v>27</v>
      </c>
      <c r="E44" s="8" t="s">
        <v>20</v>
      </c>
      <c r="F44" s="8" t="s">
        <v>31</v>
      </c>
      <c r="G44" s="8" t="s">
        <v>39</v>
      </c>
      <c r="H44" s="9">
        <v>19643.03</v>
      </c>
      <c r="I44" s="8">
        <v>5</v>
      </c>
      <c r="J44" s="10">
        <v>2911.87</v>
      </c>
      <c r="K44" s="14" t="str" cm="1">
        <f t="array" ref="K44">_xlfn.IFS(Table44[[#This Row],[Sales]]&gt;40000,"Best Sales",Table44[[#This Row],[Sales]]&gt;20000,"Average Sales",Table44[[#This Row],[Sales]]&gt;0,"Poor Sales")</f>
        <v>Poor Sales</v>
      </c>
    </row>
    <row r="45" spans="1:11" x14ac:dyDescent="0.3">
      <c r="A45" s="11">
        <v>44</v>
      </c>
      <c r="B45" s="12">
        <v>44981</v>
      </c>
      <c r="C45" s="13" t="s">
        <v>26</v>
      </c>
      <c r="D45" s="13" t="s">
        <v>27</v>
      </c>
      <c r="E45" s="13" t="s">
        <v>20</v>
      </c>
      <c r="F45" s="13" t="s">
        <v>13</v>
      </c>
      <c r="G45" s="13" t="s">
        <v>34</v>
      </c>
      <c r="H45" s="14">
        <v>46031.41</v>
      </c>
      <c r="I45" s="13">
        <v>10</v>
      </c>
      <c r="J45" s="15">
        <v>12190.44</v>
      </c>
      <c r="K45" s="14" t="str" cm="1">
        <f t="array" ref="K45">_xlfn.IFS(Table44[[#This Row],[Sales]]&gt;40000,"Best Sales",Table44[[#This Row],[Sales]]&gt;20000,"Average Sales",Table44[[#This Row],[Sales]]&gt;0,"Poor Sales")</f>
        <v>Best Sales</v>
      </c>
    </row>
    <row r="46" spans="1:11" x14ac:dyDescent="0.3">
      <c r="A46" s="6">
        <v>45</v>
      </c>
      <c r="B46" s="7">
        <v>44967</v>
      </c>
      <c r="C46" s="8" t="s">
        <v>22</v>
      </c>
      <c r="D46" s="8" t="s">
        <v>22</v>
      </c>
      <c r="E46" s="8" t="s">
        <v>20</v>
      </c>
      <c r="F46" s="8" t="s">
        <v>13</v>
      </c>
      <c r="G46" s="8" t="s">
        <v>21</v>
      </c>
      <c r="H46" s="9">
        <v>10312.469999999999</v>
      </c>
      <c r="I46" s="8">
        <v>3</v>
      </c>
      <c r="J46" s="10">
        <v>917.6</v>
      </c>
      <c r="K46" s="14" t="str" cm="1">
        <f t="array" ref="K46">_xlfn.IFS(Table44[[#This Row],[Sales]]&gt;40000,"Best Sales",Table44[[#This Row],[Sales]]&gt;20000,"Average Sales",Table44[[#This Row],[Sales]]&gt;0,"Poor Sales")</f>
        <v>Poor Sales</v>
      </c>
    </row>
    <row r="47" spans="1:11" x14ac:dyDescent="0.3">
      <c r="A47" s="11">
        <v>46</v>
      </c>
      <c r="B47" s="12">
        <v>45288</v>
      </c>
      <c r="C47" s="13" t="s">
        <v>37</v>
      </c>
      <c r="D47" s="13" t="s">
        <v>27</v>
      </c>
      <c r="E47" s="13" t="s">
        <v>20</v>
      </c>
      <c r="F47" s="13" t="s">
        <v>24</v>
      </c>
      <c r="G47" s="13" t="s">
        <v>28</v>
      </c>
      <c r="H47" s="14">
        <v>6582.1</v>
      </c>
      <c r="I47" s="13">
        <v>1</v>
      </c>
      <c r="J47" s="15">
        <v>1867.37</v>
      </c>
      <c r="K47" s="14" t="str" cm="1">
        <f t="array" ref="K47">_xlfn.IFS(Table44[[#This Row],[Sales]]&gt;40000,"Best Sales",Table44[[#This Row],[Sales]]&gt;20000,"Average Sales",Table44[[#This Row],[Sales]]&gt;0,"Poor Sales")</f>
        <v>Poor Sales</v>
      </c>
    </row>
    <row r="48" spans="1:11" x14ac:dyDescent="0.3">
      <c r="A48" s="6">
        <v>47</v>
      </c>
      <c r="B48" s="7">
        <v>45155</v>
      </c>
      <c r="C48" s="8" t="s">
        <v>15</v>
      </c>
      <c r="D48" s="8" t="s">
        <v>16</v>
      </c>
      <c r="E48" s="8" t="s">
        <v>20</v>
      </c>
      <c r="F48" s="8" t="s">
        <v>31</v>
      </c>
      <c r="G48" s="8" t="s">
        <v>39</v>
      </c>
      <c r="H48" s="9">
        <v>3134.95</v>
      </c>
      <c r="I48" s="8">
        <v>8</v>
      </c>
      <c r="J48" s="10">
        <v>371.46</v>
      </c>
      <c r="K48" s="14" t="str" cm="1">
        <f t="array" ref="K48">_xlfn.IFS(Table44[[#This Row],[Sales]]&gt;40000,"Best Sales",Table44[[#This Row],[Sales]]&gt;20000,"Average Sales",Table44[[#This Row],[Sales]]&gt;0,"Poor Sales")</f>
        <v>Poor Sales</v>
      </c>
    </row>
    <row r="49" spans="1:11" x14ac:dyDescent="0.3">
      <c r="A49" s="11">
        <v>48</v>
      </c>
      <c r="B49" s="12">
        <v>45252</v>
      </c>
      <c r="C49" s="13" t="s">
        <v>18</v>
      </c>
      <c r="D49" s="13" t="s">
        <v>19</v>
      </c>
      <c r="E49" s="13" t="s">
        <v>20</v>
      </c>
      <c r="F49" s="13" t="s">
        <v>31</v>
      </c>
      <c r="G49" s="13" t="s">
        <v>39</v>
      </c>
      <c r="H49" s="14">
        <v>43738.86</v>
      </c>
      <c r="I49" s="13">
        <v>4</v>
      </c>
      <c r="J49" s="15">
        <v>5140.59</v>
      </c>
      <c r="K49" s="14" t="str" cm="1">
        <f t="array" ref="K49">_xlfn.IFS(Table44[[#This Row],[Sales]]&gt;40000,"Best Sales",Table44[[#This Row],[Sales]]&gt;20000,"Average Sales",Table44[[#This Row],[Sales]]&gt;0,"Poor Sales")</f>
        <v>Best Sales</v>
      </c>
    </row>
    <row r="50" spans="1:11" x14ac:dyDescent="0.3">
      <c r="A50" s="6">
        <v>49</v>
      </c>
      <c r="B50" s="7">
        <v>45229</v>
      </c>
      <c r="C50" s="8" t="s">
        <v>38</v>
      </c>
      <c r="D50" s="8" t="s">
        <v>27</v>
      </c>
      <c r="E50" s="8" t="s">
        <v>20</v>
      </c>
      <c r="F50" s="8" t="s">
        <v>24</v>
      </c>
      <c r="G50" s="8" t="s">
        <v>29</v>
      </c>
      <c r="H50" s="9">
        <v>17707.400000000001</v>
      </c>
      <c r="I50" s="8">
        <v>10</v>
      </c>
      <c r="J50" s="10">
        <v>2970.2</v>
      </c>
      <c r="K50" s="14" t="str" cm="1">
        <f t="array" ref="K50">_xlfn.IFS(Table44[[#This Row],[Sales]]&gt;40000,"Best Sales",Table44[[#This Row],[Sales]]&gt;20000,"Average Sales",Table44[[#This Row],[Sales]]&gt;0,"Poor Sales")</f>
        <v>Poor Sales</v>
      </c>
    </row>
    <row r="51" spans="1:11" x14ac:dyDescent="0.3">
      <c r="A51" s="11">
        <v>50</v>
      </c>
      <c r="B51" s="12">
        <v>45222</v>
      </c>
      <c r="C51" s="13" t="s">
        <v>15</v>
      </c>
      <c r="D51" s="13" t="s">
        <v>16</v>
      </c>
      <c r="E51" s="13" t="s">
        <v>20</v>
      </c>
      <c r="F51" s="13" t="s">
        <v>31</v>
      </c>
      <c r="G51" s="13" t="s">
        <v>39</v>
      </c>
      <c r="H51" s="14">
        <v>7789.2</v>
      </c>
      <c r="I51" s="13">
        <v>1</v>
      </c>
      <c r="J51" s="15">
        <v>1011.85</v>
      </c>
      <c r="K51" s="14" t="str" cm="1">
        <f t="array" ref="K51">_xlfn.IFS(Table44[[#This Row],[Sales]]&gt;40000,"Best Sales",Table44[[#This Row],[Sales]]&gt;20000,"Average Sales",Table44[[#This Row],[Sales]]&gt;0,"Poor Sales")</f>
        <v>Poor Sales</v>
      </c>
    </row>
    <row r="52" spans="1:11" x14ac:dyDescent="0.3">
      <c r="A52" s="6">
        <v>51</v>
      </c>
      <c r="B52" s="7">
        <v>45270</v>
      </c>
      <c r="C52" s="8" t="s">
        <v>18</v>
      </c>
      <c r="D52" s="8" t="s">
        <v>19</v>
      </c>
      <c r="E52" s="8" t="s">
        <v>20</v>
      </c>
      <c r="F52" s="8" t="s">
        <v>31</v>
      </c>
      <c r="G52" s="8" t="s">
        <v>33</v>
      </c>
      <c r="H52" s="9">
        <v>18333.759999999998</v>
      </c>
      <c r="I52" s="8">
        <v>7</v>
      </c>
      <c r="J52" s="10">
        <v>4255.3900000000003</v>
      </c>
      <c r="K52" s="14" t="str" cm="1">
        <f t="array" ref="K52">_xlfn.IFS(Table44[[#This Row],[Sales]]&gt;40000,"Best Sales",Table44[[#This Row],[Sales]]&gt;20000,"Average Sales",Table44[[#This Row],[Sales]]&gt;0,"Poor Sales")</f>
        <v>Poor Sales</v>
      </c>
    </row>
    <row r="53" spans="1:11" x14ac:dyDescent="0.3">
      <c r="A53" s="11">
        <v>52</v>
      </c>
      <c r="B53" s="12">
        <v>45041</v>
      </c>
      <c r="C53" s="13" t="s">
        <v>15</v>
      </c>
      <c r="D53" s="13" t="s">
        <v>16</v>
      </c>
      <c r="E53" s="13" t="s">
        <v>20</v>
      </c>
      <c r="F53" s="13" t="s">
        <v>31</v>
      </c>
      <c r="G53" s="13" t="s">
        <v>39</v>
      </c>
      <c r="H53" s="14">
        <v>29916.02</v>
      </c>
      <c r="I53" s="13">
        <v>1</v>
      </c>
      <c r="J53" s="15">
        <v>6067.18</v>
      </c>
      <c r="K53" s="14" t="str" cm="1">
        <f t="array" ref="K53">_xlfn.IFS(Table44[[#This Row],[Sales]]&gt;40000,"Best Sales",Table44[[#This Row],[Sales]]&gt;20000,"Average Sales",Table44[[#This Row],[Sales]]&gt;0,"Poor Sales")</f>
        <v>Average Sales</v>
      </c>
    </row>
    <row r="54" spans="1:11" x14ac:dyDescent="0.3">
      <c r="A54" s="6">
        <v>53</v>
      </c>
      <c r="B54" s="7">
        <v>45143</v>
      </c>
      <c r="C54" s="8" t="s">
        <v>15</v>
      </c>
      <c r="D54" s="8" t="s">
        <v>16</v>
      </c>
      <c r="E54" s="8" t="s">
        <v>20</v>
      </c>
      <c r="F54" s="8" t="s">
        <v>13</v>
      </c>
      <c r="G54" s="8" t="s">
        <v>14</v>
      </c>
      <c r="H54" s="9">
        <v>40222.480000000003</v>
      </c>
      <c r="I54" s="8">
        <v>5</v>
      </c>
      <c r="J54" s="10">
        <v>8031.61</v>
      </c>
      <c r="K54" s="14" t="str" cm="1">
        <f t="array" ref="K54">_xlfn.IFS(Table44[[#This Row],[Sales]]&gt;40000,"Best Sales",Table44[[#This Row],[Sales]]&gt;20000,"Average Sales",Table44[[#This Row],[Sales]]&gt;0,"Poor Sales")</f>
        <v>Best Sales</v>
      </c>
    </row>
    <row r="55" spans="1:11" x14ac:dyDescent="0.3">
      <c r="A55" s="11">
        <v>54</v>
      </c>
      <c r="B55" s="12">
        <v>45148</v>
      </c>
      <c r="C55" s="13" t="s">
        <v>35</v>
      </c>
      <c r="D55" s="13" t="s">
        <v>36</v>
      </c>
      <c r="E55" s="13" t="s">
        <v>23</v>
      </c>
      <c r="F55" s="13" t="s">
        <v>13</v>
      </c>
      <c r="G55" s="13" t="s">
        <v>14</v>
      </c>
      <c r="H55" s="14">
        <v>28351.119999999999</v>
      </c>
      <c r="I55" s="13">
        <v>2</v>
      </c>
      <c r="J55" s="15">
        <v>7580.92</v>
      </c>
      <c r="K55" s="14" t="str" cm="1">
        <f t="array" ref="K55">_xlfn.IFS(Table44[[#This Row],[Sales]]&gt;40000,"Best Sales",Table44[[#This Row],[Sales]]&gt;20000,"Average Sales",Table44[[#This Row],[Sales]]&gt;0,"Poor Sales")</f>
        <v>Average Sales</v>
      </c>
    </row>
    <row r="56" spans="1:11" x14ac:dyDescent="0.3">
      <c r="A56" s="6">
        <v>55</v>
      </c>
      <c r="B56" s="7">
        <v>44980</v>
      </c>
      <c r="C56" s="8" t="s">
        <v>30</v>
      </c>
      <c r="D56" s="8" t="s">
        <v>16</v>
      </c>
      <c r="E56" s="8" t="s">
        <v>23</v>
      </c>
      <c r="F56" s="8" t="s">
        <v>31</v>
      </c>
      <c r="G56" s="8" t="s">
        <v>32</v>
      </c>
      <c r="H56" s="9">
        <v>26706.3</v>
      </c>
      <c r="I56" s="8">
        <v>5</v>
      </c>
      <c r="J56" s="10">
        <v>3028.14</v>
      </c>
      <c r="K56" s="14" t="str" cm="1">
        <f t="array" ref="K56">_xlfn.IFS(Table44[[#This Row],[Sales]]&gt;40000,"Best Sales",Table44[[#This Row],[Sales]]&gt;20000,"Average Sales",Table44[[#This Row],[Sales]]&gt;0,"Poor Sales")</f>
        <v>Average Sales</v>
      </c>
    </row>
    <row r="57" spans="1:11" x14ac:dyDescent="0.3">
      <c r="A57" s="11">
        <v>56</v>
      </c>
      <c r="B57" s="12">
        <v>45068</v>
      </c>
      <c r="C57" s="13" t="s">
        <v>10</v>
      </c>
      <c r="D57" s="13" t="s">
        <v>11</v>
      </c>
      <c r="E57" s="13" t="s">
        <v>23</v>
      </c>
      <c r="F57" s="13" t="s">
        <v>13</v>
      </c>
      <c r="G57" s="13" t="s">
        <v>34</v>
      </c>
      <c r="H57" s="14">
        <v>5030.05</v>
      </c>
      <c r="I57" s="13">
        <v>3</v>
      </c>
      <c r="J57" s="15">
        <v>1411.28</v>
      </c>
      <c r="K57" s="14" t="str" cm="1">
        <f t="array" ref="K57">_xlfn.IFS(Table44[[#This Row],[Sales]]&gt;40000,"Best Sales",Table44[[#This Row],[Sales]]&gt;20000,"Average Sales",Table44[[#This Row],[Sales]]&gt;0,"Poor Sales")</f>
        <v>Poor Sales</v>
      </c>
    </row>
    <row r="58" spans="1:11" x14ac:dyDescent="0.3">
      <c r="A58" s="6">
        <v>57</v>
      </c>
      <c r="B58" s="7">
        <v>45006</v>
      </c>
      <c r="C58" s="8" t="s">
        <v>30</v>
      </c>
      <c r="D58" s="8" t="s">
        <v>16</v>
      </c>
      <c r="E58" s="8" t="s">
        <v>23</v>
      </c>
      <c r="F58" s="8" t="s">
        <v>13</v>
      </c>
      <c r="G58" s="8" t="s">
        <v>21</v>
      </c>
      <c r="H58" s="9">
        <v>36606.480000000003</v>
      </c>
      <c r="I58" s="8">
        <v>1</v>
      </c>
      <c r="J58" s="10">
        <v>5249.58</v>
      </c>
      <c r="K58" s="14" t="str" cm="1">
        <f t="array" ref="K58">_xlfn.IFS(Table44[[#This Row],[Sales]]&gt;40000,"Best Sales",Table44[[#This Row],[Sales]]&gt;20000,"Average Sales",Table44[[#This Row],[Sales]]&gt;0,"Poor Sales")</f>
        <v>Average Sales</v>
      </c>
    </row>
    <row r="59" spans="1:11" x14ac:dyDescent="0.3">
      <c r="A59" s="11">
        <v>58</v>
      </c>
      <c r="B59" s="12">
        <v>44946</v>
      </c>
      <c r="C59" s="13" t="s">
        <v>15</v>
      </c>
      <c r="D59" s="13" t="s">
        <v>16</v>
      </c>
      <c r="E59" s="13" t="s">
        <v>23</v>
      </c>
      <c r="F59" s="13" t="s">
        <v>13</v>
      </c>
      <c r="G59" s="13" t="s">
        <v>14</v>
      </c>
      <c r="H59" s="14">
        <v>30254.94</v>
      </c>
      <c r="I59" s="13">
        <v>3</v>
      </c>
      <c r="J59" s="15">
        <v>5950.99</v>
      </c>
      <c r="K59" s="14" t="str" cm="1">
        <f t="array" ref="K59">_xlfn.IFS(Table44[[#This Row],[Sales]]&gt;40000,"Best Sales",Table44[[#This Row],[Sales]]&gt;20000,"Average Sales",Table44[[#This Row],[Sales]]&gt;0,"Poor Sales")</f>
        <v>Average Sales</v>
      </c>
    </row>
    <row r="60" spans="1:11" x14ac:dyDescent="0.3">
      <c r="A60" s="6">
        <v>59</v>
      </c>
      <c r="B60" s="7">
        <v>45065</v>
      </c>
      <c r="C60" s="8" t="s">
        <v>30</v>
      </c>
      <c r="D60" s="8" t="s">
        <v>16</v>
      </c>
      <c r="E60" s="8" t="s">
        <v>23</v>
      </c>
      <c r="F60" s="8" t="s">
        <v>31</v>
      </c>
      <c r="G60" s="8" t="s">
        <v>39</v>
      </c>
      <c r="H60" s="9">
        <v>43019.7</v>
      </c>
      <c r="I60" s="8">
        <v>4</v>
      </c>
      <c r="J60" s="10">
        <v>9540.3799999999992</v>
      </c>
      <c r="K60" s="14" t="str" cm="1">
        <f t="array" ref="K60">_xlfn.IFS(Table44[[#This Row],[Sales]]&gt;40000,"Best Sales",Table44[[#This Row],[Sales]]&gt;20000,"Average Sales",Table44[[#This Row],[Sales]]&gt;0,"Poor Sales")</f>
        <v>Best Sales</v>
      </c>
    </row>
    <row r="61" spans="1:11" x14ac:dyDescent="0.3">
      <c r="A61" s="11">
        <v>60</v>
      </c>
      <c r="B61" s="12">
        <v>44977</v>
      </c>
      <c r="C61" s="13" t="s">
        <v>38</v>
      </c>
      <c r="D61" s="13" t="s">
        <v>27</v>
      </c>
      <c r="E61" s="13" t="s">
        <v>23</v>
      </c>
      <c r="F61" s="13" t="s">
        <v>13</v>
      </c>
      <c r="G61" s="13" t="s">
        <v>21</v>
      </c>
      <c r="H61" s="14">
        <v>3020.57</v>
      </c>
      <c r="I61" s="13">
        <v>7</v>
      </c>
      <c r="J61" s="15">
        <v>762.12</v>
      </c>
      <c r="K61" s="14" t="str" cm="1">
        <f t="array" ref="K61">_xlfn.IFS(Table44[[#This Row],[Sales]]&gt;40000,"Best Sales",Table44[[#This Row],[Sales]]&gt;20000,"Average Sales",Table44[[#This Row],[Sales]]&gt;0,"Poor Sales")</f>
        <v>Poor Sales</v>
      </c>
    </row>
    <row r="62" spans="1:11" x14ac:dyDescent="0.3">
      <c r="A62" s="6">
        <v>61</v>
      </c>
      <c r="B62" s="7">
        <v>44992</v>
      </c>
      <c r="C62" s="8" t="s">
        <v>22</v>
      </c>
      <c r="D62" s="8" t="s">
        <v>22</v>
      </c>
      <c r="E62" s="8" t="s">
        <v>23</v>
      </c>
      <c r="F62" s="8" t="s">
        <v>13</v>
      </c>
      <c r="G62" s="8" t="s">
        <v>14</v>
      </c>
      <c r="H62" s="9">
        <v>29105.97</v>
      </c>
      <c r="I62" s="8">
        <v>7</v>
      </c>
      <c r="J62" s="10">
        <v>7986.26</v>
      </c>
      <c r="K62" s="14" t="str" cm="1">
        <f t="array" ref="K62">_xlfn.IFS(Table44[[#This Row],[Sales]]&gt;40000,"Best Sales",Table44[[#This Row],[Sales]]&gt;20000,"Average Sales",Table44[[#This Row],[Sales]]&gt;0,"Poor Sales")</f>
        <v>Average Sales</v>
      </c>
    </row>
    <row r="63" spans="1:11" x14ac:dyDescent="0.3">
      <c r="A63" s="11">
        <v>62</v>
      </c>
      <c r="B63" s="12">
        <v>44987</v>
      </c>
      <c r="C63" s="13" t="s">
        <v>18</v>
      </c>
      <c r="D63" s="13" t="s">
        <v>19</v>
      </c>
      <c r="E63" s="13" t="s">
        <v>23</v>
      </c>
      <c r="F63" s="13" t="s">
        <v>13</v>
      </c>
      <c r="G63" s="13" t="s">
        <v>21</v>
      </c>
      <c r="H63" s="14">
        <v>42202.76</v>
      </c>
      <c r="I63" s="13">
        <v>10</v>
      </c>
      <c r="J63" s="15">
        <v>5345.77</v>
      </c>
      <c r="K63" s="14" t="str" cm="1">
        <f t="array" ref="K63">_xlfn.IFS(Table44[[#This Row],[Sales]]&gt;40000,"Best Sales",Table44[[#This Row],[Sales]]&gt;20000,"Average Sales",Table44[[#This Row],[Sales]]&gt;0,"Poor Sales")</f>
        <v>Best Sales</v>
      </c>
    </row>
    <row r="64" spans="1:11" x14ac:dyDescent="0.3">
      <c r="A64" s="6">
        <v>63</v>
      </c>
      <c r="B64" s="7">
        <v>45126</v>
      </c>
      <c r="C64" s="8" t="s">
        <v>15</v>
      </c>
      <c r="D64" s="8" t="s">
        <v>16</v>
      </c>
      <c r="E64" s="8" t="s">
        <v>23</v>
      </c>
      <c r="F64" s="8" t="s">
        <v>31</v>
      </c>
      <c r="G64" s="8" t="s">
        <v>33</v>
      </c>
      <c r="H64" s="9">
        <v>16484.55</v>
      </c>
      <c r="I64" s="8">
        <v>9</v>
      </c>
      <c r="J64" s="10">
        <v>1351</v>
      </c>
      <c r="K64" s="14" t="str" cm="1">
        <f t="array" ref="K64">_xlfn.IFS(Table44[[#This Row],[Sales]]&gt;40000,"Best Sales",Table44[[#This Row],[Sales]]&gt;20000,"Average Sales",Table44[[#This Row],[Sales]]&gt;0,"Poor Sales")</f>
        <v>Poor Sales</v>
      </c>
    </row>
    <row r="65" spans="1:11" x14ac:dyDescent="0.3">
      <c r="A65" s="11">
        <v>64</v>
      </c>
      <c r="B65" s="12">
        <v>45216</v>
      </c>
      <c r="C65" s="13" t="s">
        <v>15</v>
      </c>
      <c r="D65" s="13" t="s">
        <v>16</v>
      </c>
      <c r="E65" s="13" t="s">
        <v>23</v>
      </c>
      <c r="F65" s="13" t="s">
        <v>24</v>
      </c>
      <c r="G65" s="13" t="s">
        <v>28</v>
      </c>
      <c r="H65" s="14">
        <v>48949.84</v>
      </c>
      <c r="I65" s="13">
        <v>9</v>
      </c>
      <c r="J65" s="15">
        <v>10667.27</v>
      </c>
      <c r="K65" s="14" t="str" cm="1">
        <f t="array" ref="K65">_xlfn.IFS(Table44[[#This Row],[Sales]]&gt;40000,"Best Sales",Table44[[#This Row],[Sales]]&gt;20000,"Average Sales",Table44[[#This Row],[Sales]]&gt;0,"Poor Sales")</f>
        <v>Best Sales</v>
      </c>
    </row>
    <row r="66" spans="1:11" x14ac:dyDescent="0.3">
      <c r="A66" s="6">
        <v>65</v>
      </c>
      <c r="B66" s="7">
        <v>45173</v>
      </c>
      <c r="C66" s="8" t="s">
        <v>30</v>
      </c>
      <c r="D66" s="8" t="s">
        <v>16</v>
      </c>
      <c r="E66" s="8" t="s">
        <v>23</v>
      </c>
      <c r="F66" s="8" t="s">
        <v>24</v>
      </c>
      <c r="G66" s="8" t="s">
        <v>28</v>
      </c>
      <c r="H66" s="9">
        <v>19183.52</v>
      </c>
      <c r="I66" s="8">
        <v>5</v>
      </c>
      <c r="J66" s="10">
        <v>2804.51</v>
      </c>
      <c r="K66" s="14" t="str" cm="1">
        <f t="array" ref="K66">_xlfn.IFS(Table44[[#This Row],[Sales]]&gt;40000,"Best Sales",Table44[[#This Row],[Sales]]&gt;20000,"Average Sales",Table44[[#This Row],[Sales]]&gt;0,"Poor Sales")</f>
        <v>Poor Sales</v>
      </c>
    </row>
    <row r="67" spans="1:11" x14ac:dyDescent="0.3">
      <c r="A67" s="11">
        <v>66</v>
      </c>
      <c r="B67" s="12">
        <v>45163</v>
      </c>
      <c r="C67" s="13" t="s">
        <v>22</v>
      </c>
      <c r="D67" s="13" t="s">
        <v>22</v>
      </c>
      <c r="E67" s="13" t="s">
        <v>23</v>
      </c>
      <c r="F67" s="13" t="s">
        <v>13</v>
      </c>
      <c r="G67" s="13" t="s">
        <v>34</v>
      </c>
      <c r="H67" s="14">
        <v>25834.9</v>
      </c>
      <c r="I67" s="13">
        <v>2</v>
      </c>
      <c r="J67" s="15">
        <v>6880.51</v>
      </c>
      <c r="K67" s="14" t="str" cm="1">
        <f t="array" ref="K67">_xlfn.IFS(Table44[[#This Row],[Sales]]&gt;40000,"Best Sales",Table44[[#This Row],[Sales]]&gt;20000,"Average Sales",Table44[[#This Row],[Sales]]&gt;0,"Poor Sales")</f>
        <v>Average Sales</v>
      </c>
    </row>
    <row r="68" spans="1:11" x14ac:dyDescent="0.3">
      <c r="A68" s="6">
        <v>67</v>
      </c>
      <c r="B68" s="7">
        <v>44930</v>
      </c>
      <c r="C68" s="8" t="s">
        <v>22</v>
      </c>
      <c r="D68" s="8" t="s">
        <v>22</v>
      </c>
      <c r="E68" s="8" t="s">
        <v>12</v>
      </c>
      <c r="F68" s="8" t="s">
        <v>13</v>
      </c>
      <c r="G68" s="8" t="s">
        <v>34</v>
      </c>
      <c r="H68" s="9">
        <v>37162.660000000003</v>
      </c>
      <c r="I68" s="8">
        <v>8</v>
      </c>
      <c r="J68" s="10">
        <v>5652.71</v>
      </c>
      <c r="K68" s="14" t="str" cm="1">
        <f t="array" ref="K68">_xlfn.IFS(Table44[[#This Row],[Sales]]&gt;40000,"Best Sales",Table44[[#This Row],[Sales]]&gt;20000,"Average Sales",Table44[[#This Row],[Sales]]&gt;0,"Poor Sales")</f>
        <v>Average Sales</v>
      </c>
    </row>
    <row r="69" spans="1:11" x14ac:dyDescent="0.3">
      <c r="A69" s="11">
        <v>68</v>
      </c>
      <c r="B69" s="12">
        <v>45098</v>
      </c>
      <c r="C69" s="13" t="s">
        <v>30</v>
      </c>
      <c r="D69" s="13" t="s">
        <v>16</v>
      </c>
      <c r="E69" s="13" t="s">
        <v>17</v>
      </c>
      <c r="F69" s="13" t="s">
        <v>24</v>
      </c>
      <c r="G69" s="13" t="s">
        <v>25</v>
      </c>
      <c r="H69" s="14">
        <v>28938.6</v>
      </c>
      <c r="I69" s="13">
        <v>10</v>
      </c>
      <c r="J69" s="15">
        <v>7700.06</v>
      </c>
      <c r="K69" s="14" t="str" cm="1">
        <f t="array" ref="K69">_xlfn.IFS(Table44[[#This Row],[Sales]]&gt;40000,"Best Sales",Table44[[#This Row],[Sales]]&gt;20000,"Average Sales",Table44[[#This Row],[Sales]]&gt;0,"Poor Sales")</f>
        <v>Average Sales</v>
      </c>
    </row>
    <row r="70" spans="1:11" x14ac:dyDescent="0.3">
      <c r="A70" s="6">
        <v>69</v>
      </c>
      <c r="B70" s="7">
        <v>45268</v>
      </c>
      <c r="C70" s="8" t="s">
        <v>38</v>
      </c>
      <c r="D70" s="8" t="s">
        <v>27</v>
      </c>
      <c r="E70" s="8" t="s">
        <v>17</v>
      </c>
      <c r="F70" s="8" t="s">
        <v>24</v>
      </c>
      <c r="G70" s="8" t="s">
        <v>25</v>
      </c>
      <c r="H70" s="9">
        <v>10690.45</v>
      </c>
      <c r="I70" s="8">
        <v>5</v>
      </c>
      <c r="J70" s="10">
        <v>2992.24</v>
      </c>
      <c r="K70" s="14" t="str" cm="1">
        <f t="array" ref="K70">_xlfn.IFS(Table44[[#This Row],[Sales]]&gt;40000,"Best Sales",Table44[[#This Row],[Sales]]&gt;20000,"Average Sales",Table44[[#This Row],[Sales]]&gt;0,"Poor Sales")</f>
        <v>Poor Sales</v>
      </c>
    </row>
    <row r="71" spans="1:11" x14ac:dyDescent="0.3">
      <c r="A71" s="11">
        <v>70</v>
      </c>
      <c r="B71" s="12">
        <v>45137</v>
      </c>
      <c r="C71" s="13" t="s">
        <v>22</v>
      </c>
      <c r="D71" s="13" t="s">
        <v>22</v>
      </c>
      <c r="E71" s="13" t="s">
        <v>12</v>
      </c>
      <c r="F71" s="13" t="s">
        <v>31</v>
      </c>
      <c r="G71" s="13" t="s">
        <v>39</v>
      </c>
      <c r="H71" s="14">
        <v>4383.75</v>
      </c>
      <c r="I71" s="13">
        <v>1</v>
      </c>
      <c r="J71" s="15">
        <v>918.46</v>
      </c>
      <c r="K71" s="14" t="str" cm="1">
        <f t="array" ref="K71">_xlfn.IFS(Table44[[#This Row],[Sales]]&gt;40000,"Best Sales",Table44[[#This Row],[Sales]]&gt;20000,"Average Sales",Table44[[#This Row],[Sales]]&gt;0,"Poor Sales")</f>
        <v>Poor Sales</v>
      </c>
    </row>
    <row r="72" spans="1:11" x14ac:dyDescent="0.3">
      <c r="A72" s="6">
        <v>71</v>
      </c>
      <c r="B72" s="7">
        <v>45257</v>
      </c>
      <c r="C72" s="8" t="s">
        <v>30</v>
      </c>
      <c r="D72" s="8" t="s">
        <v>16</v>
      </c>
      <c r="E72" s="8" t="s">
        <v>12</v>
      </c>
      <c r="F72" s="8" t="s">
        <v>13</v>
      </c>
      <c r="G72" s="8" t="s">
        <v>21</v>
      </c>
      <c r="H72" s="9">
        <v>23844.99</v>
      </c>
      <c r="I72" s="8">
        <v>5</v>
      </c>
      <c r="J72" s="10">
        <v>2367.61</v>
      </c>
      <c r="K72" s="14" t="str" cm="1">
        <f t="array" ref="K72">_xlfn.IFS(Table44[[#This Row],[Sales]]&gt;40000,"Best Sales",Table44[[#This Row],[Sales]]&gt;20000,"Average Sales",Table44[[#This Row],[Sales]]&gt;0,"Poor Sales")</f>
        <v>Average Sales</v>
      </c>
    </row>
    <row r="73" spans="1:11" x14ac:dyDescent="0.3">
      <c r="A73" s="11">
        <v>72</v>
      </c>
      <c r="B73" s="12">
        <v>45214</v>
      </c>
      <c r="C73" s="13" t="s">
        <v>15</v>
      </c>
      <c r="D73" s="13" t="s">
        <v>16</v>
      </c>
      <c r="E73" s="13" t="s">
        <v>17</v>
      </c>
      <c r="F73" s="13" t="s">
        <v>24</v>
      </c>
      <c r="G73" s="13" t="s">
        <v>29</v>
      </c>
      <c r="H73" s="14">
        <v>48504.77</v>
      </c>
      <c r="I73" s="13">
        <v>10</v>
      </c>
      <c r="J73" s="15">
        <v>8679.41</v>
      </c>
      <c r="K73" s="14" t="str" cm="1">
        <f t="array" ref="K73">_xlfn.IFS(Table44[[#This Row],[Sales]]&gt;40000,"Best Sales",Table44[[#This Row],[Sales]]&gt;20000,"Average Sales",Table44[[#This Row],[Sales]]&gt;0,"Poor Sales")</f>
        <v>Best Sales</v>
      </c>
    </row>
    <row r="74" spans="1:11" x14ac:dyDescent="0.3">
      <c r="A74" s="6">
        <v>73</v>
      </c>
      <c r="B74" s="7">
        <v>45053</v>
      </c>
      <c r="C74" s="8" t="s">
        <v>37</v>
      </c>
      <c r="D74" s="8" t="s">
        <v>27</v>
      </c>
      <c r="E74" s="8" t="s">
        <v>12</v>
      </c>
      <c r="F74" s="8" t="s">
        <v>31</v>
      </c>
      <c r="G74" s="8" t="s">
        <v>32</v>
      </c>
      <c r="H74" s="9">
        <v>10052.780000000001</v>
      </c>
      <c r="I74" s="8">
        <v>8</v>
      </c>
      <c r="J74" s="10">
        <v>2293.2600000000002</v>
      </c>
      <c r="K74" s="14" t="str" cm="1">
        <f t="array" ref="K74">_xlfn.IFS(Table44[[#This Row],[Sales]]&gt;40000,"Best Sales",Table44[[#This Row],[Sales]]&gt;20000,"Average Sales",Table44[[#This Row],[Sales]]&gt;0,"Poor Sales")</f>
        <v>Poor Sales</v>
      </c>
    </row>
    <row r="75" spans="1:11" x14ac:dyDescent="0.3">
      <c r="A75" s="11">
        <v>74</v>
      </c>
      <c r="B75" s="12">
        <v>44964</v>
      </c>
      <c r="C75" s="13" t="s">
        <v>37</v>
      </c>
      <c r="D75" s="13" t="s">
        <v>27</v>
      </c>
      <c r="E75" s="13" t="s">
        <v>17</v>
      </c>
      <c r="F75" s="13" t="s">
        <v>13</v>
      </c>
      <c r="G75" s="13" t="s">
        <v>34</v>
      </c>
      <c r="H75" s="14">
        <v>47147.42</v>
      </c>
      <c r="I75" s="13">
        <v>6</v>
      </c>
      <c r="J75" s="15">
        <v>9546.64</v>
      </c>
      <c r="K75" s="14" t="str" cm="1">
        <f t="array" ref="K75">_xlfn.IFS(Table44[[#This Row],[Sales]]&gt;40000,"Best Sales",Table44[[#This Row],[Sales]]&gt;20000,"Average Sales",Table44[[#This Row],[Sales]]&gt;0,"Poor Sales")</f>
        <v>Best Sales</v>
      </c>
    </row>
    <row r="76" spans="1:11" x14ac:dyDescent="0.3">
      <c r="A76" s="6">
        <v>75</v>
      </c>
      <c r="B76" s="7">
        <v>45109</v>
      </c>
      <c r="C76" s="8" t="s">
        <v>37</v>
      </c>
      <c r="D76" s="8" t="s">
        <v>27</v>
      </c>
      <c r="E76" s="8" t="s">
        <v>20</v>
      </c>
      <c r="F76" s="8" t="s">
        <v>13</v>
      </c>
      <c r="G76" s="8" t="s">
        <v>14</v>
      </c>
      <c r="H76" s="9">
        <v>35496.660000000003</v>
      </c>
      <c r="I76" s="8">
        <v>8</v>
      </c>
      <c r="J76" s="10">
        <v>8170.12</v>
      </c>
      <c r="K76" s="14" t="str" cm="1">
        <f t="array" ref="K76">_xlfn.IFS(Table44[[#This Row],[Sales]]&gt;40000,"Best Sales",Table44[[#This Row],[Sales]]&gt;20000,"Average Sales",Table44[[#This Row],[Sales]]&gt;0,"Poor Sales")</f>
        <v>Average Sales</v>
      </c>
    </row>
    <row r="77" spans="1:11" x14ac:dyDescent="0.3">
      <c r="A77" s="11">
        <v>76</v>
      </c>
      <c r="B77" s="12">
        <v>45274</v>
      </c>
      <c r="C77" s="13" t="s">
        <v>35</v>
      </c>
      <c r="D77" s="13" t="s">
        <v>36</v>
      </c>
      <c r="E77" s="13" t="s">
        <v>20</v>
      </c>
      <c r="F77" s="13" t="s">
        <v>13</v>
      </c>
      <c r="G77" s="13" t="s">
        <v>34</v>
      </c>
      <c r="H77" s="14">
        <v>33753.199999999997</v>
      </c>
      <c r="I77" s="13">
        <v>9</v>
      </c>
      <c r="J77" s="15">
        <v>4284.71</v>
      </c>
      <c r="K77" s="14" t="str" cm="1">
        <f t="array" ref="K77">_xlfn.IFS(Table44[[#This Row],[Sales]]&gt;40000,"Best Sales",Table44[[#This Row],[Sales]]&gt;20000,"Average Sales",Table44[[#This Row],[Sales]]&gt;0,"Poor Sales")</f>
        <v>Average Sales</v>
      </c>
    </row>
    <row r="78" spans="1:11" x14ac:dyDescent="0.3">
      <c r="A78" s="6">
        <v>77</v>
      </c>
      <c r="B78" s="7">
        <v>45228</v>
      </c>
      <c r="C78" s="8" t="s">
        <v>35</v>
      </c>
      <c r="D78" s="8" t="s">
        <v>36</v>
      </c>
      <c r="E78" s="8" t="s">
        <v>20</v>
      </c>
      <c r="F78" s="8" t="s">
        <v>31</v>
      </c>
      <c r="G78" s="8" t="s">
        <v>39</v>
      </c>
      <c r="H78" s="9">
        <v>7488.8</v>
      </c>
      <c r="I78" s="8">
        <v>5</v>
      </c>
      <c r="J78" s="10">
        <v>2208.5100000000002</v>
      </c>
      <c r="K78" s="14" t="str" cm="1">
        <f t="array" ref="K78">_xlfn.IFS(Table44[[#This Row],[Sales]]&gt;40000,"Best Sales",Table44[[#This Row],[Sales]]&gt;20000,"Average Sales",Table44[[#This Row],[Sales]]&gt;0,"Poor Sales")</f>
        <v>Poor Sales</v>
      </c>
    </row>
    <row r="79" spans="1:11" x14ac:dyDescent="0.3">
      <c r="A79" s="11">
        <v>78</v>
      </c>
      <c r="B79" s="12">
        <v>45135</v>
      </c>
      <c r="C79" s="13" t="s">
        <v>22</v>
      </c>
      <c r="D79" s="13" t="s">
        <v>22</v>
      </c>
      <c r="E79" s="13" t="s">
        <v>20</v>
      </c>
      <c r="F79" s="13" t="s">
        <v>13</v>
      </c>
      <c r="G79" s="13" t="s">
        <v>34</v>
      </c>
      <c r="H79" s="14">
        <v>41949.599999999999</v>
      </c>
      <c r="I79" s="13">
        <v>1</v>
      </c>
      <c r="J79" s="15">
        <v>2775.01</v>
      </c>
      <c r="K79" s="14" t="str" cm="1">
        <f t="array" ref="K79">_xlfn.IFS(Table44[[#This Row],[Sales]]&gt;40000,"Best Sales",Table44[[#This Row],[Sales]]&gt;20000,"Average Sales",Table44[[#This Row],[Sales]]&gt;0,"Poor Sales")</f>
        <v>Best Sales</v>
      </c>
    </row>
    <row r="80" spans="1:11" x14ac:dyDescent="0.3">
      <c r="A80" s="6">
        <v>79</v>
      </c>
      <c r="B80" s="7">
        <v>45008</v>
      </c>
      <c r="C80" s="8" t="s">
        <v>26</v>
      </c>
      <c r="D80" s="8" t="s">
        <v>27</v>
      </c>
      <c r="E80" s="8" t="s">
        <v>20</v>
      </c>
      <c r="F80" s="8" t="s">
        <v>24</v>
      </c>
      <c r="G80" s="8" t="s">
        <v>29</v>
      </c>
      <c r="H80" s="9">
        <v>34219.17</v>
      </c>
      <c r="I80" s="8">
        <v>5</v>
      </c>
      <c r="J80" s="10">
        <v>6904.79</v>
      </c>
      <c r="K80" s="14" t="str" cm="1">
        <f t="array" ref="K80">_xlfn.IFS(Table44[[#This Row],[Sales]]&gt;40000,"Best Sales",Table44[[#This Row],[Sales]]&gt;20000,"Average Sales",Table44[[#This Row],[Sales]]&gt;0,"Poor Sales")</f>
        <v>Average Sales</v>
      </c>
    </row>
    <row r="81" spans="1:11" x14ac:dyDescent="0.3">
      <c r="A81" s="11">
        <v>80</v>
      </c>
      <c r="B81" s="12">
        <v>45057</v>
      </c>
      <c r="C81" s="13" t="s">
        <v>30</v>
      </c>
      <c r="D81" s="13" t="s">
        <v>16</v>
      </c>
      <c r="E81" s="13" t="s">
        <v>20</v>
      </c>
      <c r="F81" s="13" t="s">
        <v>13</v>
      </c>
      <c r="G81" s="13" t="s">
        <v>21</v>
      </c>
      <c r="H81" s="14">
        <v>18981.490000000002</v>
      </c>
      <c r="I81" s="13">
        <v>2</v>
      </c>
      <c r="J81" s="15">
        <v>4601.25</v>
      </c>
      <c r="K81" s="14" t="str" cm="1">
        <f t="array" ref="K81">_xlfn.IFS(Table44[[#This Row],[Sales]]&gt;40000,"Best Sales",Table44[[#This Row],[Sales]]&gt;20000,"Average Sales",Table44[[#This Row],[Sales]]&gt;0,"Poor Sales")</f>
        <v>Poor Sales</v>
      </c>
    </row>
    <row r="82" spans="1:11" x14ac:dyDescent="0.3">
      <c r="A82" s="6">
        <v>81</v>
      </c>
      <c r="B82" s="7">
        <v>45074</v>
      </c>
      <c r="C82" s="8" t="s">
        <v>38</v>
      </c>
      <c r="D82" s="8" t="s">
        <v>27</v>
      </c>
      <c r="E82" s="8" t="s">
        <v>20</v>
      </c>
      <c r="F82" s="8" t="s">
        <v>13</v>
      </c>
      <c r="G82" s="8" t="s">
        <v>34</v>
      </c>
      <c r="H82" s="9">
        <v>13262.03</v>
      </c>
      <c r="I82" s="8">
        <v>3</v>
      </c>
      <c r="J82" s="10">
        <v>1704.76</v>
      </c>
      <c r="K82" s="14" t="str" cm="1">
        <f t="array" ref="K82">_xlfn.IFS(Table44[[#This Row],[Sales]]&gt;40000,"Best Sales",Table44[[#This Row],[Sales]]&gt;20000,"Average Sales",Table44[[#This Row],[Sales]]&gt;0,"Poor Sales")</f>
        <v>Poor Sales</v>
      </c>
    </row>
    <row r="83" spans="1:11" x14ac:dyDescent="0.3">
      <c r="A83" s="11">
        <v>82</v>
      </c>
      <c r="B83" s="12">
        <v>45007</v>
      </c>
      <c r="C83" s="13" t="s">
        <v>30</v>
      </c>
      <c r="D83" s="13" t="s">
        <v>16</v>
      </c>
      <c r="E83" s="13" t="s">
        <v>20</v>
      </c>
      <c r="F83" s="13" t="s">
        <v>31</v>
      </c>
      <c r="G83" s="13" t="s">
        <v>33</v>
      </c>
      <c r="H83" s="14">
        <v>28533.71</v>
      </c>
      <c r="I83" s="13">
        <v>7</v>
      </c>
      <c r="J83" s="15">
        <v>5376.75</v>
      </c>
      <c r="K83" s="14" t="str" cm="1">
        <f t="array" ref="K83">_xlfn.IFS(Table44[[#This Row],[Sales]]&gt;40000,"Best Sales",Table44[[#This Row],[Sales]]&gt;20000,"Average Sales",Table44[[#This Row],[Sales]]&gt;0,"Poor Sales")</f>
        <v>Average Sales</v>
      </c>
    </row>
    <row r="84" spans="1:11" x14ac:dyDescent="0.3">
      <c r="A84" s="6">
        <v>83</v>
      </c>
      <c r="B84" s="7">
        <v>45065</v>
      </c>
      <c r="C84" s="8" t="s">
        <v>38</v>
      </c>
      <c r="D84" s="8" t="s">
        <v>27</v>
      </c>
      <c r="E84" s="8" t="s">
        <v>20</v>
      </c>
      <c r="F84" s="8" t="s">
        <v>31</v>
      </c>
      <c r="G84" s="8" t="s">
        <v>32</v>
      </c>
      <c r="H84" s="9">
        <v>23050.22</v>
      </c>
      <c r="I84" s="8">
        <v>9</v>
      </c>
      <c r="J84" s="10">
        <v>3097.82</v>
      </c>
      <c r="K84" s="14" t="str" cm="1">
        <f t="array" ref="K84">_xlfn.IFS(Table44[[#This Row],[Sales]]&gt;40000,"Best Sales",Table44[[#This Row],[Sales]]&gt;20000,"Average Sales",Table44[[#This Row],[Sales]]&gt;0,"Poor Sales")</f>
        <v>Average Sales</v>
      </c>
    </row>
    <row r="85" spans="1:11" x14ac:dyDescent="0.3">
      <c r="A85" s="11">
        <v>84</v>
      </c>
      <c r="B85" s="12">
        <v>45083</v>
      </c>
      <c r="C85" s="13" t="s">
        <v>22</v>
      </c>
      <c r="D85" s="13" t="s">
        <v>22</v>
      </c>
      <c r="E85" s="13" t="s">
        <v>20</v>
      </c>
      <c r="F85" s="13" t="s">
        <v>13</v>
      </c>
      <c r="G85" s="13" t="s">
        <v>34</v>
      </c>
      <c r="H85" s="14">
        <v>5628.94</v>
      </c>
      <c r="I85" s="13">
        <v>10</v>
      </c>
      <c r="J85" s="15">
        <v>502.11</v>
      </c>
      <c r="K85" s="14" t="str" cm="1">
        <f t="array" ref="K85">_xlfn.IFS(Table44[[#This Row],[Sales]]&gt;40000,"Best Sales",Table44[[#This Row],[Sales]]&gt;20000,"Average Sales",Table44[[#This Row],[Sales]]&gt;0,"Poor Sales")</f>
        <v>Poor Sales</v>
      </c>
    </row>
    <row r="86" spans="1:11" x14ac:dyDescent="0.3">
      <c r="A86" s="6">
        <v>85</v>
      </c>
      <c r="B86" s="7">
        <v>45094</v>
      </c>
      <c r="C86" s="8" t="s">
        <v>26</v>
      </c>
      <c r="D86" s="8" t="s">
        <v>27</v>
      </c>
      <c r="E86" s="8" t="s">
        <v>20</v>
      </c>
      <c r="F86" s="8" t="s">
        <v>13</v>
      </c>
      <c r="G86" s="8" t="s">
        <v>34</v>
      </c>
      <c r="H86" s="9">
        <v>24580.28</v>
      </c>
      <c r="I86" s="8">
        <v>4</v>
      </c>
      <c r="J86" s="10">
        <v>4569.32</v>
      </c>
      <c r="K86" s="14" t="str" cm="1">
        <f t="array" ref="K86">_xlfn.IFS(Table44[[#This Row],[Sales]]&gt;40000,"Best Sales",Table44[[#This Row],[Sales]]&gt;20000,"Average Sales",Table44[[#This Row],[Sales]]&gt;0,"Poor Sales")</f>
        <v>Average Sales</v>
      </c>
    </row>
    <row r="87" spans="1:11" x14ac:dyDescent="0.3">
      <c r="A87" s="11">
        <v>86</v>
      </c>
      <c r="B87" s="12">
        <v>45167</v>
      </c>
      <c r="C87" s="13" t="s">
        <v>15</v>
      </c>
      <c r="D87" s="13" t="s">
        <v>16</v>
      </c>
      <c r="E87" s="13" t="s">
        <v>20</v>
      </c>
      <c r="F87" s="13" t="s">
        <v>31</v>
      </c>
      <c r="G87" s="13" t="s">
        <v>33</v>
      </c>
      <c r="H87" s="14">
        <v>5581.58</v>
      </c>
      <c r="I87" s="13">
        <v>4</v>
      </c>
      <c r="J87" s="15">
        <v>1382.81</v>
      </c>
      <c r="K87" s="14" t="str" cm="1">
        <f t="array" ref="K87">_xlfn.IFS(Table44[[#This Row],[Sales]]&gt;40000,"Best Sales",Table44[[#This Row],[Sales]]&gt;20000,"Average Sales",Table44[[#This Row],[Sales]]&gt;0,"Poor Sales")</f>
        <v>Poor Sales</v>
      </c>
    </row>
    <row r="88" spans="1:11" x14ac:dyDescent="0.3">
      <c r="A88" s="6">
        <v>87</v>
      </c>
      <c r="B88" s="7">
        <v>45180</v>
      </c>
      <c r="C88" s="8" t="s">
        <v>38</v>
      </c>
      <c r="D88" s="8" t="s">
        <v>27</v>
      </c>
      <c r="E88" s="8" t="s">
        <v>20</v>
      </c>
      <c r="F88" s="8" t="s">
        <v>24</v>
      </c>
      <c r="G88" s="8" t="s">
        <v>28</v>
      </c>
      <c r="H88" s="9">
        <v>42628.71</v>
      </c>
      <c r="I88" s="8">
        <v>2</v>
      </c>
      <c r="J88" s="10">
        <v>12647.05</v>
      </c>
      <c r="K88" s="14" t="str" cm="1">
        <f t="array" ref="K88">_xlfn.IFS(Table44[[#This Row],[Sales]]&gt;40000,"Best Sales",Table44[[#This Row],[Sales]]&gt;20000,"Average Sales",Table44[[#This Row],[Sales]]&gt;0,"Poor Sales")</f>
        <v>Best Sales</v>
      </c>
    </row>
    <row r="89" spans="1:11" x14ac:dyDescent="0.3">
      <c r="A89" s="11">
        <v>88</v>
      </c>
      <c r="B89" s="12">
        <v>45026</v>
      </c>
      <c r="C89" s="13" t="s">
        <v>26</v>
      </c>
      <c r="D89" s="13" t="s">
        <v>27</v>
      </c>
      <c r="E89" s="13" t="s">
        <v>20</v>
      </c>
      <c r="F89" s="13" t="s">
        <v>24</v>
      </c>
      <c r="G89" s="13" t="s">
        <v>25</v>
      </c>
      <c r="H89" s="14">
        <v>36936.449999999997</v>
      </c>
      <c r="I89" s="13">
        <v>1</v>
      </c>
      <c r="J89" s="15">
        <v>1871.1</v>
      </c>
      <c r="K89" s="14" t="str" cm="1">
        <f t="array" ref="K89">_xlfn.IFS(Table44[[#This Row],[Sales]]&gt;40000,"Best Sales",Table44[[#This Row],[Sales]]&gt;20000,"Average Sales",Table44[[#This Row],[Sales]]&gt;0,"Poor Sales")</f>
        <v>Average Sales</v>
      </c>
    </row>
    <row r="90" spans="1:11" x14ac:dyDescent="0.3">
      <c r="A90" s="6">
        <v>89</v>
      </c>
      <c r="B90" s="7">
        <v>45154</v>
      </c>
      <c r="C90" s="8" t="s">
        <v>10</v>
      </c>
      <c r="D90" s="8" t="s">
        <v>11</v>
      </c>
      <c r="E90" s="8" t="s">
        <v>20</v>
      </c>
      <c r="F90" s="8" t="s">
        <v>13</v>
      </c>
      <c r="G90" s="8" t="s">
        <v>34</v>
      </c>
      <c r="H90" s="9">
        <v>49161.73</v>
      </c>
      <c r="I90" s="8">
        <v>4</v>
      </c>
      <c r="J90" s="10">
        <v>11453.36</v>
      </c>
      <c r="K90" s="14" t="str" cm="1">
        <f t="array" ref="K90">_xlfn.IFS(Table44[[#This Row],[Sales]]&gt;40000,"Best Sales",Table44[[#This Row],[Sales]]&gt;20000,"Average Sales",Table44[[#This Row],[Sales]]&gt;0,"Poor Sales")</f>
        <v>Best Sales</v>
      </c>
    </row>
    <row r="91" spans="1:11" x14ac:dyDescent="0.3">
      <c r="A91" s="11">
        <v>90</v>
      </c>
      <c r="B91" s="12">
        <v>45256</v>
      </c>
      <c r="C91" s="13" t="s">
        <v>18</v>
      </c>
      <c r="D91" s="13" t="s">
        <v>19</v>
      </c>
      <c r="E91" s="13" t="s">
        <v>20</v>
      </c>
      <c r="F91" s="13" t="s">
        <v>24</v>
      </c>
      <c r="G91" s="13" t="s">
        <v>28</v>
      </c>
      <c r="H91" s="14">
        <v>2971.97</v>
      </c>
      <c r="I91" s="13">
        <v>4</v>
      </c>
      <c r="J91" s="15">
        <v>387.64</v>
      </c>
      <c r="K91" s="14" t="str" cm="1">
        <f t="array" ref="K91">_xlfn.IFS(Table44[[#This Row],[Sales]]&gt;40000,"Best Sales",Table44[[#This Row],[Sales]]&gt;20000,"Average Sales",Table44[[#This Row],[Sales]]&gt;0,"Poor Sales")</f>
        <v>Poor Sales</v>
      </c>
    </row>
    <row r="92" spans="1:11" x14ac:dyDescent="0.3">
      <c r="A92" s="6">
        <v>91</v>
      </c>
      <c r="B92" s="7">
        <v>45221</v>
      </c>
      <c r="C92" s="8" t="s">
        <v>26</v>
      </c>
      <c r="D92" s="8" t="s">
        <v>27</v>
      </c>
      <c r="E92" s="8" t="s">
        <v>20</v>
      </c>
      <c r="F92" s="8" t="s">
        <v>31</v>
      </c>
      <c r="G92" s="8" t="s">
        <v>33</v>
      </c>
      <c r="H92" s="9">
        <v>45280.43</v>
      </c>
      <c r="I92" s="8">
        <v>8</v>
      </c>
      <c r="J92" s="10">
        <v>5426.84</v>
      </c>
      <c r="K92" s="14" t="str" cm="1">
        <f t="array" ref="K92">_xlfn.IFS(Table44[[#This Row],[Sales]]&gt;40000,"Best Sales",Table44[[#This Row],[Sales]]&gt;20000,"Average Sales",Table44[[#This Row],[Sales]]&gt;0,"Poor Sales")</f>
        <v>Best Sales</v>
      </c>
    </row>
    <row r="93" spans="1:11" x14ac:dyDescent="0.3">
      <c r="A93" s="11">
        <v>92</v>
      </c>
      <c r="B93" s="12">
        <v>44956</v>
      </c>
      <c r="C93" s="13" t="s">
        <v>22</v>
      </c>
      <c r="D93" s="13" t="s">
        <v>22</v>
      </c>
      <c r="E93" s="13" t="s">
        <v>20</v>
      </c>
      <c r="F93" s="13" t="s">
        <v>13</v>
      </c>
      <c r="G93" s="13" t="s">
        <v>14</v>
      </c>
      <c r="H93" s="14">
        <v>15117.73</v>
      </c>
      <c r="I93" s="13">
        <v>1</v>
      </c>
      <c r="J93" s="15">
        <v>3245</v>
      </c>
      <c r="K93" s="14" t="str" cm="1">
        <f t="array" ref="K93">_xlfn.IFS(Table44[[#This Row],[Sales]]&gt;40000,"Best Sales",Table44[[#This Row],[Sales]]&gt;20000,"Average Sales",Table44[[#This Row],[Sales]]&gt;0,"Poor Sales")</f>
        <v>Poor Sales</v>
      </c>
    </row>
    <row r="94" spans="1:11" x14ac:dyDescent="0.3">
      <c r="A94" s="6">
        <v>93</v>
      </c>
      <c r="B94" s="7">
        <v>45211</v>
      </c>
      <c r="C94" s="8" t="s">
        <v>15</v>
      </c>
      <c r="D94" s="8" t="s">
        <v>16</v>
      </c>
      <c r="E94" s="8" t="s">
        <v>20</v>
      </c>
      <c r="F94" s="8" t="s">
        <v>31</v>
      </c>
      <c r="G94" s="8" t="s">
        <v>39</v>
      </c>
      <c r="H94" s="9">
        <v>17343.349999999999</v>
      </c>
      <c r="I94" s="8">
        <v>4</v>
      </c>
      <c r="J94" s="10">
        <v>3930.83</v>
      </c>
      <c r="K94" s="14" t="str" cm="1">
        <f t="array" ref="K94">_xlfn.IFS(Table44[[#This Row],[Sales]]&gt;40000,"Best Sales",Table44[[#This Row],[Sales]]&gt;20000,"Average Sales",Table44[[#This Row],[Sales]]&gt;0,"Poor Sales")</f>
        <v>Poor Sales</v>
      </c>
    </row>
    <row r="95" spans="1:11" x14ac:dyDescent="0.3">
      <c r="A95" s="11">
        <v>94</v>
      </c>
      <c r="B95" s="12">
        <v>45080</v>
      </c>
      <c r="C95" s="13" t="s">
        <v>38</v>
      </c>
      <c r="D95" s="13" t="s">
        <v>27</v>
      </c>
      <c r="E95" s="13" t="s">
        <v>20</v>
      </c>
      <c r="F95" s="13" t="s">
        <v>13</v>
      </c>
      <c r="G95" s="13" t="s">
        <v>34</v>
      </c>
      <c r="H95" s="14">
        <v>20412.259999999998</v>
      </c>
      <c r="I95" s="13">
        <v>9</v>
      </c>
      <c r="J95" s="15">
        <v>4042.76</v>
      </c>
      <c r="K95" s="14" t="str" cm="1">
        <f t="array" ref="K95">_xlfn.IFS(Table44[[#This Row],[Sales]]&gt;40000,"Best Sales",Table44[[#This Row],[Sales]]&gt;20000,"Average Sales",Table44[[#This Row],[Sales]]&gt;0,"Poor Sales")</f>
        <v>Average Sales</v>
      </c>
    </row>
    <row r="96" spans="1:11" x14ac:dyDescent="0.3">
      <c r="A96" s="6">
        <v>95</v>
      </c>
      <c r="B96" s="7">
        <v>45237</v>
      </c>
      <c r="C96" s="8" t="s">
        <v>10</v>
      </c>
      <c r="D96" s="8" t="s">
        <v>11</v>
      </c>
      <c r="E96" s="8" t="s">
        <v>20</v>
      </c>
      <c r="F96" s="8" t="s">
        <v>31</v>
      </c>
      <c r="G96" s="8" t="s">
        <v>33</v>
      </c>
      <c r="H96" s="9">
        <v>43100.75</v>
      </c>
      <c r="I96" s="8">
        <v>3</v>
      </c>
      <c r="J96" s="10">
        <v>7277.93</v>
      </c>
      <c r="K96" s="14" t="str" cm="1">
        <f t="array" ref="K96">_xlfn.IFS(Table44[[#This Row],[Sales]]&gt;40000,"Best Sales",Table44[[#This Row],[Sales]]&gt;20000,"Average Sales",Table44[[#This Row],[Sales]]&gt;0,"Poor Sales")</f>
        <v>Best Sales</v>
      </c>
    </row>
    <row r="97" spans="1:11" x14ac:dyDescent="0.3">
      <c r="A97" s="11">
        <v>96</v>
      </c>
      <c r="B97" s="12">
        <v>45167</v>
      </c>
      <c r="C97" s="13" t="s">
        <v>22</v>
      </c>
      <c r="D97" s="13" t="s">
        <v>22</v>
      </c>
      <c r="E97" s="13" t="s">
        <v>20</v>
      </c>
      <c r="F97" s="13" t="s">
        <v>24</v>
      </c>
      <c r="G97" s="13" t="s">
        <v>25</v>
      </c>
      <c r="H97" s="14">
        <v>33221.47</v>
      </c>
      <c r="I97" s="13">
        <v>2</v>
      </c>
      <c r="J97" s="15">
        <v>8139.07</v>
      </c>
      <c r="K97" s="14" t="str" cm="1">
        <f t="array" ref="K97">_xlfn.IFS(Table44[[#This Row],[Sales]]&gt;40000,"Best Sales",Table44[[#This Row],[Sales]]&gt;20000,"Average Sales",Table44[[#This Row],[Sales]]&gt;0,"Poor Sales")</f>
        <v>Average Sales</v>
      </c>
    </row>
    <row r="98" spans="1:11" x14ac:dyDescent="0.3">
      <c r="A98" s="6">
        <v>97</v>
      </c>
      <c r="B98" s="7">
        <v>45145</v>
      </c>
      <c r="C98" s="8" t="s">
        <v>15</v>
      </c>
      <c r="D98" s="8" t="s">
        <v>16</v>
      </c>
      <c r="E98" s="8" t="s">
        <v>20</v>
      </c>
      <c r="F98" s="8" t="s">
        <v>31</v>
      </c>
      <c r="G98" s="8" t="s">
        <v>33</v>
      </c>
      <c r="H98" s="9">
        <v>27420.6</v>
      </c>
      <c r="I98" s="8">
        <v>1</v>
      </c>
      <c r="J98" s="10">
        <v>3380.25</v>
      </c>
      <c r="K98" s="14" t="str" cm="1">
        <f t="array" ref="K98">_xlfn.IFS(Table44[[#This Row],[Sales]]&gt;40000,"Best Sales",Table44[[#This Row],[Sales]]&gt;20000,"Average Sales",Table44[[#This Row],[Sales]]&gt;0,"Poor Sales")</f>
        <v>Average Sales</v>
      </c>
    </row>
    <row r="99" spans="1:11" x14ac:dyDescent="0.3">
      <c r="A99" s="11">
        <v>98</v>
      </c>
      <c r="B99" s="12">
        <v>45151</v>
      </c>
      <c r="C99" s="13" t="s">
        <v>18</v>
      </c>
      <c r="D99" s="13" t="s">
        <v>19</v>
      </c>
      <c r="E99" s="13" t="s">
        <v>20</v>
      </c>
      <c r="F99" s="13" t="s">
        <v>13</v>
      </c>
      <c r="G99" s="13" t="s">
        <v>21</v>
      </c>
      <c r="H99" s="14">
        <v>41720.79</v>
      </c>
      <c r="I99" s="13">
        <v>9</v>
      </c>
      <c r="J99" s="15">
        <v>7269.45</v>
      </c>
      <c r="K99" s="14" t="str" cm="1">
        <f t="array" ref="K99">_xlfn.IFS(Table44[[#This Row],[Sales]]&gt;40000,"Best Sales",Table44[[#This Row],[Sales]]&gt;20000,"Average Sales",Table44[[#This Row],[Sales]]&gt;0,"Poor Sales")</f>
        <v>Best Sales</v>
      </c>
    </row>
    <row r="100" spans="1:11" x14ac:dyDescent="0.3">
      <c r="A100" s="6">
        <v>99</v>
      </c>
      <c r="B100" s="7">
        <v>45008</v>
      </c>
      <c r="C100" s="8" t="s">
        <v>22</v>
      </c>
      <c r="D100" s="8" t="s">
        <v>22</v>
      </c>
      <c r="E100" s="8" t="s">
        <v>20</v>
      </c>
      <c r="F100" s="8" t="s">
        <v>13</v>
      </c>
      <c r="G100" s="8" t="s">
        <v>14</v>
      </c>
      <c r="H100" s="9">
        <v>43520.98</v>
      </c>
      <c r="I100" s="8">
        <v>8</v>
      </c>
      <c r="J100" s="10">
        <v>6580.87</v>
      </c>
      <c r="K100" s="14" t="str" cm="1">
        <f t="array" ref="K100">_xlfn.IFS(Table44[[#This Row],[Sales]]&gt;40000,"Best Sales",Table44[[#This Row],[Sales]]&gt;20000,"Average Sales",Table44[[#This Row],[Sales]]&gt;0,"Poor Sales")</f>
        <v>Best Sales</v>
      </c>
    </row>
    <row r="101" spans="1:11" x14ac:dyDescent="0.3">
      <c r="A101" s="11">
        <v>100</v>
      </c>
      <c r="B101" s="12">
        <v>45104</v>
      </c>
      <c r="C101" s="13" t="s">
        <v>18</v>
      </c>
      <c r="D101" s="13" t="s">
        <v>19</v>
      </c>
      <c r="E101" s="13" t="s">
        <v>12</v>
      </c>
      <c r="F101" s="13" t="s">
        <v>31</v>
      </c>
      <c r="G101" s="13" t="s">
        <v>39</v>
      </c>
      <c r="H101" s="14">
        <v>43256.76</v>
      </c>
      <c r="I101" s="13">
        <v>9</v>
      </c>
      <c r="J101" s="15">
        <v>12801</v>
      </c>
      <c r="K101" s="14" t="str" cm="1">
        <f t="array" ref="K101">_xlfn.IFS(Table44[[#This Row],[Sales]]&gt;40000,"Best Sales",Table44[[#This Row],[Sales]]&gt;20000,"Average Sales",Table44[[#This Row],[Sales]]&gt;0,"Poor Sales")</f>
        <v>Best Sales</v>
      </c>
    </row>
    <row r="102" spans="1:11" x14ac:dyDescent="0.3">
      <c r="A102" s="6">
        <v>101</v>
      </c>
      <c r="B102" s="7">
        <v>45016</v>
      </c>
      <c r="C102" s="8" t="s">
        <v>38</v>
      </c>
      <c r="D102" s="8" t="s">
        <v>27</v>
      </c>
      <c r="E102" s="8" t="s">
        <v>12</v>
      </c>
      <c r="F102" s="8" t="s">
        <v>31</v>
      </c>
      <c r="G102" s="8" t="s">
        <v>33</v>
      </c>
      <c r="H102" s="9">
        <v>28432</v>
      </c>
      <c r="I102" s="8">
        <v>1</v>
      </c>
      <c r="J102" s="10">
        <v>4326.1000000000004</v>
      </c>
      <c r="K102" s="14" t="str" cm="1">
        <f t="array" ref="K102">_xlfn.IFS(Table44[[#This Row],[Sales]]&gt;40000,"Best Sales",Table44[[#This Row],[Sales]]&gt;20000,"Average Sales",Table44[[#This Row],[Sales]]&gt;0,"Poor Sales")</f>
        <v>Average Sales</v>
      </c>
    </row>
    <row r="103" spans="1:11" x14ac:dyDescent="0.3">
      <c r="A103" s="11">
        <v>102</v>
      </c>
      <c r="B103" s="12">
        <v>45043</v>
      </c>
      <c r="C103" s="13" t="s">
        <v>26</v>
      </c>
      <c r="D103" s="13" t="s">
        <v>27</v>
      </c>
      <c r="E103" s="13" t="s">
        <v>12</v>
      </c>
      <c r="F103" s="13" t="s">
        <v>24</v>
      </c>
      <c r="G103" s="13" t="s">
        <v>29</v>
      </c>
      <c r="H103" s="14">
        <v>45607.68</v>
      </c>
      <c r="I103" s="13">
        <v>9</v>
      </c>
      <c r="J103" s="15">
        <v>10061.65</v>
      </c>
      <c r="K103" s="14" t="str" cm="1">
        <f t="array" ref="K103">_xlfn.IFS(Table44[[#This Row],[Sales]]&gt;40000,"Best Sales",Table44[[#This Row],[Sales]]&gt;20000,"Average Sales",Table44[[#This Row],[Sales]]&gt;0,"Poor Sales")</f>
        <v>Best Sales</v>
      </c>
    </row>
    <row r="104" spans="1:11" x14ac:dyDescent="0.3">
      <c r="A104" s="6">
        <v>103</v>
      </c>
      <c r="B104" s="7">
        <v>45249</v>
      </c>
      <c r="C104" s="8" t="s">
        <v>15</v>
      </c>
      <c r="D104" s="8" t="s">
        <v>16</v>
      </c>
      <c r="E104" s="8" t="s">
        <v>12</v>
      </c>
      <c r="F104" s="8" t="s">
        <v>24</v>
      </c>
      <c r="G104" s="8" t="s">
        <v>28</v>
      </c>
      <c r="H104" s="9">
        <v>45100.31</v>
      </c>
      <c r="I104" s="8">
        <v>5</v>
      </c>
      <c r="J104" s="10">
        <v>5435.3</v>
      </c>
      <c r="K104" s="14" t="str" cm="1">
        <f t="array" ref="K104">_xlfn.IFS(Table44[[#This Row],[Sales]]&gt;40000,"Best Sales",Table44[[#This Row],[Sales]]&gt;20000,"Average Sales",Table44[[#This Row],[Sales]]&gt;0,"Poor Sales")</f>
        <v>Best Sales</v>
      </c>
    </row>
    <row r="105" spans="1:11" x14ac:dyDescent="0.3">
      <c r="A105" s="11">
        <v>104</v>
      </c>
      <c r="B105" s="12">
        <v>45258</v>
      </c>
      <c r="C105" s="13" t="s">
        <v>35</v>
      </c>
      <c r="D105" s="13" t="s">
        <v>36</v>
      </c>
      <c r="E105" s="13" t="s">
        <v>12</v>
      </c>
      <c r="F105" s="13" t="s">
        <v>13</v>
      </c>
      <c r="G105" s="13" t="s">
        <v>21</v>
      </c>
      <c r="H105" s="14">
        <v>31680.26</v>
      </c>
      <c r="I105" s="13">
        <v>6</v>
      </c>
      <c r="J105" s="15">
        <v>7130.43</v>
      </c>
      <c r="K105" s="14" t="str" cm="1">
        <f t="array" ref="K105">_xlfn.IFS(Table44[[#This Row],[Sales]]&gt;40000,"Best Sales",Table44[[#This Row],[Sales]]&gt;20000,"Average Sales",Table44[[#This Row],[Sales]]&gt;0,"Poor Sales")</f>
        <v>Average Sales</v>
      </c>
    </row>
    <row r="106" spans="1:11" x14ac:dyDescent="0.3">
      <c r="A106" s="6">
        <v>105</v>
      </c>
      <c r="B106" s="7">
        <v>45178</v>
      </c>
      <c r="C106" s="8" t="s">
        <v>10</v>
      </c>
      <c r="D106" s="8" t="s">
        <v>11</v>
      </c>
      <c r="E106" s="8" t="s">
        <v>12</v>
      </c>
      <c r="F106" s="8" t="s">
        <v>24</v>
      </c>
      <c r="G106" s="8" t="s">
        <v>29</v>
      </c>
      <c r="H106" s="9">
        <v>17942.34</v>
      </c>
      <c r="I106" s="8">
        <v>4</v>
      </c>
      <c r="J106" s="10">
        <v>4800.71</v>
      </c>
      <c r="K106" s="14" t="str" cm="1">
        <f t="array" ref="K106">_xlfn.IFS(Table44[[#This Row],[Sales]]&gt;40000,"Best Sales",Table44[[#This Row],[Sales]]&gt;20000,"Average Sales",Table44[[#This Row],[Sales]]&gt;0,"Poor Sales")</f>
        <v>Poor Sales</v>
      </c>
    </row>
    <row r="107" spans="1:11" x14ac:dyDescent="0.3">
      <c r="A107" s="11">
        <v>106</v>
      </c>
      <c r="B107" s="12">
        <v>44943</v>
      </c>
      <c r="C107" s="13" t="s">
        <v>38</v>
      </c>
      <c r="D107" s="13" t="s">
        <v>27</v>
      </c>
      <c r="E107" s="13" t="s">
        <v>12</v>
      </c>
      <c r="F107" s="13" t="s">
        <v>31</v>
      </c>
      <c r="G107" s="13" t="s">
        <v>33</v>
      </c>
      <c r="H107" s="14">
        <v>46409.88</v>
      </c>
      <c r="I107" s="13">
        <v>7</v>
      </c>
      <c r="J107" s="15">
        <v>12657.84</v>
      </c>
      <c r="K107" s="14" t="str" cm="1">
        <f t="array" ref="K107">_xlfn.IFS(Table44[[#This Row],[Sales]]&gt;40000,"Best Sales",Table44[[#This Row],[Sales]]&gt;20000,"Average Sales",Table44[[#This Row],[Sales]]&gt;0,"Poor Sales")</f>
        <v>Best Sales</v>
      </c>
    </row>
    <row r="108" spans="1:11" x14ac:dyDescent="0.3">
      <c r="A108" s="6">
        <v>107</v>
      </c>
      <c r="B108" s="7">
        <v>45270</v>
      </c>
      <c r="C108" s="8" t="s">
        <v>35</v>
      </c>
      <c r="D108" s="8" t="s">
        <v>36</v>
      </c>
      <c r="E108" s="8" t="s">
        <v>12</v>
      </c>
      <c r="F108" s="8" t="s">
        <v>31</v>
      </c>
      <c r="G108" s="8" t="s">
        <v>33</v>
      </c>
      <c r="H108" s="9">
        <v>20904.05</v>
      </c>
      <c r="I108" s="8">
        <v>9</v>
      </c>
      <c r="J108" s="10">
        <v>2758.95</v>
      </c>
      <c r="K108" s="14" t="str" cm="1">
        <f t="array" ref="K108">_xlfn.IFS(Table44[[#This Row],[Sales]]&gt;40000,"Best Sales",Table44[[#This Row],[Sales]]&gt;20000,"Average Sales",Table44[[#This Row],[Sales]]&gt;0,"Poor Sales")</f>
        <v>Average Sales</v>
      </c>
    </row>
    <row r="109" spans="1:11" x14ac:dyDescent="0.3">
      <c r="A109" s="11">
        <v>108</v>
      </c>
      <c r="B109" s="12">
        <v>45143</v>
      </c>
      <c r="C109" s="13" t="s">
        <v>18</v>
      </c>
      <c r="D109" s="13" t="s">
        <v>19</v>
      </c>
      <c r="E109" s="13" t="s">
        <v>12</v>
      </c>
      <c r="F109" s="13" t="s">
        <v>31</v>
      </c>
      <c r="G109" s="13" t="s">
        <v>39</v>
      </c>
      <c r="H109" s="14">
        <v>9106.1</v>
      </c>
      <c r="I109" s="13">
        <v>3</v>
      </c>
      <c r="J109" s="15">
        <v>519.4</v>
      </c>
      <c r="K109" s="14" t="str" cm="1">
        <f t="array" ref="K109">_xlfn.IFS(Table44[[#This Row],[Sales]]&gt;40000,"Best Sales",Table44[[#This Row],[Sales]]&gt;20000,"Average Sales",Table44[[#This Row],[Sales]]&gt;0,"Poor Sales")</f>
        <v>Poor Sales</v>
      </c>
    </row>
    <row r="110" spans="1:11" x14ac:dyDescent="0.3">
      <c r="A110" s="6">
        <v>109</v>
      </c>
      <c r="B110" s="7">
        <v>45214</v>
      </c>
      <c r="C110" s="8" t="s">
        <v>10</v>
      </c>
      <c r="D110" s="8" t="s">
        <v>11</v>
      </c>
      <c r="E110" s="8" t="s">
        <v>12</v>
      </c>
      <c r="F110" s="8" t="s">
        <v>24</v>
      </c>
      <c r="G110" s="8" t="s">
        <v>25</v>
      </c>
      <c r="H110" s="9">
        <v>7629.97</v>
      </c>
      <c r="I110" s="8">
        <v>9</v>
      </c>
      <c r="J110" s="10">
        <v>1489.6</v>
      </c>
      <c r="K110" s="14" t="str" cm="1">
        <f t="array" ref="K110">_xlfn.IFS(Table44[[#This Row],[Sales]]&gt;40000,"Best Sales",Table44[[#This Row],[Sales]]&gt;20000,"Average Sales",Table44[[#This Row],[Sales]]&gt;0,"Poor Sales")</f>
        <v>Poor Sales</v>
      </c>
    </row>
    <row r="111" spans="1:11" x14ac:dyDescent="0.3">
      <c r="A111" s="11">
        <v>110</v>
      </c>
      <c r="B111" s="12">
        <v>45008</v>
      </c>
      <c r="C111" s="13" t="s">
        <v>26</v>
      </c>
      <c r="D111" s="13" t="s">
        <v>27</v>
      </c>
      <c r="E111" s="13" t="s">
        <v>12</v>
      </c>
      <c r="F111" s="13" t="s">
        <v>13</v>
      </c>
      <c r="G111" s="13" t="s">
        <v>14</v>
      </c>
      <c r="H111" s="14">
        <v>23310.71</v>
      </c>
      <c r="I111" s="13">
        <v>1</v>
      </c>
      <c r="J111" s="15">
        <v>3512.57</v>
      </c>
      <c r="K111" s="14" t="str" cm="1">
        <f t="array" ref="K111">_xlfn.IFS(Table44[[#This Row],[Sales]]&gt;40000,"Best Sales",Table44[[#This Row],[Sales]]&gt;20000,"Average Sales",Table44[[#This Row],[Sales]]&gt;0,"Poor Sales")</f>
        <v>Average Sales</v>
      </c>
    </row>
    <row r="112" spans="1:11" x14ac:dyDescent="0.3">
      <c r="A112" s="6">
        <v>111</v>
      </c>
      <c r="B112" s="7">
        <v>45085</v>
      </c>
      <c r="C112" s="8" t="s">
        <v>30</v>
      </c>
      <c r="D112" s="8" t="s">
        <v>16</v>
      </c>
      <c r="E112" s="8" t="s">
        <v>12</v>
      </c>
      <c r="F112" s="8" t="s">
        <v>13</v>
      </c>
      <c r="G112" s="8" t="s">
        <v>34</v>
      </c>
      <c r="H112" s="9">
        <v>27994.05</v>
      </c>
      <c r="I112" s="8">
        <v>4</v>
      </c>
      <c r="J112" s="10">
        <v>5449.63</v>
      </c>
      <c r="K112" s="14" t="str" cm="1">
        <f t="array" ref="K112">_xlfn.IFS(Table44[[#This Row],[Sales]]&gt;40000,"Best Sales",Table44[[#This Row],[Sales]]&gt;20000,"Average Sales",Table44[[#This Row],[Sales]]&gt;0,"Poor Sales")</f>
        <v>Average Sales</v>
      </c>
    </row>
    <row r="113" spans="1:11" x14ac:dyDescent="0.3">
      <c r="A113" s="11">
        <v>112</v>
      </c>
      <c r="B113" s="12">
        <v>44963</v>
      </c>
      <c r="C113" s="13" t="s">
        <v>18</v>
      </c>
      <c r="D113" s="13" t="s">
        <v>19</v>
      </c>
      <c r="E113" s="13" t="s">
        <v>12</v>
      </c>
      <c r="F113" s="13" t="s">
        <v>13</v>
      </c>
      <c r="G113" s="13" t="s">
        <v>34</v>
      </c>
      <c r="H113" s="14">
        <v>32440.06</v>
      </c>
      <c r="I113" s="13">
        <v>3</v>
      </c>
      <c r="J113" s="15">
        <v>7193.85</v>
      </c>
      <c r="K113" s="14" t="str" cm="1">
        <f t="array" ref="K113">_xlfn.IFS(Table44[[#This Row],[Sales]]&gt;40000,"Best Sales",Table44[[#This Row],[Sales]]&gt;20000,"Average Sales",Table44[[#This Row],[Sales]]&gt;0,"Poor Sales")</f>
        <v>Average Sales</v>
      </c>
    </row>
    <row r="114" spans="1:11" x14ac:dyDescent="0.3">
      <c r="A114" s="6">
        <v>113</v>
      </c>
      <c r="B114" s="7">
        <v>45103</v>
      </c>
      <c r="C114" s="8" t="s">
        <v>30</v>
      </c>
      <c r="D114" s="8" t="s">
        <v>16</v>
      </c>
      <c r="E114" s="8" t="s">
        <v>12</v>
      </c>
      <c r="F114" s="8" t="s">
        <v>13</v>
      </c>
      <c r="G114" s="8" t="s">
        <v>34</v>
      </c>
      <c r="H114" s="9">
        <v>40462.19</v>
      </c>
      <c r="I114" s="8">
        <v>3</v>
      </c>
      <c r="J114" s="10">
        <v>9068.9</v>
      </c>
      <c r="K114" s="14" t="str" cm="1">
        <f t="array" ref="K114">_xlfn.IFS(Table44[[#This Row],[Sales]]&gt;40000,"Best Sales",Table44[[#This Row],[Sales]]&gt;20000,"Average Sales",Table44[[#This Row],[Sales]]&gt;0,"Poor Sales")</f>
        <v>Best Sales</v>
      </c>
    </row>
    <row r="115" spans="1:11" x14ac:dyDescent="0.3">
      <c r="A115" s="11">
        <v>114</v>
      </c>
      <c r="B115" s="12">
        <v>45086</v>
      </c>
      <c r="C115" s="13" t="s">
        <v>37</v>
      </c>
      <c r="D115" s="13" t="s">
        <v>27</v>
      </c>
      <c r="E115" s="13" t="s">
        <v>12</v>
      </c>
      <c r="F115" s="13" t="s">
        <v>31</v>
      </c>
      <c r="G115" s="13" t="s">
        <v>32</v>
      </c>
      <c r="H115" s="14">
        <v>4946.33</v>
      </c>
      <c r="I115" s="13">
        <v>9</v>
      </c>
      <c r="J115" s="15">
        <v>1157.56</v>
      </c>
      <c r="K115" s="14" t="str" cm="1">
        <f t="array" ref="K115">_xlfn.IFS(Table44[[#This Row],[Sales]]&gt;40000,"Best Sales",Table44[[#This Row],[Sales]]&gt;20000,"Average Sales",Table44[[#This Row],[Sales]]&gt;0,"Poor Sales")</f>
        <v>Poor Sales</v>
      </c>
    </row>
    <row r="116" spans="1:11" x14ac:dyDescent="0.3">
      <c r="A116" s="6">
        <v>115</v>
      </c>
      <c r="B116" s="7">
        <v>45067</v>
      </c>
      <c r="C116" s="8" t="s">
        <v>18</v>
      </c>
      <c r="D116" s="8" t="s">
        <v>19</v>
      </c>
      <c r="E116" s="8" t="s">
        <v>12</v>
      </c>
      <c r="F116" s="8" t="s">
        <v>24</v>
      </c>
      <c r="G116" s="8" t="s">
        <v>25</v>
      </c>
      <c r="H116" s="9">
        <v>41523.230000000003</v>
      </c>
      <c r="I116" s="8">
        <v>7</v>
      </c>
      <c r="J116" s="10">
        <v>9474.06</v>
      </c>
      <c r="K116" s="14" t="str" cm="1">
        <f t="array" ref="K116">_xlfn.IFS(Table44[[#This Row],[Sales]]&gt;40000,"Best Sales",Table44[[#This Row],[Sales]]&gt;20000,"Average Sales",Table44[[#This Row],[Sales]]&gt;0,"Poor Sales")</f>
        <v>Best Sales</v>
      </c>
    </row>
    <row r="117" spans="1:11" x14ac:dyDescent="0.3">
      <c r="A117" s="11">
        <v>116</v>
      </c>
      <c r="B117" s="12">
        <v>45091</v>
      </c>
      <c r="C117" s="13" t="s">
        <v>37</v>
      </c>
      <c r="D117" s="13" t="s">
        <v>27</v>
      </c>
      <c r="E117" s="13" t="s">
        <v>12</v>
      </c>
      <c r="F117" s="13" t="s">
        <v>31</v>
      </c>
      <c r="G117" s="13" t="s">
        <v>33</v>
      </c>
      <c r="H117" s="14">
        <v>41692.239999999998</v>
      </c>
      <c r="I117" s="13">
        <v>1</v>
      </c>
      <c r="J117" s="15">
        <v>11454.59</v>
      </c>
      <c r="K117" s="14" t="str" cm="1">
        <f t="array" ref="K117">_xlfn.IFS(Table44[[#This Row],[Sales]]&gt;40000,"Best Sales",Table44[[#This Row],[Sales]]&gt;20000,"Average Sales",Table44[[#This Row],[Sales]]&gt;0,"Poor Sales")</f>
        <v>Best Sales</v>
      </c>
    </row>
    <row r="118" spans="1:11" x14ac:dyDescent="0.3">
      <c r="A118" s="6">
        <v>117</v>
      </c>
      <c r="B118" s="7">
        <v>45275</v>
      </c>
      <c r="C118" s="8" t="s">
        <v>18</v>
      </c>
      <c r="D118" s="8" t="s">
        <v>19</v>
      </c>
      <c r="E118" s="8" t="s">
        <v>12</v>
      </c>
      <c r="F118" s="8" t="s">
        <v>24</v>
      </c>
      <c r="G118" s="8" t="s">
        <v>25</v>
      </c>
      <c r="H118" s="9">
        <v>37435.72</v>
      </c>
      <c r="I118" s="8">
        <v>10</v>
      </c>
      <c r="J118" s="10">
        <v>7225.3</v>
      </c>
      <c r="K118" s="14" t="str" cm="1">
        <f t="array" ref="K118">_xlfn.IFS(Table44[[#This Row],[Sales]]&gt;40000,"Best Sales",Table44[[#This Row],[Sales]]&gt;20000,"Average Sales",Table44[[#This Row],[Sales]]&gt;0,"Poor Sales")</f>
        <v>Average Sales</v>
      </c>
    </row>
    <row r="119" spans="1:11" x14ac:dyDescent="0.3">
      <c r="A119" s="11">
        <v>118</v>
      </c>
      <c r="B119" s="12">
        <v>44993</v>
      </c>
      <c r="C119" s="13" t="s">
        <v>22</v>
      </c>
      <c r="D119" s="13" t="s">
        <v>22</v>
      </c>
      <c r="E119" s="13" t="s">
        <v>12</v>
      </c>
      <c r="F119" s="13" t="s">
        <v>31</v>
      </c>
      <c r="G119" s="13" t="s">
        <v>39</v>
      </c>
      <c r="H119" s="14">
        <v>24188.17</v>
      </c>
      <c r="I119" s="13">
        <v>4</v>
      </c>
      <c r="J119" s="15">
        <v>1398.98</v>
      </c>
      <c r="K119" s="14" t="str" cm="1">
        <f t="array" ref="K119">_xlfn.IFS(Table44[[#This Row],[Sales]]&gt;40000,"Best Sales",Table44[[#This Row],[Sales]]&gt;20000,"Average Sales",Table44[[#This Row],[Sales]]&gt;0,"Poor Sales")</f>
        <v>Average Sales</v>
      </c>
    </row>
    <row r="120" spans="1:11" x14ac:dyDescent="0.3">
      <c r="A120" s="6">
        <v>119</v>
      </c>
      <c r="B120" s="7">
        <v>44978</v>
      </c>
      <c r="C120" s="8" t="s">
        <v>10</v>
      </c>
      <c r="D120" s="8" t="s">
        <v>11</v>
      </c>
      <c r="E120" s="8" t="s">
        <v>12</v>
      </c>
      <c r="F120" s="8" t="s">
        <v>13</v>
      </c>
      <c r="G120" s="8" t="s">
        <v>14</v>
      </c>
      <c r="H120" s="9">
        <v>7636.41</v>
      </c>
      <c r="I120" s="8">
        <v>5</v>
      </c>
      <c r="J120" s="10">
        <v>1440.24</v>
      </c>
      <c r="K120" s="14" t="str" cm="1">
        <f t="array" ref="K120">_xlfn.IFS(Table44[[#This Row],[Sales]]&gt;40000,"Best Sales",Table44[[#This Row],[Sales]]&gt;20000,"Average Sales",Table44[[#This Row],[Sales]]&gt;0,"Poor Sales")</f>
        <v>Poor Sales</v>
      </c>
    </row>
    <row r="121" spans="1:11" x14ac:dyDescent="0.3">
      <c r="A121" s="11">
        <v>120</v>
      </c>
      <c r="B121" s="12">
        <v>44930</v>
      </c>
      <c r="C121" s="13" t="s">
        <v>30</v>
      </c>
      <c r="D121" s="13" t="s">
        <v>16</v>
      </c>
      <c r="E121" s="13" t="s">
        <v>12</v>
      </c>
      <c r="F121" s="13" t="s">
        <v>24</v>
      </c>
      <c r="G121" s="13" t="s">
        <v>29</v>
      </c>
      <c r="H121" s="14">
        <v>46770.74</v>
      </c>
      <c r="I121" s="13">
        <v>9</v>
      </c>
      <c r="J121" s="15">
        <v>10311.32</v>
      </c>
      <c r="K121" s="14" t="str" cm="1">
        <f t="array" ref="K121">_xlfn.IFS(Table44[[#This Row],[Sales]]&gt;40000,"Best Sales",Table44[[#This Row],[Sales]]&gt;20000,"Average Sales",Table44[[#This Row],[Sales]]&gt;0,"Poor Sales")</f>
        <v>Best Sales</v>
      </c>
    </row>
    <row r="122" spans="1:11" x14ac:dyDescent="0.3">
      <c r="A122" s="6">
        <v>121</v>
      </c>
      <c r="B122" s="7">
        <v>45269</v>
      </c>
      <c r="C122" s="8" t="s">
        <v>30</v>
      </c>
      <c r="D122" s="8" t="s">
        <v>16</v>
      </c>
      <c r="E122" s="8" t="s">
        <v>12</v>
      </c>
      <c r="F122" s="8" t="s">
        <v>24</v>
      </c>
      <c r="G122" s="8" t="s">
        <v>29</v>
      </c>
      <c r="H122" s="9">
        <v>25666.98</v>
      </c>
      <c r="I122" s="8">
        <v>6</v>
      </c>
      <c r="J122" s="10">
        <v>5659.2</v>
      </c>
      <c r="K122" s="14" t="str" cm="1">
        <f t="array" ref="K122">_xlfn.IFS(Table44[[#This Row],[Sales]]&gt;40000,"Best Sales",Table44[[#This Row],[Sales]]&gt;20000,"Average Sales",Table44[[#This Row],[Sales]]&gt;0,"Poor Sales")</f>
        <v>Average Sales</v>
      </c>
    </row>
    <row r="123" spans="1:11" x14ac:dyDescent="0.3">
      <c r="A123" s="11">
        <v>122</v>
      </c>
      <c r="B123" s="12">
        <v>45281</v>
      </c>
      <c r="C123" s="13" t="s">
        <v>37</v>
      </c>
      <c r="D123" s="13" t="s">
        <v>27</v>
      </c>
      <c r="E123" s="13" t="s">
        <v>12</v>
      </c>
      <c r="F123" s="13" t="s">
        <v>13</v>
      </c>
      <c r="G123" s="13" t="s">
        <v>14</v>
      </c>
      <c r="H123" s="14">
        <v>23082.5</v>
      </c>
      <c r="I123" s="13">
        <v>5</v>
      </c>
      <c r="J123" s="15">
        <v>6692.32</v>
      </c>
      <c r="K123" s="14" t="str" cm="1">
        <f t="array" ref="K123">_xlfn.IFS(Table44[[#This Row],[Sales]]&gt;40000,"Best Sales",Table44[[#This Row],[Sales]]&gt;20000,"Average Sales",Table44[[#This Row],[Sales]]&gt;0,"Poor Sales")</f>
        <v>Average Sales</v>
      </c>
    </row>
    <row r="124" spans="1:11" x14ac:dyDescent="0.3">
      <c r="A124" s="6">
        <v>123</v>
      </c>
      <c r="B124" s="7">
        <v>45087</v>
      </c>
      <c r="C124" s="8" t="s">
        <v>37</v>
      </c>
      <c r="D124" s="8" t="s">
        <v>27</v>
      </c>
      <c r="E124" s="8" t="s">
        <v>12</v>
      </c>
      <c r="F124" s="8" t="s">
        <v>31</v>
      </c>
      <c r="G124" s="8" t="s">
        <v>33</v>
      </c>
      <c r="H124" s="9">
        <v>38476.03</v>
      </c>
      <c r="I124" s="8">
        <v>5</v>
      </c>
      <c r="J124" s="10">
        <v>4209.84</v>
      </c>
      <c r="K124" s="14" t="str" cm="1">
        <f t="array" ref="K124">_xlfn.IFS(Table44[[#This Row],[Sales]]&gt;40000,"Best Sales",Table44[[#This Row],[Sales]]&gt;20000,"Average Sales",Table44[[#This Row],[Sales]]&gt;0,"Poor Sales")</f>
        <v>Average Sales</v>
      </c>
    </row>
    <row r="125" spans="1:11" x14ac:dyDescent="0.3">
      <c r="A125" s="11">
        <v>124</v>
      </c>
      <c r="B125" s="12">
        <v>44997</v>
      </c>
      <c r="C125" s="13" t="s">
        <v>37</v>
      </c>
      <c r="D125" s="13" t="s">
        <v>27</v>
      </c>
      <c r="E125" s="13" t="s">
        <v>12</v>
      </c>
      <c r="F125" s="13" t="s">
        <v>31</v>
      </c>
      <c r="G125" s="13" t="s">
        <v>32</v>
      </c>
      <c r="H125" s="14">
        <v>18610.04</v>
      </c>
      <c r="I125" s="13">
        <v>9</v>
      </c>
      <c r="J125" s="15">
        <v>2849.41</v>
      </c>
      <c r="K125" s="14" t="str" cm="1">
        <f t="array" ref="K125">_xlfn.IFS(Table44[[#This Row],[Sales]]&gt;40000,"Best Sales",Table44[[#This Row],[Sales]]&gt;20000,"Average Sales",Table44[[#This Row],[Sales]]&gt;0,"Poor Sales")</f>
        <v>Poor Sales</v>
      </c>
    </row>
    <row r="126" spans="1:11" x14ac:dyDescent="0.3">
      <c r="A126" s="6">
        <v>125</v>
      </c>
      <c r="B126" s="7">
        <v>44996</v>
      </c>
      <c r="C126" s="8" t="s">
        <v>30</v>
      </c>
      <c r="D126" s="8" t="s">
        <v>16</v>
      </c>
      <c r="E126" s="8" t="s">
        <v>12</v>
      </c>
      <c r="F126" s="8" t="s">
        <v>13</v>
      </c>
      <c r="G126" s="8" t="s">
        <v>14</v>
      </c>
      <c r="H126" s="9">
        <v>9386.76</v>
      </c>
      <c r="I126" s="8">
        <v>5</v>
      </c>
      <c r="J126" s="10">
        <v>1362.58</v>
      </c>
      <c r="K126" s="14" t="str" cm="1">
        <f t="array" ref="K126">_xlfn.IFS(Table44[[#This Row],[Sales]]&gt;40000,"Best Sales",Table44[[#This Row],[Sales]]&gt;20000,"Average Sales",Table44[[#This Row],[Sales]]&gt;0,"Poor Sales")</f>
        <v>Poor Sales</v>
      </c>
    </row>
    <row r="127" spans="1:11" x14ac:dyDescent="0.3">
      <c r="A127" s="11">
        <v>126</v>
      </c>
      <c r="B127" s="12">
        <v>45288</v>
      </c>
      <c r="C127" s="13" t="s">
        <v>26</v>
      </c>
      <c r="D127" s="13" t="s">
        <v>27</v>
      </c>
      <c r="E127" s="13" t="s">
        <v>12</v>
      </c>
      <c r="F127" s="13" t="s">
        <v>13</v>
      </c>
      <c r="G127" s="13" t="s">
        <v>14</v>
      </c>
      <c r="H127" s="14">
        <v>28617.52</v>
      </c>
      <c r="I127" s="13">
        <v>6</v>
      </c>
      <c r="J127" s="15">
        <v>2807.32</v>
      </c>
      <c r="K127" s="14" t="str" cm="1">
        <f t="array" ref="K127">_xlfn.IFS(Table44[[#This Row],[Sales]]&gt;40000,"Best Sales",Table44[[#This Row],[Sales]]&gt;20000,"Average Sales",Table44[[#This Row],[Sales]]&gt;0,"Poor Sales")</f>
        <v>Average Sales</v>
      </c>
    </row>
    <row r="128" spans="1:11" x14ac:dyDescent="0.3">
      <c r="A128" s="6">
        <v>127</v>
      </c>
      <c r="B128" s="7">
        <v>45268</v>
      </c>
      <c r="C128" s="8" t="s">
        <v>15</v>
      </c>
      <c r="D128" s="8" t="s">
        <v>16</v>
      </c>
      <c r="E128" s="8" t="s">
        <v>12</v>
      </c>
      <c r="F128" s="8" t="s">
        <v>31</v>
      </c>
      <c r="G128" s="8" t="s">
        <v>32</v>
      </c>
      <c r="H128" s="9">
        <v>23321.11</v>
      </c>
      <c r="I128" s="8">
        <v>6</v>
      </c>
      <c r="J128" s="10">
        <v>6516.94</v>
      </c>
      <c r="K128" s="14" t="str" cm="1">
        <f t="array" ref="K128">_xlfn.IFS(Table44[[#This Row],[Sales]]&gt;40000,"Best Sales",Table44[[#This Row],[Sales]]&gt;20000,"Average Sales",Table44[[#This Row],[Sales]]&gt;0,"Poor Sales")</f>
        <v>Average Sales</v>
      </c>
    </row>
    <row r="129" spans="1:11" x14ac:dyDescent="0.3">
      <c r="A129" s="11">
        <v>128</v>
      </c>
      <c r="B129" s="12">
        <v>45195</v>
      </c>
      <c r="C129" s="13" t="s">
        <v>26</v>
      </c>
      <c r="D129" s="13" t="s">
        <v>27</v>
      </c>
      <c r="E129" s="13" t="s">
        <v>12</v>
      </c>
      <c r="F129" s="13" t="s">
        <v>13</v>
      </c>
      <c r="G129" s="13" t="s">
        <v>14</v>
      </c>
      <c r="H129" s="14">
        <v>30886.63</v>
      </c>
      <c r="I129" s="13">
        <v>3</v>
      </c>
      <c r="J129" s="15">
        <v>7845.04</v>
      </c>
      <c r="K129" s="14" t="str" cm="1">
        <f t="array" ref="K129">_xlfn.IFS(Table44[[#This Row],[Sales]]&gt;40000,"Best Sales",Table44[[#This Row],[Sales]]&gt;20000,"Average Sales",Table44[[#This Row],[Sales]]&gt;0,"Poor Sales")</f>
        <v>Average Sales</v>
      </c>
    </row>
    <row r="130" spans="1:11" x14ac:dyDescent="0.3">
      <c r="A130" s="6">
        <v>129</v>
      </c>
      <c r="B130" s="7">
        <v>45236</v>
      </c>
      <c r="C130" s="8" t="s">
        <v>10</v>
      </c>
      <c r="D130" s="8" t="s">
        <v>11</v>
      </c>
      <c r="E130" s="8" t="s">
        <v>12</v>
      </c>
      <c r="F130" s="8" t="s">
        <v>31</v>
      </c>
      <c r="G130" s="8" t="s">
        <v>39</v>
      </c>
      <c r="H130" s="9">
        <v>33355.910000000003</v>
      </c>
      <c r="I130" s="8">
        <v>5</v>
      </c>
      <c r="J130" s="10">
        <v>2731.47</v>
      </c>
      <c r="K130" s="14" t="str" cm="1">
        <f t="array" ref="K130">_xlfn.IFS(Table44[[#This Row],[Sales]]&gt;40000,"Best Sales",Table44[[#This Row],[Sales]]&gt;20000,"Average Sales",Table44[[#This Row],[Sales]]&gt;0,"Poor Sales")</f>
        <v>Average Sales</v>
      </c>
    </row>
    <row r="131" spans="1:11" x14ac:dyDescent="0.3">
      <c r="A131" s="11">
        <v>130</v>
      </c>
      <c r="B131" s="12">
        <v>45109</v>
      </c>
      <c r="C131" s="13" t="s">
        <v>10</v>
      </c>
      <c r="D131" s="13" t="s">
        <v>11</v>
      </c>
      <c r="E131" s="13" t="s">
        <v>12</v>
      </c>
      <c r="F131" s="13" t="s">
        <v>24</v>
      </c>
      <c r="G131" s="13" t="s">
        <v>28</v>
      </c>
      <c r="H131" s="14">
        <v>23925.26</v>
      </c>
      <c r="I131" s="13">
        <v>3</v>
      </c>
      <c r="J131" s="15">
        <v>4614.3999999999996</v>
      </c>
      <c r="K131" s="14" t="str" cm="1">
        <f t="array" ref="K131">_xlfn.IFS(Table44[[#This Row],[Sales]]&gt;40000,"Best Sales",Table44[[#This Row],[Sales]]&gt;20000,"Average Sales",Table44[[#This Row],[Sales]]&gt;0,"Poor Sales")</f>
        <v>Average Sales</v>
      </c>
    </row>
    <row r="132" spans="1:11" x14ac:dyDescent="0.3">
      <c r="A132" s="6">
        <v>131</v>
      </c>
      <c r="B132" s="7">
        <v>44930</v>
      </c>
      <c r="C132" s="8" t="s">
        <v>10</v>
      </c>
      <c r="D132" s="8" t="s">
        <v>11</v>
      </c>
      <c r="E132" s="8" t="s">
        <v>12</v>
      </c>
      <c r="F132" s="8" t="s">
        <v>13</v>
      </c>
      <c r="G132" s="8" t="s">
        <v>34</v>
      </c>
      <c r="H132" s="9">
        <v>46208.11</v>
      </c>
      <c r="I132" s="8">
        <v>1</v>
      </c>
      <c r="J132" s="10">
        <v>4640.21</v>
      </c>
      <c r="K132" s="14" t="str" cm="1">
        <f t="array" ref="K132">_xlfn.IFS(Table44[[#This Row],[Sales]]&gt;40000,"Best Sales",Table44[[#This Row],[Sales]]&gt;20000,"Average Sales",Table44[[#This Row],[Sales]]&gt;0,"Poor Sales")</f>
        <v>Best Sales</v>
      </c>
    </row>
    <row r="133" spans="1:11" x14ac:dyDescent="0.3">
      <c r="A133" s="11">
        <v>132</v>
      </c>
      <c r="B133" s="12">
        <v>44967</v>
      </c>
      <c r="C133" s="13" t="s">
        <v>10</v>
      </c>
      <c r="D133" s="13" t="s">
        <v>11</v>
      </c>
      <c r="E133" s="13" t="s">
        <v>12</v>
      </c>
      <c r="F133" s="13" t="s">
        <v>31</v>
      </c>
      <c r="G133" s="13" t="s">
        <v>39</v>
      </c>
      <c r="H133" s="14">
        <v>7965.54</v>
      </c>
      <c r="I133" s="13">
        <v>3</v>
      </c>
      <c r="J133" s="15">
        <v>2341.5300000000002</v>
      </c>
      <c r="K133" s="14" t="str" cm="1">
        <f t="array" ref="K133">_xlfn.IFS(Table44[[#This Row],[Sales]]&gt;40000,"Best Sales",Table44[[#This Row],[Sales]]&gt;20000,"Average Sales",Table44[[#This Row],[Sales]]&gt;0,"Poor Sales")</f>
        <v>Poor Sales</v>
      </c>
    </row>
    <row r="134" spans="1:11" x14ac:dyDescent="0.3">
      <c r="A134" s="6">
        <v>133</v>
      </c>
      <c r="B134" s="7">
        <v>45265</v>
      </c>
      <c r="C134" s="8" t="s">
        <v>15</v>
      </c>
      <c r="D134" s="8" t="s">
        <v>16</v>
      </c>
      <c r="E134" s="8" t="s">
        <v>12</v>
      </c>
      <c r="F134" s="8" t="s">
        <v>13</v>
      </c>
      <c r="G134" s="8" t="s">
        <v>34</v>
      </c>
      <c r="H134" s="9">
        <v>47622.58</v>
      </c>
      <c r="I134" s="8">
        <v>8</v>
      </c>
      <c r="J134" s="10">
        <v>13847.81</v>
      </c>
      <c r="K134" s="14" t="str" cm="1">
        <f t="array" ref="K134">_xlfn.IFS(Table44[[#This Row],[Sales]]&gt;40000,"Best Sales",Table44[[#This Row],[Sales]]&gt;20000,"Average Sales",Table44[[#This Row],[Sales]]&gt;0,"Poor Sales")</f>
        <v>Best Sales</v>
      </c>
    </row>
    <row r="135" spans="1:11" x14ac:dyDescent="0.3">
      <c r="A135" s="11">
        <v>134</v>
      </c>
      <c r="B135" s="12">
        <v>45204</v>
      </c>
      <c r="C135" s="13" t="s">
        <v>22</v>
      </c>
      <c r="D135" s="13" t="s">
        <v>22</v>
      </c>
      <c r="E135" s="13" t="s">
        <v>12</v>
      </c>
      <c r="F135" s="13" t="s">
        <v>31</v>
      </c>
      <c r="G135" s="13" t="s">
        <v>33</v>
      </c>
      <c r="H135" s="14">
        <v>2192.81</v>
      </c>
      <c r="I135" s="13">
        <v>2</v>
      </c>
      <c r="J135" s="15">
        <v>448.06</v>
      </c>
      <c r="K135" s="14" t="str" cm="1">
        <f t="array" ref="K135">_xlfn.IFS(Table44[[#This Row],[Sales]]&gt;40000,"Best Sales",Table44[[#This Row],[Sales]]&gt;20000,"Average Sales",Table44[[#This Row],[Sales]]&gt;0,"Poor Sales")</f>
        <v>Poor Sales</v>
      </c>
    </row>
    <row r="136" spans="1:11" x14ac:dyDescent="0.3">
      <c r="A136" s="6">
        <v>135</v>
      </c>
      <c r="B136" s="7">
        <v>45182</v>
      </c>
      <c r="C136" s="8" t="s">
        <v>35</v>
      </c>
      <c r="D136" s="8" t="s">
        <v>36</v>
      </c>
      <c r="E136" s="8" t="s">
        <v>12</v>
      </c>
      <c r="F136" s="8" t="s">
        <v>13</v>
      </c>
      <c r="G136" s="8" t="s">
        <v>34</v>
      </c>
      <c r="H136" s="9">
        <v>39455.26</v>
      </c>
      <c r="I136" s="8">
        <v>6</v>
      </c>
      <c r="J136" s="10">
        <v>7254.89</v>
      </c>
      <c r="K136" s="14" t="str" cm="1">
        <f t="array" ref="K136">_xlfn.IFS(Table44[[#This Row],[Sales]]&gt;40000,"Best Sales",Table44[[#This Row],[Sales]]&gt;20000,"Average Sales",Table44[[#This Row],[Sales]]&gt;0,"Poor Sales")</f>
        <v>Average Sales</v>
      </c>
    </row>
    <row r="137" spans="1:11" x14ac:dyDescent="0.3">
      <c r="A137" s="11">
        <v>136</v>
      </c>
      <c r="B137" s="12">
        <v>45066</v>
      </c>
      <c r="C137" s="13" t="s">
        <v>30</v>
      </c>
      <c r="D137" s="13" t="s">
        <v>16</v>
      </c>
      <c r="E137" s="13" t="s">
        <v>12</v>
      </c>
      <c r="F137" s="13" t="s">
        <v>31</v>
      </c>
      <c r="G137" s="13" t="s">
        <v>33</v>
      </c>
      <c r="H137" s="14">
        <v>33615.199999999997</v>
      </c>
      <c r="I137" s="13">
        <v>10</v>
      </c>
      <c r="J137" s="15">
        <v>9400.1200000000008</v>
      </c>
      <c r="K137" s="14" t="str" cm="1">
        <f t="array" ref="K137">_xlfn.IFS(Table44[[#This Row],[Sales]]&gt;40000,"Best Sales",Table44[[#This Row],[Sales]]&gt;20000,"Average Sales",Table44[[#This Row],[Sales]]&gt;0,"Poor Sales")</f>
        <v>Average Sales</v>
      </c>
    </row>
    <row r="138" spans="1:11" x14ac:dyDescent="0.3">
      <c r="A138" s="6">
        <v>137</v>
      </c>
      <c r="B138" s="7">
        <v>45112</v>
      </c>
      <c r="C138" s="8" t="s">
        <v>10</v>
      </c>
      <c r="D138" s="8" t="s">
        <v>11</v>
      </c>
      <c r="E138" s="8" t="s">
        <v>12</v>
      </c>
      <c r="F138" s="8" t="s">
        <v>13</v>
      </c>
      <c r="G138" s="8" t="s">
        <v>21</v>
      </c>
      <c r="H138" s="9">
        <v>43630.27</v>
      </c>
      <c r="I138" s="8">
        <v>1</v>
      </c>
      <c r="J138" s="10">
        <v>5720.89</v>
      </c>
      <c r="K138" s="14" t="str" cm="1">
        <f t="array" ref="K138">_xlfn.IFS(Table44[[#This Row],[Sales]]&gt;40000,"Best Sales",Table44[[#This Row],[Sales]]&gt;20000,"Average Sales",Table44[[#This Row],[Sales]]&gt;0,"Poor Sales")</f>
        <v>Best Sales</v>
      </c>
    </row>
    <row r="139" spans="1:11" x14ac:dyDescent="0.3">
      <c r="A139" s="11">
        <v>138</v>
      </c>
      <c r="B139" s="12">
        <v>45222</v>
      </c>
      <c r="C139" s="13" t="s">
        <v>30</v>
      </c>
      <c r="D139" s="13" t="s">
        <v>16</v>
      </c>
      <c r="E139" s="13" t="s">
        <v>12</v>
      </c>
      <c r="F139" s="13" t="s">
        <v>31</v>
      </c>
      <c r="G139" s="13" t="s">
        <v>39</v>
      </c>
      <c r="H139" s="14">
        <v>45089.98</v>
      </c>
      <c r="I139" s="13">
        <v>5</v>
      </c>
      <c r="J139" s="15">
        <v>4787.6899999999996</v>
      </c>
      <c r="K139" s="14" t="str" cm="1">
        <f t="array" ref="K139">_xlfn.IFS(Table44[[#This Row],[Sales]]&gt;40000,"Best Sales",Table44[[#This Row],[Sales]]&gt;20000,"Average Sales",Table44[[#This Row],[Sales]]&gt;0,"Poor Sales")</f>
        <v>Best Sales</v>
      </c>
    </row>
    <row r="140" spans="1:11" x14ac:dyDescent="0.3">
      <c r="A140" s="6">
        <v>139</v>
      </c>
      <c r="B140" s="7">
        <v>45193</v>
      </c>
      <c r="C140" s="8" t="s">
        <v>30</v>
      </c>
      <c r="D140" s="8" t="s">
        <v>16</v>
      </c>
      <c r="E140" s="8" t="s">
        <v>12</v>
      </c>
      <c r="F140" s="8" t="s">
        <v>24</v>
      </c>
      <c r="G140" s="8" t="s">
        <v>29</v>
      </c>
      <c r="H140" s="9">
        <v>41314.769999999997</v>
      </c>
      <c r="I140" s="8">
        <v>7</v>
      </c>
      <c r="J140" s="10">
        <v>9847.14</v>
      </c>
      <c r="K140" s="14" t="str" cm="1">
        <f t="array" ref="K140">_xlfn.IFS(Table44[[#This Row],[Sales]]&gt;40000,"Best Sales",Table44[[#This Row],[Sales]]&gt;20000,"Average Sales",Table44[[#This Row],[Sales]]&gt;0,"Poor Sales")</f>
        <v>Best Sales</v>
      </c>
    </row>
    <row r="141" spans="1:11" x14ac:dyDescent="0.3">
      <c r="A141" s="11">
        <v>140</v>
      </c>
      <c r="B141" s="12">
        <v>44981</v>
      </c>
      <c r="C141" s="13" t="s">
        <v>30</v>
      </c>
      <c r="D141" s="13" t="s">
        <v>16</v>
      </c>
      <c r="E141" s="13" t="s">
        <v>12</v>
      </c>
      <c r="F141" s="13" t="s">
        <v>24</v>
      </c>
      <c r="G141" s="13" t="s">
        <v>28</v>
      </c>
      <c r="H141" s="14">
        <v>33348.76</v>
      </c>
      <c r="I141" s="13">
        <v>2</v>
      </c>
      <c r="J141" s="15">
        <v>3732.78</v>
      </c>
      <c r="K141" s="14" t="str" cm="1">
        <f t="array" ref="K141">_xlfn.IFS(Table44[[#This Row],[Sales]]&gt;40000,"Best Sales",Table44[[#This Row],[Sales]]&gt;20000,"Average Sales",Table44[[#This Row],[Sales]]&gt;0,"Poor Sales")</f>
        <v>Average Sales</v>
      </c>
    </row>
    <row r="142" spans="1:11" x14ac:dyDescent="0.3">
      <c r="A142" s="6">
        <v>141</v>
      </c>
      <c r="B142" s="7">
        <v>44944</v>
      </c>
      <c r="C142" s="8" t="s">
        <v>18</v>
      </c>
      <c r="D142" s="8" t="s">
        <v>19</v>
      </c>
      <c r="E142" s="8" t="s">
        <v>12</v>
      </c>
      <c r="F142" s="8" t="s">
        <v>13</v>
      </c>
      <c r="G142" s="8" t="s">
        <v>14</v>
      </c>
      <c r="H142" s="9">
        <v>36059.56</v>
      </c>
      <c r="I142" s="8">
        <v>8</v>
      </c>
      <c r="J142" s="10">
        <v>6777.54</v>
      </c>
      <c r="K142" s="14" t="str" cm="1">
        <f t="array" ref="K142">_xlfn.IFS(Table44[[#This Row],[Sales]]&gt;40000,"Best Sales",Table44[[#This Row],[Sales]]&gt;20000,"Average Sales",Table44[[#This Row],[Sales]]&gt;0,"Poor Sales")</f>
        <v>Average Sales</v>
      </c>
    </row>
    <row r="143" spans="1:11" x14ac:dyDescent="0.3">
      <c r="A143" s="11">
        <v>142</v>
      </c>
      <c r="B143" s="12">
        <v>45063</v>
      </c>
      <c r="C143" s="13" t="s">
        <v>37</v>
      </c>
      <c r="D143" s="13" t="s">
        <v>27</v>
      </c>
      <c r="E143" s="13" t="s">
        <v>12</v>
      </c>
      <c r="F143" s="13" t="s">
        <v>24</v>
      </c>
      <c r="G143" s="13" t="s">
        <v>29</v>
      </c>
      <c r="H143" s="14">
        <v>21431.96</v>
      </c>
      <c r="I143" s="13">
        <v>6</v>
      </c>
      <c r="J143" s="15">
        <v>2214.5500000000002</v>
      </c>
      <c r="K143" s="14" t="str" cm="1">
        <f t="array" ref="K143">_xlfn.IFS(Table44[[#This Row],[Sales]]&gt;40000,"Best Sales",Table44[[#This Row],[Sales]]&gt;20000,"Average Sales",Table44[[#This Row],[Sales]]&gt;0,"Poor Sales")</f>
        <v>Average Sales</v>
      </c>
    </row>
    <row r="144" spans="1:11" x14ac:dyDescent="0.3">
      <c r="A144" s="6">
        <v>143</v>
      </c>
      <c r="B144" s="7">
        <v>45177</v>
      </c>
      <c r="C144" s="8" t="s">
        <v>26</v>
      </c>
      <c r="D144" s="8" t="s">
        <v>27</v>
      </c>
      <c r="E144" s="8" t="s">
        <v>12</v>
      </c>
      <c r="F144" s="8" t="s">
        <v>13</v>
      </c>
      <c r="G144" s="8" t="s">
        <v>14</v>
      </c>
      <c r="H144" s="9">
        <v>29187.79</v>
      </c>
      <c r="I144" s="8">
        <v>2</v>
      </c>
      <c r="J144" s="10">
        <v>1532.13</v>
      </c>
      <c r="K144" s="14" t="str" cm="1">
        <f t="array" ref="K144">_xlfn.IFS(Table44[[#This Row],[Sales]]&gt;40000,"Best Sales",Table44[[#This Row],[Sales]]&gt;20000,"Average Sales",Table44[[#This Row],[Sales]]&gt;0,"Poor Sales")</f>
        <v>Average Sales</v>
      </c>
    </row>
    <row r="145" spans="1:11" x14ac:dyDescent="0.3">
      <c r="A145" s="11">
        <v>144</v>
      </c>
      <c r="B145" s="12">
        <v>44930</v>
      </c>
      <c r="C145" s="13" t="s">
        <v>30</v>
      </c>
      <c r="D145" s="13" t="s">
        <v>16</v>
      </c>
      <c r="E145" s="13" t="s">
        <v>17</v>
      </c>
      <c r="F145" s="13" t="s">
        <v>31</v>
      </c>
      <c r="G145" s="13" t="s">
        <v>32</v>
      </c>
      <c r="H145" s="14">
        <v>45025.54</v>
      </c>
      <c r="I145" s="13">
        <v>2</v>
      </c>
      <c r="J145" s="15">
        <v>12720.22</v>
      </c>
      <c r="K145" s="14" t="str" cm="1">
        <f t="array" ref="K145">_xlfn.IFS(Table44[[#This Row],[Sales]]&gt;40000,"Best Sales",Table44[[#This Row],[Sales]]&gt;20000,"Average Sales",Table44[[#This Row],[Sales]]&gt;0,"Poor Sales")</f>
        <v>Best Sales</v>
      </c>
    </row>
    <row r="146" spans="1:11" x14ac:dyDescent="0.3">
      <c r="A146" s="6">
        <v>145</v>
      </c>
      <c r="B146" s="7">
        <v>45118</v>
      </c>
      <c r="C146" s="8" t="s">
        <v>15</v>
      </c>
      <c r="D146" s="8" t="s">
        <v>16</v>
      </c>
      <c r="E146" s="8" t="s">
        <v>17</v>
      </c>
      <c r="F146" s="8" t="s">
        <v>13</v>
      </c>
      <c r="G146" s="8" t="s">
        <v>14</v>
      </c>
      <c r="H146" s="9">
        <v>29484.35</v>
      </c>
      <c r="I146" s="8">
        <v>4</v>
      </c>
      <c r="J146" s="10">
        <v>2052.4299999999998</v>
      </c>
      <c r="K146" s="14" t="str" cm="1">
        <f t="array" ref="K146">_xlfn.IFS(Table44[[#This Row],[Sales]]&gt;40000,"Best Sales",Table44[[#This Row],[Sales]]&gt;20000,"Average Sales",Table44[[#This Row],[Sales]]&gt;0,"Poor Sales")</f>
        <v>Average Sales</v>
      </c>
    </row>
    <row r="147" spans="1:11" x14ac:dyDescent="0.3">
      <c r="A147" s="11">
        <v>146</v>
      </c>
      <c r="B147" s="12">
        <v>45067</v>
      </c>
      <c r="C147" s="13" t="s">
        <v>26</v>
      </c>
      <c r="D147" s="13" t="s">
        <v>27</v>
      </c>
      <c r="E147" s="13" t="s">
        <v>17</v>
      </c>
      <c r="F147" s="13" t="s">
        <v>13</v>
      </c>
      <c r="G147" s="13" t="s">
        <v>34</v>
      </c>
      <c r="H147" s="14">
        <v>16959.68</v>
      </c>
      <c r="I147" s="13">
        <v>4</v>
      </c>
      <c r="J147" s="15">
        <v>1943.65</v>
      </c>
      <c r="K147" s="14" t="str" cm="1">
        <f t="array" ref="K147">_xlfn.IFS(Table44[[#This Row],[Sales]]&gt;40000,"Best Sales",Table44[[#This Row],[Sales]]&gt;20000,"Average Sales",Table44[[#This Row],[Sales]]&gt;0,"Poor Sales")</f>
        <v>Poor Sales</v>
      </c>
    </row>
    <row r="148" spans="1:11" x14ac:dyDescent="0.3">
      <c r="A148" s="6">
        <v>147</v>
      </c>
      <c r="B148" s="7">
        <v>45022</v>
      </c>
      <c r="C148" s="8" t="s">
        <v>38</v>
      </c>
      <c r="D148" s="8" t="s">
        <v>27</v>
      </c>
      <c r="E148" s="8" t="s">
        <v>17</v>
      </c>
      <c r="F148" s="8" t="s">
        <v>13</v>
      </c>
      <c r="G148" s="8" t="s">
        <v>34</v>
      </c>
      <c r="H148" s="9">
        <v>31987.86</v>
      </c>
      <c r="I148" s="8">
        <v>8</v>
      </c>
      <c r="J148" s="10">
        <v>9445.74</v>
      </c>
      <c r="K148" s="14" t="str" cm="1">
        <f t="array" ref="K148">_xlfn.IFS(Table44[[#This Row],[Sales]]&gt;40000,"Best Sales",Table44[[#This Row],[Sales]]&gt;20000,"Average Sales",Table44[[#This Row],[Sales]]&gt;0,"Poor Sales")</f>
        <v>Average Sales</v>
      </c>
    </row>
    <row r="149" spans="1:11" x14ac:dyDescent="0.3">
      <c r="A149" s="11">
        <v>148</v>
      </c>
      <c r="B149" s="12">
        <v>44953</v>
      </c>
      <c r="C149" s="13" t="s">
        <v>38</v>
      </c>
      <c r="D149" s="13" t="s">
        <v>27</v>
      </c>
      <c r="E149" s="13" t="s">
        <v>17</v>
      </c>
      <c r="F149" s="13" t="s">
        <v>31</v>
      </c>
      <c r="G149" s="13" t="s">
        <v>32</v>
      </c>
      <c r="H149" s="14">
        <v>24644.97</v>
      </c>
      <c r="I149" s="13">
        <v>5</v>
      </c>
      <c r="J149" s="15">
        <v>2363.06</v>
      </c>
      <c r="K149" s="14" t="str" cm="1">
        <f t="array" ref="K149">_xlfn.IFS(Table44[[#This Row],[Sales]]&gt;40000,"Best Sales",Table44[[#This Row],[Sales]]&gt;20000,"Average Sales",Table44[[#This Row],[Sales]]&gt;0,"Poor Sales")</f>
        <v>Average Sales</v>
      </c>
    </row>
    <row r="150" spans="1:11" x14ac:dyDescent="0.3">
      <c r="A150" s="6">
        <v>149</v>
      </c>
      <c r="B150" s="7">
        <v>45241</v>
      </c>
      <c r="C150" s="8" t="s">
        <v>37</v>
      </c>
      <c r="D150" s="8" t="s">
        <v>27</v>
      </c>
      <c r="E150" s="8" t="s">
        <v>17</v>
      </c>
      <c r="F150" s="8" t="s">
        <v>13</v>
      </c>
      <c r="G150" s="8" t="s">
        <v>14</v>
      </c>
      <c r="H150" s="9">
        <v>28554.67</v>
      </c>
      <c r="I150" s="8">
        <v>9</v>
      </c>
      <c r="J150" s="10">
        <v>7750.57</v>
      </c>
      <c r="K150" s="14" t="str" cm="1">
        <f t="array" ref="K150">_xlfn.IFS(Table44[[#This Row],[Sales]]&gt;40000,"Best Sales",Table44[[#This Row],[Sales]]&gt;20000,"Average Sales",Table44[[#This Row],[Sales]]&gt;0,"Poor Sales")</f>
        <v>Average Sales</v>
      </c>
    </row>
    <row r="151" spans="1:11" x14ac:dyDescent="0.3">
      <c r="A151" s="11">
        <v>150</v>
      </c>
      <c r="B151" s="12">
        <v>44960</v>
      </c>
      <c r="C151" s="13" t="s">
        <v>18</v>
      </c>
      <c r="D151" s="13" t="s">
        <v>19</v>
      </c>
      <c r="E151" s="13" t="s">
        <v>17</v>
      </c>
      <c r="F151" s="13" t="s">
        <v>13</v>
      </c>
      <c r="G151" s="13" t="s">
        <v>34</v>
      </c>
      <c r="H151" s="14">
        <v>8418.6</v>
      </c>
      <c r="I151" s="13">
        <v>7</v>
      </c>
      <c r="J151" s="15">
        <v>1523.75</v>
      </c>
      <c r="K151" s="14" t="str" cm="1">
        <f t="array" ref="K151">_xlfn.IFS(Table44[[#This Row],[Sales]]&gt;40000,"Best Sales",Table44[[#This Row],[Sales]]&gt;20000,"Average Sales",Table44[[#This Row],[Sales]]&gt;0,"Poor Sales")</f>
        <v>Poor Sales</v>
      </c>
    </row>
    <row r="152" spans="1:11" x14ac:dyDescent="0.3">
      <c r="A152" s="6">
        <v>151</v>
      </c>
      <c r="B152" s="7">
        <v>45257</v>
      </c>
      <c r="C152" s="8" t="s">
        <v>18</v>
      </c>
      <c r="D152" s="8" t="s">
        <v>19</v>
      </c>
      <c r="E152" s="8" t="s">
        <v>17</v>
      </c>
      <c r="F152" s="8" t="s">
        <v>24</v>
      </c>
      <c r="G152" s="8" t="s">
        <v>28</v>
      </c>
      <c r="H152" s="9">
        <v>27560.07</v>
      </c>
      <c r="I152" s="8">
        <v>8</v>
      </c>
      <c r="J152" s="10">
        <v>2515.9699999999998</v>
      </c>
      <c r="K152" s="14" t="str" cm="1">
        <f t="array" ref="K152">_xlfn.IFS(Table44[[#This Row],[Sales]]&gt;40000,"Best Sales",Table44[[#This Row],[Sales]]&gt;20000,"Average Sales",Table44[[#This Row],[Sales]]&gt;0,"Poor Sales")</f>
        <v>Average Sales</v>
      </c>
    </row>
    <row r="153" spans="1:11" x14ac:dyDescent="0.3">
      <c r="A153" s="11">
        <v>152</v>
      </c>
      <c r="B153" s="12">
        <v>45201</v>
      </c>
      <c r="C153" s="13" t="s">
        <v>35</v>
      </c>
      <c r="D153" s="13" t="s">
        <v>36</v>
      </c>
      <c r="E153" s="13" t="s">
        <v>17</v>
      </c>
      <c r="F153" s="13" t="s">
        <v>24</v>
      </c>
      <c r="G153" s="13" t="s">
        <v>25</v>
      </c>
      <c r="H153" s="14">
        <v>13616.19</v>
      </c>
      <c r="I153" s="13">
        <v>10</v>
      </c>
      <c r="J153" s="15">
        <v>4009.3</v>
      </c>
      <c r="K153" s="14" t="str" cm="1">
        <f t="array" ref="K153">_xlfn.IFS(Table44[[#This Row],[Sales]]&gt;40000,"Best Sales",Table44[[#This Row],[Sales]]&gt;20000,"Average Sales",Table44[[#This Row],[Sales]]&gt;0,"Poor Sales")</f>
        <v>Poor Sales</v>
      </c>
    </row>
    <row r="154" spans="1:11" x14ac:dyDescent="0.3">
      <c r="A154" s="6">
        <v>153</v>
      </c>
      <c r="B154" s="7">
        <v>45139</v>
      </c>
      <c r="C154" s="8" t="s">
        <v>35</v>
      </c>
      <c r="D154" s="8" t="s">
        <v>36</v>
      </c>
      <c r="E154" s="8" t="s">
        <v>17</v>
      </c>
      <c r="F154" s="8" t="s">
        <v>13</v>
      </c>
      <c r="G154" s="8" t="s">
        <v>21</v>
      </c>
      <c r="H154" s="9">
        <v>25212.93</v>
      </c>
      <c r="I154" s="8">
        <v>8</v>
      </c>
      <c r="J154" s="10">
        <v>3535.68</v>
      </c>
      <c r="K154" s="14" t="str" cm="1">
        <f t="array" ref="K154">_xlfn.IFS(Table44[[#This Row],[Sales]]&gt;40000,"Best Sales",Table44[[#This Row],[Sales]]&gt;20000,"Average Sales",Table44[[#This Row],[Sales]]&gt;0,"Poor Sales")</f>
        <v>Average Sales</v>
      </c>
    </row>
    <row r="155" spans="1:11" x14ac:dyDescent="0.3">
      <c r="A155" s="11">
        <v>154</v>
      </c>
      <c r="B155" s="12">
        <v>44977</v>
      </c>
      <c r="C155" s="13" t="s">
        <v>15</v>
      </c>
      <c r="D155" s="13" t="s">
        <v>16</v>
      </c>
      <c r="E155" s="13" t="s">
        <v>17</v>
      </c>
      <c r="F155" s="13" t="s">
        <v>31</v>
      </c>
      <c r="G155" s="13" t="s">
        <v>39</v>
      </c>
      <c r="H155" s="14">
        <v>43825.39</v>
      </c>
      <c r="I155" s="13">
        <v>6</v>
      </c>
      <c r="J155" s="15">
        <v>10611</v>
      </c>
      <c r="K155" s="14" t="str" cm="1">
        <f t="array" ref="K155">_xlfn.IFS(Table44[[#This Row],[Sales]]&gt;40000,"Best Sales",Table44[[#This Row],[Sales]]&gt;20000,"Average Sales",Table44[[#This Row],[Sales]]&gt;0,"Poor Sales")</f>
        <v>Best Sales</v>
      </c>
    </row>
    <row r="156" spans="1:11" x14ac:dyDescent="0.3">
      <c r="A156" s="6">
        <v>155</v>
      </c>
      <c r="B156" s="7">
        <v>45011</v>
      </c>
      <c r="C156" s="8" t="s">
        <v>22</v>
      </c>
      <c r="D156" s="8" t="s">
        <v>22</v>
      </c>
      <c r="E156" s="8" t="s">
        <v>17</v>
      </c>
      <c r="F156" s="8" t="s">
        <v>24</v>
      </c>
      <c r="G156" s="8" t="s">
        <v>29</v>
      </c>
      <c r="H156" s="9">
        <v>40738.550000000003</v>
      </c>
      <c r="I156" s="8">
        <v>10</v>
      </c>
      <c r="J156" s="10">
        <v>3969.18</v>
      </c>
      <c r="K156" s="14" t="str" cm="1">
        <f t="array" ref="K156">_xlfn.IFS(Table44[[#This Row],[Sales]]&gt;40000,"Best Sales",Table44[[#This Row],[Sales]]&gt;20000,"Average Sales",Table44[[#This Row],[Sales]]&gt;0,"Poor Sales")</f>
        <v>Best Sales</v>
      </c>
    </row>
    <row r="157" spans="1:11" x14ac:dyDescent="0.3">
      <c r="A157" s="11">
        <v>156</v>
      </c>
      <c r="B157" s="12">
        <v>45007</v>
      </c>
      <c r="C157" s="13" t="s">
        <v>10</v>
      </c>
      <c r="D157" s="13" t="s">
        <v>11</v>
      </c>
      <c r="E157" s="13" t="s">
        <v>17</v>
      </c>
      <c r="F157" s="13" t="s">
        <v>24</v>
      </c>
      <c r="G157" s="13" t="s">
        <v>28</v>
      </c>
      <c r="H157" s="14">
        <v>8460.74</v>
      </c>
      <c r="I157" s="13">
        <v>4</v>
      </c>
      <c r="J157" s="15">
        <v>1472.42</v>
      </c>
      <c r="K157" s="14" t="str" cm="1">
        <f t="array" ref="K157">_xlfn.IFS(Table44[[#This Row],[Sales]]&gt;40000,"Best Sales",Table44[[#This Row],[Sales]]&gt;20000,"Average Sales",Table44[[#This Row],[Sales]]&gt;0,"Poor Sales")</f>
        <v>Poor Sales</v>
      </c>
    </row>
    <row r="158" spans="1:11" x14ac:dyDescent="0.3">
      <c r="A158" s="6">
        <v>157</v>
      </c>
      <c r="B158" s="7">
        <v>45002</v>
      </c>
      <c r="C158" s="8" t="s">
        <v>37</v>
      </c>
      <c r="D158" s="8" t="s">
        <v>27</v>
      </c>
      <c r="E158" s="8" t="s">
        <v>17</v>
      </c>
      <c r="F158" s="8" t="s">
        <v>13</v>
      </c>
      <c r="G158" s="8" t="s">
        <v>34</v>
      </c>
      <c r="H158" s="9">
        <v>41629.51</v>
      </c>
      <c r="I158" s="8">
        <v>9</v>
      </c>
      <c r="J158" s="10">
        <v>11605.29</v>
      </c>
      <c r="K158" s="14" t="str" cm="1">
        <f t="array" ref="K158">_xlfn.IFS(Table44[[#This Row],[Sales]]&gt;40000,"Best Sales",Table44[[#This Row],[Sales]]&gt;20000,"Average Sales",Table44[[#This Row],[Sales]]&gt;0,"Poor Sales")</f>
        <v>Best Sales</v>
      </c>
    </row>
    <row r="159" spans="1:11" x14ac:dyDescent="0.3">
      <c r="A159" s="11">
        <v>158</v>
      </c>
      <c r="B159" s="12">
        <v>45166</v>
      </c>
      <c r="C159" s="13" t="s">
        <v>15</v>
      </c>
      <c r="D159" s="13" t="s">
        <v>16</v>
      </c>
      <c r="E159" s="13" t="s">
        <v>17</v>
      </c>
      <c r="F159" s="13" t="s">
        <v>24</v>
      </c>
      <c r="G159" s="13" t="s">
        <v>28</v>
      </c>
      <c r="H159" s="14">
        <v>26680.82</v>
      </c>
      <c r="I159" s="13">
        <v>2</v>
      </c>
      <c r="J159" s="15">
        <v>5004.5</v>
      </c>
      <c r="K159" s="14" t="str" cm="1">
        <f t="array" ref="K159">_xlfn.IFS(Table44[[#This Row],[Sales]]&gt;40000,"Best Sales",Table44[[#This Row],[Sales]]&gt;20000,"Average Sales",Table44[[#This Row],[Sales]]&gt;0,"Poor Sales")</f>
        <v>Average Sales</v>
      </c>
    </row>
    <row r="160" spans="1:11" x14ac:dyDescent="0.3">
      <c r="A160" s="6">
        <v>159</v>
      </c>
      <c r="B160" s="7">
        <v>45085</v>
      </c>
      <c r="C160" s="8" t="s">
        <v>15</v>
      </c>
      <c r="D160" s="8" t="s">
        <v>16</v>
      </c>
      <c r="E160" s="8" t="s">
        <v>17</v>
      </c>
      <c r="F160" s="8" t="s">
        <v>24</v>
      </c>
      <c r="G160" s="8" t="s">
        <v>28</v>
      </c>
      <c r="H160" s="9">
        <v>31459.86</v>
      </c>
      <c r="I160" s="8">
        <v>7</v>
      </c>
      <c r="J160" s="10">
        <v>2921.88</v>
      </c>
      <c r="K160" s="14" t="str" cm="1">
        <f t="array" ref="K160">_xlfn.IFS(Table44[[#This Row],[Sales]]&gt;40000,"Best Sales",Table44[[#This Row],[Sales]]&gt;20000,"Average Sales",Table44[[#This Row],[Sales]]&gt;0,"Poor Sales")</f>
        <v>Average Sales</v>
      </c>
    </row>
    <row r="161" spans="1:11" x14ac:dyDescent="0.3">
      <c r="A161" s="11">
        <v>160</v>
      </c>
      <c r="B161" s="12">
        <v>45122</v>
      </c>
      <c r="C161" s="13" t="s">
        <v>26</v>
      </c>
      <c r="D161" s="13" t="s">
        <v>27</v>
      </c>
      <c r="E161" s="13" t="s">
        <v>17</v>
      </c>
      <c r="F161" s="13" t="s">
        <v>24</v>
      </c>
      <c r="G161" s="13" t="s">
        <v>25</v>
      </c>
      <c r="H161" s="14">
        <v>2532.71</v>
      </c>
      <c r="I161" s="13">
        <v>8</v>
      </c>
      <c r="J161" s="15">
        <v>324.74</v>
      </c>
      <c r="K161" s="14" t="str" cm="1">
        <f t="array" ref="K161">_xlfn.IFS(Table44[[#This Row],[Sales]]&gt;40000,"Best Sales",Table44[[#This Row],[Sales]]&gt;20000,"Average Sales",Table44[[#This Row],[Sales]]&gt;0,"Poor Sales")</f>
        <v>Poor Sales</v>
      </c>
    </row>
    <row r="162" spans="1:11" x14ac:dyDescent="0.3">
      <c r="A162" s="6">
        <v>161</v>
      </c>
      <c r="B162" s="7">
        <v>45062</v>
      </c>
      <c r="C162" s="8" t="s">
        <v>38</v>
      </c>
      <c r="D162" s="8" t="s">
        <v>27</v>
      </c>
      <c r="E162" s="8" t="s">
        <v>17</v>
      </c>
      <c r="F162" s="8" t="s">
        <v>31</v>
      </c>
      <c r="G162" s="8" t="s">
        <v>33</v>
      </c>
      <c r="H162" s="9">
        <v>26794.54</v>
      </c>
      <c r="I162" s="8">
        <v>8</v>
      </c>
      <c r="J162" s="10">
        <v>5027.8900000000003</v>
      </c>
      <c r="K162" s="14" t="str" cm="1">
        <f t="array" ref="K162">_xlfn.IFS(Table44[[#This Row],[Sales]]&gt;40000,"Best Sales",Table44[[#This Row],[Sales]]&gt;20000,"Average Sales",Table44[[#This Row],[Sales]]&gt;0,"Poor Sales")</f>
        <v>Average Sales</v>
      </c>
    </row>
    <row r="163" spans="1:11" x14ac:dyDescent="0.3">
      <c r="A163" s="11">
        <v>162</v>
      </c>
      <c r="B163" s="12">
        <v>45069</v>
      </c>
      <c r="C163" s="13" t="s">
        <v>10</v>
      </c>
      <c r="D163" s="13" t="s">
        <v>11</v>
      </c>
      <c r="E163" s="13" t="s">
        <v>17</v>
      </c>
      <c r="F163" s="13" t="s">
        <v>31</v>
      </c>
      <c r="G163" s="13" t="s">
        <v>33</v>
      </c>
      <c r="H163" s="14">
        <v>36838.78</v>
      </c>
      <c r="I163" s="13">
        <v>6</v>
      </c>
      <c r="J163" s="15">
        <v>4092.23</v>
      </c>
      <c r="K163" s="14" t="str" cm="1">
        <f t="array" ref="K163">_xlfn.IFS(Table44[[#This Row],[Sales]]&gt;40000,"Best Sales",Table44[[#This Row],[Sales]]&gt;20000,"Average Sales",Table44[[#This Row],[Sales]]&gt;0,"Poor Sales")</f>
        <v>Average Sales</v>
      </c>
    </row>
    <row r="164" spans="1:11" x14ac:dyDescent="0.3">
      <c r="A164" s="6">
        <v>163</v>
      </c>
      <c r="B164" s="7">
        <v>45233</v>
      </c>
      <c r="C164" s="8" t="s">
        <v>22</v>
      </c>
      <c r="D164" s="8" t="s">
        <v>22</v>
      </c>
      <c r="E164" s="8" t="s">
        <v>17</v>
      </c>
      <c r="F164" s="8" t="s">
        <v>31</v>
      </c>
      <c r="G164" s="8" t="s">
        <v>39</v>
      </c>
      <c r="H164" s="9">
        <v>13801.62</v>
      </c>
      <c r="I164" s="8">
        <v>1</v>
      </c>
      <c r="J164" s="10">
        <v>1863.69</v>
      </c>
      <c r="K164" s="14" t="str" cm="1">
        <f t="array" ref="K164">_xlfn.IFS(Table44[[#This Row],[Sales]]&gt;40000,"Best Sales",Table44[[#This Row],[Sales]]&gt;20000,"Average Sales",Table44[[#This Row],[Sales]]&gt;0,"Poor Sales")</f>
        <v>Poor Sales</v>
      </c>
    </row>
    <row r="165" spans="1:11" x14ac:dyDescent="0.3">
      <c r="A165" s="11">
        <v>164</v>
      </c>
      <c r="B165" s="12">
        <v>45018</v>
      </c>
      <c r="C165" s="13" t="s">
        <v>37</v>
      </c>
      <c r="D165" s="13" t="s">
        <v>27</v>
      </c>
      <c r="E165" s="13" t="s">
        <v>17</v>
      </c>
      <c r="F165" s="13" t="s">
        <v>31</v>
      </c>
      <c r="G165" s="13" t="s">
        <v>32</v>
      </c>
      <c r="H165" s="14">
        <v>26884.04</v>
      </c>
      <c r="I165" s="13">
        <v>9</v>
      </c>
      <c r="J165" s="15">
        <v>4634.18</v>
      </c>
      <c r="K165" s="14" t="str" cm="1">
        <f t="array" ref="K165">_xlfn.IFS(Table44[[#This Row],[Sales]]&gt;40000,"Best Sales",Table44[[#This Row],[Sales]]&gt;20000,"Average Sales",Table44[[#This Row],[Sales]]&gt;0,"Poor Sales")</f>
        <v>Average Sales</v>
      </c>
    </row>
    <row r="166" spans="1:11" x14ac:dyDescent="0.3">
      <c r="A166" s="6">
        <v>165</v>
      </c>
      <c r="B166" s="7">
        <v>45280</v>
      </c>
      <c r="C166" s="8" t="s">
        <v>22</v>
      </c>
      <c r="D166" s="8" t="s">
        <v>22</v>
      </c>
      <c r="E166" s="8" t="s">
        <v>17</v>
      </c>
      <c r="F166" s="8" t="s">
        <v>31</v>
      </c>
      <c r="G166" s="8" t="s">
        <v>39</v>
      </c>
      <c r="H166" s="9">
        <v>24536.3</v>
      </c>
      <c r="I166" s="8">
        <v>4</v>
      </c>
      <c r="J166" s="10">
        <v>4883.58</v>
      </c>
      <c r="K166" s="14" t="str" cm="1">
        <f t="array" ref="K166">_xlfn.IFS(Table44[[#This Row],[Sales]]&gt;40000,"Best Sales",Table44[[#This Row],[Sales]]&gt;20000,"Average Sales",Table44[[#This Row],[Sales]]&gt;0,"Poor Sales")</f>
        <v>Average Sales</v>
      </c>
    </row>
    <row r="167" spans="1:11" x14ac:dyDescent="0.3">
      <c r="A167" s="11">
        <v>166</v>
      </c>
      <c r="B167" s="12">
        <v>45092</v>
      </c>
      <c r="C167" s="13" t="s">
        <v>26</v>
      </c>
      <c r="D167" s="13" t="s">
        <v>27</v>
      </c>
      <c r="E167" s="13" t="s">
        <v>17</v>
      </c>
      <c r="F167" s="13" t="s">
        <v>13</v>
      </c>
      <c r="G167" s="13" t="s">
        <v>14</v>
      </c>
      <c r="H167" s="14">
        <v>38091.9</v>
      </c>
      <c r="I167" s="13">
        <v>3</v>
      </c>
      <c r="J167" s="15">
        <v>2162.17</v>
      </c>
      <c r="K167" s="14" t="str" cm="1">
        <f t="array" ref="K167">_xlfn.IFS(Table44[[#This Row],[Sales]]&gt;40000,"Best Sales",Table44[[#This Row],[Sales]]&gt;20000,"Average Sales",Table44[[#This Row],[Sales]]&gt;0,"Poor Sales")</f>
        <v>Average Sales</v>
      </c>
    </row>
    <row r="168" spans="1:11" x14ac:dyDescent="0.3">
      <c r="A168" s="6">
        <v>167</v>
      </c>
      <c r="B168" s="7">
        <v>45066</v>
      </c>
      <c r="C168" s="8" t="s">
        <v>38</v>
      </c>
      <c r="D168" s="8" t="s">
        <v>27</v>
      </c>
      <c r="E168" s="8" t="s">
        <v>17</v>
      </c>
      <c r="F168" s="8" t="s">
        <v>24</v>
      </c>
      <c r="G168" s="8" t="s">
        <v>28</v>
      </c>
      <c r="H168" s="9">
        <v>39598.29</v>
      </c>
      <c r="I168" s="8">
        <v>5</v>
      </c>
      <c r="J168" s="10">
        <v>6403.75</v>
      </c>
      <c r="K168" s="14" t="str" cm="1">
        <f t="array" ref="K168">_xlfn.IFS(Table44[[#This Row],[Sales]]&gt;40000,"Best Sales",Table44[[#This Row],[Sales]]&gt;20000,"Average Sales",Table44[[#This Row],[Sales]]&gt;0,"Poor Sales")</f>
        <v>Average Sales</v>
      </c>
    </row>
    <row r="169" spans="1:11" x14ac:dyDescent="0.3">
      <c r="A169" s="11">
        <v>168</v>
      </c>
      <c r="B169" s="12">
        <v>44968</v>
      </c>
      <c r="C169" s="13" t="s">
        <v>38</v>
      </c>
      <c r="D169" s="13" t="s">
        <v>27</v>
      </c>
      <c r="E169" s="13" t="s">
        <v>17</v>
      </c>
      <c r="F169" s="13" t="s">
        <v>13</v>
      </c>
      <c r="G169" s="13" t="s">
        <v>34</v>
      </c>
      <c r="H169" s="14">
        <v>4814.78</v>
      </c>
      <c r="I169" s="13">
        <v>6</v>
      </c>
      <c r="J169" s="15">
        <v>378.7</v>
      </c>
      <c r="K169" s="14" t="str" cm="1">
        <f t="array" ref="K169">_xlfn.IFS(Table44[[#This Row],[Sales]]&gt;40000,"Best Sales",Table44[[#This Row],[Sales]]&gt;20000,"Average Sales",Table44[[#This Row],[Sales]]&gt;0,"Poor Sales")</f>
        <v>Poor Sales</v>
      </c>
    </row>
    <row r="170" spans="1:11" x14ac:dyDescent="0.3">
      <c r="A170" s="6">
        <v>169</v>
      </c>
      <c r="B170" s="7">
        <v>45237</v>
      </c>
      <c r="C170" s="8" t="s">
        <v>18</v>
      </c>
      <c r="D170" s="8" t="s">
        <v>19</v>
      </c>
      <c r="E170" s="8" t="s">
        <v>17</v>
      </c>
      <c r="F170" s="8" t="s">
        <v>31</v>
      </c>
      <c r="G170" s="8" t="s">
        <v>32</v>
      </c>
      <c r="H170" s="9">
        <v>20072.27</v>
      </c>
      <c r="I170" s="8">
        <v>1</v>
      </c>
      <c r="J170" s="10">
        <v>4794.18</v>
      </c>
      <c r="K170" s="14" t="str" cm="1">
        <f t="array" ref="K170">_xlfn.IFS(Table44[[#This Row],[Sales]]&gt;40000,"Best Sales",Table44[[#This Row],[Sales]]&gt;20000,"Average Sales",Table44[[#This Row],[Sales]]&gt;0,"Poor Sales")</f>
        <v>Average Sales</v>
      </c>
    </row>
    <row r="171" spans="1:11" x14ac:dyDescent="0.3">
      <c r="A171" s="11">
        <v>170</v>
      </c>
      <c r="B171" s="12">
        <v>45175</v>
      </c>
      <c r="C171" s="13" t="s">
        <v>10</v>
      </c>
      <c r="D171" s="13" t="s">
        <v>11</v>
      </c>
      <c r="E171" s="13" t="s">
        <v>17</v>
      </c>
      <c r="F171" s="13" t="s">
        <v>31</v>
      </c>
      <c r="G171" s="13" t="s">
        <v>32</v>
      </c>
      <c r="H171" s="14">
        <v>23725.51</v>
      </c>
      <c r="I171" s="13">
        <v>1</v>
      </c>
      <c r="J171" s="15">
        <v>1324.6</v>
      </c>
      <c r="K171" s="14" t="str" cm="1">
        <f t="array" ref="K171">_xlfn.IFS(Table44[[#This Row],[Sales]]&gt;40000,"Best Sales",Table44[[#This Row],[Sales]]&gt;20000,"Average Sales",Table44[[#This Row],[Sales]]&gt;0,"Poor Sales")</f>
        <v>Average Sales</v>
      </c>
    </row>
    <row r="172" spans="1:11" x14ac:dyDescent="0.3">
      <c r="A172" s="6">
        <v>171</v>
      </c>
      <c r="B172" s="7">
        <v>45192</v>
      </c>
      <c r="C172" s="8" t="s">
        <v>18</v>
      </c>
      <c r="D172" s="8" t="s">
        <v>19</v>
      </c>
      <c r="E172" s="8" t="s">
        <v>17</v>
      </c>
      <c r="F172" s="8" t="s">
        <v>13</v>
      </c>
      <c r="G172" s="8" t="s">
        <v>14</v>
      </c>
      <c r="H172" s="9">
        <v>6338.6</v>
      </c>
      <c r="I172" s="8">
        <v>10</v>
      </c>
      <c r="J172" s="10">
        <v>850.83</v>
      </c>
      <c r="K172" s="14" t="str" cm="1">
        <f t="array" ref="K172">_xlfn.IFS(Table44[[#This Row],[Sales]]&gt;40000,"Best Sales",Table44[[#This Row],[Sales]]&gt;20000,"Average Sales",Table44[[#This Row],[Sales]]&gt;0,"Poor Sales")</f>
        <v>Poor Sales</v>
      </c>
    </row>
    <row r="173" spans="1:11" x14ac:dyDescent="0.3">
      <c r="A173" s="11">
        <v>172</v>
      </c>
      <c r="B173" s="12">
        <v>44934</v>
      </c>
      <c r="C173" s="13" t="s">
        <v>26</v>
      </c>
      <c r="D173" s="13" t="s">
        <v>27</v>
      </c>
      <c r="E173" s="13" t="s">
        <v>17</v>
      </c>
      <c r="F173" s="13" t="s">
        <v>31</v>
      </c>
      <c r="G173" s="13" t="s">
        <v>33</v>
      </c>
      <c r="H173" s="14">
        <v>43340.91</v>
      </c>
      <c r="I173" s="13">
        <v>3</v>
      </c>
      <c r="J173" s="15">
        <v>3409.31</v>
      </c>
      <c r="K173" s="14" t="str" cm="1">
        <f t="array" ref="K173">_xlfn.IFS(Table44[[#This Row],[Sales]]&gt;40000,"Best Sales",Table44[[#This Row],[Sales]]&gt;20000,"Average Sales",Table44[[#This Row],[Sales]]&gt;0,"Poor Sales")</f>
        <v>Best Sales</v>
      </c>
    </row>
    <row r="174" spans="1:11" x14ac:dyDescent="0.3">
      <c r="A174" s="6">
        <v>173</v>
      </c>
      <c r="B174" s="7">
        <v>45014</v>
      </c>
      <c r="C174" s="8" t="s">
        <v>37</v>
      </c>
      <c r="D174" s="8" t="s">
        <v>27</v>
      </c>
      <c r="E174" s="8" t="s">
        <v>17</v>
      </c>
      <c r="F174" s="8" t="s">
        <v>31</v>
      </c>
      <c r="G174" s="8" t="s">
        <v>39</v>
      </c>
      <c r="H174" s="9">
        <v>5774.71</v>
      </c>
      <c r="I174" s="8">
        <v>6</v>
      </c>
      <c r="J174" s="10">
        <v>1350.62</v>
      </c>
      <c r="K174" s="14" t="str" cm="1">
        <f t="array" ref="K174">_xlfn.IFS(Table44[[#This Row],[Sales]]&gt;40000,"Best Sales",Table44[[#This Row],[Sales]]&gt;20000,"Average Sales",Table44[[#This Row],[Sales]]&gt;0,"Poor Sales")</f>
        <v>Poor Sales</v>
      </c>
    </row>
    <row r="175" spans="1:11" x14ac:dyDescent="0.3">
      <c r="A175" s="11">
        <v>174</v>
      </c>
      <c r="B175" s="12">
        <v>45178</v>
      </c>
      <c r="C175" s="13" t="s">
        <v>10</v>
      </c>
      <c r="D175" s="13" t="s">
        <v>11</v>
      </c>
      <c r="E175" s="13" t="s">
        <v>17</v>
      </c>
      <c r="F175" s="13" t="s">
        <v>13</v>
      </c>
      <c r="G175" s="13" t="s">
        <v>14</v>
      </c>
      <c r="H175" s="14">
        <v>31543.41</v>
      </c>
      <c r="I175" s="13">
        <v>7</v>
      </c>
      <c r="J175" s="15">
        <v>7095.9</v>
      </c>
      <c r="K175" s="14" t="str" cm="1">
        <f t="array" ref="K175">_xlfn.IFS(Table44[[#This Row],[Sales]]&gt;40000,"Best Sales",Table44[[#This Row],[Sales]]&gt;20000,"Average Sales",Table44[[#This Row],[Sales]]&gt;0,"Poor Sales")</f>
        <v>Average Sales</v>
      </c>
    </row>
    <row r="176" spans="1:11" x14ac:dyDescent="0.3">
      <c r="A176" s="6">
        <v>175</v>
      </c>
      <c r="B176" s="7">
        <v>45127</v>
      </c>
      <c r="C176" s="8" t="s">
        <v>37</v>
      </c>
      <c r="D176" s="8" t="s">
        <v>27</v>
      </c>
      <c r="E176" s="8" t="s">
        <v>17</v>
      </c>
      <c r="F176" s="8" t="s">
        <v>24</v>
      </c>
      <c r="G176" s="8" t="s">
        <v>28</v>
      </c>
      <c r="H176" s="9">
        <v>48726.25</v>
      </c>
      <c r="I176" s="8">
        <v>6</v>
      </c>
      <c r="J176" s="10">
        <v>9754.02</v>
      </c>
      <c r="K176" s="14" t="str" cm="1">
        <f t="array" ref="K176">_xlfn.IFS(Table44[[#This Row],[Sales]]&gt;40000,"Best Sales",Table44[[#This Row],[Sales]]&gt;20000,"Average Sales",Table44[[#This Row],[Sales]]&gt;0,"Poor Sales")</f>
        <v>Best Sales</v>
      </c>
    </row>
    <row r="177" spans="1:11" x14ac:dyDescent="0.3">
      <c r="A177" s="11">
        <v>176</v>
      </c>
      <c r="B177" s="12">
        <v>45082</v>
      </c>
      <c r="C177" s="13" t="s">
        <v>22</v>
      </c>
      <c r="D177" s="13" t="s">
        <v>22</v>
      </c>
      <c r="E177" s="13" t="s">
        <v>17</v>
      </c>
      <c r="F177" s="13" t="s">
        <v>13</v>
      </c>
      <c r="G177" s="13" t="s">
        <v>21</v>
      </c>
      <c r="H177" s="14">
        <v>4877.32</v>
      </c>
      <c r="I177" s="13">
        <v>2</v>
      </c>
      <c r="J177" s="15">
        <v>678.04</v>
      </c>
      <c r="K177" s="14" t="str" cm="1">
        <f t="array" ref="K177">_xlfn.IFS(Table44[[#This Row],[Sales]]&gt;40000,"Best Sales",Table44[[#This Row],[Sales]]&gt;20000,"Average Sales",Table44[[#This Row],[Sales]]&gt;0,"Poor Sales")</f>
        <v>Poor Sales</v>
      </c>
    </row>
    <row r="178" spans="1:11" x14ac:dyDescent="0.3">
      <c r="A178" s="6">
        <v>177</v>
      </c>
      <c r="B178" s="7">
        <v>45227</v>
      </c>
      <c r="C178" s="8" t="s">
        <v>30</v>
      </c>
      <c r="D178" s="8" t="s">
        <v>16</v>
      </c>
      <c r="E178" s="8" t="s">
        <v>17</v>
      </c>
      <c r="F178" s="8" t="s">
        <v>24</v>
      </c>
      <c r="G178" s="8" t="s">
        <v>28</v>
      </c>
      <c r="H178" s="9">
        <v>36632.480000000003</v>
      </c>
      <c r="I178" s="8">
        <v>5</v>
      </c>
      <c r="J178" s="10">
        <v>4419.68</v>
      </c>
      <c r="K178" s="14" t="str" cm="1">
        <f t="array" ref="K178">_xlfn.IFS(Table44[[#This Row],[Sales]]&gt;40000,"Best Sales",Table44[[#This Row],[Sales]]&gt;20000,"Average Sales",Table44[[#This Row],[Sales]]&gt;0,"Poor Sales")</f>
        <v>Average Sales</v>
      </c>
    </row>
    <row r="179" spans="1:11" x14ac:dyDescent="0.3">
      <c r="A179" s="11">
        <v>178</v>
      </c>
      <c r="B179" s="12">
        <v>44978</v>
      </c>
      <c r="C179" s="13" t="s">
        <v>26</v>
      </c>
      <c r="D179" s="13" t="s">
        <v>27</v>
      </c>
      <c r="E179" s="13" t="s">
        <v>17</v>
      </c>
      <c r="F179" s="13" t="s">
        <v>31</v>
      </c>
      <c r="G179" s="13" t="s">
        <v>32</v>
      </c>
      <c r="H179" s="14">
        <v>7302.34</v>
      </c>
      <c r="I179" s="13">
        <v>10</v>
      </c>
      <c r="J179" s="15">
        <v>909.18</v>
      </c>
      <c r="K179" s="14" t="str" cm="1">
        <f t="array" ref="K179">_xlfn.IFS(Table44[[#This Row],[Sales]]&gt;40000,"Best Sales",Table44[[#This Row],[Sales]]&gt;20000,"Average Sales",Table44[[#This Row],[Sales]]&gt;0,"Poor Sales")</f>
        <v>Poor Sales</v>
      </c>
    </row>
    <row r="180" spans="1:11" x14ac:dyDescent="0.3">
      <c r="A180" s="6">
        <v>179</v>
      </c>
      <c r="B180" s="7">
        <v>44993</v>
      </c>
      <c r="C180" s="8" t="s">
        <v>15</v>
      </c>
      <c r="D180" s="8" t="s">
        <v>16</v>
      </c>
      <c r="E180" s="8" t="s">
        <v>17</v>
      </c>
      <c r="F180" s="8" t="s">
        <v>31</v>
      </c>
      <c r="G180" s="8" t="s">
        <v>39</v>
      </c>
      <c r="H180" s="9">
        <v>17646.86</v>
      </c>
      <c r="I180" s="8">
        <v>9</v>
      </c>
      <c r="J180" s="10">
        <v>3145.05</v>
      </c>
      <c r="K180" s="14" t="str" cm="1">
        <f t="array" ref="K180">_xlfn.IFS(Table44[[#This Row],[Sales]]&gt;40000,"Best Sales",Table44[[#This Row],[Sales]]&gt;20000,"Average Sales",Table44[[#This Row],[Sales]]&gt;0,"Poor Sales")</f>
        <v>Poor Sales</v>
      </c>
    </row>
    <row r="181" spans="1:11" x14ac:dyDescent="0.3">
      <c r="A181" s="11">
        <v>180</v>
      </c>
      <c r="B181" s="12">
        <v>45230</v>
      </c>
      <c r="C181" s="13" t="s">
        <v>37</v>
      </c>
      <c r="D181" s="13" t="s">
        <v>27</v>
      </c>
      <c r="E181" s="13" t="s">
        <v>17</v>
      </c>
      <c r="F181" s="13" t="s">
        <v>13</v>
      </c>
      <c r="G181" s="13" t="s">
        <v>14</v>
      </c>
      <c r="H181" s="14">
        <v>18272.21</v>
      </c>
      <c r="I181" s="13">
        <v>9</v>
      </c>
      <c r="J181" s="15">
        <v>4352.6099999999997</v>
      </c>
      <c r="K181" s="14" t="str" cm="1">
        <f t="array" ref="K181">_xlfn.IFS(Table44[[#This Row],[Sales]]&gt;40000,"Best Sales",Table44[[#This Row],[Sales]]&gt;20000,"Average Sales",Table44[[#This Row],[Sales]]&gt;0,"Poor Sales")</f>
        <v>Poor Sales</v>
      </c>
    </row>
    <row r="182" spans="1:11" x14ac:dyDescent="0.3">
      <c r="A182" s="6">
        <v>181</v>
      </c>
      <c r="B182" s="7">
        <v>45151</v>
      </c>
      <c r="C182" s="8" t="s">
        <v>22</v>
      </c>
      <c r="D182" s="8" t="s">
        <v>22</v>
      </c>
      <c r="E182" s="8" t="s">
        <v>17</v>
      </c>
      <c r="F182" s="8" t="s">
        <v>24</v>
      </c>
      <c r="G182" s="8" t="s">
        <v>29</v>
      </c>
      <c r="H182" s="9">
        <v>30968.38</v>
      </c>
      <c r="I182" s="8">
        <v>7</v>
      </c>
      <c r="J182" s="10">
        <v>4688.1000000000004</v>
      </c>
      <c r="K182" s="14" t="str" cm="1">
        <f t="array" ref="K182">_xlfn.IFS(Table44[[#This Row],[Sales]]&gt;40000,"Best Sales",Table44[[#This Row],[Sales]]&gt;20000,"Average Sales",Table44[[#This Row],[Sales]]&gt;0,"Poor Sales")</f>
        <v>Average Sales</v>
      </c>
    </row>
    <row r="183" spans="1:11" x14ac:dyDescent="0.3">
      <c r="A183" s="11">
        <v>182</v>
      </c>
      <c r="B183" s="12">
        <v>45080</v>
      </c>
      <c r="C183" s="13" t="s">
        <v>26</v>
      </c>
      <c r="D183" s="13" t="s">
        <v>27</v>
      </c>
      <c r="E183" s="13" t="s">
        <v>17</v>
      </c>
      <c r="F183" s="13" t="s">
        <v>31</v>
      </c>
      <c r="G183" s="13" t="s">
        <v>33</v>
      </c>
      <c r="H183" s="14">
        <v>17745.36</v>
      </c>
      <c r="I183" s="13">
        <v>2</v>
      </c>
      <c r="J183" s="15">
        <v>1736.15</v>
      </c>
      <c r="K183" s="14" t="str" cm="1">
        <f t="array" ref="K183">_xlfn.IFS(Table44[[#This Row],[Sales]]&gt;40000,"Best Sales",Table44[[#This Row],[Sales]]&gt;20000,"Average Sales",Table44[[#This Row],[Sales]]&gt;0,"Poor Sales")</f>
        <v>Poor Sales</v>
      </c>
    </row>
    <row r="184" spans="1:11" x14ac:dyDescent="0.3">
      <c r="A184" s="6">
        <v>183</v>
      </c>
      <c r="B184" s="7">
        <v>44984</v>
      </c>
      <c r="C184" s="8" t="s">
        <v>26</v>
      </c>
      <c r="D184" s="8" t="s">
        <v>27</v>
      </c>
      <c r="E184" s="8" t="s">
        <v>17</v>
      </c>
      <c r="F184" s="8" t="s">
        <v>13</v>
      </c>
      <c r="G184" s="8" t="s">
        <v>21</v>
      </c>
      <c r="H184" s="9">
        <v>30601.31</v>
      </c>
      <c r="I184" s="8">
        <v>9</v>
      </c>
      <c r="J184" s="10">
        <v>4632.5600000000004</v>
      </c>
      <c r="K184" s="14" t="str" cm="1">
        <f t="array" ref="K184">_xlfn.IFS(Table44[[#This Row],[Sales]]&gt;40000,"Best Sales",Table44[[#This Row],[Sales]]&gt;20000,"Average Sales",Table44[[#This Row],[Sales]]&gt;0,"Poor Sales")</f>
        <v>Average Sales</v>
      </c>
    </row>
    <row r="185" spans="1:11" x14ac:dyDescent="0.3">
      <c r="A185" s="11">
        <v>184</v>
      </c>
      <c r="B185" s="12">
        <v>45256</v>
      </c>
      <c r="C185" s="13" t="s">
        <v>22</v>
      </c>
      <c r="D185" s="13" t="s">
        <v>22</v>
      </c>
      <c r="E185" s="13" t="s">
        <v>17</v>
      </c>
      <c r="F185" s="13" t="s">
        <v>24</v>
      </c>
      <c r="G185" s="13" t="s">
        <v>25</v>
      </c>
      <c r="H185" s="14">
        <v>27508.720000000001</v>
      </c>
      <c r="I185" s="13">
        <v>4</v>
      </c>
      <c r="J185" s="15">
        <v>2649.16</v>
      </c>
      <c r="K185" s="14" t="str" cm="1">
        <f t="array" ref="K185">_xlfn.IFS(Table44[[#This Row],[Sales]]&gt;40000,"Best Sales",Table44[[#This Row],[Sales]]&gt;20000,"Average Sales",Table44[[#This Row],[Sales]]&gt;0,"Poor Sales")</f>
        <v>Average Sales</v>
      </c>
    </row>
    <row r="186" spans="1:11" x14ac:dyDescent="0.3">
      <c r="A186" s="6">
        <v>185</v>
      </c>
      <c r="B186" s="7">
        <v>44959</v>
      </c>
      <c r="C186" s="8" t="s">
        <v>35</v>
      </c>
      <c r="D186" s="8" t="s">
        <v>36</v>
      </c>
      <c r="E186" s="8" t="s">
        <v>17</v>
      </c>
      <c r="F186" s="8" t="s">
        <v>24</v>
      </c>
      <c r="G186" s="8" t="s">
        <v>29</v>
      </c>
      <c r="H186" s="9">
        <v>20818.54</v>
      </c>
      <c r="I186" s="8">
        <v>10</v>
      </c>
      <c r="J186" s="10">
        <v>2457.2199999999998</v>
      </c>
      <c r="K186" s="14" t="str" cm="1">
        <f t="array" ref="K186">_xlfn.IFS(Table44[[#This Row],[Sales]]&gt;40000,"Best Sales",Table44[[#This Row],[Sales]]&gt;20000,"Average Sales",Table44[[#This Row],[Sales]]&gt;0,"Poor Sales")</f>
        <v>Average Sales</v>
      </c>
    </row>
    <row r="187" spans="1:11" x14ac:dyDescent="0.3">
      <c r="A187" s="11">
        <v>186</v>
      </c>
      <c r="B187" s="12">
        <v>44990</v>
      </c>
      <c r="C187" s="13" t="s">
        <v>18</v>
      </c>
      <c r="D187" s="13" t="s">
        <v>19</v>
      </c>
      <c r="E187" s="13" t="s">
        <v>17</v>
      </c>
      <c r="F187" s="13" t="s">
        <v>24</v>
      </c>
      <c r="G187" s="13" t="s">
        <v>29</v>
      </c>
      <c r="H187" s="14">
        <v>49951.15</v>
      </c>
      <c r="I187" s="13">
        <v>8</v>
      </c>
      <c r="J187" s="15">
        <v>9925.48</v>
      </c>
      <c r="K187" s="14" t="str" cm="1">
        <f t="array" ref="K187">_xlfn.IFS(Table44[[#This Row],[Sales]]&gt;40000,"Best Sales",Table44[[#This Row],[Sales]]&gt;20000,"Average Sales",Table44[[#This Row],[Sales]]&gt;0,"Poor Sales")</f>
        <v>Best Sales</v>
      </c>
    </row>
    <row r="188" spans="1:11" x14ac:dyDescent="0.3">
      <c r="A188" s="6">
        <v>187</v>
      </c>
      <c r="B188" s="7">
        <v>45184</v>
      </c>
      <c r="C188" s="8" t="s">
        <v>26</v>
      </c>
      <c r="D188" s="8" t="s">
        <v>27</v>
      </c>
      <c r="E188" s="8" t="s">
        <v>17</v>
      </c>
      <c r="F188" s="8" t="s">
        <v>31</v>
      </c>
      <c r="G188" s="8" t="s">
        <v>33</v>
      </c>
      <c r="H188" s="9">
        <v>14099.59</v>
      </c>
      <c r="I188" s="8">
        <v>7</v>
      </c>
      <c r="J188" s="10">
        <v>1349.86</v>
      </c>
      <c r="K188" s="14" t="str" cm="1">
        <f t="array" ref="K188">_xlfn.IFS(Table44[[#This Row],[Sales]]&gt;40000,"Best Sales",Table44[[#This Row],[Sales]]&gt;20000,"Average Sales",Table44[[#This Row],[Sales]]&gt;0,"Poor Sales")</f>
        <v>Poor Sales</v>
      </c>
    </row>
    <row r="189" spans="1:11" x14ac:dyDescent="0.3">
      <c r="A189" s="11">
        <v>188</v>
      </c>
      <c r="B189" s="12">
        <v>45210</v>
      </c>
      <c r="C189" s="13" t="s">
        <v>15</v>
      </c>
      <c r="D189" s="13" t="s">
        <v>16</v>
      </c>
      <c r="E189" s="13" t="s">
        <v>12</v>
      </c>
      <c r="F189" s="13" t="s">
        <v>31</v>
      </c>
      <c r="G189" s="13" t="s">
        <v>33</v>
      </c>
      <c r="H189" s="14">
        <v>30464.74</v>
      </c>
      <c r="I189" s="13">
        <v>6</v>
      </c>
      <c r="J189" s="15">
        <v>7362.23</v>
      </c>
      <c r="K189" s="14" t="str" cm="1">
        <f t="array" ref="K189">_xlfn.IFS(Table44[[#This Row],[Sales]]&gt;40000,"Best Sales",Table44[[#This Row],[Sales]]&gt;20000,"Average Sales",Table44[[#This Row],[Sales]]&gt;0,"Poor Sales")</f>
        <v>Average Sales</v>
      </c>
    </row>
    <row r="190" spans="1:11" x14ac:dyDescent="0.3">
      <c r="A190" s="6">
        <v>189</v>
      </c>
      <c r="B190" s="7">
        <v>45041</v>
      </c>
      <c r="C190" s="8" t="s">
        <v>18</v>
      </c>
      <c r="D190" s="8" t="s">
        <v>19</v>
      </c>
      <c r="E190" s="8" t="s">
        <v>17</v>
      </c>
      <c r="F190" s="8" t="s">
        <v>13</v>
      </c>
      <c r="G190" s="8" t="s">
        <v>21</v>
      </c>
      <c r="H190" s="9">
        <v>45371.4</v>
      </c>
      <c r="I190" s="8">
        <v>9</v>
      </c>
      <c r="J190" s="10">
        <v>10014.870000000001</v>
      </c>
      <c r="K190" s="14" t="str" cm="1">
        <f t="array" ref="K190">_xlfn.IFS(Table44[[#This Row],[Sales]]&gt;40000,"Best Sales",Table44[[#This Row],[Sales]]&gt;20000,"Average Sales",Table44[[#This Row],[Sales]]&gt;0,"Poor Sales")</f>
        <v>Best Sales</v>
      </c>
    </row>
    <row r="191" spans="1:11" x14ac:dyDescent="0.3">
      <c r="A191" s="11">
        <v>190</v>
      </c>
      <c r="B191" s="12">
        <v>45082</v>
      </c>
      <c r="C191" s="13" t="s">
        <v>38</v>
      </c>
      <c r="D191" s="13" t="s">
        <v>27</v>
      </c>
      <c r="E191" s="13" t="s">
        <v>12</v>
      </c>
      <c r="F191" s="13" t="s">
        <v>31</v>
      </c>
      <c r="G191" s="13" t="s">
        <v>32</v>
      </c>
      <c r="H191" s="14">
        <v>22118.26</v>
      </c>
      <c r="I191" s="13">
        <v>4</v>
      </c>
      <c r="J191" s="15">
        <v>2171.89</v>
      </c>
      <c r="K191" s="14" t="str" cm="1">
        <f t="array" ref="K191">_xlfn.IFS(Table44[[#This Row],[Sales]]&gt;40000,"Best Sales",Table44[[#This Row],[Sales]]&gt;20000,"Average Sales",Table44[[#This Row],[Sales]]&gt;0,"Poor Sales")</f>
        <v>Average Sales</v>
      </c>
    </row>
    <row r="192" spans="1:11" x14ac:dyDescent="0.3">
      <c r="A192" s="6">
        <v>191</v>
      </c>
      <c r="B192" s="7">
        <v>45248</v>
      </c>
      <c r="C192" s="8" t="s">
        <v>10</v>
      </c>
      <c r="D192" s="8" t="s">
        <v>11</v>
      </c>
      <c r="E192" s="8" t="s">
        <v>17</v>
      </c>
      <c r="F192" s="8" t="s">
        <v>13</v>
      </c>
      <c r="G192" s="8" t="s">
        <v>21</v>
      </c>
      <c r="H192" s="9">
        <v>37631.99</v>
      </c>
      <c r="I192" s="8">
        <v>10</v>
      </c>
      <c r="J192" s="10">
        <v>2815.66</v>
      </c>
      <c r="K192" s="14" t="str" cm="1">
        <f t="array" ref="K192">_xlfn.IFS(Table44[[#This Row],[Sales]]&gt;40000,"Best Sales",Table44[[#This Row],[Sales]]&gt;20000,"Average Sales",Table44[[#This Row],[Sales]]&gt;0,"Poor Sales")</f>
        <v>Average Sales</v>
      </c>
    </row>
    <row r="193" spans="1:11" x14ac:dyDescent="0.3">
      <c r="A193" s="11">
        <v>192</v>
      </c>
      <c r="B193" s="12">
        <v>45279</v>
      </c>
      <c r="C193" s="13" t="s">
        <v>15</v>
      </c>
      <c r="D193" s="13" t="s">
        <v>16</v>
      </c>
      <c r="E193" s="13" t="s">
        <v>20</v>
      </c>
      <c r="F193" s="13" t="s">
        <v>13</v>
      </c>
      <c r="G193" s="13" t="s">
        <v>34</v>
      </c>
      <c r="H193" s="14">
        <v>32613.74</v>
      </c>
      <c r="I193" s="13">
        <v>3</v>
      </c>
      <c r="J193" s="15">
        <v>2329.77</v>
      </c>
      <c r="K193" s="14" t="str" cm="1">
        <f t="array" ref="K193">_xlfn.IFS(Table44[[#This Row],[Sales]]&gt;40000,"Best Sales",Table44[[#This Row],[Sales]]&gt;20000,"Average Sales",Table44[[#This Row],[Sales]]&gt;0,"Poor Sales")</f>
        <v>Average Sales</v>
      </c>
    </row>
    <row r="194" spans="1:11" x14ac:dyDescent="0.3">
      <c r="A194" s="6">
        <v>193</v>
      </c>
      <c r="B194" s="7">
        <v>45031</v>
      </c>
      <c r="C194" s="8" t="s">
        <v>38</v>
      </c>
      <c r="D194" s="8" t="s">
        <v>27</v>
      </c>
      <c r="E194" s="8" t="s">
        <v>20</v>
      </c>
      <c r="F194" s="8" t="s">
        <v>31</v>
      </c>
      <c r="G194" s="8" t="s">
        <v>39</v>
      </c>
      <c r="H194" s="9">
        <v>19402.79</v>
      </c>
      <c r="I194" s="8">
        <v>5</v>
      </c>
      <c r="J194" s="10">
        <v>4070.53</v>
      </c>
      <c r="K194" s="14" t="str" cm="1">
        <f t="array" ref="K194">_xlfn.IFS(Table44[[#This Row],[Sales]]&gt;40000,"Best Sales",Table44[[#This Row],[Sales]]&gt;20000,"Average Sales",Table44[[#This Row],[Sales]]&gt;0,"Poor Sales")</f>
        <v>Poor Sales</v>
      </c>
    </row>
    <row r="195" spans="1:11" x14ac:dyDescent="0.3">
      <c r="A195" s="11">
        <v>194</v>
      </c>
      <c r="B195" s="12">
        <v>45226</v>
      </c>
      <c r="C195" s="13" t="s">
        <v>37</v>
      </c>
      <c r="D195" s="13" t="s">
        <v>27</v>
      </c>
      <c r="E195" s="13" t="s">
        <v>12</v>
      </c>
      <c r="F195" s="13" t="s">
        <v>13</v>
      </c>
      <c r="G195" s="13" t="s">
        <v>21</v>
      </c>
      <c r="H195" s="14">
        <v>38828.89</v>
      </c>
      <c r="I195" s="13">
        <v>1</v>
      </c>
      <c r="J195" s="15">
        <v>3558.41</v>
      </c>
      <c r="K195" s="14" t="str" cm="1">
        <f t="array" ref="K195">_xlfn.IFS(Table44[[#This Row],[Sales]]&gt;40000,"Best Sales",Table44[[#This Row],[Sales]]&gt;20000,"Average Sales",Table44[[#This Row],[Sales]]&gt;0,"Poor Sales")</f>
        <v>Average Sales</v>
      </c>
    </row>
    <row r="196" spans="1:11" x14ac:dyDescent="0.3">
      <c r="A196" s="6">
        <v>195</v>
      </c>
      <c r="B196" s="7">
        <v>45285</v>
      </c>
      <c r="C196" s="8" t="s">
        <v>10</v>
      </c>
      <c r="D196" s="8" t="s">
        <v>11</v>
      </c>
      <c r="E196" s="8" t="s">
        <v>17</v>
      </c>
      <c r="F196" s="8" t="s">
        <v>13</v>
      </c>
      <c r="G196" s="8" t="s">
        <v>34</v>
      </c>
      <c r="H196" s="9">
        <v>40947.69</v>
      </c>
      <c r="I196" s="8">
        <v>10</v>
      </c>
      <c r="J196" s="10">
        <v>3402.46</v>
      </c>
      <c r="K196" s="14" t="str" cm="1">
        <f t="array" ref="K196">_xlfn.IFS(Table44[[#This Row],[Sales]]&gt;40000,"Best Sales",Table44[[#This Row],[Sales]]&gt;20000,"Average Sales",Table44[[#This Row],[Sales]]&gt;0,"Poor Sales")</f>
        <v>Best Sales</v>
      </c>
    </row>
    <row r="197" spans="1:11" x14ac:dyDescent="0.3">
      <c r="A197" s="11">
        <v>196</v>
      </c>
      <c r="B197" s="12">
        <v>45132</v>
      </c>
      <c r="C197" s="13" t="s">
        <v>38</v>
      </c>
      <c r="D197" s="13" t="s">
        <v>27</v>
      </c>
      <c r="E197" s="13" t="s">
        <v>12</v>
      </c>
      <c r="F197" s="13" t="s">
        <v>13</v>
      </c>
      <c r="G197" s="13" t="s">
        <v>34</v>
      </c>
      <c r="H197" s="14">
        <v>42010.67</v>
      </c>
      <c r="I197" s="13">
        <v>2</v>
      </c>
      <c r="J197" s="15">
        <v>11879.89</v>
      </c>
      <c r="K197" s="14" t="str" cm="1">
        <f t="array" ref="K197">_xlfn.IFS(Table44[[#This Row],[Sales]]&gt;40000,"Best Sales",Table44[[#This Row],[Sales]]&gt;20000,"Average Sales",Table44[[#This Row],[Sales]]&gt;0,"Poor Sales")</f>
        <v>Best Sales</v>
      </c>
    </row>
    <row r="198" spans="1:11" x14ac:dyDescent="0.3">
      <c r="A198" s="6">
        <v>197</v>
      </c>
      <c r="B198" s="7">
        <v>44951</v>
      </c>
      <c r="C198" s="8" t="s">
        <v>10</v>
      </c>
      <c r="D198" s="8" t="s">
        <v>11</v>
      </c>
      <c r="E198" s="8" t="s">
        <v>17</v>
      </c>
      <c r="F198" s="8" t="s">
        <v>31</v>
      </c>
      <c r="G198" s="8" t="s">
        <v>33</v>
      </c>
      <c r="H198" s="9">
        <v>15486.53</v>
      </c>
      <c r="I198" s="8">
        <v>3</v>
      </c>
      <c r="J198" s="10">
        <v>3644.96</v>
      </c>
      <c r="K198" s="14" t="str" cm="1">
        <f t="array" ref="K198">_xlfn.IFS(Table44[[#This Row],[Sales]]&gt;40000,"Best Sales",Table44[[#This Row],[Sales]]&gt;20000,"Average Sales",Table44[[#This Row],[Sales]]&gt;0,"Poor Sales")</f>
        <v>Poor Sales</v>
      </c>
    </row>
    <row r="199" spans="1:11" x14ac:dyDescent="0.3">
      <c r="A199" s="11">
        <v>198</v>
      </c>
      <c r="B199" s="12">
        <v>44962</v>
      </c>
      <c r="C199" s="13" t="s">
        <v>35</v>
      </c>
      <c r="D199" s="13" t="s">
        <v>36</v>
      </c>
      <c r="E199" s="13" t="s">
        <v>20</v>
      </c>
      <c r="F199" s="13" t="s">
        <v>13</v>
      </c>
      <c r="G199" s="13" t="s">
        <v>34</v>
      </c>
      <c r="H199" s="14">
        <v>30608.400000000001</v>
      </c>
      <c r="I199" s="13">
        <v>1</v>
      </c>
      <c r="J199" s="15">
        <v>2635.57</v>
      </c>
      <c r="K199" s="14" t="str" cm="1">
        <f t="array" ref="K199">_xlfn.IFS(Table44[[#This Row],[Sales]]&gt;40000,"Best Sales",Table44[[#This Row],[Sales]]&gt;20000,"Average Sales",Table44[[#This Row],[Sales]]&gt;0,"Poor Sales")</f>
        <v>Average Sales</v>
      </c>
    </row>
    <row r="200" spans="1:11" x14ac:dyDescent="0.3">
      <c r="A200" s="6">
        <v>199</v>
      </c>
      <c r="B200" s="7">
        <v>45181</v>
      </c>
      <c r="C200" s="8" t="s">
        <v>18</v>
      </c>
      <c r="D200" s="8" t="s">
        <v>19</v>
      </c>
      <c r="E200" s="8" t="s">
        <v>20</v>
      </c>
      <c r="F200" s="8" t="s">
        <v>31</v>
      </c>
      <c r="G200" s="8" t="s">
        <v>33</v>
      </c>
      <c r="H200" s="9">
        <v>15000.25</v>
      </c>
      <c r="I200" s="8">
        <v>1</v>
      </c>
      <c r="J200" s="10">
        <v>3201.7</v>
      </c>
      <c r="K200" s="14" t="str" cm="1">
        <f t="array" ref="K200">_xlfn.IFS(Table44[[#This Row],[Sales]]&gt;40000,"Best Sales",Table44[[#This Row],[Sales]]&gt;20000,"Average Sales",Table44[[#This Row],[Sales]]&gt;0,"Poor Sales")</f>
        <v>Poor Sales</v>
      </c>
    </row>
    <row r="201" spans="1:11" x14ac:dyDescent="0.3">
      <c r="A201" s="11">
        <v>200</v>
      </c>
      <c r="B201" s="12">
        <v>45266</v>
      </c>
      <c r="C201" s="13" t="s">
        <v>15</v>
      </c>
      <c r="D201" s="13" t="s">
        <v>16</v>
      </c>
      <c r="E201" s="13" t="s">
        <v>12</v>
      </c>
      <c r="F201" s="13" t="s">
        <v>24</v>
      </c>
      <c r="G201" s="13" t="s">
        <v>25</v>
      </c>
      <c r="H201" s="14">
        <v>30584.37</v>
      </c>
      <c r="I201" s="13">
        <v>4</v>
      </c>
      <c r="J201" s="15">
        <v>5866.07</v>
      </c>
      <c r="K201" s="14" t="str" cm="1">
        <f t="array" ref="K201">_xlfn.IFS(Table44[[#This Row],[Sales]]&gt;40000,"Best Sales",Table44[[#This Row],[Sales]]&gt;20000,"Average Sales",Table44[[#This Row],[Sales]]&gt;0,"Poor Sales")</f>
        <v>Average Sales</v>
      </c>
    </row>
    <row r="202" spans="1:11" x14ac:dyDescent="0.3">
      <c r="A202" s="6">
        <v>201</v>
      </c>
      <c r="B202" s="7">
        <v>44995</v>
      </c>
      <c r="C202" s="8" t="s">
        <v>30</v>
      </c>
      <c r="D202" s="8" t="s">
        <v>16</v>
      </c>
      <c r="E202" s="8" t="s">
        <v>17</v>
      </c>
      <c r="F202" s="8" t="s">
        <v>24</v>
      </c>
      <c r="G202" s="8" t="s">
        <v>29</v>
      </c>
      <c r="H202" s="9">
        <v>2307.9</v>
      </c>
      <c r="I202" s="8">
        <v>2</v>
      </c>
      <c r="J202" s="10">
        <v>185.88</v>
      </c>
      <c r="K202" s="14" t="str" cm="1">
        <f t="array" ref="K202">_xlfn.IFS(Table44[[#This Row],[Sales]]&gt;40000,"Best Sales",Table44[[#This Row],[Sales]]&gt;20000,"Average Sales",Table44[[#This Row],[Sales]]&gt;0,"Poor Sales")</f>
        <v>Poor Sales</v>
      </c>
    </row>
    <row r="203" spans="1:11" x14ac:dyDescent="0.3">
      <c r="A203" s="11">
        <v>202</v>
      </c>
      <c r="B203" s="12">
        <v>45210</v>
      </c>
      <c r="C203" s="13" t="s">
        <v>15</v>
      </c>
      <c r="D203" s="13" t="s">
        <v>16</v>
      </c>
      <c r="E203" s="13" t="s">
        <v>12</v>
      </c>
      <c r="F203" s="13" t="s">
        <v>24</v>
      </c>
      <c r="G203" s="13" t="s">
        <v>28</v>
      </c>
      <c r="H203" s="14">
        <v>46291.49</v>
      </c>
      <c r="I203" s="13">
        <v>6</v>
      </c>
      <c r="J203" s="15">
        <v>5632.5</v>
      </c>
      <c r="K203" s="14" t="str" cm="1">
        <f t="array" ref="K203">_xlfn.IFS(Table44[[#This Row],[Sales]]&gt;40000,"Best Sales",Table44[[#This Row],[Sales]]&gt;20000,"Average Sales",Table44[[#This Row],[Sales]]&gt;0,"Poor Sales")</f>
        <v>Best Sales</v>
      </c>
    </row>
    <row r="204" spans="1:11" x14ac:dyDescent="0.3">
      <c r="A204" s="6">
        <v>203</v>
      </c>
      <c r="B204" s="7">
        <v>44974</v>
      </c>
      <c r="C204" s="8" t="s">
        <v>38</v>
      </c>
      <c r="D204" s="8" t="s">
        <v>27</v>
      </c>
      <c r="E204" s="8" t="s">
        <v>17</v>
      </c>
      <c r="F204" s="8" t="s">
        <v>13</v>
      </c>
      <c r="G204" s="8" t="s">
        <v>21</v>
      </c>
      <c r="H204" s="9">
        <v>14665.44</v>
      </c>
      <c r="I204" s="8">
        <v>7</v>
      </c>
      <c r="J204" s="10">
        <v>2033.06</v>
      </c>
      <c r="K204" s="14" t="str" cm="1">
        <f t="array" ref="K204">_xlfn.IFS(Table44[[#This Row],[Sales]]&gt;40000,"Best Sales",Table44[[#This Row],[Sales]]&gt;20000,"Average Sales",Table44[[#This Row],[Sales]]&gt;0,"Poor Sales")</f>
        <v>Poor Sales</v>
      </c>
    </row>
    <row r="205" spans="1:11" x14ac:dyDescent="0.3">
      <c r="A205" s="11">
        <v>204</v>
      </c>
      <c r="B205" s="12">
        <v>44982</v>
      </c>
      <c r="C205" s="13" t="s">
        <v>18</v>
      </c>
      <c r="D205" s="13" t="s">
        <v>19</v>
      </c>
      <c r="E205" s="13" t="s">
        <v>20</v>
      </c>
      <c r="F205" s="13" t="s">
        <v>24</v>
      </c>
      <c r="G205" s="13" t="s">
        <v>25</v>
      </c>
      <c r="H205" s="14">
        <v>29742</v>
      </c>
      <c r="I205" s="13">
        <v>1</v>
      </c>
      <c r="J205" s="15">
        <v>5975.9</v>
      </c>
      <c r="K205" s="14" t="str" cm="1">
        <f t="array" ref="K205">_xlfn.IFS(Table44[[#This Row],[Sales]]&gt;40000,"Best Sales",Table44[[#This Row],[Sales]]&gt;20000,"Average Sales",Table44[[#This Row],[Sales]]&gt;0,"Poor Sales")</f>
        <v>Average Sales</v>
      </c>
    </row>
    <row r="206" spans="1:11" x14ac:dyDescent="0.3">
      <c r="A206" s="6">
        <v>205</v>
      </c>
      <c r="B206" s="7">
        <v>44955</v>
      </c>
      <c r="C206" s="8" t="s">
        <v>15</v>
      </c>
      <c r="D206" s="8" t="s">
        <v>16</v>
      </c>
      <c r="E206" s="8" t="s">
        <v>20</v>
      </c>
      <c r="F206" s="8" t="s">
        <v>13</v>
      </c>
      <c r="G206" s="8" t="s">
        <v>34</v>
      </c>
      <c r="H206" s="9">
        <v>35349.51</v>
      </c>
      <c r="I206" s="8">
        <v>4</v>
      </c>
      <c r="J206" s="10">
        <v>10510.77</v>
      </c>
      <c r="K206" s="14" t="str" cm="1">
        <f t="array" ref="K206">_xlfn.IFS(Table44[[#This Row],[Sales]]&gt;40000,"Best Sales",Table44[[#This Row],[Sales]]&gt;20000,"Average Sales",Table44[[#This Row],[Sales]]&gt;0,"Poor Sales")</f>
        <v>Average Sales</v>
      </c>
    </row>
    <row r="207" spans="1:11" x14ac:dyDescent="0.3">
      <c r="A207" s="11">
        <v>206</v>
      </c>
      <c r="B207" s="12">
        <v>45253</v>
      </c>
      <c r="C207" s="13" t="s">
        <v>26</v>
      </c>
      <c r="D207" s="13" t="s">
        <v>27</v>
      </c>
      <c r="E207" s="13" t="s">
        <v>12</v>
      </c>
      <c r="F207" s="13" t="s">
        <v>13</v>
      </c>
      <c r="G207" s="13" t="s">
        <v>14</v>
      </c>
      <c r="H207" s="14">
        <v>25985.13</v>
      </c>
      <c r="I207" s="13">
        <v>6</v>
      </c>
      <c r="J207" s="15">
        <v>2350.9299999999998</v>
      </c>
      <c r="K207" s="14" t="str" cm="1">
        <f t="array" ref="K207">_xlfn.IFS(Table44[[#This Row],[Sales]]&gt;40000,"Best Sales",Table44[[#This Row],[Sales]]&gt;20000,"Average Sales",Table44[[#This Row],[Sales]]&gt;0,"Poor Sales")</f>
        <v>Average Sales</v>
      </c>
    </row>
    <row r="208" spans="1:11" x14ac:dyDescent="0.3">
      <c r="A208" s="6">
        <v>207</v>
      </c>
      <c r="B208" s="7">
        <v>45156</v>
      </c>
      <c r="C208" s="8" t="s">
        <v>30</v>
      </c>
      <c r="D208" s="8" t="s">
        <v>16</v>
      </c>
      <c r="E208" s="8" t="s">
        <v>17</v>
      </c>
      <c r="F208" s="8" t="s">
        <v>24</v>
      </c>
      <c r="G208" s="8" t="s">
        <v>25</v>
      </c>
      <c r="H208" s="9">
        <v>42832.639999999999</v>
      </c>
      <c r="I208" s="8">
        <v>7</v>
      </c>
      <c r="J208" s="10">
        <v>9063.49</v>
      </c>
      <c r="K208" s="14" t="str" cm="1">
        <f t="array" ref="K208">_xlfn.IFS(Table44[[#This Row],[Sales]]&gt;40000,"Best Sales",Table44[[#This Row],[Sales]]&gt;20000,"Average Sales",Table44[[#This Row],[Sales]]&gt;0,"Poor Sales")</f>
        <v>Best Sales</v>
      </c>
    </row>
    <row r="209" spans="1:11" x14ac:dyDescent="0.3">
      <c r="A209" s="11">
        <v>208</v>
      </c>
      <c r="B209" s="12">
        <v>45079</v>
      </c>
      <c r="C209" s="13" t="s">
        <v>37</v>
      </c>
      <c r="D209" s="13" t="s">
        <v>27</v>
      </c>
      <c r="E209" s="13" t="s">
        <v>12</v>
      </c>
      <c r="F209" s="13" t="s">
        <v>31</v>
      </c>
      <c r="G209" s="13" t="s">
        <v>32</v>
      </c>
      <c r="H209" s="14">
        <v>22629.8</v>
      </c>
      <c r="I209" s="13">
        <v>9</v>
      </c>
      <c r="J209" s="15">
        <v>6097.6</v>
      </c>
      <c r="K209" s="14" t="str" cm="1">
        <f t="array" ref="K209">_xlfn.IFS(Table44[[#This Row],[Sales]]&gt;40000,"Best Sales",Table44[[#This Row],[Sales]]&gt;20000,"Average Sales",Table44[[#This Row],[Sales]]&gt;0,"Poor Sales")</f>
        <v>Average Sales</v>
      </c>
    </row>
    <row r="210" spans="1:11" x14ac:dyDescent="0.3">
      <c r="A210" s="6">
        <v>209</v>
      </c>
      <c r="B210" s="7">
        <v>45030</v>
      </c>
      <c r="C210" s="8" t="s">
        <v>22</v>
      </c>
      <c r="D210" s="8" t="s">
        <v>22</v>
      </c>
      <c r="E210" s="8" t="s">
        <v>17</v>
      </c>
      <c r="F210" s="8" t="s">
        <v>13</v>
      </c>
      <c r="G210" s="8" t="s">
        <v>34</v>
      </c>
      <c r="H210" s="9">
        <v>13679.99</v>
      </c>
      <c r="I210" s="8">
        <v>6</v>
      </c>
      <c r="J210" s="10">
        <v>3823.09</v>
      </c>
      <c r="K210" s="14" t="str" cm="1">
        <f t="array" ref="K210">_xlfn.IFS(Table44[[#This Row],[Sales]]&gt;40000,"Best Sales",Table44[[#This Row],[Sales]]&gt;20000,"Average Sales",Table44[[#This Row],[Sales]]&gt;0,"Poor Sales")</f>
        <v>Poor Sales</v>
      </c>
    </row>
    <row r="211" spans="1:11" x14ac:dyDescent="0.3">
      <c r="A211" s="11">
        <v>210</v>
      </c>
      <c r="B211" s="12">
        <v>45183</v>
      </c>
      <c r="C211" s="13" t="s">
        <v>15</v>
      </c>
      <c r="D211" s="13" t="s">
        <v>16</v>
      </c>
      <c r="E211" s="13" t="s">
        <v>20</v>
      </c>
      <c r="F211" s="13" t="s">
        <v>24</v>
      </c>
      <c r="G211" s="13" t="s">
        <v>28</v>
      </c>
      <c r="H211" s="14">
        <v>36043.949999999997</v>
      </c>
      <c r="I211" s="13">
        <v>8</v>
      </c>
      <c r="J211" s="15">
        <v>5946.66</v>
      </c>
      <c r="K211" s="14" t="str" cm="1">
        <f t="array" ref="K211">_xlfn.IFS(Table44[[#This Row],[Sales]]&gt;40000,"Best Sales",Table44[[#This Row],[Sales]]&gt;20000,"Average Sales",Table44[[#This Row],[Sales]]&gt;0,"Poor Sales")</f>
        <v>Average Sales</v>
      </c>
    </row>
    <row r="212" spans="1:11" x14ac:dyDescent="0.3">
      <c r="A212" s="6">
        <v>211</v>
      </c>
      <c r="B212" s="7">
        <v>45220</v>
      </c>
      <c r="C212" s="8" t="s">
        <v>18</v>
      </c>
      <c r="D212" s="8" t="s">
        <v>19</v>
      </c>
      <c r="E212" s="8" t="s">
        <v>20</v>
      </c>
      <c r="F212" s="8" t="s">
        <v>31</v>
      </c>
      <c r="G212" s="8" t="s">
        <v>33</v>
      </c>
      <c r="H212" s="9">
        <v>8717.0400000000009</v>
      </c>
      <c r="I212" s="8">
        <v>7</v>
      </c>
      <c r="J212" s="10">
        <v>550.32000000000005</v>
      </c>
      <c r="K212" s="14" t="str" cm="1">
        <f t="array" ref="K212">_xlfn.IFS(Table44[[#This Row],[Sales]]&gt;40000,"Best Sales",Table44[[#This Row],[Sales]]&gt;20000,"Average Sales",Table44[[#This Row],[Sales]]&gt;0,"Poor Sales")</f>
        <v>Poor Sales</v>
      </c>
    </row>
    <row r="213" spans="1:11" x14ac:dyDescent="0.3">
      <c r="A213" s="11">
        <v>212</v>
      </c>
      <c r="B213" s="12">
        <v>45238</v>
      </c>
      <c r="C213" s="13" t="s">
        <v>15</v>
      </c>
      <c r="D213" s="13" t="s">
        <v>16</v>
      </c>
      <c r="E213" s="13" t="s">
        <v>12</v>
      </c>
      <c r="F213" s="13" t="s">
        <v>24</v>
      </c>
      <c r="G213" s="13" t="s">
        <v>28</v>
      </c>
      <c r="H213" s="14">
        <v>49857.23</v>
      </c>
      <c r="I213" s="13">
        <v>1</v>
      </c>
      <c r="J213" s="15">
        <v>9642.2000000000007</v>
      </c>
      <c r="K213" s="14" t="str" cm="1">
        <f t="array" ref="K213">_xlfn.IFS(Table44[[#This Row],[Sales]]&gt;40000,"Best Sales",Table44[[#This Row],[Sales]]&gt;20000,"Average Sales",Table44[[#This Row],[Sales]]&gt;0,"Poor Sales")</f>
        <v>Best Sales</v>
      </c>
    </row>
    <row r="214" spans="1:11" x14ac:dyDescent="0.3">
      <c r="A214" s="6">
        <v>213</v>
      </c>
      <c r="B214" s="7">
        <v>45287</v>
      </c>
      <c r="C214" s="8" t="s">
        <v>30</v>
      </c>
      <c r="D214" s="8" t="s">
        <v>16</v>
      </c>
      <c r="E214" s="8" t="s">
        <v>17</v>
      </c>
      <c r="F214" s="8" t="s">
        <v>13</v>
      </c>
      <c r="G214" s="8" t="s">
        <v>14</v>
      </c>
      <c r="H214" s="9">
        <v>11971.17</v>
      </c>
      <c r="I214" s="8">
        <v>4</v>
      </c>
      <c r="J214" s="10">
        <v>2338.79</v>
      </c>
      <c r="K214" s="14" t="str" cm="1">
        <f t="array" ref="K214">_xlfn.IFS(Table44[[#This Row],[Sales]]&gt;40000,"Best Sales",Table44[[#This Row],[Sales]]&gt;20000,"Average Sales",Table44[[#This Row],[Sales]]&gt;0,"Poor Sales")</f>
        <v>Poor Sales</v>
      </c>
    </row>
    <row r="215" spans="1:11" x14ac:dyDescent="0.3">
      <c r="A215" s="11">
        <v>214</v>
      </c>
      <c r="B215" s="12">
        <v>45252</v>
      </c>
      <c r="C215" s="13" t="s">
        <v>10</v>
      </c>
      <c r="D215" s="13" t="s">
        <v>11</v>
      </c>
      <c r="E215" s="13" t="s">
        <v>12</v>
      </c>
      <c r="F215" s="13" t="s">
        <v>13</v>
      </c>
      <c r="G215" s="13" t="s">
        <v>14</v>
      </c>
      <c r="H215" s="14">
        <v>35720.53</v>
      </c>
      <c r="I215" s="13">
        <v>2</v>
      </c>
      <c r="J215" s="15">
        <v>7171.98</v>
      </c>
      <c r="K215" s="14" t="str" cm="1">
        <f t="array" ref="K215">_xlfn.IFS(Table44[[#This Row],[Sales]]&gt;40000,"Best Sales",Table44[[#This Row],[Sales]]&gt;20000,"Average Sales",Table44[[#This Row],[Sales]]&gt;0,"Poor Sales")</f>
        <v>Average Sales</v>
      </c>
    </row>
    <row r="216" spans="1:11" x14ac:dyDescent="0.3">
      <c r="A216" s="6">
        <v>215</v>
      </c>
      <c r="B216" s="7">
        <v>45167</v>
      </c>
      <c r="C216" s="8" t="s">
        <v>10</v>
      </c>
      <c r="D216" s="8" t="s">
        <v>11</v>
      </c>
      <c r="E216" s="8" t="s">
        <v>17</v>
      </c>
      <c r="F216" s="8" t="s">
        <v>13</v>
      </c>
      <c r="G216" s="8" t="s">
        <v>21</v>
      </c>
      <c r="H216" s="9">
        <v>15091</v>
      </c>
      <c r="I216" s="8">
        <v>10</v>
      </c>
      <c r="J216" s="10">
        <v>4408.8599999999997</v>
      </c>
      <c r="K216" s="14" t="str" cm="1">
        <f t="array" ref="K216">_xlfn.IFS(Table44[[#This Row],[Sales]]&gt;40000,"Best Sales",Table44[[#This Row],[Sales]]&gt;20000,"Average Sales",Table44[[#This Row],[Sales]]&gt;0,"Poor Sales")</f>
        <v>Poor Sales</v>
      </c>
    </row>
    <row r="217" spans="1:11" x14ac:dyDescent="0.3">
      <c r="A217" s="11">
        <v>216</v>
      </c>
      <c r="B217" s="12">
        <v>45142</v>
      </c>
      <c r="C217" s="13" t="s">
        <v>38</v>
      </c>
      <c r="D217" s="13" t="s">
        <v>27</v>
      </c>
      <c r="E217" s="13" t="s">
        <v>20</v>
      </c>
      <c r="F217" s="13" t="s">
        <v>13</v>
      </c>
      <c r="G217" s="13" t="s">
        <v>21</v>
      </c>
      <c r="H217" s="14">
        <v>1464.91</v>
      </c>
      <c r="I217" s="13">
        <v>2</v>
      </c>
      <c r="J217" s="15">
        <v>166.33</v>
      </c>
      <c r="K217" s="14" t="str" cm="1">
        <f t="array" ref="K217">_xlfn.IFS(Table44[[#This Row],[Sales]]&gt;40000,"Best Sales",Table44[[#This Row],[Sales]]&gt;20000,"Average Sales",Table44[[#This Row],[Sales]]&gt;0,"Poor Sales")</f>
        <v>Poor Sales</v>
      </c>
    </row>
    <row r="218" spans="1:11" x14ac:dyDescent="0.3">
      <c r="A218" s="6">
        <v>217</v>
      </c>
      <c r="B218" s="7">
        <v>45057</v>
      </c>
      <c r="C218" s="8" t="s">
        <v>38</v>
      </c>
      <c r="D218" s="8" t="s">
        <v>27</v>
      </c>
      <c r="E218" s="8" t="s">
        <v>20</v>
      </c>
      <c r="F218" s="8" t="s">
        <v>13</v>
      </c>
      <c r="G218" s="8" t="s">
        <v>14</v>
      </c>
      <c r="H218" s="9">
        <v>20871</v>
      </c>
      <c r="I218" s="8">
        <v>6</v>
      </c>
      <c r="J218" s="10">
        <v>1123.25</v>
      </c>
      <c r="K218" s="14" t="str" cm="1">
        <f t="array" ref="K218">_xlfn.IFS(Table44[[#This Row],[Sales]]&gt;40000,"Best Sales",Table44[[#This Row],[Sales]]&gt;20000,"Average Sales",Table44[[#This Row],[Sales]]&gt;0,"Poor Sales")</f>
        <v>Average Sales</v>
      </c>
    </row>
    <row r="219" spans="1:11" x14ac:dyDescent="0.3">
      <c r="A219" s="11">
        <v>218</v>
      </c>
      <c r="B219" s="12">
        <v>45060</v>
      </c>
      <c r="C219" s="13" t="s">
        <v>10</v>
      </c>
      <c r="D219" s="13" t="s">
        <v>11</v>
      </c>
      <c r="E219" s="13" t="s">
        <v>12</v>
      </c>
      <c r="F219" s="13" t="s">
        <v>31</v>
      </c>
      <c r="G219" s="13" t="s">
        <v>39</v>
      </c>
      <c r="H219" s="14">
        <v>16475.830000000002</v>
      </c>
      <c r="I219" s="13">
        <v>3</v>
      </c>
      <c r="J219" s="15">
        <v>2544.4499999999998</v>
      </c>
      <c r="K219" s="14" t="str" cm="1">
        <f t="array" ref="K219">_xlfn.IFS(Table44[[#This Row],[Sales]]&gt;40000,"Best Sales",Table44[[#This Row],[Sales]]&gt;20000,"Average Sales",Table44[[#This Row],[Sales]]&gt;0,"Poor Sales")</f>
        <v>Poor Sales</v>
      </c>
    </row>
    <row r="220" spans="1:11" x14ac:dyDescent="0.3">
      <c r="A220" s="6">
        <v>219</v>
      </c>
      <c r="B220" s="7">
        <v>45166</v>
      </c>
      <c r="C220" s="8" t="s">
        <v>15</v>
      </c>
      <c r="D220" s="8" t="s">
        <v>16</v>
      </c>
      <c r="E220" s="8" t="s">
        <v>17</v>
      </c>
      <c r="F220" s="8" t="s">
        <v>13</v>
      </c>
      <c r="G220" s="8" t="s">
        <v>21</v>
      </c>
      <c r="H220" s="9">
        <v>40284</v>
      </c>
      <c r="I220" s="8">
        <v>5</v>
      </c>
      <c r="J220" s="10">
        <v>10032.85</v>
      </c>
      <c r="K220" s="14" t="str" cm="1">
        <f t="array" ref="K220">_xlfn.IFS(Table44[[#This Row],[Sales]]&gt;40000,"Best Sales",Table44[[#This Row],[Sales]]&gt;20000,"Average Sales",Table44[[#This Row],[Sales]]&gt;0,"Poor Sales")</f>
        <v>Best Sales</v>
      </c>
    </row>
    <row r="221" spans="1:11" x14ac:dyDescent="0.3">
      <c r="A221" s="11">
        <v>220</v>
      </c>
      <c r="B221" s="12">
        <v>45188</v>
      </c>
      <c r="C221" s="13" t="s">
        <v>35</v>
      </c>
      <c r="D221" s="13" t="s">
        <v>36</v>
      </c>
      <c r="E221" s="13" t="s">
        <v>12</v>
      </c>
      <c r="F221" s="13" t="s">
        <v>13</v>
      </c>
      <c r="G221" s="13" t="s">
        <v>14</v>
      </c>
      <c r="H221" s="14">
        <v>8686.2199999999993</v>
      </c>
      <c r="I221" s="13">
        <v>2</v>
      </c>
      <c r="J221" s="15">
        <v>929.05</v>
      </c>
      <c r="K221" s="14" t="str" cm="1">
        <f t="array" ref="K221">_xlfn.IFS(Table44[[#This Row],[Sales]]&gt;40000,"Best Sales",Table44[[#This Row],[Sales]]&gt;20000,"Average Sales",Table44[[#This Row],[Sales]]&gt;0,"Poor Sales")</f>
        <v>Poor Sales</v>
      </c>
    </row>
    <row r="222" spans="1:11" x14ac:dyDescent="0.3">
      <c r="A222" s="6">
        <v>221</v>
      </c>
      <c r="B222" s="7">
        <v>44991</v>
      </c>
      <c r="C222" s="8" t="s">
        <v>37</v>
      </c>
      <c r="D222" s="8" t="s">
        <v>27</v>
      </c>
      <c r="E222" s="8" t="s">
        <v>17</v>
      </c>
      <c r="F222" s="8" t="s">
        <v>24</v>
      </c>
      <c r="G222" s="8" t="s">
        <v>25</v>
      </c>
      <c r="H222" s="9">
        <v>6913.56</v>
      </c>
      <c r="I222" s="8">
        <v>3</v>
      </c>
      <c r="J222" s="10">
        <v>1983.12</v>
      </c>
      <c r="K222" s="14" t="str" cm="1">
        <f t="array" ref="K222">_xlfn.IFS(Table44[[#This Row],[Sales]]&gt;40000,"Best Sales",Table44[[#This Row],[Sales]]&gt;20000,"Average Sales",Table44[[#This Row],[Sales]]&gt;0,"Poor Sales")</f>
        <v>Poor Sales</v>
      </c>
    </row>
    <row r="223" spans="1:11" x14ac:dyDescent="0.3">
      <c r="A223" s="11">
        <v>222</v>
      </c>
      <c r="B223" s="12">
        <v>45022</v>
      </c>
      <c r="C223" s="13" t="s">
        <v>22</v>
      </c>
      <c r="D223" s="13" t="s">
        <v>22</v>
      </c>
      <c r="E223" s="13" t="s">
        <v>20</v>
      </c>
      <c r="F223" s="13" t="s">
        <v>24</v>
      </c>
      <c r="G223" s="13" t="s">
        <v>28</v>
      </c>
      <c r="H223" s="14">
        <v>37149.339999999997</v>
      </c>
      <c r="I223" s="13">
        <v>10</v>
      </c>
      <c r="J223" s="15">
        <v>10843.22</v>
      </c>
      <c r="K223" s="14" t="str" cm="1">
        <f t="array" ref="K223">_xlfn.IFS(Table44[[#This Row],[Sales]]&gt;40000,"Best Sales",Table44[[#This Row],[Sales]]&gt;20000,"Average Sales",Table44[[#This Row],[Sales]]&gt;0,"Poor Sales")</f>
        <v>Average Sales</v>
      </c>
    </row>
    <row r="224" spans="1:11" x14ac:dyDescent="0.3">
      <c r="A224" s="6">
        <v>223</v>
      </c>
      <c r="B224" s="7">
        <v>45146</v>
      </c>
      <c r="C224" s="8" t="s">
        <v>26</v>
      </c>
      <c r="D224" s="8" t="s">
        <v>27</v>
      </c>
      <c r="E224" s="8" t="s">
        <v>20</v>
      </c>
      <c r="F224" s="8" t="s">
        <v>13</v>
      </c>
      <c r="G224" s="8" t="s">
        <v>34</v>
      </c>
      <c r="H224" s="9">
        <v>16640.29</v>
      </c>
      <c r="I224" s="8">
        <v>3</v>
      </c>
      <c r="J224" s="10">
        <v>1393.49</v>
      </c>
      <c r="K224" s="14" t="str" cm="1">
        <f t="array" ref="K224">_xlfn.IFS(Table44[[#This Row],[Sales]]&gt;40000,"Best Sales",Table44[[#This Row],[Sales]]&gt;20000,"Average Sales",Table44[[#This Row],[Sales]]&gt;0,"Poor Sales")</f>
        <v>Poor Sales</v>
      </c>
    </row>
    <row r="225" spans="1:11" x14ac:dyDescent="0.3">
      <c r="A225" s="11">
        <v>224</v>
      </c>
      <c r="B225" s="12">
        <v>44939</v>
      </c>
      <c r="C225" s="13" t="s">
        <v>10</v>
      </c>
      <c r="D225" s="13" t="s">
        <v>11</v>
      </c>
      <c r="E225" s="13" t="s">
        <v>12</v>
      </c>
      <c r="F225" s="13" t="s">
        <v>24</v>
      </c>
      <c r="G225" s="13" t="s">
        <v>28</v>
      </c>
      <c r="H225" s="14">
        <v>21947.32</v>
      </c>
      <c r="I225" s="13">
        <v>3</v>
      </c>
      <c r="J225" s="15">
        <v>6382.79</v>
      </c>
      <c r="K225" s="14" t="str" cm="1">
        <f t="array" ref="K225">_xlfn.IFS(Table44[[#This Row],[Sales]]&gt;40000,"Best Sales",Table44[[#This Row],[Sales]]&gt;20000,"Average Sales",Table44[[#This Row],[Sales]]&gt;0,"Poor Sales")</f>
        <v>Average Sales</v>
      </c>
    </row>
    <row r="226" spans="1:11" x14ac:dyDescent="0.3">
      <c r="A226" s="6">
        <v>225</v>
      </c>
      <c r="B226" s="7">
        <v>44957</v>
      </c>
      <c r="C226" s="8" t="s">
        <v>10</v>
      </c>
      <c r="D226" s="8" t="s">
        <v>11</v>
      </c>
      <c r="E226" s="8" t="s">
        <v>17</v>
      </c>
      <c r="F226" s="8" t="s">
        <v>31</v>
      </c>
      <c r="G226" s="8" t="s">
        <v>39</v>
      </c>
      <c r="H226" s="9">
        <v>24075.200000000001</v>
      </c>
      <c r="I226" s="8">
        <v>10</v>
      </c>
      <c r="J226" s="10">
        <v>5340.35</v>
      </c>
      <c r="K226" s="14" t="str" cm="1">
        <f t="array" ref="K226">_xlfn.IFS(Table44[[#This Row],[Sales]]&gt;40000,"Best Sales",Table44[[#This Row],[Sales]]&gt;20000,"Average Sales",Table44[[#This Row],[Sales]]&gt;0,"Poor Sales")</f>
        <v>Average Sales</v>
      </c>
    </row>
    <row r="227" spans="1:11" x14ac:dyDescent="0.3">
      <c r="A227" s="11">
        <v>226</v>
      </c>
      <c r="B227" s="12">
        <v>44969</v>
      </c>
      <c r="C227" s="13" t="s">
        <v>26</v>
      </c>
      <c r="D227" s="13" t="s">
        <v>27</v>
      </c>
      <c r="E227" s="13" t="s">
        <v>12</v>
      </c>
      <c r="F227" s="13" t="s">
        <v>24</v>
      </c>
      <c r="G227" s="13" t="s">
        <v>25</v>
      </c>
      <c r="H227" s="14">
        <v>44542.65</v>
      </c>
      <c r="I227" s="13">
        <v>6</v>
      </c>
      <c r="J227" s="15">
        <v>12094.77</v>
      </c>
      <c r="K227" s="14" t="str" cm="1">
        <f t="array" ref="K227">_xlfn.IFS(Table44[[#This Row],[Sales]]&gt;40000,"Best Sales",Table44[[#This Row],[Sales]]&gt;20000,"Average Sales",Table44[[#This Row],[Sales]]&gt;0,"Poor Sales")</f>
        <v>Best Sales</v>
      </c>
    </row>
    <row r="228" spans="1:11" x14ac:dyDescent="0.3">
      <c r="A228" s="6">
        <v>227</v>
      </c>
      <c r="B228" s="7">
        <v>44927</v>
      </c>
      <c r="C228" s="8" t="s">
        <v>35</v>
      </c>
      <c r="D228" s="8" t="s">
        <v>36</v>
      </c>
      <c r="E228" s="8" t="s">
        <v>17</v>
      </c>
      <c r="F228" s="8" t="s">
        <v>31</v>
      </c>
      <c r="G228" s="8" t="s">
        <v>39</v>
      </c>
      <c r="H228" s="9">
        <v>42137.27</v>
      </c>
      <c r="I228" s="8">
        <v>5</v>
      </c>
      <c r="J228" s="10">
        <v>5097.54</v>
      </c>
      <c r="K228" s="14" t="str" cm="1">
        <f t="array" ref="K228">_xlfn.IFS(Table44[[#This Row],[Sales]]&gt;40000,"Best Sales",Table44[[#This Row],[Sales]]&gt;20000,"Average Sales",Table44[[#This Row],[Sales]]&gt;0,"Poor Sales")</f>
        <v>Best Sales</v>
      </c>
    </row>
    <row r="229" spans="1:11" x14ac:dyDescent="0.3">
      <c r="A229" s="11">
        <v>228</v>
      </c>
      <c r="B229" s="12">
        <v>45121</v>
      </c>
      <c r="C229" s="13" t="s">
        <v>30</v>
      </c>
      <c r="D229" s="13" t="s">
        <v>16</v>
      </c>
      <c r="E229" s="13" t="s">
        <v>20</v>
      </c>
      <c r="F229" s="13" t="s">
        <v>31</v>
      </c>
      <c r="G229" s="13" t="s">
        <v>33</v>
      </c>
      <c r="H229" s="14">
        <v>33630.86</v>
      </c>
      <c r="I229" s="13">
        <v>5</v>
      </c>
      <c r="J229" s="15">
        <v>2900.81</v>
      </c>
      <c r="K229" s="14" t="str" cm="1">
        <f t="array" ref="K229">_xlfn.IFS(Table44[[#This Row],[Sales]]&gt;40000,"Best Sales",Table44[[#This Row],[Sales]]&gt;20000,"Average Sales",Table44[[#This Row],[Sales]]&gt;0,"Poor Sales")</f>
        <v>Average Sales</v>
      </c>
    </row>
    <row r="230" spans="1:11" x14ac:dyDescent="0.3">
      <c r="A230" s="6">
        <v>229</v>
      </c>
      <c r="B230" s="7">
        <v>45263</v>
      </c>
      <c r="C230" s="8" t="s">
        <v>35</v>
      </c>
      <c r="D230" s="8" t="s">
        <v>36</v>
      </c>
      <c r="E230" s="8" t="s">
        <v>20</v>
      </c>
      <c r="F230" s="8" t="s">
        <v>24</v>
      </c>
      <c r="G230" s="8" t="s">
        <v>28</v>
      </c>
      <c r="H230" s="9">
        <v>1156.72</v>
      </c>
      <c r="I230" s="8">
        <v>2</v>
      </c>
      <c r="J230" s="10">
        <v>281.39</v>
      </c>
      <c r="K230" s="14" t="str" cm="1">
        <f t="array" ref="K230">_xlfn.IFS(Table44[[#This Row],[Sales]]&gt;40000,"Best Sales",Table44[[#This Row],[Sales]]&gt;20000,"Average Sales",Table44[[#This Row],[Sales]]&gt;0,"Poor Sales")</f>
        <v>Poor Sales</v>
      </c>
    </row>
    <row r="231" spans="1:11" x14ac:dyDescent="0.3">
      <c r="A231" s="11">
        <v>230</v>
      </c>
      <c r="B231" s="12">
        <v>45163</v>
      </c>
      <c r="C231" s="13" t="s">
        <v>26</v>
      </c>
      <c r="D231" s="13" t="s">
        <v>27</v>
      </c>
      <c r="E231" s="13" t="s">
        <v>12</v>
      </c>
      <c r="F231" s="13" t="s">
        <v>13</v>
      </c>
      <c r="G231" s="13" t="s">
        <v>21</v>
      </c>
      <c r="H231" s="14">
        <v>28988.87</v>
      </c>
      <c r="I231" s="13">
        <v>4</v>
      </c>
      <c r="J231" s="15">
        <v>8348.4500000000007</v>
      </c>
      <c r="K231" s="14" t="str" cm="1">
        <f t="array" ref="K231">_xlfn.IFS(Table44[[#This Row],[Sales]]&gt;40000,"Best Sales",Table44[[#This Row],[Sales]]&gt;20000,"Average Sales",Table44[[#This Row],[Sales]]&gt;0,"Poor Sales")</f>
        <v>Average Sales</v>
      </c>
    </row>
    <row r="232" spans="1:11" x14ac:dyDescent="0.3">
      <c r="A232" s="6">
        <v>231</v>
      </c>
      <c r="B232" s="7">
        <v>45227</v>
      </c>
      <c r="C232" s="8" t="s">
        <v>10</v>
      </c>
      <c r="D232" s="8" t="s">
        <v>11</v>
      </c>
      <c r="E232" s="8" t="s">
        <v>17</v>
      </c>
      <c r="F232" s="8" t="s">
        <v>24</v>
      </c>
      <c r="G232" s="8" t="s">
        <v>28</v>
      </c>
      <c r="H232" s="9">
        <v>40961.07</v>
      </c>
      <c r="I232" s="8">
        <v>7</v>
      </c>
      <c r="J232" s="10">
        <v>11511.53</v>
      </c>
      <c r="K232" s="14" t="str" cm="1">
        <f t="array" ref="K232">_xlfn.IFS(Table44[[#This Row],[Sales]]&gt;40000,"Best Sales",Table44[[#This Row],[Sales]]&gt;20000,"Average Sales",Table44[[#This Row],[Sales]]&gt;0,"Poor Sales")</f>
        <v>Best Sales</v>
      </c>
    </row>
    <row r="233" spans="1:11" x14ac:dyDescent="0.3">
      <c r="A233" s="11">
        <v>232</v>
      </c>
      <c r="B233" s="12">
        <v>45215</v>
      </c>
      <c r="C233" s="13" t="s">
        <v>10</v>
      </c>
      <c r="D233" s="13" t="s">
        <v>11</v>
      </c>
      <c r="E233" s="13" t="s">
        <v>12</v>
      </c>
      <c r="F233" s="13" t="s">
        <v>31</v>
      </c>
      <c r="G233" s="13" t="s">
        <v>32</v>
      </c>
      <c r="H233" s="14">
        <v>44103.15</v>
      </c>
      <c r="I233" s="13">
        <v>8</v>
      </c>
      <c r="J233" s="15">
        <v>7622.06</v>
      </c>
      <c r="K233" s="14" t="str" cm="1">
        <f t="array" ref="K233">_xlfn.IFS(Table44[[#This Row],[Sales]]&gt;40000,"Best Sales",Table44[[#This Row],[Sales]]&gt;20000,"Average Sales",Table44[[#This Row],[Sales]]&gt;0,"Poor Sales")</f>
        <v>Best Sales</v>
      </c>
    </row>
    <row r="234" spans="1:11" x14ac:dyDescent="0.3">
      <c r="A234" s="6">
        <v>233</v>
      </c>
      <c r="B234" s="7">
        <v>45205</v>
      </c>
      <c r="C234" s="8" t="s">
        <v>30</v>
      </c>
      <c r="D234" s="8" t="s">
        <v>16</v>
      </c>
      <c r="E234" s="8" t="s">
        <v>17</v>
      </c>
      <c r="F234" s="8" t="s">
        <v>24</v>
      </c>
      <c r="G234" s="8" t="s">
        <v>28</v>
      </c>
      <c r="H234" s="9">
        <v>40991.879999999997</v>
      </c>
      <c r="I234" s="8">
        <v>3</v>
      </c>
      <c r="J234" s="10">
        <v>10571.44</v>
      </c>
      <c r="K234" s="14" t="str" cm="1">
        <f t="array" ref="K234">_xlfn.IFS(Table44[[#This Row],[Sales]]&gt;40000,"Best Sales",Table44[[#This Row],[Sales]]&gt;20000,"Average Sales",Table44[[#This Row],[Sales]]&gt;0,"Poor Sales")</f>
        <v>Best Sales</v>
      </c>
    </row>
    <row r="235" spans="1:11" x14ac:dyDescent="0.3">
      <c r="A235" s="11">
        <v>234</v>
      </c>
      <c r="B235" s="12">
        <v>45094</v>
      </c>
      <c r="C235" s="13" t="s">
        <v>37</v>
      </c>
      <c r="D235" s="13" t="s">
        <v>27</v>
      </c>
      <c r="E235" s="13" t="s">
        <v>20</v>
      </c>
      <c r="F235" s="13" t="s">
        <v>31</v>
      </c>
      <c r="G235" s="13" t="s">
        <v>32</v>
      </c>
      <c r="H235" s="14">
        <v>22770.06</v>
      </c>
      <c r="I235" s="13">
        <v>9</v>
      </c>
      <c r="J235" s="15">
        <v>3327.09</v>
      </c>
      <c r="K235" s="14" t="str" cm="1">
        <f t="array" ref="K235">_xlfn.IFS(Table44[[#This Row],[Sales]]&gt;40000,"Best Sales",Table44[[#This Row],[Sales]]&gt;20000,"Average Sales",Table44[[#This Row],[Sales]]&gt;0,"Poor Sales")</f>
        <v>Average Sales</v>
      </c>
    </row>
    <row r="236" spans="1:11" x14ac:dyDescent="0.3">
      <c r="A236" s="6">
        <v>235</v>
      </c>
      <c r="B236" s="7">
        <v>45133</v>
      </c>
      <c r="C236" s="8" t="s">
        <v>26</v>
      </c>
      <c r="D236" s="8" t="s">
        <v>27</v>
      </c>
      <c r="E236" s="8" t="s">
        <v>20</v>
      </c>
      <c r="F236" s="8" t="s">
        <v>31</v>
      </c>
      <c r="G236" s="8" t="s">
        <v>33</v>
      </c>
      <c r="H236" s="9">
        <v>32866.050000000003</v>
      </c>
      <c r="I236" s="8">
        <v>5</v>
      </c>
      <c r="J236" s="10">
        <v>7169.07</v>
      </c>
      <c r="K236" s="14" t="str" cm="1">
        <f t="array" ref="K236">_xlfn.IFS(Table44[[#This Row],[Sales]]&gt;40000,"Best Sales",Table44[[#This Row],[Sales]]&gt;20000,"Average Sales",Table44[[#This Row],[Sales]]&gt;0,"Poor Sales")</f>
        <v>Average Sales</v>
      </c>
    </row>
    <row r="237" spans="1:11" x14ac:dyDescent="0.3">
      <c r="A237" s="11">
        <v>236</v>
      </c>
      <c r="B237" s="12">
        <v>45158</v>
      </c>
      <c r="C237" s="13" t="s">
        <v>37</v>
      </c>
      <c r="D237" s="13" t="s">
        <v>27</v>
      </c>
      <c r="E237" s="13" t="s">
        <v>12</v>
      </c>
      <c r="F237" s="13" t="s">
        <v>31</v>
      </c>
      <c r="G237" s="13" t="s">
        <v>32</v>
      </c>
      <c r="H237" s="14">
        <v>10663.17</v>
      </c>
      <c r="I237" s="13">
        <v>2</v>
      </c>
      <c r="J237" s="15">
        <v>2411.1799999999998</v>
      </c>
      <c r="K237" s="14" t="str" cm="1">
        <f t="array" ref="K237">_xlfn.IFS(Table44[[#This Row],[Sales]]&gt;40000,"Best Sales",Table44[[#This Row],[Sales]]&gt;20000,"Average Sales",Table44[[#This Row],[Sales]]&gt;0,"Poor Sales")</f>
        <v>Poor Sales</v>
      </c>
    </row>
    <row r="238" spans="1:11" x14ac:dyDescent="0.3">
      <c r="A238" s="6">
        <v>237</v>
      </c>
      <c r="B238" s="7">
        <v>45067</v>
      </c>
      <c r="C238" s="8" t="s">
        <v>35</v>
      </c>
      <c r="D238" s="8" t="s">
        <v>36</v>
      </c>
      <c r="E238" s="8" t="s">
        <v>17</v>
      </c>
      <c r="F238" s="8" t="s">
        <v>31</v>
      </c>
      <c r="G238" s="8" t="s">
        <v>39</v>
      </c>
      <c r="H238" s="9">
        <v>25820.27</v>
      </c>
      <c r="I238" s="8">
        <v>6</v>
      </c>
      <c r="J238" s="10">
        <v>1912.88</v>
      </c>
      <c r="K238" s="14" t="str" cm="1">
        <f t="array" ref="K238">_xlfn.IFS(Table44[[#This Row],[Sales]]&gt;40000,"Best Sales",Table44[[#This Row],[Sales]]&gt;20000,"Average Sales",Table44[[#This Row],[Sales]]&gt;0,"Poor Sales")</f>
        <v>Average Sales</v>
      </c>
    </row>
    <row r="239" spans="1:11" x14ac:dyDescent="0.3">
      <c r="A239" s="11">
        <v>238</v>
      </c>
      <c r="B239" s="12">
        <v>44941</v>
      </c>
      <c r="C239" s="13" t="s">
        <v>15</v>
      </c>
      <c r="D239" s="13" t="s">
        <v>16</v>
      </c>
      <c r="E239" s="13" t="s">
        <v>12</v>
      </c>
      <c r="F239" s="13" t="s">
        <v>31</v>
      </c>
      <c r="G239" s="13" t="s">
        <v>32</v>
      </c>
      <c r="H239" s="14">
        <v>18390.77</v>
      </c>
      <c r="I239" s="13">
        <v>10</v>
      </c>
      <c r="J239" s="15">
        <v>2737.63</v>
      </c>
      <c r="K239" s="14" t="str" cm="1">
        <f t="array" ref="K239">_xlfn.IFS(Table44[[#This Row],[Sales]]&gt;40000,"Best Sales",Table44[[#This Row],[Sales]]&gt;20000,"Average Sales",Table44[[#This Row],[Sales]]&gt;0,"Poor Sales")</f>
        <v>Poor Sales</v>
      </c>
    </row>
    <row r="240" spans="1:11" x14ac:dyDescent="0.3">
      <c r="A240" s="6">
        <v>239</v>
      </c>
      <c r="B240" s="7">
        <v>44947</v>
      </c>
      <c r="C240" s="8" t="s">
        <v>37</v>
      </c>
      <c r="D240" s="8" t="s">
        <v>27</v>
      </c>
      <c r="E240" s="8" t="s">
        <v>17</v>
      </c>
      <c r="F240" s="8" t="s">
        <v>24</v>
      </c>
      <c r="G240" s="8" t="s">
        <v>25</v>
      </c>
      <c r="H240" s="9">
        <v>9511</v>
      </c>
      <c r="I240" s="8">
        <v>2</v>
      </c>
      <c r="J240" s="10">
        <v>1162.99</v>
      </c>
      <c r="K240" s="14" t="str" cm="1">
        <f t="array" ref="K240">_xlfn.IFS(Table44[[#This Row],[Sales]]&gt;40000,"Best Sales",Table44[[#This Row],[Sales]]&gt;20000,"Average Sales",Table44[[#This Row],[Sales]]&gt;0,"Poor Sales")</f>
        <v>Poor Sales</v>
      </c>
    </row>
    <row r="241" spans="1:11" x14ac:dyDescent="0.3">
      <c r="A241" s="11">
        <v>240</v>
      </c>
      <c r="B241" s="12">
        <v>45001</v>
      </c>
      <c r="C241" s="13" t="s">
        <v>10</v>
      </c>
      <c r="D241" s="13" t="s">
        <v>11</v>
      </c>
      <c r="E241" s="13" t="s">
        <v>20</v>
      </c>
      <c r="F241" s="13" t="s">
        <v>13</v>
      </c>
      <c r="G241" s="13" t="s">
        <v>21</v>
      </c>
      <c r="H241" s="14">
        <v>36211.370000000003</v>
      </c>
      <c r="I241" s="13">
        <v>6</v>
      </c>
      <c r="J241" s="15">
        <v>7076.58</v>
      </c>
      <c r="K241" s="14" t="str" cm="1">
        <f t="array" ref="K241">_xlfn.IFS(Table44[[#This Row],[Sales]]&gt;40000,"Best Sales",Table44[[#This Row],[Sales]]&gt;20000,"Average Sales",Table44[[#This Row],[Sales]]&gt;0,"Poor Sales")</f>
        <v>Average Sales</v>
      </c>
    </row>
    <row r="242" spans="1:11" x14ac:dyDescent="0.3">
      <c r="A242" s="6">
        <v>241</v>
      </c>
      <c r="B242" s="7">
        <v>45034</v>
      </c>
      <c r="C242" s="8" t="s">
        <v>15</v>
      </c>
      <c r="D242" s="8" t="s">
        <v>16</v>
      </c>
      <c r="E242" s="8" t="s">
        <v>20</v>
      </c>
      <c r="F242" s="8" t="s">
        <v>13</v>
      </c>
      <c r="G242" s="8" t="s">
        <v>21</v>
      </c>
      <c r="H242" s="9">
        <v>38204.660000000003</v>
      </c>
      <c r="I242" s="8">
        <v>1</v>
      </c>
      <c r="J242" s="10">
        <v>10074.93</v>
      </c>
      <c r="K242" s="14" t="str" cm="1">
        <f t="array" ref="K242">_xlfn.IFS(Table44[[#This Row],[Sales]]&gt;40000,"Best Sales",Table44[[#This Row],[Sales]]&gt;20000,"Average Sales",Table44[[#This Row],[Sales]]&gt;0,"Poor Sales")</f>
        <v>Average Sales</v>
      </c>
    </row>
    <row r="243" spans="1:11" x14ac:dyDescent="0.3">
      <c r="A243" s="11">
        <v>242</v>
      </c>
      <c r="B243" s="12">
        <v>44930</v>
      </c>
      <c r="C243" s="13" t="s">
        <v>38</v>
      </c>
      <c r="D243" s="13" t="s">
        <v>27</v>
      </c>
      <c r="E243" s="13" t="s">
        <v>12</v>
      </c>
      <c r="F243" s="13" t="s">
        <v>24</v>
      </c>
      <c r="G243" s="13" t="s">
        <v>25</v>
      </c>
      <c r="H243" s="14">
        <v>40939.94</v>
      </c>
      <c r="I243" s="13">
        <v>7</v>
      </c>
      <c r="J243" s="15">
        <v>7280.08</v>
      </c>
      <c r="K243" s="14" t="str" cm="1">
        <f t="array" ref="K243">_xlfn.IFS(Table44[[#This Row],[Sales]]&gt;40000,"Best Sales",Table44[[#This Row],[Sales]]&gt;20000,"Average Sales",Table44[[#This Row],[Sales]]&gt;0,"Poor Sales")</f>
        <v>Best Sales</v>
      </c>
    </row>
    <row r="244" spans="1:11" x14ac:dyDescent="0.3">
      <c r="A244" s="6">
        <v>243</v>
      </c>
      <c r="B244" s="7">
        <v>45019</v>
      </c>
      <c r="C244" s="8" t="s">
        <v>22</v>
      </c>
      <c r="D244" s="8" t="s">
        <v>22</v>
      </c>
      <c r="E244" s="8" t="s">
        <v>17</v>
      </c>
      <c r="F244" s="8" t="s">
        <v>24</v>
      </c>
      <c r="G244" s="8" t="s">
        <v>29</v>
      </c>
      <c r="H244" s="9">
        <v>26046.11</v>
      </c>
      <c r="I244" s="8">
        <v>2</v>
      </c>
      <c r="J244" s="10">
        <v>3289.52</v>
      </c>
      <c r="K244" s="14" t="str" cm="1">
        <f t="array" ref="K244">_xlfn.IFS(Table44[[#This Row],[Sales]]&gt;40000,"Best Sales",Table44[[#This Row],[Sales]]&gt;20000,"Average Sales",Table44[[#This Row],[Sales]]&gt;0,"Poor Sales")</f>
        <v>Average Sales</v>
      </c>
    </row>
    <row r="245" spans="1:11" x14ac:dyDescent="0.3">
      <c r="A245" s="11">
        <v>244</v>
      </c>
      <c r="B245" s="12">
        <v>45000</v>
      </c>
      <c r="C245" s="13" t="s">
        <v>26</v>
      </c>
      <c r="D245" s="13" t="s">
        <v>27</v>
      </c>
      <c r="E245" s="13" t="s">
        <v>12</v>
      </c>
      <c r="F245" s="13" t="s">
        <v>31</v>
      </c>
      <c r="G245" s="13" t="s">
        <v>33</v>
      </c>
      <c r="H245" s="14">
        <v>40691.96</v>
      </c>
      <c r="I245" s="13">
        <v>4</v>
      </c>
      <c r="J245" s="15">
        <v>2624.84</v>
      </c>
      <c r="K245" s="14" t="str" cm="1">
        <f t="array" ref="K245">_xlfn.IFS(Table44[[#This Row],[Sales]]&gt;40000,"Best Sales",Table44[[#This Row],[Sales]]&gt;20000,"Average Sales",Table44[[#This Row],[Sales]]&gt;0,"Poor Sales")</f>
        <v>Best Sales</v>
      </c>
    </row>
    <row r="246" spans="1:11" x14ac:dyDescent="0.3">
      <c r="A246" s="6">
        <v>245</v>
      </c>
      <c r="B246" s="7">
        <v>45053</v>
      </c>
      <c r="C246" s="8" t="s">
        <v>22</v>
      </c>
      <c r="D246" s="8" t="s">
        <v>22</v>
      </c>
      <c r="E246" s="8" t="s">
        <v>17</v>
      </c>
      <c r="F246" s="8" t="s">
        <v>24</v>
      </c>
      <c r="G246" s="8" t="s">
        <v>29</v>
      </c>
      <c r="H246" s="9">
        <v>49598.16</v>
      </c>
      <c r="I246" s="8">
        <v>2</v>
      </c>
      <c r="J246" s="10">
        <v>8746.65</v>
      </c>
      <c r="K246" s="14" t="str" cm="1">
        <f t="array" ref="K246">_xlfn.IFS(Table44[[#This Row],[Sales]]&gt;40000,"Best Sales",Table44[[#This Row],[Sales]]&gt;20000,"Average Sales",Table44[[#This Row],[Sales]]&gt;0,"Poor Sales")</f>
        <v>Best Sales</v>
      </c>
    </row>
    <row r="247" spans="1:11" x14ac:dyDescent="0.3">
      <c r="A247" s="11">
        <v>246</v>
      </c>
      <c r="B247" s="12">
        <v>45088</v>
      </c>
      <c r="C247" s="13" t="s">
        <v>26</v>
      </c>
      <c r="D247" s="13" t="s">
        <v>27</v>
      </c>
      <c r="E247" s="13" t="s">
        <v>20</v>
      </c>
      <c r="F247" s="13" t="s">
        <v>24</v>
      </c>
      <c r="G247" s="13" t="s">
        <v>25</v>
      </c>
      <c r="H247" s="14">
        <v>13177.69</v>
      </c>
      <c r="I247" s="13">
        <v>2</v>
      </c>
      <c r="J247" s="15">
        <v>1536.55</v>
      </c>
      <c r="K247" s="14" t="str" cm="1">
        <f t="array" ref="K247">_xlfn.IFS(Table44[[#This Row],[Sales]]&gt;40000,"Best Sales",Table44[[#This Row],[Sales]]&gt;20000,"Average Sales",Table44[[#This Row],[Sales]]&gt;0,"Poor Sales")</f>
        <v>Poor Sales</v>
      </c>
    </row>
    <row r="248" spans="1:11" x14ac:dyDescent="0.3">
      <c r="A248" s="6">
        <v>247</v>
      </c>
      <c r="B248" s="7">
        <v>45204</v>
      </c>
      <c r="C248" s="8" t="s">
        <v>38</v>
      </c>
      <c r="D248" s="8" t="s">
        <v>27</v>
      </c>
      <c r="E248" s="8" t="s">
        <v>20</v>
      </c>
      <c r="F248" s="8" t="s">
        <v>13</v>
      </c>
      <c r="G248" s="8" t="s">
        <v>21</v>
      </c>
      <c r="H248" s="9">
        <v>25816.6</v>
      </c>
      <c r="I248" s="8">
        <v>1</v>
      </c>
      <c r="J248" s="10">
        <v>6376.67</v>
      </c>
      <c r="K248" s="14" t="str" cm="1">
        <f t="array" ref="K248">_xlfn.IFS(Table44[[#This Row],[Sales]]&gt;40000,"Best Sales",Table44[[#This Row],[Sales]]&gt;20000,"Average Sales",Table44[[#This Row],[Sales]]&gt;0,"Poor Sales")</f>
        <v>Average Sales</v>
      </c>
    </row>
    <row r="249" spans="1:11" x14ac:dyDescent="0.3">
      <c r="A249" s="11">
        <v>248</v>
      </c>
      <c r="B249" s="12">
        <v>44981</v>
      </c>
      <c r="C249" s="13" t="s">
        <v>26</v>
      </c>
      <c r="D249" s="13" t="s">
        <v>27</v>
      </c>
      <c r="E249" s="13" t="s">
        <v>12</v>
      </c>
      <c r="F249" s="13" t="s">
        <v>13</v>
      </c>
      <c r="G249" s="13" t="s">
        <v>34</v>
      </c>
      <c r="H249" s="14">
        <v>4142.42</v>
      </c>
      <c r="I249" s="13">
        <v>7</v>
      </c>
      <c r="J249" s="15">
        <v>987.96</v>
      </c>
      <c r="K249" s="14" t="str" cm="1">
        <f t="array" ref="K249">_xlfn.IFS(Table44[[#This Row],[Sales]]&gt;40000,"Best Sales",Table44[[#This Row],[Sales]]&gt;20000,"Average Sales",Table44[[#This Row],[Sales]]&gt;0,"Poor Sales")</f>
        <v>Poor Sales</v>
      </c>
    </row>
    <row r="250" spans="1:11" x14ac:dyDescent="0.3">
      <c r="A250" s="6">
        <v>249</v>
      </c>
      <c r="B250" s="7">
        <v>45149</v>
      </c>
      <c r="C250" s="8" t="s">
        <v>26</v>
      </c>
      <c r="D250" s="8" t="s">
        <v>27</v>
      </c>
      <c r="E250" s="8" t="s">
        <v>17</v>
      </c>
      <c r="F250" s="8" t="s">
        <v>13</v>
      </c>
      <c r="G250" s="8" t="s">
        <v>34</v>
      </c>
      <c r="H250" s="9">
        <v>48741.85</v>
      </c>
      <c r="I250" s="8">
        <v>2</v>
      </c>
      <c r="J250" s="10">
        <v>6991.38</v>
      </c>
      <c r="K250" s="14" t="str" cm="1">
        <f t="array" ref="K250">_xlfn.IFS(Table44[[#This Row],[Sales]]&gt;40000,"Best Sales",Table44[[#This Row],[Sales]]&gt;20000,"Average Sales",Table44[[#This Row],[Sales]]&gt;0,"Poor Sales")</f>
        <v>Best Sales</v>
      </c>
    </row>
    <row r="251" spans="1:11" x14ac:dyDescent="0.3">
      <c r="A251" s="11">
        <v>250</v>
      </c>
      <c r="B251" s="12">
        <v>45268</v>
      </c>
      <c r="C251" s="13" t="s">
        <v>30</v>
      </c>
      <c r="D251" s="13" t="s">
        <v>16</v>
      </c>
      <c r="E251" s="13" t="s">
        <v>12</v>
      </c>
      <c r="F251" s="13" t="s">
        <v>13</v>
      </c>
      <c r="G251" s="13" t="s">
        <v>34</v>
      </c>
      <c r="H251" s="14">
        <v>22157.78</v>
      </c>
      <c r="I251" s="13">
        <v>2</v>
      </c>
      <c r="J251" s="15">
        <v>4517.67</v>
      </c>
      <c r="K251" s="14" t="str" cm="1">
        <f t="array" ref="K251">_xlfn.IFS(Table44[[#This Row],[Sales]]&gt;40000,"Best Sales",Table44[[#This Row],[Sales]]&gt;20000,"Average Sales",Table44[[#This Row],[Sales]]&gt;0,"Poor Sales")</f>
        <v>Average Sales</v>
      </c>
    </row>
    <row r="252" spans="1:11" x14ac:dyDescent="0.3">
      <c r="A252" s="6">
        <v>251</v>
      </c>
      <c r="B252" s="7">
        <v>45094</v>
      </c>
      <c r="C252" s="8" t="s">
        <v>15</v>
      </c>
      <c r="D252" s="8" t="s">
        <v>16</v>
      </c>
      <c r="E252" s="8" t="s">
        <v>17</v>
      </c>
      <c r="F252" s="8" t="s">
        <v>24</v>
      </c>
      <c r="G252" s="8" t="s">
        <v>25</v>
      </c>
      <c r="H252" s="9">
        <v>17751.919999999998</v>
      </c>
      <c r="I252" s="8">
        <v>7</v>
      </c>
      <c r="J252" s="10">
        <v>4931.21</v>
      </c>
      <c r="K252" s="14" t="str" cm="1">
        <f t="array" ref="K252">_xlfn.IFS(Table44[[#This Row],[Sales]]&gt;40000,"Best Sales",Table44[[#This Row],[Sales]]&gt;20000,"Average Sales",Table44[[#This Row],[Sales]]&gt;0,"Poor Sales")</f>
        <v>Poor Sales</v>
      </c>
    </row>
    <row r="253" spans="1:11" x14ac:dyDescent="0.3">
      <c r="A253" s="11">
        <v>252</v>
      </c>
      <c r="B253" s="12">
        <v>45011</v>
      </c>
      <c r="C253" s="13" t="s">
        <v>38</v>
      </c>
      <c r="D253" s="13" t="s">
        <v>27</v>
      </c>
      <c r="E253" s="13" t="s">
        <v>20</v>
      </c>
      <c r="F253" s="13" t="s">
        <v>31</v>
      </c>
      <c r="G253" s="13" t="s">
        <v>39</v>
      </c>
      <c r="H253" s="14">
        <v>11067.21</v>
      </c>
      <c r="I253" s="13">
        <v>3</v>
      </c>
      <c r="J253" s="15">
        <v>2057.92</v>
      </c>
      <c r="K253" s="14" t="str" cm="1">
        <f t="array" ref="K253">_xlfn.IFS(Table44[[#This Row],[Sales]]&gt;40000,"Best Sales",Table44[[#This Row],[Sales]]&gt;20000,"Average Sales",Table44[[#This Row],[Sales]]&gt;0,"Poor Sales")</f>
        <v>Poor Sales</v>
      </c>
    </row>
    <row r="254" spans="1:11" x14ac:dyDescent="0.3">
      <c r="A254" s="6">
        <v>253</v>
      </c>
      <c r="B254" s="7">
        <v>45131</v>
      </c>
      <c r="C254" s="8" t="s">
        <v>38</v>
      </c>
      <c r="D254" s="8" t="s">
        <v>27</v>
      </c>
      <c r="E254" s="8" t="s">
        <v>20</v>
      </c>
      <c r="F254" s="8" t="s">
        <v>24</v>
      </c>
      <c r="G254" s="8" t="s">
        <v>29</v>
      </c>
      <c r="H254" s="9">
        <v>13954.05</v>
      </c>
      <c r="I254" s="8">
        <v>10</v>
      </c>
      <c r="J254" s="10">
        <v>3139.56</v>
      </c>
      <c r="K254" s="14" t="str" cm="1">
        <f t="array" ref="K254">_xlfn.IFS(Table44[[#This Row],[Sales]]&gt;40000,"Best Sales",Table44[[#This Row],[Sales]]&gt;20000,"Average Sales",Table44[[#This Row],[Sales]]&gt;0,"Poor Sales")</f>
        <v>Poor Sales</v>
      </c>
    </row>
    <row r="255" spans="1:11" x14ac:dyDescent="0.3">
      <c r="A255" s="11">
        <v>254</v>
      </c>
      <c r="B255" s="12">
        <v>44976</v>
      </c>
      <c r="C255" s="13" t="s">
        <v>22</v>
      </c>
      <c r="D255" s="13" t="s">
        <v>22</v>
      </c>
      <c r="E255" s="13" t="s">
        <v>12</v>
      </c>
      <c r="F255" s="13" t="s">
        <v>24</v>
      </c>
      <c r="G255" s="13" t="s">
        <v>25</v>
      </c>
      <c r="H255" s="14">
        <v>10782.97</v>
      </c>
      <c r="I255" s="13">
        <v>7</v>
      </c>
      <c r="J255" s="15">
        <v>772.84</v>
      </c>
      <c r="K255" s="14" t="str" cm="1">
        <f t="array" ref="K255">_xlfn.IFS(Table44[[#This Row],[Sales]]&gt;40000,"Best Sales",Table44[[#This Row],[Sales]]&gt;20000,"Average Sales",Table44[[#This Row],[Sales]]&gt;0,"Poor Sales")</f>
        <v>Poor Sales</v>
      </c>
    </row>
    <row r="256" spans="1:11" x14ac:dyDescent="0.3">
      <c r="A256" s="6">
        <v>255</v>
      </c>
      <c r="B256" s="7">
        <v>45247</v>
      </c>
      <c r="C256" s="8" t="s">
        <v>35</v>
      </c>
      <c r="D256" s="8" t="s">
        <v>36</v>
      </c>
      <c r="E256" s="8" t="s">
        <v>17</v>
      </c>
      <c r="F256" s="8" t="s">
        <v>31</v>
      </c>
      <c r="G256" s="8" t="s">
        <v>32</v>
      </c>
      <c r="H256" s="9">
        <v>49437.25</v>
      </c>
      <c r="I256" s="8">
        <v>8</v>
      </c>
      <c r="J256" s="10">
        <v>14199.96</v>
      </c>
      <c r="K256" s="14" t="str" cm="1">
        <f t="array" ref="K256">_xlfn.IFS(Table44[[#This Row],[Sales]]&gt;40000,"Best Sales",Table44[[#This Row],[Sales]]&gt;20000,"Average Sales",Table44[[#This Row],[Sales]]&gt;0,"Poor Sales")</f>
        <v>Best Sales</v>
      </c>
    </row>
    <row r="257" spans="1:11" x14ac:dyDescent="0.3">
      <c r="A257" s="11">
        <v>256</v>
      </c>
      <c r="B257" s="12">
        <v>45195</v>
      </c>
      <c r="C257" s="13" t="s">
        <v>35</v>
      </c>
      <c r="D257" s="13" t="s">
        <v>36</v>
      </c>
      <c r="E257" s="13" t="s">
        <v>12</v>
      </c>
      <c r="F257" s="13" t="s">
        <v>13</v>
      </c>
      <c r="G257" s="13" t="s">
        <v>21</v>
      </c>
      <c r="H257" s="14">
        <v>31032.49</v>
      </c>
      <c r="I257" s="13">
        <v>9</v>
      </c>
      <c r="J257" s="15">
        <v>7395</v>
      </c>
      <c r="K257" s="14" t="str" cm="1">
        <f t="array" ref="K257">_xlfn.IFS(Table44[[#This Row],[Sales]]&gt;40000,"Best Sales",Table44[[#This Row],[Sales]]&gt;20000,"Average Sales",Table44[[#This Row],[Sales]]&gt;0,"Poor Sales")</f>
        <v>Average Sales</v>
      </c>
    </row>
    <row r="258" spans="1:11" x14ac:dyDescent="0.3">
      <c r="A258" s="6">
        <v>257</v>
      </c>
      <c r="B258" s="7">
        <v>45158</v>
      </c>
      <c r="C258" s="8" t="s">
        <v>30</v>
      </c>
      <c r="D258" s="8" t="s">
        <v>16</v>
      </c>
      <c r="E258" s="8" t="s">
        <v>17</v>
      </c>
      <c r="F258" s="8" t="s">
        <v>24</v>
      </c>
      <c r="G258" s="8" t="s">
        <v>25</v>
      </c>
      <c r="H258" s="9">
        <v>27868.7</v>
      </c>
      <c r="I258" s="8">
        <v>2</v>
      </c>
      <c r="J258" s="10">
        <v>6973.6</v>
      </c>
      <c r="K258" s="14" t="str" cm="1">
        <f t="array" ref="K258">_xlfn.IFS(Table44[[#This Row],[Sales]]&gt;40000,"Best Sales",Table44[[#This Row],[Sales]]&gt;20000,"Average Sales",Table44[[#This Row],[Sales]]&gt;0,"Poor Sales")</f>
        <v>Average Sales</v>
      </c>
    </row>
    <row r="259" spans="1:11" x14ac:dyDescent="0.3">
      <c r="A259" s="11">
        <v>258</v>
      </c>
      <c r="B259" s="12">
        <v>45269</v>
      </c>
      <c r="C259" s="13" t="s">
        <v>10</v>
      </c>
      <c r="D259" s="13" t="s">
        <v>11</v>
      </c>
      <c r="E259" s="13" t="s">
        <v>20</v>
      </c>
      <c r="F259" s="13" t="s">
        <v>31</v>
      </c>
      <c r="G259" s="13" t="s">
        <v>39</v>
      </c>
      <c r="H259" s="14">
        <v>40634.300000000003</v>
      </c>
      <c r="I259" s="13">
        <v>10</v>
      </c>
      <c r="J259" s="15">
        <v>11614.53</v>
      </c>
      <c r="K259" s="14" t="str" cm="1">
        <f t="array" ref="K259">_xlfn.IFS(Table44[[#This Row],[Sales]]&gt;40000,"Best Sales",Table44[[#This Row],[Sales]]&gt;20000,"Average Sales",Table44[[#This Row],[Sales]]&gt;0,"Poor Sales")</f>
        <v>Best Sales</v>
      </c>
    </row>
    <row r="260" spans="1:11" x14ac:dyDescent="0.3">
      <c r="A260" s="6">
        <v>259</v>
      </c>
      <c r="B260" s="7">
        <v>45164</v>
      </c>
      <c r="C260" s="8" t="s">
        <v>26</v>
      </c>
      <c r="D260" s="8" t="s">
        <v>27</v>
      </c>
      <c r="E260" s="8" t="s">
        <v>20</v>
      </c>
      <c r="F260" s="8" t="s">
        <v>31</v>
      </c>
      <c r="G260" s="8" t="s">
        <v>32</v>
      </c>
      <c r="H260" s="9">
        <v>2252.35</v>
      </c>
      <c r="I260" s="8">
        <v>2</v>
      </c>
      <c r="J260" s="10">
        <v>469.57</v>
      </c>
      <c r="K260" s="14" t="str" cm="1">
        <f t="array" ref="K260">_xlfn.IFS(Table44[[#This Row],[Sales]]&gt;40000,"Best Sales",Table44[[#This Row],[Sales]]&gt;20000,"Average Sales",Table44[[#This Row],[Sales]]&gt;0,"Poor Sales")</f>
        <v>Poor Sales</v>
      </c>
    </row>
    <row r="261" spans="1:11" x14ac:dyDescent="0.3">
      <c r="A261" s="11">
        <v>260</v>
      </c>
      <c r="B261" s="12">
        <v>45289</v>
      </c>
      <c r="C261" s="13" t="s">
        <v>15</v>
      </c>
      <c r="D261" s="13" t="s">
        <v>16</v>
      </c>
      <c r="E261" s="13" t="s">
        <v>12</v>
      </c>
      <c r="F261" s="13" t="s">
        <v>24</v>
      </c>
      <c r="G261" s="13" t="s">
        <v>29</v>
      </c>
      <c r="H261" s="14">
        <v>24406.17</v>
      </c>
      <c r="I261" s="13">
        <v>2</v>
      </c>
      <c r="J261" s="15">
        <v>1809.18</v>
      </c>
      <c r="K261" s="14" t="str" cm="1">
        <f t="array" ref="K261">_xlfn.IFS(Table44[[#This Row],[Sales]]&gt;40000,"Best Sales",Table44[[#This Row],[Sales]]&gt;20000,"Average Sales",Table44[[#This Row],[Sales]]&gt;0,"Poor Sales")</f>
        <v>Average Sales</v>
      </c>
    </row>
    <row r="262" spans="1:11" x14ac:dyDescent="0.3">
      <c r="A262" s="6">
        <v>261</v>
      </c>
      <c r="B262" s="7">
        <v>45238</v>
      </c>
      <c r="C262" s="8" t="s">
        <v>22</v>
      </c>
      <c r="D262" s="8" t="s">
        <v>22</v>
      </c>
      <c r="E262" s="8" t="s">
        <v>17</v>
      </c>
      <c r="F262" s="8" t="s">
        <v>13</v>
      </c>
      <c r="G262" s="8" t="s">
        <v>34</v>
      </c>
      <c r="H262" s="9">
        <v>14529.22</v>
      </c>
      <c r="I262" s="8">
        <v>8</v>
      </c>
      <c r="J262" s="10">
        <v>3777.18</v>
      </c>
      <c r="K262" s="14" t="str" cm="1">
        <f t="array" ref="K262">_xlfn.IFS(Table44[[#This Row],[Sales]]&gt;40000,"Best Sales",Table44[[#This Row],[Sales]]&gt;20000,"Average Sales",Table44[[#This Row],[Sales]]&gt;0,"Poor Sales")</f>
        <v>Poor Sales</v>
      </c>
    </row>
    <row r="263" spans="1:11" x14ac:dyDescent="0.3">
      <c r="A263" s="11">
        <v>262</v>
      </c>
      <c r="B263" s="12">
        <v>45013</v>
      </c>
      <c r="C263" s="13" t="s">
        <v>37</v>
      </c>
      <c r="D263" s="13" t="s">
        <v>27</v>
      </c>
      <c r="E263" s="13" t="s">
        <v>12</v>
      </c>
      <c r="F263" s="13" t="s">
        <v>13</v>
      </c>
      <c r="G263" s="13" t="s">
        <v>14</v>
      </c>
      <c r="H263" s="14">
        <v>19364.93</v>
      </c>
      <c r="I263" s="13">
        <v>3</v>
      </c>
      <c r="J263" s="15">
        <v>5725.87</v>
      </c>
      <c r="K263" s="14" t="str" cm="1">
        <f t="array" ref="K263">_xlfn.IFS(Table44[[#This Row],[Sales]]&gt;40000,"Best Sales",Table44[[#This Row],[Sales]]&gt;20000,"Average Sales",Table44[[#This Row],[Sales]]&gt;0,"Poor Sales")</f>
        <v>Poor Sales</v>
      </c>
    </row>
    <row r="264" spans="1:11" x14ac:dyDescent="0.3">
      <c r="A264" s="6">
        <v>263</v>
      </c>
      <c r="B264" s="7">
        <v>45214</v>
      </c>
      <c r="C264" s="8" t="s">
        <v>30</v>
      </c>
      <c r="D264" s="8" t="s">
        <v>16</v>
      </c>
      <c r="E264" s="8" t="s">
        <v>17</v>
      </c>
      <c r="F264" s="8" t="s">
        <v>31</v>
      </c>
      <c r="G264" s="8" t="s">
        <v>32</v>
      </c>
      <c r="H264" s="9">
        <v>39741.019999999997</v>
      </c>
      <c r="I264" s="8">
        <v>6</v>
      </c>
      <c r="J264" s="10">
        <v>11691.37</v>
      </c>
      <c r="K264" s="14" t="str" cm="1">
        <f t="array" ref="K264">_xlfn.IFS(Table44[[#This Row],[Sales]]&gt;40000,"Best Sales",Table44[[#This Row],[Sales]]&gt;20000,"Average Sales",Table44[[#This Row],[Sales]]&gt;0,"Poor Sales")</f>
        <v>Average Sales</v>
      </c>
    </row>
    <row r="265" spans="1:11" x14ac:dyDescent="0.3">
      <c r="A265" s="11">
        <v>264</v>
      </c>
      <c r="B265" s="12">
        <v>45114</v>
      </c>
      <c r="C265" s="13" t="s">
        <v>22</v>
      </c>
      <c r="D265" s="13" t="s">
        <v>22</v>
      </c>
      <c r="E265" s="13" t="s">
        <v>20</v>
      </c>
      <c r="F265" s="13" t="s">
        <v>24</v>
      </c>
      <c r="G265" s="13" t="s">
        <v>29</v>
      </c>
      <c r="H265" s="14">
        <v>28526.5</v>
      </c>
      <c r="I265" s="13">
        <v>9</v>
      </c>
      <c r="J265" s="15">
        <v>2168.42</v>
      </c>
      <c r="K265" s="14" t="str" cm="1">
        <f t="array" ref="K265">_xlfn.IFS(Table44[[#This Row],[Sales]]&gt;40000,"Best Sales",Table44[[#This Row],[Sales]]&gt;20000,"Average Sales",Table44[[#This Row],[Sales]]&gt;0,"Poor Sales")</f>
        <v>Average Sales</v>
      </c>
    </row>
    <row r="266" spans="1:11" x14ac:dyDescent="0.3">
      <c r="A266" s="6">
        <v>265</v>
      </c>
      <c r="B266" s="7">
        <v>45156</v>
      </c>
      <c r="C266" s="8" t="s">
        <v>26</v>
      </c>
      <c r="D266" s="8" t="s">
        <v>27</v>
      </c>
      <c r="E266" s="8" t="s">
        <v>20</v>
      </c>
      <c r="F266" s="8" t="s">
        <v>24</v>
      </c>
      <c r="G266" s="8" t="s">
        <v>28</v>
      </c>
      <c r="H266" s="9">
        <v>23711.97</v>
      </c>
      <c r="I266" s="8">
        <v>10</v>
      </c>
      <c r="J266" s="10">
        <v>3673.28</v>
      </c>
      <c r="K266" s="14" t="str" cm="1">
        <f t="array" ref="K266">_xlfn.IFS(Table44[[#This Row],[Sales]]&gt;40000,"Best Sales",Table44[[#This Row],[Sales]]&gt;20000,"Average Sales",Table44[[#This Row],[Sales]]&gt;0,"Poor Sales")</f>
        <v>Average Sales</v>
      </c>
    </row>
    <row r="267" spans="1:11" x14ac:dyDescent="0.3">
      <c r="A267" s="11">
        <v>266</v>
      </c>
      <c r="B267" s="12">
        <v>45127</v>
      </c>
      <c r="C267" s="13" t="s">
        <v>26</v>
      </c>
      <c r="D267" s="13" t="s">
        <v>27</v>
      </c>
      <c r="E267" s="13" t="s">
        <v>12</v>
      </c>
      <c r="F267" s="13" t="s">
        <v>31</v>
      </c>
      <c r="G267" s="13" t="s">
        <v>39</v>
      </c>
      <c r="H267" s="14">
        <v>28029.09</v>
      </c>
      <c r="I267" s="13">
        <v>2</v>
      </c>
      <c r="J267" s="15">
        <v>5086.72</v>
      </c>
      <c r="K267" s="14" t="str" cm="1">
        <f t="array" ref="K267">_xlfn.IFS(Table44[[#This Row],[Sales]]&gt;40000,"Best Sales",Table44[[#This Row],[Sales]]&gt;20000,"Average Sales",Table44[[#This Row],[Sales]]&gt;0,"Poor Sales")</f>
        <v>Average Sales</v>
      </c>
    </row>
    <row r="268" spans="1:11" x14ac:dyDescent="0.3">
      <c r="A268" s="6">
        <v>267</v>
      </c>
      <c r="B268" s="7">
        <v>45268</v>
      </c>
      <c r="C268" s="8" t="s">
        <v>37</v>
      </c>
      <c r="D268" s="8" t="s">
        <v>27</v>
      </c>
      <c r="E268" s="8" t="s">
        <v>17</v>
      </c>
      <c r="F268" s="8" t="s">
        <v>31</v>
      </c>
      <c r="G268" s="8" t="s">
        <v>39</v>
      </c>
      <c r="H268" s="9">
        <v>5734.42</v>
      </c>
      <c r="I268" s="8">
        <v>4</v>
      </c>
      <c r="J268" s="10">
        <v>1489.22</v>
      </c>
      <c r="K268" s="14" t="str" cm="1">
        <f t="array" ref="K268">_xlfn.IFS(Table44[[#This Row],[Sales]]&gt;40000,"Best Sales",Table44[[#This Row],[Sales]]&gt;20000,"Average Sales",Table44[[#This Row],[Sales]]&gt;0,"Poor Sales")</f>
        <v>Poor Sales</v>
      </c>
    </row>
    <row r="269" spans="1:11" x14ac:dyDescent="0.3">
      <c r="A269" s="11">
        <v>268</v>
      </c>
      <c r="B269" s="12">
        <v>45136</v>
      </c>
      <c r="C269" s="13" t="s">
        <v>30</v>
      </c>
      <c r="D269" s="13" t="s">
        <v>16</v>
      </c>
      <c r="E269" s="13" t="s">
        <v>12</v>
      </c>
      <c r="F269" s="13" t="s">
        <v>31</v>
      </c>
      <c r="G269" s="13" t="s">
        <v>32</v>
      </c>
      <c r="H269" s="14">
        <v>39653.46</v>
      </c>
      <c r="I269" s="13">
        <v>5</v>
      </c>
      <c r="J269" s="15">
        <v>11436.72</v>
      </c>
      <c r="K269" s="14" t="str" cm="1">
        <f t="array" ref="K269">_xlfn.IFS(Table44[[#This Row],[Sales]]&gt;40000,"Best Sales",Table44[[#This Row],[Sales]]&gt;20000,"Average Sales",Table44[[#This Row],[Sales]]&gt;0,"Poor Sales")</f>
        <v>Average Sales</v>
      </c>
    </row>
    <row r="270" spans="1:11" x14ac:dyDescent="0.3">
      <c r="A270" s="6">
        <v>269</v>
      </c>
      <c r="B270" s="7">
        <v>45100</v>
      </c>
      <c r="C270" s="8" t="s">
        <v>30</v>
      </c>
      <c r="D270" s="8" t="s">
        <v>16</v>
      </c>
      <c r="E270" s="8" t="s">
        <v>17</v>
      </c>
      <c r="F270" s="8" t="s">
        <v>24</v>
      </c>
      <c r="G270" s="8" t="s">
        <v>28</v>
      </c>
      <c r="H270" s="9">
        <v>31139.39</v>
      </c>
      <c r="I270" s="8">
        <v>5</v>
      </c>
      <c r="J270" s="10">
        <v>5027.6499999999996</v>
      </c>
      <c r="K270" s="14" t="str" cm="1">
        <f t="array" ref="K270">_xlfn.IFS(Table44[[#This Row],[Sales]]&gt;40000,"Best Sales",Table44[[#This Row],[Sales]]&gt;20000,"Average Sales",Table44[[#This Row],[Sales]]&gt;0,"Poor Sales")</f>
        <v>Average Sales</v>
      </c>
    </row>
    <row r="271" spans="1:11" x14ac:dyDescent="0.3">
      <c r="A271" s="11">
        <v>270</v>
      </c>
      <c r="B271" s="12">
        <v>44981</v>
      </c>
      <c r="C271" s="13" t="s">
        <v>30</v>
      </c>
      <c r="D271" s="13" t="s">
        <v>16</v>
      </c>
      <c r="E271" s="13" t="s">
        <v>20</v>
      </c>
      <c r="F271" s="13" t="s">
        <v>24</v>
      </c>
      <c r="G271" s="13" t="s">
        <v>28</v>
      </c>
      <c r="H271" s="14">
        <v>22141.33</v>
      </c>
      <c r="I271" s="13">
        <v>7</v>
      </c>
      <c r="J271" s="15">
        <v>4473.1400000000003</v>
      </c>
      <c r="K271" s="14" t="str" cm="1">
        <f t="array" ref="K271">_xlfn.IFS(Table44[[#This Row],[Sales]]&gt;40000,"Best Sales",Table44[[#This Row],[Sales]]&gt;20000,"Average Sales",Table44[[#This Row],[Sales]]&gt;0,"Poor Sales")</f>
        <v>Average Sales</v>
      </c>
    </row>
    <row r="272" spans="1:11" x14ac:dyDescent="0.3">
      <c r="A272" s="6">
        <v>271</v>
      </c>
      <c r="B272" s="7">
        <v>45238</v>
      </c>
      <c r="C272" s="8" t="s">
        <v>15</v>
      </c>
      <c r="D272" s="8" t="s">
        <v>16</v>
      </c>
      <c r="E272" s="8" t="s">
        <v>20</v>
      </c>
      <c r="F272" s="8" t="s">
        <v>13</v>
      </c>
      <c r="G272" s="8" t="s">
        <v>34</v>
      </c>
      <c r="H272" s="9">
        <v>44279.01</v>
      </c>
      <c r="I272" s="8">
        <v>7</v>
      </c>
      <c r="J272" s="10">
        <v>6441.93</v>
      </c>
      <c r="K272" s="14" t="str" cm="1">
        <f t="array" ref="K272">_xlfn.IFS(Table44[[#This Row],[Sales]]&gt;40000,"Best Sales",Table44[[#This Row],[Sales]]&gt;20000,"Average Sales",Table44[[#This Row],[Sales]]&gt;0,"Poor Sales")</f>
        <v>Best Sales</v>
      </c>
    </row>
    <row r="273" spans="1:11" x14ac:dyDescent="0.3">
      <c r="A273" s="11">
        <v>272</v>
      </c>
      <c r="B273" s="12">
        <v>44927</v>
      </c>
      <c r="C273" s="13" t="s">
        <v>35</v>
      </c>
      <c r="D273" s="13" t="s">
        <v>36</v>
      </c>
      <c r="E273" s="13" t="s">
        <v>12</v>
      </c>
      <c r="F273" s="13" t="s">
        <v>24</v>
      </c>
      <c r="G273" s="13" t="s">
        <v>25</v>
      </c>
      <c r="H273" s="14">
        <v>34850.58</v>
      </c>
      <c r="I273" s="13">
        <v>6</v>
      </c>
      <c r="J273" s="15">
        <v>7187.87</v>
      </c>
      <c r="K273" s="14" t="str" cm="1">
        <f t="array" ref="K273">_xlfn.IFS(Table44[[#This Row],[Sales]]&gt;40000,"Best Sales",Table44[[#This Row],[Sales]]&gt;20000,"Average Sales",Table44[[#This Row],[Sales]]&gt;0,"Poor Sales")</f>
        <v>Average Sales</v>
      </c>
    </row>
    <row r="274" spans="1:11" x14ac:dyDescent="0.3">
      <c r="A274" s="6">
        <v>273</v>
      </c>
      <c r="B274" s="7">
        <v>45155</v>
      </c>
      <c r="C274" s="8" t="s">
        <v>22</v>
      </c>
      <c r="D274" s="8" t="s">
        <v>22</v>
      </c>
      <c r="E274" s="8" t="s">
        <v>17</v>
      </c>
      <c r="F274" s="8" t="s">
        <v>31</v>
      </c>
      <c r="G274" s="8" t="s">
        <v>33</v>
      </c>
      <c r="H274" s="9">
        <v>5858.59</v>
      </c>
      <c r="I274" s="8">
        <v>3</v>
      </c>
      <c r="J274" s="10">
        <v>796.7</v>
      </c>
      <c r="K274" s="14" t="str" cm="1">
        <f t="array" ref="K274">_xlfn.IFS(Table44[[#This Row],[Sales]]&gt;40000,"Best Sales",Table44[[#This Row],[Sales]]&gt;20000,"Average Sales",Table44[[#This Row],[Sales]]&gt;0,"Poor Sales")</f>
        <v>Poor Sales</v>
      </c>
    </row>
    <row r="275" spans="1:11" x14ac:dyDescent="0.3">
      <c r="A275" s="11">
        <v>274</v>
      </c>
      <c r="B275" s="12">
        <v>45162</v>
      </c>
      <c r="C275" s="13" t="s">
        <v>38</v>
      </c>
      <c r="D275" s="13" t="s">
        <v>27</v>
      </c>
      <c r="E275" s="13" t="s">
        <v>12</v>
      </c>
      <c r="F275" s="13" t="s">
        <v>31</v>
      </c>
      <c r="G275" s="13" t="s">
        <v>39</v>
      </c>
      <c r="H275" s="14">
        <v>48376.78</v>
      </c>
      <c r="I275" s="13">
        <v>2</v>
      </c>
      <c r="J275" s="15">
        <v>6380.96</v>
      </c>
      <c r="K275" s="14" t="str" cm="1">
        <f t="array" ref="K275">_xlfn.IFS(Table44[[#This Row],[Sales]]&gt;40000,"Best Sales",Table44[[#This Row],[Sales]]&gt;20000,"Average Sales",Table44[[#This Row],[Sales]]&gt;0,"Poor Sales")</f>
        <v>Best Sales</v>
      </c>
    </row>
    <row r="276" spans="1:11" x14ac:dyDescent="0.3">
      <c r="A276" s="6">
        <v>275</v>
      </c>
      <c r="B276" s="7">
        <v>45003</v>
      </c>
      <c r="C276" s="8" t="s">
        <v>37</v>
      </c>
      <c r="D276" s="8" t="s">
        <v>27</v>
      </c>
      <c r="E276" s="8" t="s">
        <v>17</v>
      </c>
      <c r="F276" s="8" t="s">
        <v>31</v>
      </c>
      <c r="G276" s="8" t="s">
        <v>39</v>
      </c>
      <c r="H276" s="9">
        <v>45474.51</v>
      </c>
      <c r="I276" s="8">
        <v>5</v>
      </c>
      <c r="J276" s="10">
        <v>10209.879999999999</v>
      </c>
      <c r="K276" s="14" t="str" cm="1">
        <f t="array" ref="K276">_xlfn.IFS(Table44[[#This Row],[Sales]]&gt;40000,"Best Sales",Table44[[#This Row],[Sales]]&gt;20000,"Average Sales",Table44[[#This Row],[Sales]]&gt;0,"Poor Sales")</f>
        <v>Best Sales</v>
      </c>
    </row>
    <row r="277" spans="1:11" x14ac:dyDescent="0.3">
      <c r="A277" s="11">
        <v>276</v>
      </c>
      <c r="B277" s="12">
        <v>45184</v>
      </c>
      <c r="C277" s="13" t="s">
        <v>38</v>
      </c>
      <c r="D277" s="13" t="s">
        <v>27</v>
      </c>
      <c r="E277" s="13" t="s">
        <v>20</v>
      </c>
      <c r="F277" s="13" t="s">
        <v>31</v>
      </c>
      <c r="G277" s="13" t="s">
        <v>32</v>
      </c>
      <c r="H277" s="14">
        <v>38210.57</v>
      </c>
      <c r="I277" s="13">
        <v>1</v>
      </c>
      <c r="J277" s="15">
        <v>8172.28</v>
      </c>
      <c r="K277" s="14" t="str" cm="1">
        <f t="array" ref="K277">_xlfn.IFS(Table44[[#This Row],[Sales]]&gt;40000,"Best Sales",Table44[[#This Row],[Sales]]&gt;20000,"Average Sales",Table44[[#This Row],[Sales]]&gt;0,"Poor Sales")</f>
        <v>Average Sales</v>
      </c>
    </row>
    <row r="278" spans="1:11" x14ac:dyDescent="0.3">
      <c r="A278" s="6">
        <v>277</v>
      </c>
      <c r="B278" s="7">
        <v>45064</v>
      </c>
      <c r="C278" s="8" t="s">
        <v>35</v>
      </c>
      <c r="D278" s="8" t="s">
        <v>36</v>
      </c>
      <c r="E278" s="8" t="s">
        <v>20</v>
      </c>
      <c r="F278" s="8" t="s">
        <v>24</v>
      </c>
      <c r="G278" s="8" t="s">
        <v>28</v>
      </c>
      <c r="H278" s="9">
        <v>2743.4</v>
      </c>
      <c r="I278" s="8">
        <v>2</v>
      </c>
      <c r="J278" s="10">
        <v>324.44</v>
      </c>
      <c r="K278" s="14" t="str" cm="1">
        <f t="array" ref="K278">_xlfn.IFS(Table44[[#This Row],[Sales]]&gt;40000,"Best Sales",Table44[[#This Row],[Sales]]&gt;20000,"Average Sales",Table44[[#This Row],[Sales]]&gt;0,"Poor Sales")</f>
        <v>Poor Sales</v>
      </c>
    </row>
    <row r="279" spans="1:11" x14ac:dyDescent="0.3">
      <c r="A279" s="11">
        <v>278</v>
      </c>
      <c r="B279" s="12">
        <v>45010</v>
      </c>
      <c r="C279" s="13" t="s">
        <v>15</v>
      </c>
      <c r="D279" s="13" t="s">
        <v>16</v>
      </c>
      <c r="E279" s="13" t="s">
        <v>12</v>
      </c>
      <c r="F279" s="13" t="s">
        <v>31</v>
      </c>
      <c r="G279" s="13" t="s">
        <v>32</v>
      </c>
      <c r="H279" s="14">
        <v>17723.98</v>
      </c>
      <c r="I279" s="13">
        <v>3</v>
      </c>
      <c r="J279" s="15">
        <v>3188.41</v>
      </c>
      <c r="K279" s="14" t="str" cm="1">
        <f t="array" ref="K279">_xlfn.IFS(Table44[[#This Row],[Sales]]&gt;40000,"Best Sales",Table44[[#This Row],[Sales]]&gt;20000,"Average Sales",Table44[[#This Row],[Sales]]&gt;0,"Poor Sales")</f>
        <v>Poor Sales</v>
      </c>
    </row>
    <row r="280" spans="1:11" x14ac:dyDescent="0.3">
      <c r="A280" s="6">
        <v>279</v>
      </c>
      <c r="B280" s="7">
        <v>44973</v>
      </c>
      <c r="C280" s="8" t="s">
        <v>15</v>
      </c>
      <c r="D280" s="8" t="s">
        <v>16</v>
      </c>
      <c r="E280" s="8" t="s">
        <v>17</v>
      </c>
      <c r="F280" s="8" t="s">
        <v>13</v>
      </c>
      <c r="G280" s="8" t="s">
        <v>21</v>
      </c>
      <c r="H280" s="9">
        <v>37126.15</v>
      </c>
      <c r="I280" s="8">
        <v>7</v>
      </c>
      <c r="J280" s="10">
        <v>7778.08</v>
      </c>
      <c r="K280" s="14" t="str" cm="1">
        <f t="array" ref="K280">_xlfn.IFS(Table44[[#This Row],[Sales]]&gt;40000,"Best Sales",Table44[[#This Row],[Sales]]&gt;20000,"Average Sales",Table44[[#This Row],[Sales]]&gt;0,"Poor Sales")</f>
        <v>Average Sales</v>
      </c>
    </row>
    <row r="281" spans="1:11" x14ac:dyDescent="0.3">
      <c r="A281" s="11">
        <v>280</v>
      </c>
      <c r="B281" s="12">
        <v>45043</v>
      </c>
      <c r="C281" s="13" t="s">
        <v>10</v>
      </c>
      <c r="D281" s="13" t="s">
        <v>11</v>
      </c>
      <c r="E281" s="13" t="s">
        <v>12</v>
      </c>
      <c r="F281" s="13" t="s">
        <v>13</v>
      </c>
      <c r="G281" s="13" t="s">
        <v>14</v>
      </c>
      <c r="H281" s="14">
        <v>33645.160000000003</v>
      </c>
      <c r="I281" s="13">
        <v>9</v>
      </c>
      <c r="J281" s="15">
        <v>3910.56</v>
      </c>
      <c r="K281" s="14" t="str" cm="1">
        <f t="array" ref="K281">_xlfn.IFS(Table44[[#This Row],[Sales]]&gt;40000,"Best Sales",Table44[[#This Row],[Sales]]&gt;20000,"Average Sales",Table44[[#This Row],[Sales]]&gt;0,"Poor Sales")</f>
        <v>Average Sales</v>
      </c>
    </row>
    <row r="282" spans="1:11" x14ac:dyDescent="0.3">
      <c r="A282" s="6">
        <v>281</v>
      </c>
      <c r="B282" s="7">
        <v>44956</v>
      </c>
      <c r="C282" s="8" t="s">
        <v>35</v>
      </c>
      <c r="D282" s="8" t="s">
        <v>36</v>
      </c>
      <c r="E282" s="8" t="s">
        <v>17</v>
      </c>
      <c r="F282" s="8" t="s">
        <v>24</v>
      </c>
      <c r="G282" s="8" t="s">
        <v>25</v>
      </c>
      <c r="H282" s="9">
        <v>16719.09</v>
      </c>
      <c r="I282" s="8">
        <v>4</v>
      </c>
      <c r="J282" s="10">
        <v>1211.3699999999999</v>
      </c>
      <c r="K282" s="14" t="str" cm="1">
        <f t="array" ref="K282">_xlfn.IFS(Table44[[#This Row],[Sales]]&gt;40000,"Best Sales",Table44[[#This Row],[Sales]]&gt;20000,"Average Sales",Table44[[#This Row],[Sales]]&gt;0,"Poor Sales")</f>
        <v>Poor Sales</v>
      </c>
    </row>
    <row r="283" spans="1:11" x14ac:dyDescent="0.3">
      <c r="A283" s="11">
        <v>282</v>
      </c>
      <c r="B283" s="12">
        <v>45046</v>
      </c>
      <c r="C283" s="13" t="s">
        <v>10</v>
      </c>
      <c r="D283" s="13" t="s">
        <v>11</v>
      </c>
      <c r="E283" s="13" t="s">
        <v>20</v>
      </c>
      <c r="F283" s="13" t="s">
        <v>31</v>
      </c>
      <c r="G283" s="13" t="s">
        <v>32</v>
      </c>
      <c r="H283" s="14">
        <v>25813.7</v>
      </c>
      <c r="I283" s="13">
        <v>4</v>
      </c>
      <c r="J283" s="15">
        <v>5481.41</v>
      </c>
      <c r="K283" s="14" t="str" cm="1">
        <f t="array" ref="K283">_xlfn.IFS(Table44[[#This Row],[Sales]]&gt;40000,"Best Sales",Table44[[#This Row],[Sales]]&gt;20000,"Average Sales",Table44[[#This Row],[Sales]]&gt;0,"Poor Sales")</f>
        <v>Average Sales</v>
      </c>
    </row>
    <row r="284" spans="1:11" x14ac:dyDescent="0.3">
      <c r="A284" s="6">
        <v>283</v>
      </c>
      <c r="B284" s="7">
        <v>45087</v>
      </c>
      <c r="C284" s="8" t="s">
        <v>37</v>
      </c>
      <c r="D284" s="8" t="s">
        <v>27</v>
      </c>
      <c r="E284" s="8" t="s">
        <v>20</v>
      </c>
      <c r="F284" s="8" t="s">
        <v>13</v>
      </c>
      <c r="G284" s="8" t="s">
        <v>21</v>
      </c>
      <c r="H284" s="9">
        <v>4086.81</v>
      </c>
      <c r="I284" s="8">
        <v>4</v>
      </c>
      <c r="J284" s="10">
        <v>760.68</v>
      </c>
      <c r="K284" s="14" t="str" cm="1">
        <f t="array" ref="K284">_xlfn.IFS(Table44[[#This Row],[Sales]]&gt;40000,"Best Sales",Table44[[#This Row],[Sales]]&gt;20000,"Average Sales",Table44[[#This Row],[Sales]]&gt;0,"Poor Sales")</f>
        <v>Poor Sales</v>
      </c>
    </row>
    <row r="285" spans="1:11" x14ac:dyDescent="0.3">
      <c r="A285" s="11">
        <v>284</v>
      </c>
      <c r="B285" s="12">
        <v>45145</v>
      </c>
      <c r="C285" s="13" t="s">
        <v>38</v>
      </c>
      <c r="D285" s="13" t="s">
        <v>27</v>
      </c>
      <c r="E285" s="13" t="s">
        <v>12</v>
      </c>
      <c r="F285" s="13" t="s">
        <v>13</v>
      </c>
      <c r="G285" s="13" t="s">
        <v>21</v>
      </c>
      <c r="H285" s="14">
        <v>18521.38</v>
      </c>
      <c r="I285" s="13">
        <v>1</v>
      </c>
      <c r="J285" s="15">
        <v>1946.16</v>
      </c>
      <c r="K285" s="14" t="str" cm="1">
        <f t="array" ref="K285">_xlfn.IFS(Table44[[#This Row],[Sales]]&gt;40000,"Best Sales",Table44[[#This Row],[Sales]]&gt;20000,"Average Sales",Table44[[#This Row],[Sales]]&gt;0,"Poor Sales")</f>
        <v>Poor Sales</v>
      </c>
    </row>
    <row r="286" spans="1:11" x14ac:dyDescent="0.3">
      <c r="A286" s="6">
        <v>285</v>
      </c>
      <c r="B286" s="7">
        <v>45165</v>
      </c>
      <c r="C286" s="8" t="s">
        <v>37</v>
      </c>
      <c r="D286" s="8" t="s">
        <v>27</v>
      </c>
      <c r="E286" s="8" t="s">
        <v>17</v>
      </c>
      <c r="F286" s="8" t="s">
        <v>24</v>
      </c>
      <c r="G286" s="8" t="s">
        <v>29</v>
      </c>
      <c r="H286" s="9">
        <v>35464.68</v>
      </c>
      <c r="I286" s="8">
        <v>3</v>
      </c>
      <c r="J286" s="10">
        <v>4946.6099999999997</v>
      </c>
      <c r="K286" s="14" t="str" cm="1">
        <f t="array" ref="K286">_xlfn.IFS(Table44[[#This Row],[Sales]]&gt;40000,"Best Sales",Table44[[#This Row],[Sales]]&gt;20000,"Average Sales",Table44[[#This Row],[Sales]]&gt;0,"Poor Sales")</f>
        <v>Average Sales</v>
      </c>
    </row>
    <row r="287" spans="1:11" x14ac:dyDescent="0.3">
      <c r="A287" s="11">
        <v>286</v>
      </c>
      <c r="B287" s="12">
        <v>45228</v>
      </c>
      <c r="C287" s="13" t="s">
        <v>35</v>
      </c>
      <c r="D287" s="13" t="s">
        <v>36</v>
      </c>
      <c r="E287" s="13" t="s">
        <v>12</v>
      </c>
      <c r="F287" s="13" t="s">
        <v>13</v>
      </c>
      <c r="G287" s="13" t="s">
        <v>34</v>
      </c>
      <c r="H287" s="14">
        <v>49796.639999999999</v>
      </c>
      <c r="I287" s="13">
        <v>9</v>
      </c>
      <c r="J287" s="15">
        <v>11826.36</v>
      </c>
      <c r="K287" s="14" t="str" cm="1">
        <f t="array" ref="K287">_xlfn.IFS(Table44[[#This Row],[Sales]]&gt;40000,"Best Sales",Table44[[#This Row],[Sales]]&gt;20000,"Average Sales",Table44[[#This Row],[Sales]]&gt;0,"Poor Sales")</f>
        <v>Best Sales</v>
      </c>
    </row>
    <row r="288" spans="1:11" x14ac:dyDescent="0.3">
      <c r="A288" s="6">
        <v>287</v>
      </c>
      <c r="B288" s="7">
        <v>45075</v>
      </c>
      <c r="C288" s="8" t="s">
        <v>26</v>
      </c>
      <c r="D288" s="8" t="s">
        <v>27</v>
      </c>
      <c r="E288" s="8" t="s">
        <v>17</v>
      </c>
      <c r="F288" s="8" t="s">
        <v>24</v>
      </c>
      <c r="G288" s="8" t="s">
        <v>25</v>
      </c>
      <c r="H288" s="9">
        <v>6484.96</v>
      </c>
      <c r="I288" s="8">
        <v>3</v>
      </c>
      <c r="J288" s="10">
        <v>1208.78</v>
      </c>
      <c r="K288" s="14" t="str" cm="1">
        <f t="array" ref="K288">_xlfn.IFS(Table44[[#This Row],[Sales]]&gt;40000,"Best Sales",Table44[[#This Row],[Sales]]&gt;20000,"Average Sales",Table44[[#This Row],[Sales]]&gt;0,"Poor Sales")</f>
        <v>Poor Sales</v>
      </c>
    </row>
    <row r="289" spans="1:11" x14ac:dyDescent="0.3">
      <c r="A289" s="11">
        <v>288</v>
      </c>
      <c r="B289" s="12">
        <v>45197</v>
      </c>
      <c r="C289" s="13" t="s">
        <v>35</v>
      </c>
      <c r="D289" s="13" t="s">
        <v>36</v>
      </c>
      <c r="E289" s="13" t="s">
        <v>20</v>
      </c>
      <c r="F289" s="13" t="s">
        <v>13</v>
      </c>
      <c r="G289" s="13" t="s">
        <v>21</v>
      </c>
      <c r="H289" s="14">
        <v>33163.33</v>
      </c>
      <c r="I289" s="13">
        <v>10</v>
      </c>
      <c r="J289" s="15">
        <v>7488.7</v>
      </c>
      <c r="K289" s="14" t="str" cm="1">
        <f t="array" ref="K289">_xlfn.IFS(Table44[[#This Row],[Sales]]&gt;40000,"Best Sales",Table44[[#This Row],[Sales]]&gt;20000,"Average Sales",Table44[[#This Row],[Sales]]&gt;0,"Poor Sales")</f>
        <v>Average Sales</v>
      </c>
    </row>
    <row r="290" spans="1:11" x14ac:dyDescent="0.3">
      <c r="A290" s="6">
        <v>289</v>
      </c>
      <c r="B290" s="7">
        <v>44994</v>
      </c>
      <c r="C290" s="8" t="s">
        <v>10</v>
      </c>
      <c r="D290" s="8" t="s">
        <v>11</v>
      </c>
      <c r="E290" s="8" t="s">
        <v>20</v>
      </c>
      <c r="F290" s="8" t="s">
        <v>31</v>
      </c>
      <c r="G290" s="8" t="s">
        <v>39</v>
      </c>
      <c r="H290" s="9">
        <v>13149.05</v>
      </c>
      <c r="I290" s="8">
        <v>7</v>
      </c>
      <c r="J290" s="10">
        <v>3576.49</v>
      </c>
      <c r="K290" s="14" t="str" cm="1">
        <f t="array" ref="K290">_xlfn.IFS(Table44[[#This Row],[Sales]]&gt;40000,"Best Sales",Table44[[#This Row],[Sales]]&gt;20000,"Average Sales",Table44[[#This Row],[Sales]]&gt;0,"Poor Sales")</f>
        <v>Poor Sales</v>
      </c>
    </row>
    <row r="291" spans="1:11" x14ac:dyDescent="0.3">
      <c r="A291" s="11">
        <v>290</v>
      </c>
      <c r="B291" s="12">
        <v>44958</v>
      </c>
      <c r="C291" s="13" t="s">
        <v>22</v>
      </c>
      <c r="D291" s="13" t="s">
        <v>22</v>
      </c>
      <c r="E291" s="13" t="s">
        <v>12</v>
      </c>
      <c r="F291" s="13" t="s">
        <v>31</v>
      </c>
      <c r="G291" s="13" t="s">
        <v>32</v>
      </c>
      <c r="H291" s="14">
        <v>34621.160000000003</v>
      </c>
      <c r="I291" s="13">
        <v>3</v>
      </c>
      <c r="J291" s="15">
        <v>7130.72</v>
      </c>
      <c r="K291" s="14" t="str" cm="1">
        <f t="array" ref="K291">_xlfn.IFS(Table44[[#This Row],[Sales]]&gt;40000,"Best Sales",Table44[[#This Row],[Sales]]&gt;20000,"Average Sales",Table44[[#This Row],[Sales]]&gt;0,"Poor Sales")</f>
        <v>Average Sales</v>
      </c>
    </row>
    <row r="292" spans="1:11" x14ac:dyDescent="0.3">
      <c r="A292" s="6">
        <v>291</v>
      </c>
      <c r="B292" s="7">
        <v>45221</v>
      </c>
      <c r="C292" s="8" t="s">
        <v>10</v>
      </c>
      <c r="D292" s="8" t="s">
        <v>11</v>
      </c>
      <c r="E292" s="8" t="s">
        <v>17</v>
      </c>
      <c r="F292" s="8" t="s">
        <v>24</v>
      </c>
      <c r="G292" s="8" t="s">
        <v>29</v>
      </c>
      <c r="H292" s="9">
        <v>11966.24</v>
      </c>
      <c r="I292" s="8">
        <v>5</v>
      </c>
      <c r="J292" s="10">
        <v>2420.86</v>
      </c>
      <c r="K292" s="14" t="str" cm="1">
        <f t="array" ref="K292">_xlfn.IFS(Table44[[#This Row],[Sales]]&gt;40000,"Best Sales",Table44[[#This Row],[Sales]]&gt;20000,"Average Sales",Table44[[#This Row],[Sales]]&gt;0,"Poor Sales")</f>
        <v>Poor Sales</v>
      </c>
    </row>
    <row r="293" spans="1:11" x14ac:dyDescent="0.3">
      <c r="A293" s="11">
        <v>292</v>
      </c>
      <c r="B293" s="12">
        <v>44960</v>
      </c>
      <c r="C293" s="13" t="s">
        <v>37</v>
      </c>
      <c r="D293" s="13" t="s">
        <v>27</v>
      </c>
      <c r="E293" s="13" t="s">
        <v>12</v>
      </c>
      <c r="F293" s="13" t="s">
        <v>13</v>
      </c>
      <c r="G293" s="13" t="s">
        <v>34</v>
      </c>
      <c r="H293" s="14">
        <v>20790.45</v>
      </c>
      <c r="I293" s="13">
        <v>10</v>
      </c>
      <c r="J293" s="15">
        <v>2754</v>
      </c>
      <c r="K293" s="14" t="str" cm="1">
        <f t="array" ref="K293">_xlfn.IFS(Table44[[#This Row],[Sales]]&gt;40000,"Best Sales",Table44[[#This Row],[Sales]]&gt;20000,"Average Sales",Table44[[#This Row],[Sales]]&gt;0,"Poor Sales")</f>
        <v>Average Sales</v>
      </c>
    </row>
    <row r="294" spans="1:11" x14ac:dyDescent="0.3">
      <c r="A294" s="6">
        <v>293</v>
      </c>
      <c r="B294" s="7">
        <v>44982</v>
      </c>
      <c r="C294" s="8" t="s">
        <v>22</v>
      </c>
      <c r="D294" s="8" t="s">
        <v>22</v>
      </c>
      <c r="E294" s="8" t="s">
        <v>17</v>
      </c>
      <c r="F294" s="8" t="s">
        <v>13</v>
      </c>
      <c r="G294" s="8" t="s">
        <v>34</v>
      </c>
      <c r="H294" s="9">
        <v>20312.77</v>
      </c>
      <c r="I294" s="8">
        <v>5</v>
      </c>
      <c r="J294" s="10">
        <v>5618.1</v>
      </c>
      <c r="K294" s="14" t="str" cm="1">
        <f t="array" ref="K294">_xlfn.IFS(Table44[[#This Row],[Sales]]&gt;40000,"Best Sales",Table44[[#This Row],[Sales]]&gt;20000,"Average Sales",Table44[[#This Row],[Sales]]&gt;0,"Poor Sales")</f>
        <v>Average Sales</v>
      </c>
    </row>
    <row r="295" spans="1:11" x14ac:dyDescent="0.3">
      <c r="A295" s="11">
        <v>294</v>
      </c>
      <c r="B295" s="12">
        <v>44982</v>
      </c>
      <c r="C295" s="13" t="s">
        <v>15</v>
      </c>
      <c r="D295" s="13" t="s">
        <v>16</v>
      </c>
      <c r="E295" s="13" t="s">
        <v>20</v>
      </c>
      <c r="F295" s="13" t="s">
        <v>24</v>
      </c>
      <c r="G295" s="13" t="s">
        <v>25</v>
      </c>
      <c r="H295" s="14">
        <v>39381.9</v>
      </c>
      <c r="I295" s="13">
        <v>10</v>
      </c>
      <c r="J295" s="15">
        <v>7457.7</v>
      </c>
      <c r="K295" s="14" t="str" cm="1">
        <f t="array" ref="K295">_xlfn.IFS(Table44[[#This Row],[Sales]]&gt;40000,"Best Sales",Table44[[#This Row],[Sales]]&gt;20000,"Average Sales",Table44[[#This Row],[Sales]]&gt;0,"Poor Sales")</f>
        <v>Average Sales</v>
      </c>
    </row>
    <row r="296" spans="1:11" x14ac:dyDescent="0.3">
      <c r="A296" s="6">
        <v>295</v>
      </c>
      <c r="B296" s="7">
        <v>45286</v>
      </c>
      <c r="C296" s="8" t="s">
        <v>15</v>
      </c>
      <c r="D296" s="8" t="s">
        <v>16</v>
      </c>
      <c r="E296" s="8" t="s">
        <v>20</v>
      </c>
      <c r="F296" s="8" t="s">
        <v>24</v>
      </c>
      <c r="G296" s="8" t="s">
        <v>25</v>
      </c>
      <c r="H296" s="9">
        <v>32040.32</v>
      </c>
      <c r="I296" s="8">
        <v>10</v>
      </c>
      <c r="J296" s="10">
        <v>7617.08</v>
      </c>
      <c r="K296" s="14" t="str" cm="1">
        <f t="array" ref="K296">_xlfn.IFS(Table44[[#This Row],[Sales]]&gt;40000,"Best Sales",Table44[[#This Row],[Sales]]&gt;20000,"Average Sales",Table44[[#This Row],[Sales]]&gt;0,"Poor Sales")</f>
        <v>Average Sales</v>
      </c>
    </row>
    <row r="297" spans="1:11" x14ac:dyDescent="0.3">
      <c r="A297" s="11">
        <v>296</v>
      </c>
      <c r="B297" s="12">
        <v>45200</v>
      </c>
      <c r="C297" s="13" t="s">
        <v>30</v>
      </c>
      <c r="D297" s="13" t="s">
        <v>16</v>
      </c>
      <c r="E297" s="13" t="s">
        <v>12</v>
      </c>
      <c r="F297" s="13" t="s">
        <v>24</v>
      </c>
      <c r="G297" s="13" t="s">
        <v>25</v>
      </c>
      <c r="H297" s="14">
        <v>9943.7099999999991</v>
      </c>
      <c r="I297" s="13">
        <v>2</v>
      </c>
      <c r="J297" s="15">
        <v>1663.61</v>
      </c>
      <c r="K297" s="14" t="str" cm="1">
        <f t="array" ref="K297">_xlfn.IFS(Table44[[#This Row],[Sales]]&gt;40000,"Best Sales",Table44[[#This Row],[Sales]]&gt;20000,"Average Sales",Table44[[#This Row],[Sales]]&gt;0,"Poor Sales")</f>
        <v>Poor Sales</v>
      </c>
    </row>
    <row r="298" spans="1:11" x14ac:dyDescent="0.3">
      <c r="A298" s="6">
        <v>297</v>
      </c>
      <c r="B298" s="7">
        <v>45141</v>
      </c>
      <c r="C298" s="8" t="s">
        <v>35</v>
      </c>
      <c r="D298" s="8" t="s">
        <v>36</v>
      </c>
      <c r="E298" s="8" t="s">
        <v>17</v>
      </c>
      <c r="F298" s="8" t="s">
        <v>24</v>
      </c>
      <c r="G298" s="8" t="s">
        <v>28</v>
      </c>
      <c r="H298" s="9">
        <v>44799.3</v>
      </c>
      <c r="I298" s="8">
        <v>10</v>
      </c>
      <c r="J298" s="10">
        <v>5560.78</v>
      </c>
      <c r="K298" s="14" t="str" cm="1">
        <f t="array" ref="K298">_xlfn.IFS(Table44[[#This Row],[Sales]]&gt;40000,"Best Sales",Table44[[#This Row],[Sales]]&gt;20000,"Average Sales",Table44[[#This Row],[Sales]]&gt;0,"Poor Sales")</f>
        <v>Best Sales</v>
      </c>
    </row>
    <row r="299" spans="1:11" x14ac:dyDescent="0.3">
      <c r="A299" s="11">
        <v>298</v>
      </c>
      <c r="B299" s="12">
        <v>45109</v>
      </c>
      <c r="C299" s="13" t="s">
        <v>26</v>
      </c>
      <c r="D299" s="13" t="s">
        <v>27</v>
      </c>
      <c r="E299" s="13" t="s">
        <v>12</v>
      </c>
      <c r="F299" s="13" t="s">
        <v>24</v>
      </c>
      <c r="G299" s="13" t="s">
        <v>28</v>
      </c>
      <c r="H299" s="14">
        <v>30482.42</v>
      </c>
      <c r="I299" s="13">
        <v>8</v>
      </c>
      <c r="J299" s="15">
        <v>4421.99</v>
      </c>
      <c r="K299" s="14" t="str" cm="1">
        <f t="array" ref="K299">_xlfn.IFS(Table44[[#This Row],[Sales]]&gt;40000,"Best Sales",Table44[[#This Row],[Sales]]&gt;20000,"Average Sales",Table44[[#This Row],[Sales]]&gt;0,"Poor Sales")</f>
        <v>Average Sales</v>
      </c>
    </row>
    <row r="300" spans="1:11" x14ac:dyDescent="0.3">
      <c r="A300" s="6">
        <v>299</v>
      </c>
      <c r="B300" s="7">
        <v>45065</v>
      </c>
      <c r="C300" s="8" t="s">
        <v>37</v>
      </c>
      <c r="D300" s="8" t="s">
        <v>27</v>
      </c>
      <c r="E300" s="8" t="s">
        <v>17</v>
      </c>
      <c r="F300" s="8" t="s">
        <v>31</v>
      </c>
      <c r="G300" s="8" t="s">
        <v>39</v>
      </c>
      <c r="H300" s="9">
        <v>46018.66</v>
      </c>
      <c r="I300" s="8">
        <v>4</v>
      </c>
      <c r="J300" s="10">
        <v>11286.35</v>
      </c>
      <c r="K300" s="14" t="str" cm="1">
        <f t="array" ref="K300">_xlfn.IFS(Table44[[#This Row],[Sales]]&gt;40000,"Best Sales",Table44[[#This Row],[Sales]]&gt;20000,"Average Sales",Table44[[#This Row],[Sales]]&gt;0,"Poor Sales")</f>
        <v>Best Sales</v>
      </c>
    </row>
    <row r="301" spans="1:11" x14ac:dyDescent="0.3">
      <c r="A301" s="11">
        <v>300</v>
      </c>
      <c r="B301" s="12">
        <v>44947</v>
      </c>
      <c r="C301" s="13" t="s">
        <v>30</v>
      </c>
      <c r="D301" s="13" t="s">
        <v>16</v>
      </c>
      <c r="E301" s="13" t="s">
        <v>20</v>
      </c>
      <c r="F301" s="13" t="s">
        <v>13</v>
      </c>
      <c r="G301" s="13" t="s">
        <v>21</v>
      </c>
      <c r="H301" s="14">
        <v>45604.85</v>
      </c>
      <c r="I301" s="13">
        <v>4</v>
      </c>
      <c r="J301" s="15">
        <v>10780.42</v>
      </c>
      <c r="K301" s="14" t="str" cm="1">
        <f t="array" ref="K301">_xlfn.IFS(Table44[[#This Row],[Sales]]&gt;40000,"Best Sales",Table44[[#This Row],[Sales]]&gt;20000,"Average Sales",Table44[[#This Row],[Sales]]&gt;0,"Poor Sales")</f>
        <v>Best Sales</v>
      </c>
    </row>
    <row r="302" spans="1:11" x14ac:dyDescent="0.3">
      <c r="A302" s="6">
        <v>301</v>
      </c>
      <c r="B302" s="7">
        <v>45205</v>
      </c>
      <c r="C302" s="8" t="s">
        <v>10</v>
      </c>
      <c r="D302" s="8" t="s">
        <v>11</v>
      </c>
      <c r="E302" s="8" t="s">
        <v>20</v>
      </c>
      <c r="F302" s="8" t="s">
        <v>24</v>
      </c>
      <c r="G302" s="8" t="s">
        <v>29</v>
      </c>
      <c r="H302" s="9">
        <v>10568</v>
      </c>
      <c r="I302" s="8">
        <v>9</v>
      </c>
      <c r="J302" s="10">
        <v>1896.29</v>
      </c>
      <c r="K302" s="14" t="str" cm="1">
        <f t="array" ref="K302">_xlfn.IFS(Table44[[#This Row],[Sales]]&gt;40000,"Best Sales",Table44[[#This Row],[Sales]]&gt;20000,"Average Sales",Table44[[#This Row],[Sales]]&gt;0,"Poor Sales")</f>
        <v>Poor Sales</v>
      </c>
    </row>
    <row r="303" spans="1:11" x14ac:dyDescent="0.3">
      <c r="A303" s="11">
        <v>302</v>
      </c>
      <c r="B303" s="12">
        <v>45020</v>
      </c>
      <c r="C303" s="13" t="s">
        <v>30</v>
      </c>
      <c r="D303" s="13" t="s">
        <v>16</v>
      </c>
      <c r="E303" s="13" t="s">
        <v>12</v>
      </c>
      <c r="F303" s="13" t="s">
        <v>24</v>
      </c>
      <c r="G303" s="13" t="s">
        <v>29</v>
      </c>
      <c r="H303" s="14">
        <v>36013.07</v>
      </c>
      <c r="I303" s="13">
        <v>7</v>
      </c>
      <c r="J303" s="15">
        <v>2887.26</v>
      </c>
      <c r="K303" s="14" t="str" cm="1">
        <f t="array" ref="K303">_xlfn.IFS(Table44[[#This Row],[Sales]]&gt;40000,"Best Sales",Table44[[#This Row],[Sales]]&gt;20000,"Average Sales",Table44[[#This Row],[Sales]]&gt;0,"Poor Sales")</f>
        <v>Average Sales</v>
      </c>
    </row>
    <row r="304" spans="1:11" x14ac:dyDescent="0.3">
      <c r="A304" s="6">
        <v>303</v>
      </c>
      <c r="B304" s="7">
        <v>44950</v>
      </c>
      <c r="C304" s="8" t="s">
        <v>22</v>
      </c>
      <c r="D304" s="8" t="s">
        <v>22</v>
      </c>
      <c r="E304" s="8" t="s">
        <v>17</v>
      </c>
      <c r="F304" s="8" t="s">
        <v>24</v>
      </c>
      <c r="G304" s="8" t="s">
        <v>28</v>
      </c>
      <c r="H304" s="9">
        <v>8545.89</v>
      </c>
      <c r="I304" s="8">
        <v>8</v>
      </c>
      <c r="J304" s="10">
        <v>998.97</v>
      </c>
      <c r="K304" s="14" t="str" cm="1">
        <f t="array" ref="K304">_xlfn.IFS(Table44[[#This Row],[Sales]]&gt;40000,"Best Sales",Table44[[#This Row],[Sales]]&gt;20000,"Average Sales",Table44[[#This Row],[Sales]]&gt;0,"Poor Sales")</f>
        <v>Poor Sales</v>
      </c>
    </row>
    <row r="305" spans="1:11" x14ac:dyDescent="0.3">
      <c r="A305" s="11">
        <v>304</v>
      </c>
      <c r="B305" s="12">
        <v>44976</v>
      </c>
      <c r="C305" s="13" t="s">
        <v>22</v>
      </c>
      <c r="D305" s="13" t="s">
        <v>22</v>
      </c>
      <c r="E305" s="13" t="s">
        <v>12</v>
      </c>
      <c r="F305" s="13" t="s">
        <v>24</v>
      </c>
      <c r="G305" s="13" t="s">
        <v>29</v>
      </c>
      <c r="H305" s="14">
        <v>46736.67</v>
      </c>
      <c r="I305" s="13">
        <v>5</v>
      </c>
      <c r="J305" s="15">
        <v>4010.98</v>
      </c>
      <c r="K305" s="14" t="str" cm="1">
        <f t="array" ref="K305">_xlfn.IFS(Table44[[#This Row],[Sales]]&gt;40000,"Best Sales",Table44[[#This Row],[Sales]]&gt;20000,"Average Sales",Table44[[#This Row],[Sales]]&gt;0,"Poor Sales")</f>
        <v>Best Sales</v>
      </c>
    </row>
    <row r="306" spans="1:11" x14ac:dyDescent="0.3">
      <c r="A306" s="6">
        <v>305</v>
      </c>
      <c r="B306" s="7">
        <v>45221</v>
      </c>
      <c r="C306" s="8" t="s">
        <v>38</v>
      </c>
      <c r="D306" s="8" t="s">
        <v>27</v>
      </c>
      <c r="E306" s="8" t="s">
        <v>17</v>
      </c>
      <c r="F306" s="8" t="s">
        <v>31</v>
      </c>
      <c r="G306" s="8" t="s">
        <v>39</v>
      </c>
      <c r="H306" s="9">
        <v>42026.12</v>
      </c>
      <c r="I306" s="8">
        <v>5</v>
      </c>
      <c r="J306" s="10">
        <v>7474.37</v>
      </c>
      <c r="K306" s="14" t="str" cm="1">
        <f t="array" ref="K306">_xlfn.IFS(Table44[[#This Row],[Sales]]&gt;40000,"Best Sales",Table44[[#This Row],[Sales]]&gt;20000,"Average Sales",Table44[[#This Row],[Sales]]&gt;0,"Poor Sales")</f>
        <v>Best Sales</v>
      </c>
    </row>
    <row r="307" spans="1:11" x14ac:dyDescent="0.3">
      <c r="A307" s="11">
        <v>306</v>
      </c>
      <c r="B307" s="12">
        <v>45115</v>
      </c>
      <c r="C307" s="13" t="s">
        <v>26</v>
      </c>
      <c r="D307" s="13" t="s">
        <v>27</v>
      </c>
      <c r="E307" s="13" t="s">
        <v>20</v>
      </c>
      <c r="F307" s="13" t="s">
        <v>31</v>
      </c>
      <c r="G307" s="13" t="s">
        <v>32</v>
      </c>
      <c r="H307" s="14">
        <v>31540.15</v>
      </c>
      <c r="I307" s="13">
        <v>8</v>
      </c>
      <c r="J307" s="15">
        <v>4128.9799999999996</v>
      </c>
      <c r="K307" s="14" t="str" cm="1">
        <f t="array" ref="K307">_xlfn.IFS(Table44[[#This Row],[Sales]]&gt;40000,"Best Sales",Table44[[#This Row],[Sales]]&gt;20000,"Average Sales",Table44[[#This Row],[Sales]]&gt;0,"Poor Sales")</f>
        <v>Average Sales</v>
      </c>
    </row>
    <row r="308" spans="1:11" x14ac:dyDescent="0.3">
      <c r="A308" s="6">
        <v>307</v>
      </c>
      <c r="B308" s="7">
        <v>45135</v>
      </c>
      <c r="C308" s="8" t="s">
        <v>18</v>
      </c>
      <c r="D308" s="8" t="s">
        <v>19</v>
      </c>
      <c r="E308" s="8" t="s">
        <v>20</v>
      </c>
      <c r="F308" s="8" t="s">
        <v>24</v>
      </c>
      <c r="G308" s="8" t="s">
        <v>25</v>
      </c>
      <c r="H308" s="9">
        <v>29281.72</v>
      </c>
      <c r="I308" s="8">
        <v>10</v>
      </c>
      <c r="J308" s="10">
        <v>2759</v>
      </c>
      <c r="K308" s="14" t="str" cm="1">
        <f t="array" ref="K308">_xlfn.IFS(Table44[[#This Row],[Sales]]&gt;40000,"Best Sales",Table44[[#This Row],[Sales]]&gt;20000,"Average Sales",Table44[[#This Row],[Sales]]&gt;0,"Poor Sales")</f>
        <v>Average Sales</v>
      </c>
    </row>
    <row r="309" spans="1:11" x14ac:dyDescent="0.3">
      <c r="A309" s="11">
        <v>308</v>
      </c>
      <c r="B309" s="12">
        <v>44974</v>
      </c>
      <c r="C309" s="13" t="s">
        <v>38</v>
      </c>
      <c r="D309" s="13" t="s">
        <v>27</v>
      </c>
      <c r="E309" s="13" t="s">
        <v>12</v>
      </c>
      <c r="F309" s="13" t="s">
        <v>31</v>
      </c>
      <c r="G309" s="13" t="s">
        <v>33</v>
      </c>
      <c r="H309" s="14">
        <v>23981.49</v>
      </c>
      <c r="I309" s="13">
        <v>2</v>
      </c>
      <c r="J309" s="15">
        <v>5193.12</v>
      </c>
      <c r="K309" s="14" t="str" cm="1">
        <f t="array" ref="K309">_xlfn.IFS(Table44[[#This Row],[Sales]]&gt;40000,"Best Sales",Table44[[#This Row],[Sales]]&gt;20000,"Average Sales",Table44[[#This Row],[Sales]]&gt;0,"Poor Sales")</f>
        <v>Average Sales</v>
      </c>
    </row>
    <row r="310" spans="1:11" x14ac:dyDescent="0.3">
      <c r="A310" s="6">
        <v>309</v>
      </c>
      <c r="B310" s="7">
        <v>45086</v>
      </c>
      <c r="C310" s="8" t="s">
        <v>37</v>
      </c>
      <c r="D310" s="8" t="s">
        <v>27</v>
      </c>
      <c r="E310" s="8" t="s">
        <v>17</v>
      </c>
      <c r="F310" s="8" t="s">
        <v>24</v>
      </c>
      <c r="G310" s="8" t="s">
        <v>25</v>
      </c>
      <c r="H310" s="9">
        <v>11039.74</v>
      </c>
      <c r="I310" s="8">
        <v>6</v>
      </c>
      <c r="J310" s="10">
        <v>642.16999999999996</v>
      </c>
      <c r="K310" s="14" t="str" cm="1">
        <f t="array" ref="K310">_xlfn.IFS(Table44[[#This Row],[Sales]]&gt;40000,"Best Sales",Table44[[#This Row],[Sales]]&gt;20000,"Average Sales",Table44[[#This Row],[Sales]]&gt;0,"Poor Sales")</f>
        <v>Poor Sales</v>
      </c>
    </row>
    <row r="311" spans="1:11" x14ac:dyDescent="0.3">
      <c r="A311" s="11">
        <v>310</v>
      </c>
      <c r="B311" s="12">
        <v>44967</v>
      </c>
      <c r="C311" s="13" t="s">
        <v>35</v>
      </c>
      <c r="D311" s="13" t="s">
        <v>36</v>
      </c>
      <c r="E311" s="13" t="s">
        <v>12</v>
      </c>
      <c r="F311" s="13" t="s">
        <v>13</v>
      </c>
      <c r="G311" s="13" t="s">
        <v>21</v>
      </c>
      <c r="H311" s="14">
        <v>24072.58</v>
      </c>
      <c r="I311" s="13">
        <v>2</v>
      </c>
      <c r="J311" s="15">
        <v>4237.45</v>
      </c>
      <c r="K311" s="14" t="str" cm="1">
        <f t="array" ref="K311">_xlfn.IFS(Table44[[#This Row],[Sales]]&gt;40000,"Best Sales",Table44[[#This Row],[Sales]]&gt;20000,"Average Sales",Table44[[#This Row],[Sales]]&gt;0,"Poor Sales")</f>
        <v>Average Sales</v>
      </c>
    </row>
    <row r="312" spans="1:11" x14ac:dyDescent="0.3">
      <c r="A312" s="6">
        <v>311</v>
      </c>
      <c r="B312" s="7">
        <v>44969</v>
      </c>
      <c r="C312" s="8" t="s">
        <v>15</v>
      </c>
      <c r="D312" s="8" t="s">
        <v>16</v>
      </c>
      <c r="E312" s="8" t="s">
        <v>17</v>
      </c>
      <c r="F312" s="8" t="s">
        <v>31</v>
      </c>
      <c r="G312" s="8" t="s">
        <v>39</v>
      </c>
      <c r="H312" s="9">
        <v>48043.43</v>
      </c>
      <c r="I312" s="8">
        <v>6</v>
      </c>
      <c r="J312" s="10">
        <v>6191.26</v>
      </c>
      <c r="K312" s="14" t="str" cm="1">
        <f t="array" ref="K312">_xlfn.IFS(Table44[[#This Row],[Sales]]&gt;40000,"Best Sales",Table44[[#This Row],[Sales]]&gt;20000,"Average Sales",Table44[[#This Row],[Sales]]&gt;0,"Poor Sales")</f>
        <v>Best Sales</v>
      </c>
    </row>
    <row r="313" spans="1:11" x14ac:dyDescent="0.3">
      <c r="A313" s="11">
        <v>312</v>
      </c>
      <c r="B313" s="12">
        <v>44999</v>
      </c>
      <c r="C313" s="13" t="s">
        <v>38</v>
      </c>
      <c r="D313" s="13" t="s">
        <v>27</v>
      </c>
      <c r="E313" s="13" t="s">
        <v>20</v>
      </c>
      <c r="F313" s="13" t="s">
        <v>24</v>
      </c>
      <c r="G313" s="13" t="s">
        <v>25</v>
      </c>
      <c r="H313" s="14">
        <v>45172.53</v>
      </c>
      <c r="I313" s="13">
        <v>6</v>
      </c>
      <c r="J313" s="15">
        <v>3057.46</v>
      </c>
      <c r="K313" s="14" t="str" cm="1">
        <f t="array" ref="K313">_xlfn.IFS(Table44[[#This Row],[Sales]]&gt;40000,"Best Sales",Table44[[#This Row],[Sales]]&gt;20000,"Average Sales",Table44[[#This Row],[Sales]]&gt;0,"Poor Sales")</f>
        <v>Best Sales</v>
      </c>
    </row>
    <row r="314" spans="1:11" x14ac:dyDescent="0.3">
      <c r="A314" s="6">
        <v>313</v>
      </c>
      <c r="B314" s="7">
        <v>45150</v>
      </c>
      <c r="C314" s="8" t="s">
        <v>26</v>
      </c>
      <c r="D314" s="8" t="s">
        <v>27</v>
      </c>
      <c r="E314" s="8" t="s">
        <v>20</v>
      </c>
      <c r="F314" s="8" t="s">
        <v>31</v>
      </c>
      <c r="G314" s="8" t="s">
        <v>33</v>
      </c>
      <c r="H314" s="9">
        <v>36425.279999999999</v>
      </c>
      <c r="I314" s="8">
        <v>2</v>
      </c>
      <c r="J314" s="10">
        <v>2652.3</v>
      </c>
      <c r="K314" s="14" t="str" cm="1">
        <f t="array" ref="K314">_xlfn.IFS(Table44[[#This Row],[Sales]]&gt;40000,"Best Sales",Table44[[#This Row],[Sales]]&gt;20000,"Average Sales",Table44[[#This Row],[Sales]]&gt;0,"Poor Sales")</f>
        <v>Average Sales</v>
      </c>
    </row>
    <row r="315" spans="1:11" x14ac:dyDescent="0.3">
      <c r="A315" s="11">
        <v>314</v>
      </c>
      <c r="B315" s="12">
        <v>45204</v>
      </c>
      <c r="C315" s="13" t="s">
        <v>38</v>
      </c>
      <c r="D315" s="13" t="s">
        <v>27</v>
      </c>
      <c r="E315" s="13" t="s">
        <v>12</v>
      </c>
      <c r="F315" s="13" t="s">
        <v>24</v>
      </c>
      <c r="G315" s="13" t="s">
        <v>29</v>
      </c>
      <c r="H315" s="14">
        <v>34225.440000000002</v>
      </c>
      <c r="I315" s="13">
        <v>5</v>
      </c>
      <c r="J315" s="15">
        <v>7171.55</v>
      </c>
      <c r="K315" s="14" t="str" cm="1">
        <f t="array" ref="K315">_xlfn.IFS(Table44[[#This Row],[Sales]]&gt;40000,"Best Sales",Table44[[#This Row],[Sales]]&gt;20000,"Average Sales",Table44[[#This Row],[Sales]]&gt;0,"Poor Sales")</f>
        <v>Average Sales</v>
      </c>
    </row>
    <row r="316" spans="1:11" x14ac:dyDescent="0.3">
      <c r="A316" s="6">
        <v>315</v>
      </c>
      <c r="B316" s="7">
        <v>45240</v>
      </c>
      <c r="C316" s="8" t="s">
        <v>37</v>
      </c>
      <c r="D316" s="8" t="s">
        <v>27</v>
      </c>
      <c r="E316" s="8" t="s">
        <v>17</v>
      </c>
      <c r="F316" s="8" t="s">
        <v>13</v>
      </c>
      <c r="G316" s="8" t="s">
        <v>14</v>
      </c>
      <c r="H316" s="9">
        <v>47580.01</v>
      </c>
      <c r="I316" s="8">
        <v>1</v>
      </c>
      <c r="J316" s="10">
        <v>13586.56</v>
      </c>
      <c r="K316" s="14" t="str" cm="1">
        <f t="array" ref="K316">_xlfn.IFS(Table44[[#This Row],[Sales]]&gt;40000,"Best Sales",Table44[[#This Row],[Sales]]&gt;20000,"Average Sales",Table44[[#This Row],[Sales]]&gt;0,"Poor Sales")</f>
        <v>Best Sales</v>
      </c>
    </row>
    <row r="317" spans="1:11" x14ac:dyDescent="0.3">
      <c r="A317" s="11">
        <v>316</v>
      </c>
      <c r="B317" s="12">
        <v>44975</v>
      </c>
      <c r="C317" s="13" t="s">
        <v>38</v>
      </c>
      <c r="D317" s="13" t="s">
        <v>27</v>
      </c>
      <c r="E317" s="13" t="s">
        <v>12</v>
      </c>
      <c r="F317" s="13" t="s">
        <v>13</v>
      </c>
      <c r="G317" s="13" t="s">
        <v>14</v>
      </c>
      <c r="H317" s="14">
        <v>17212.37</v>
      </c>
      <c r="I317" s="13">
        <v>6</v>
      </c>
      <c r="J317" s="15">
        <v>4577.87</v>
      </c>
      <c r="K317" s="14" t="str" cm="1">
        <f t="array" ref="K317">_xlfn.IFS(Table44[[#This Row],[Sales]]&gt;40000,"Best Sales",Table44[[#This Row],[Sales]]&gt;20000,"Average Sales",Table44[[#This Row],[Sales]]&gt;0,"Poor Sales")</f>
        <v>Poor Sales</v>
      </c>
    </row>
    <row r="318" spans="1:11" x14ac:dyDescent="0.3">
      <c r="A318" s="6">
        <v>317</v>
      </c>
      <c r="B318" s="7">
        <v>44949</v>
      </c>
      <c r="C318" s="8" t="s">
        <v>18</v>
      </c>
      <c r="D318" s="8" t="s">
        <v>19</v>
      </c>
      <c r="E318" s="8" t="s">
        <v>17</v>
      </c>
      <c r="F318" s="8" t="s">
        <v>13</v>
      </c>
      <c r="G318" s="8" t="s">
        <v>21</v>
      </c>
      <c r="H318" s="9">
        <v>48075.95</v>
      </c>
      <c r="I318" s="8">
        <v>7</v>
      </c>
      <c r="J318" s="10">
        <v>4672.51</v>
      </c>
      <c r="K318" s="14" t="str" cm="1">
        <f t="array" ref="K318">_xlfn.IFS(Table44[[#This Row],[Sales]]&gt;40000,"Best Sales",Table44[[#This Row],[Sales]]&gt;20000,"Average Sales",Table44[[#This Row],[Sales]]&gt;0,"Poor Sales")</f>
        <v>Best Sales</v>
      </c>
    </row>
    <row r="319" spans="1:11" x14ac:dyDescent="0.3">
      <c r="A319" s="11">
        <v>318</v>
      </c>
      <c r="B319" s="12">
        <v>45003</v>
      </c>
      <c r="C319" s="13" t="s">
        <v>30</v>
      </c>
      <c r="D319" s="13" t="s">
        <v>16</v>
      </c>
      <c r="E319" s="13" t="s">
        <v>20</v>
      </c>
      <c r="F319" s="13" t="s">
        <v>24</v>
      </c>
      <c r="G319" s="13" t="s">
        <v>28</v>
      </c>
      <c r="H319" s="14">
        <v>9681.73</v>
      </c>
      <c r="I319" s="13">
        <v>10</v>
      </c>
      <c r="J319" s="15">
        <v>628.19000000000005</v>
      </c>
      <c r="K319" s="14" t="str" cm="1">
        <f t="array" ref="K319">_xlfn.IFS(Table44[[#This Row],[Sales]]&gt;40000,"Best Sales",Table44[[#This Row],[Sales]]&gt;20000,"Average Sales",Table44[[#This Row],[Sales]]&gt;0,"Poor Sales")</f>
        <v>Poor Sales</v>
      </c>
    </row>
    <row r="320" spans="1:11" x14ac:dyDescent="0.3">
      <c r="A320" s="6">
        <v>319</v>
      </c>
      <c r="B320" s="7">
        <v>45245</v>
      </c>
      <c r="C320" s="8" t="s">
        <v>30</v>
      </c>
      <c r="D320" s="8" t="s">
        <v>16</v>
      </c>
      <c r="E320" s="8" t="s">
        <v>20</v>
      </c>
      <c r="F320" s="8" t="s">
        <v>31</v>
      </c>
      <c r="G320" s="8" t="s">
        <v>32</v>
      </c>
      <c r="H320" s="9">
        <v>31708.44</v>
      </c>
      <c r="I320" s="8">
        <v>4</v>
      </c>
      <c r="J320" s="10">
        <v>1986.92</v>
      </c>
      <c r="K320" s="14" t="str" cm="1">
        <f t="array" ref="K320">_xlfn.IFS(Table44[[#This Row],[Sales]]&gt;40000,"Best Sales",Table44[[#This Row],[Sales]]&gt;20000,"Average Sales",Table44[[#This Row],[Sales]]&gt;0,"Poor Sales")</f>
        <v>Average Sales</v>
      </c>
    </row>
    <row r="321" spans="1:11" x14ac:dyDescent="0.3">
      <c r="A321" s="11">
        <v>320</v>
      </c>
      <c r="B321" s="12">
        <v>45008</v>
      </c>
      <c r="C321" s="13" t="s">
        <v>30</v>
      </c>
      <c r="D321" s="13" t="s">
        <v>16</v>
      </c>
      <c r="E321" s="13" t="s">
        <v>12</v>
      </c>
      <c r="F321" s="13" t="s">
        <v>24</v>
      </c>
      <c r="G321" s="13" t="s">
        <v>29</v>
      </c>
      <c r="H321" s="14">
        <v>23576.81</v>
      </c>
      <c r="I321" s="13">
        <v>5</v>
      </c>
      <c r="J321" s="15">
        <v>5469.68</v>
      </c>
      <c r="K321" s="14" t="str" cm="1">
        <f t="array" ref="K321">_xlfn.IFS(Table44[[#This Row],[Sales]]&gt;40000,"Best Sales",Table44[[#This Row],[Sales]]&gt;20000,"Average Sales",Table44[[#This Row],[Sales]]&gt;0,"Poor Sales")</f>
        <v>Average Sales</v>
      </c>
    </row>
    <row r="322" spans="1:11" x14ac:dyDescent="0.3">
      <c r="A322" s="6">
        <v>321</v>
      </c>
      <c r="B322" s="7">
        <v>45048</v>
      </c>
      <c r="C322" s="8" t="s">
        <v>35</v>
      </c>
      <c r="D322" s="8" t="s">
        <v>36</v>
      </c>
      <c r="E322" s="8" t="s">
        <v>17</v>
      </c>
      <c r="F322" s="8" t="s">
        <v>31</v>
      </c>
      <c r="G322" s="8" t="s">
        <v>39</v>
      </c>
      <c r="H322" s="9">
        <v>46941.22</v>
      </c>
      <c r="I322" s="8">
        <v>3</v>
      </c>
      <c r="J322" s="10">
        <v>11351.59</v>
      </c>
      <c r="K322" s="14" t="str" cm="1">
        <f t="array" ref="K322">_xlfn.IFS(Table44[[#This Row],[Sales]]&gt;40000,"Best Sales",Table44[[#This Row],[Sales]]&gt;20000,"Average Sales",Table44[[#This Row],[Sales]]&gt;0,"Poor Sales")</f>
        <v>Best Sales</v>
      </c>
    </row>
    <row r="323" spans="1:11" x14ac:dyDescent="0.3">
      <c r="A323" s="11">
        <v>322</v>
      </c>
      <c r="B323" s="12">
        <v>45021</v>
      </c>
      <c r="C323" s="13" t="s">
        <v>30</v>
      </c>
      <c r="D323" s="13" t="s">
        <v>16</v>
      </c>
      <c r="E323" s="13" t="s">
        <v>12</v>
      </c>
      <c r="F323" s="13" t="s">
        <v>31</v>
      </c>
      <c r="G323" s="13" t="s">
        <v>33</v>
      </c>
      <c r="H323" s="14">
        <v>30511.77</v>
      </c>
      <c r="I323" s="13">
        <v>4</v>
      </c>
      <c r="J323" s="15">
        <v>2577.4699999999998</v>
      </c>
      <c r="K323" s="14" t="str" cm="1">
        <f t="array" ref="K323">_xlfn.IFS(Table44[[#This Row],[Sales]]&gt;40000,"Best Sales",Table44[[#This Row],[Sales]]&gt;20000,"Average Sales",Table44[[#This Row],[Sales]]&gt;0,"Poor Sales")</f>
        <v>Average Sales</v>
      </c>
    </row>
    <row r="324" spans="1:11" x14ac:dyDescent="0.3">
      <c r="A324" s="6">
        <v>323</v>
      </c>
      <c r="B324" s="7">
        <v>45225</v>
      </c>
      <c r="C324" s="8" t="s">
        <v>38</v>
      </c>
      <c r="D324" s="8" t="s">
        <v>27</v>
      </c>
      <c r="E324" s="8" t="s">
        <v>17</v>
      </c>
      <c r="F324" s="8" t="s">
        <v>13</v>
      </c>
      <c r="G324" s="8" t="s">
        <v>21</v>
      </c>
      <c r="H324" s="9">
        <v>1705.27</v>
      </c>
      <c r="I324" s="8">
        <v>2</v>
      </c>
      <c r="J324" s="10">
        <v>258.72000000000003</v>
      </c>
      <c r="K324" s="14" t="str" cm="1">
        <f t="array" ref="K324">_xlfn.IFS(Table44[[#This Row],[Sales]]&gt;40000,"Best Sales",Table44[[#This Row],[Sales]]&gt;20000,"Average Sales",Table44[[#This Row],[Sales]]&gt;0,"Poor Sales")</f>
        <v>Poor Sales</v>
      </c>
    </row>
    <row r="325" spans="1:11" x14ac:dyDescent="0.3">
      <c r="A325" s="11">
        <v>324</v>
      </c>
      <c r="B325" s="12">
        <v>45196</v>
      </c>
      <c r="C325" s="13" t="s">
        <v>22</v>
      </c>
      <c r="D325" s="13" t="s">
        <v>22</v>
      </c>
      <c r="E325" s="13" t="s">
        <v>20</v>
      </c>
      <c r="F325" s="13" t="s">
        <v>13</v>
      </c>
      <c r="G325" s="13" t="s">
        <v>14</v>
      </c>
      <c r="H325" s="14">
        <v>40330.29</v>
      </c>
      <c r="I325" s="13">
        <v>9</v>
      </c>
      <c r="J325" s="15">
        <v>9484.9599999999991</v>
      </c>
      <c r="K325" s="14" t="str" cm="1">
        <f t="array" ref="K325">_xlfn.IFS(Table44[[#This Row],[Sales]]&gt;40000,"Best Sales",Table44[[#This Row],[Sales]]&gt;20000,"Average Sales",Table44[[#This Row],[Sales]]&gt;0,"Poor Sales")</f>
        <v>Best Sales</v>
      </c>
    </row>
    <row r="326" spans="1:11" x14ac:dyDescent="0.3">
      <c r="A326" s="6">
        <v>325</v>
      </c>
      <c r="B326" s="7">
        <v>44947</v>
      </c>
      <c r="C326" s="8" t="s">
        <v>18</v>
      </c>
      <c r="D326" s="8" t="s">
        <v>19</v>
      </c>
      <c r="E326" s="8" t="s">
        <v>20</v>
      </c>
      <c r="F326" s="8" t="s">
        <v>24</v>
      </c>
      <c r="G326" s="8" t="s">
        <v>29</v>
      </c>
      <c r="H326" s="9">
        <v>22523.13</v>
      </c>
      <c r="I326" s="8">
        <v>3</v>
      </c>
      <c r="J326" s="10">
        <v>5559.51</v>
      </c>
      <c r="K326" s="14" t="str" cm="1">
        <f t="array" ref="K326">_xlfn.IFS(Table44[[#This Row],[Sales]]&gt;40000,"Best Sales",Table44[[#This Row],[Sales]]&gt;20000,"Average Sales",Table44[[#This Row],[Sales]]&gt;0,"Poor Sales")</f>
        <v>Average Sales</v>
      </c>
    </row>
    <row r="327" spans="1:11" x14ac:dyDescent="0.3">
      <c r="A327" s="11">
        <v>326</v>
      </c>
      <c r="B327" s="12">
        <v>45181</v>
      </c>
      <c r="C327" s="13" t="s">
        <v>30</v>
      </c>
      <c r="D327" s="13" t="s">
        <v>16</v>
      </c>
      <c r="E327" s="13" t="s">
        <v>12</v>
      </c>
      <c r="F327" s="13" t="s">
        <v>31</v>
      </c>
      <c r="G327" s="13" t="s">
        <v>32</v>
      </c>
      <c r="H327" s="14">
        <v>9721.76</v>
      </c>
      <c r="I327" s="13">
        <v>1</v>
      </c>
      <c r="J327" s="15">
        <v>2426.7199999999998</v>
      </c>
      <c r="K327" s="14" t="str" cm="1">
        <f t="array" ref="K327">_xlfn.IFS(Table44[[#This Row],[Sales]]&gt;40000,"Best Sales",Table44[[#This Row],[Sales]]&gt;20000,"Average Sales",Table44[[#This Row],[Sales]]&gt;0,"Poor Sales")</f>
        <v>Poor Sales</v>
      </c>
    </row>
    <row r="328" spans="1:11" x14ac:dyDescent="0.3">
      <c r="A328" s="6">
        <v>327</v>
      </c>
      <c r="B328" s="7">
        <v>45158</v>
      </c>
      <c r="C328" s="8" t="s">
        <v>37</v>
      </c>
      <c r="D328" s="8" t="s">
        <v>27</v>
      </c>
      <c r="E328" s="8" t="s">
        <v>17</v>
      </c>
      <c r="F328" s="8" t="s">
        <v>31</v>
      </c>
      <c r="G328" s="8" t="s">
        <v>39</v>
      </c>
      <c r="H328" s="9">
        <v>13433.44</v>
      </c>
      <c r="I328" s="8">
        <v>10</v>
      </c>
      <c r="J328" s="10">
        <v>3809.36</v>
      </c>
      <c r="K328" s="14" t="str" cm="1">
        <f t="array" ref="K328">_xlfn.IFS(Table44[[#This Row],[Sales]]&gt;40000,"Best Sales",Table44[[#This Row],[Sales]]&gt;20000,"Average Sales",Table44[[#This Row],[Sales]]&gt;0,"Poor Sales")</f>
        <v>Poor Sales</v>
      </c>
    </row>
    <row r="329" spans="1:11" x14ac:dyDescent="0.3">
      <c r="A329" s="11">
        <v>328</v>
      </c>
      <c r="B329" s="12">
        <v>44960</v>
      </c>
      <c r="C329" s="13" t="s">
        <v>15</v>
      </c>
      <c r="D329" s="13" t="s">
        <v>16</v>
      </c>
      <c r="E329" s="13" t="s">
        <v>12</v>
      </c>
      <c r="F329" s="13" t="s">
        <v>24</v>
      </c>
      <c r="G329" s="13" t="s">
        <v>28</v>
      </c>
      <c r="H329" s="14">
        <v>42800.72</v>
      </c>
      <c r="I329" s="13">
        <v>2</v>
      </c>
      <c r="J329" s="15">
        <v>3432.12</v>
      </c>
      <c r="K329" s="14" t="str" cm="1">
        <f t="array" ref="K329">_xlfn.IFS(Table44[[#This Row],[Sales]]&gt;40000,"Best Sales",Table44[[#This Row],[Sales]]&gt;20000,"Average Sales",Table44[[#This Row],[Sales]]&gt;0,"Poor Sales")</f>
        <v>Best Sales</v>
      </c>
    </row>
    <row r="330" spans="1:11" x14ac:dyDescent="0.3">
      <c r="A330" s="6">
        <v>329</v>
      </c>
      <c r="B330" s="7">
        <v>45245</v>
      </c>
      <c r="C330" s="8" t="s">
        <v>37</v>
      </c>
      <c r="D330" s="8" t="s">
        <v>27</v>
      </c>
      <c r="E330" s="8" t="s">
        <v>17</v>
      </c>
      <c r="F330" s="8" t="s">
        <v>24</v>
      </c>
      <c r="G330" s="8" t="s">
        <v>25</v>
      </c>
      <c r="H330" s="9">
        <v>11997.4</v>
      </c>
      <c r="I330" s="8">
        <v>9</v>
      </c>
      <c r="J330" s="10">
        <v>2230.12</v>
      </c>
      <c r="K330" s="14" t="str" cm="1">
        <f t="array" ref="K330">_xlfn.IFS(Table44[[#This Row],[Sales]]&gt;40000,"Best Sales",Table44[[#This Row],[Sales]]&gt;20000,"Average Sales",Table44[[#This Row],[Sales]]&gt;0,"Poor Sales")</f>
        <v>Poor Sales</v>
      </c>
    </row>
    <row r="331" spans="1:11" x14ac:dyDescent="0.3">
      <c r="A331" s="11">
        <v>330</v>
      </c>
      <c r="B331" s="12">
        <v>45173</v>
      </c>
      <c r="C331" s="13" t="s">
        <v>15</v>
      </c>
      <c r="D331" s="13" t="s">
        <v>16</v>
      </c>
      <c r="E331" s="13" t="s">
        <v>20</v>
      </c>
      <c r="F331" s="13" t="s">
        <v>31</v>
      </c>
      <c r="G331" s="13" t="s">
        <v>33</v>
      </c>
      <c r="H331" s="14">
        <v>16524.43</v>
      </c>
      <c r="I331" s="13">
        <v>5</v>
      </c>
      <c r="J331" s="15">
        <v>3288.46</v>
      </c>
      <c r="K331" s="14" t="str" cm="1">
        <f t="array" ref="K331">_xlfn.IFS(Table44[[#This Row],[Sales]]&gt;40000,"Best Sales",Table44[[#This Row],[Sales]]&gt;20000,"Average Sales",Table44[[#This Row],[Sales]]&gt;0,"Poor Sales")</f>
        <v>Poor Sales</v>
      </c>
    </row>
    <row r="332" spans="1:11" x14ac:dyDescent="0.3">
      <c r="A332" s="6">
        <v>331</v>
      </c>
      <c r="B332" s="7">
        <v>45270</v>
      </c>
      <c r="C332" s="8" t="s">
        <v>15</v>
      </c>
      <c r="D332" s="8" t="s">
        <v>16</v>
      </c>
      <c r="E332" s="8" t="s">
        <v>20</v>
      </c>
      <c r="F332" s="8" t="s">
        <v>31</v>
      </c>
      <c r="G332" s="8" t="s">
        <v>39</v>
      </c>
      <c r="H332" s="9">
        <v>10353.51</v>
      </c>
      <c r="I332" s="8">
        <v>9</v>
      </c>
      <c r="J332" s="10">
        <v>1656.01</v>
      </c>
      <c r="K332" s="14" t="str" cm="1">
        <f t="array" ref="K332">_xlfn.IFS(Table44[[#This Row],[Sales]]&gt;40000,"Best Sales",Table44[[#This Row],[Sales]]&gt;20000,"Average Sales",Table44[[#This Row],[Sales]]&gt;0,"Poor Sales")</f>
        <v>Poor Sales</v>
      </c>
    </row>
    <row r="333" spans="1:11" x14ac:dyDescent="0.3">
      <c r="A333" s="11">
        <v>332</v>
      </c>
      <c r="B333" s="12">
        <v>45126</v>
      </c>
      <c r="C333" s="13" t="s">
        <v>10</v>
      </c>
      <c r="D333" s="13" t="s">
        <v>11</v>
      </c>
      <c r="E333" s="13" t="s">
        <v>12</v>
      </c>
      <c r="F333" s="13" t="s">
        <v>24</v>
      </c>
      <c r="G333" s="13" t="s">
        <v>29</v>
      </c>
      <c r="H333" s="14">
        <v>49849.49</v>
      </c>
      <c r="I333" s="13">
        <v>2</v>
      </c>
      <c r="J333" s="15">
        <v>14334.62</v>
      </c>
      <c r="K333" s="14" t="str" cm="1">
        <f t="array" ref="K333">_xlfn.IFS(Table44[[#This Row],[Sales]]&gt;40000,"Best Sales",Table44[[#This Row],[Sales]]&gt;20000,"Average Sales",Table44[[#This Row],[Sales]]&gt;0,"Poor Sales")</f>
        <v>Best Sales</v>
      </c>
    </row>
    <row r="334" spans="1:11" x14ac:dyDescent="0.3">
      <c r="A334" s="6">
        <v>333</v>
      </c>
      <c r="B334" s="7">
        <v>45150</v>
      </c>
      <c r="C334" s="8" t="s">
        <v>26</v>
      </c>
      <c r="D334" s="8" t="s">
        <v>27</v>
      </c>
      <c r="E334" s="8" t="s">
        <v>17</v>
      </c>
      <c r="F334" s="8" t="s">
        <v>31</v>
      </c>
      <c r="G334" s="8" t="s">
        <v>33</v>
      </c>
      <c r="H334" s="9">
        <v>40482.129999999997</v>
      </c>
      <c r="I334" s="8">
        <v>4</v>
      </c>
      <c r="J334" s="10">
        <v>9904.9599999999991</v>
      </c>
      <c r="K334" s="14" t="str" cm="1">
        <f t="array" ref="K334">_xlfn.IFS(Table44[[#This Row],[Sales]]&gt;40000,"Best Sales",Table44[[#This Row],[Sales]]&gt;20000,"Average Sales",Table44[[#This Row],[Sales]]&gt;0,"Poor Sales")</f>
        <v>Best Sales</v>
      </c>
    </row>
    <row r="335" spans="1:11" x14ac:dyDescent="0.3">
      <c r="A335" s="11">
        <v>334</v>
      </c>
      <c r="B335" s="12">
        <v>45062</v>
      </c>
      <c r="C335" s="13" t="s">
        <v>18</v>
      </c>
      <c r="D335" s="13" t="s">
        <v>19</v>
      </c>
      <c r="E335" s="13" t="s">
        <v>12</v>
      </c>
      <c r="F335" s="13" t="s">
        <v>24</v>
      </c>
      <c r="G335" s="13" t="s">
        <v>29</v>
      </c>
      <c r="H335" s="14">
        <v>24555.21</v>
      </c>
      <c r="I335" s="13">
        <v>7</v>
      </c>
      <c r="J335" s="15">
        <v>6048.99</v>
      </c>
      <c r="K335" s="14" t="str" cm="1">
        <f t="array" ref="K335">_xlfn.IFS(Table44[[#This Row],[Sales]]&gt;40000,"Best Sales",Table44[[#This Row],[Sales]]&gt;20000,"Average Sales",Table44[[#This Row],[Sales]]&gt;0,"Poor Sales")</f>
        <v>Average Sales</v>
      </c>
    </row>
    <row r="336" spans="1:11" x14ac:dyDescent="0.3">
      <c r="A336" s="6">
        <v>335</v>
      </c>
      <c r="B336" s="7">
        <v>45124</v>
      </c>
      <c r="C336" s="8" t="s">
        <v>26</v>
      </c>
      <c r="D336" s="8" t="s">
        <v>27</v>
      </c>
      <c r="E336" s="8" t="s">
        <v>17</v>
      </c>
      <c r="F336" s="8" t="s">
        <v>31</v>
      </c>
      <c r="G336" s="8" t="s">
        <v>39</v>
      </c>
      <c r="H336" s="9">
        <v>12319.01</v>
      </c>
      <c r="I336" s="8">
        <v>8</v>
      </c>
      <c r="J336" s="10">
        <v>2389.34</v>
      </c>
      <c r="K336" s="14" t="str" cm="1">
        <f t="array" ref="K336">_xlfn.IFS(Table44[[#This Row],[Sales]]&gt;40000,"Best Sales",Table44[[#This Row],[Sales]]&gt;20000,"Average Sales",Table44[[#This Row],[Sales]]&gt;0,"Poor Sales")</f>
        <v>Poor Sales</v>
      </c>
    </row>
    <row r="337" spans="1:11" x14ac:dyDescent="0.3">
      <c r="A337" s="11">
        <v>336</v>
      </c>
      <c r="B337" s="12">
        <v>44980</v>
      </c>
      <c r="C337" s="13" t="s">
        <v>26</v>
      </c>
      <c r="D337" s="13" t="s">
        <v>27</v>
      </c>
      <c r="E337" s="13" t="s">
        <v>20</v>
      </c>
      <c r="F337" s="13" t="s">
        <v>31</v>
      </c>
      <c r="G337" s="13" t="s">
        <v>33</v>
      </c>
      <c r="H337" s="14">
        <v>13647.29</v>
      </c>
      <c r="I337" s="13">
        <v>1</v>
      </c>
      <c r="J337" s="15">
        <v>1756.26</v>
      </c>
      <c r="K337" s="14" t="str" cm="1">
        <f t="array" ref="K337">_xlfn.IFS(Table44[[#This Row],[Sales]]&gt;40000,"Best Sales",Table44[[#This Row],[Sales]]&gt;20000,"Average Sales",Table44[[#This Row],[Sales]]&gt;0,"Poor Sales")</f>
        <v>Poor Sales</v>
      </c>
    </row>
    <row r="338" spans="1:11" x14ac:dyDescent="0.3">
      <c r="A338" s="6">
        <v>337</v>
      </c>
      <c r="B338" s="7">
        <v>44931</v>
      </c>
      <c r="C338" s="8" t="s">
        <v>26</v>
      </c>
      <c r="D338" s="8" t="s">
        <v>27</v>
      </c>
      <c r="E338" s="8" t="s">
        <v>20</v>
      </c>
      <c r="F338" s="8" t="s">
        <v>24</v>
      </c>
      <c r="G338" s="8" t="s">
        <v>29</v>
      </c>
      <c r="H338" s="9">
        <v>47809.440000000002</v>
      </c>
      <c r="I338" s="8">
        <v>8</v>
      </c>
      <c r="J338" s="10">
        <v>3486.63</v>
      </c>
      <c r="K338" s="14" t="str" cm="1">
        <f t="array" ref="K338">_xlfn.IFS(Table44[[#This Row],[Sales]]&gt;40000,"Best Sales",Table44[[#This Row],[Sales]]&gt;20000,"Average Sales",Table44[[#This Row],[Sales]]&gt;0,"Poor Sales")</f>
        <v>Best Sales</v>
      </c>
    </row>
    <row r="339" spans="1:11" x14ac:dyDescent="0.3">
      <c r="A339" s="11">
        <v>338</v>
      </c>
      <c r="B339" s="12">
        <v>45139</v>
      </c>
      <c r="C339" s="13" t="s">
        <v>22</v>
      </c>
      <c r="D339" s="13" t="s">
        <v>22</v>
      </c>
      <c r="E339" s="13" t="s">
        <v>12</v>
      </c>
      <c r="F339" s="13" t="s">
        <v>13</v>
      </c>
      <c r="G339" s="13" t="s">
        <v>21</v>
      </c>
      <c r="H339" s="14">
        <v>13063.77</v>
      </c>
      <c r="I339" s="13">
        <v>7</v>
      </c>
      <c r="J339" s="15">
        <v>919.67</v>
      </c>
      <c r="K339" s="14" t="str" cm="1">
        <f t="array" ref="K339">_xlfn.IFS(Table44[[#This Row],[Sales]]&gt;40000,"Best Sales",Table44[[#This Row],[Sales]]&gt;20000,"Average Sales",Table44[[#This Row],[Sales]]&gt;0,"Poor Sales")</f>
        <v>Poor Sales</v>
      </c>
    </row>
    <row r="340" spans="1:11" x14ac:dyDescent="0.3">
      <c r="A340" s="6">
        <v>339</v>
      </c>
      <c r="B340" s="7">
        <v>45269</v>
      </c>
      <c r="C340" s="8" t="s">
        <v>37</v>
      </c>
      <c r="D340" s="8" t="s">
        <v>27</v>
      </c>
      <c r="E340" s="8" t="s">
        <v>17</v>
      </c>
      <c r="F340" s="8" t="s">
        <v>13</v>
      </c>
      <c r="G340" s="8" t="s">
        <v>34</v>
      </c>
      <c r="H340" s="9">
        <v>19511.96</v>
      </c>
      <c r="I340" s="8">
        <v>9</v>
      </c>
      <c r="J340" s="10">
        <v>3592.28</v>
      </c>
      <c r="K340" s="14" t="str" cm="1">
        <f t="array" ref="K340">_xlfn.IFS(Table44[[#This Row],[Sales]]&gt;40000,"Best Sales",Table44[[#This Row],[Sales]]&gt;20000,"Average Sales",Table44[[#This Row],[Sales]]&gt;0,"Poor Sales")</f>
        <v>Poor Sales</v>
      </c>
    </row>
    <row r="341" spans="1:11" x14ac:dyDescent="0.3">
      <c r="A341" s="11">
        <v>340</v>
      </c>
      <c r="B341" s="12">
        <v>45197</v>
      </c>
      <c r="C341" s="13" t="s">
        <v>26</v>
      </c>
      <c r="D341" s="13" t="s">
        <v>27</v>
      </c>
      <c r="E341" s="13" t="s">
        <v>12</v>
      </c>
      <c r="F341" s="13" t="s">
        <v>13</v>
      </c>
      <c r="G341" s="13" t="s">
        <v>34</v>
      </c>
      <c r="H341" s="14">
        <v>3861.56</v>
      </c>
      <c r="I341" s="13">
        <v>3</v>
      </c>
      <c r="J341" s="15">
        <v>788.54</v>
      </c>
      <c r="K341" s="14" t="str" cm="1">
        <f t="array" ref="K341">_xlfn.IFS(Table44[[#This Row],[Sales]]&gt;40000,"Best Sales",Table44[[#This Row],[Sales]]&gt;20000,"Average Sales",Table44[[#This Row],[Sales]]&gt;0,"Poor Sales")</f>
        <v>Poor Sales</v>
      </c>
    </row>
    <row r="342" spans="1:11" x14ac:dyDescent="0.3">
      <c r="A342" s="6">
        <v>341</v>
      </c>
      <c r="B342" s="7">
        <v>45107</v>
      </c>
      <c r="C342" s="8" t="s">
        <v>15</v>
      </c>
      <c r="D342" s="8" t="s">
        <v>16</v>
      </c>
      <c r="E342" s="8" t="s">
        <v>17</v>
      </c>
      <c r="F342" s="8" t="s">
        <v>31</v>
      </c>
      <c r="G342" s="8" t="s">
        <v>39</v>
      </c>
      <c r="H342" s="9">
        <v>5630.69</v>
      </c>
      <c r="I342" s="8">
        <v>7</v>
      </c>
      <c r="J342" s="10">
        <v>337.23</v>
      </c>
      <c r="K342" s="14" t="str" cm="1">
        <f t="array" ref="K342">_xlfn.IFS(Table44[[#This Row],[Sales]]&gt;40000,"Best Sales",Table44[[#This Row],[Sales]]&gt;20000,"Average Sales",Table44[[#This Row],[Sales]]&gt;0,"Poor Sales")</f>
        <v>Poor Sales</v>
      </c>
    </row>
    <row r="343" spans="1:11" x14ac:dyDescent="0.3">
      <c r="A343" s="11">
        <v>342</v>
      </c>
      <c r="B343" s="12">
        <v>45286</v>
      </c>
      <c r="C343" s="13" t="s">
        <v>26</v>
      </c>
      <c r="D343" s="13" t="s">
        <v>27</v>
      </c>
      <c r="E343" s="13" t="s">
        <v>20</v>
      </c>
      <c r="F343" s="13" t="s">
        <v>31</v>
      </c>
      <c r="G343" s="13" t="s">
        <v>39</v>
      </c>
      <c r="H343" s="14">
        <v>12929.68</v>
      </c>
      <c r="I343" s="13">
        <v>1</v>
      </c>
      <c r="J343" s="15">
        <v>3699.71</v>
      </c>
      <c r="K343" s="14" t="str" cm="1">
        <f t="array" ref="K343">_xlfn.IFS(Table44[[#This Row],[Sales]]&gt;40000,"Best Sales",Table44[[#This Row],[Sales]]&gt;20000,"Average Sales",Table44[[#This Row],[Sales]]&gt;0,"Poor Sales")</f>
        <v>Poor Sales</v>
      </c>
    </row>
    <row r="344" spans="1:11" x14ac:dyDescent="0.3">
      <c r="A344" s="6">
        <v>343</v>
      </c>
      <c r="B344" s="7">
        <v>45136</v>
      </c>
      <c r="C344" s="8" t="s">
        <v>22</v>
      </c>
      <c r="D344" s="8" t="s">
        <v>22</v>
      </c>
      <c r="E344" s="8" t="s">
        <v>20</v>
      </c>
      <c r="F344" s="8" t="s">
        <v>13</v>
      </c>
      <c r="G344" s="8" t="s">
        <v>21</v>
      </c>
      <c r="H344" s="9">
        <v>2770.4</v>
      </c>
      <c r="I344" s="8">
        <v>7</v>
      </c>
      <c r="J344" s="10">
        <v>401.13</v>
      </c>
      <c r="K344" s="14" t="str" cm="1">
        <f t="array" ref="K344">_xlfn.IFS(Table44[[#This Row],[Sales]]&gt;40000,"Best Sales",Table44[[#This Row],[Sales]]&gt;20000,"Average Sales",Table44[[#This Row],[Sales]]&gt;0,"Poor Sales")</f>
        <v>Poor Sales</v>
      </c>
    </row>
    <row r="345" spans="1:11" x14ac:dyDescent="0.3">
      <c r="A345" s="11">
        <v>344</v>
      </c>
      <c r="B345" s="12">
        <v>45076</v>
      </c>
      <c r="C345" s="13" t="s">
        <v>38</v>
      </c>
      <c r="D345" s="13" t="s">
        <v>27</v>
      </c>
      <c r="E345" s="13" t="s">
        <v>12</v>
      </c>
      <c r="F345" s="13" t="s">
        <v>31</v>
      </c>
      <c r="G345" s="13" t="s">
        <v>32</v>
      </c>
      <c r="H345" s="14">
        <v>44238.62</v>
      </c>
      <c r="I345" s="13">
        <v>7</v>
      </c>
      <c r="J345" s="15">
        <v>10311.209999999999</v>
      </c>
      <c r="K345" s="14" t="str" cm="1">
        <f t="array" ref="K345">_xlfn.IFS(Table44[[#This Row],[Sales]]&gt;40000,"Best Sales",Table44[[#This Row],[Sales]]&gt;20000,"Average Sales",Table44[[#This Row],[Sales]]&gt;0,"Poor Sales")</f>
        <v>Best Sales</v>
      </c>
    </row>
    <row r="346" spans="1:11" x14ac:dyDescent="0.3">
      <c r="A346" s="6">
        <v>345</v>
      </c>
      <c r="B346" s="7">
        <v>45024</v>
      </c>
      <c r="C346" s="8" t="s">
        <v>18</v>
      </c>
      <c r="D346" s="8" t="s">
        <v>19</v>
      </c>
      <c r="E346" s="8" t="s">
        <v>17</v>
      </c>
      <c r="F346" s="8" t="s">
        <v>13</v>
      </c>
      <c r="G346" s="8" t="s">
        <v>34</v>
      </c>
      <c r="H346" s="9">
        <v>34979.96</v>
      </c>
      <c r="I346" s="8">
        <v>3</v>
      </c>
      <c r="J346" s="10">
        <v>6888.91</v>
      </c>
      <c r="K346" s="14" t="str" cm="1">
        <f t="array" ref="K346">_xlfn.IFS(Table44[[#This Row],[Sales]]&gt;40000,"Best Sales",Table44[[#This Row],[Sales]]&gt;20000,"Average Sales",Table44[[#This Row],[Sales]]&gt;0,"Poor Sales")</f>
        <v>Average Sales</v>
      </c>
    </row>
    <row r="347" spans="1:11" x14ac:dyDescent="0.3">
      <c r="A347" s="11">
        <v>346</v>
      </c>
      <c r="B347" s="12">
        <v>45085</v>
      </c>
      <c r="C347" s="13" t="s">
        <v>22</v>
      </c>
      <c r="D347" s="13" t="s">
        <v>22</v>
      </c>
      <c r="E347" s="13" t="s">
        <v>12</v>
      </c>
      <c r="F347" s="13" t="s">
        <v>31</v>
      </c>
      <c r="G347" s="13" t="s">
        <v>32</v>
      </c>
      <c r="H347" s="14">
        <v>48862.53</v>
      </c>
      <c r="I347" s="13">
        <v>4</v>
      </c>
      <c r="J347" s="15">
        <v>12427.15</v>
      </c>
      <c r="K347" s="14" t="str" cm="1">
        <f t="array" ref="K347">_xlfn.IFS(Table44[[#This Row],[Sales]]&gt;40000,"Best Sales",Table44[[#This Row],[Sales]]&gt;20000,"Average Sales",Table44[[#This Row],[Sales]]&gt;0,"Poor Sales")</f>
        <v>Best Sales</v>
      </c>
    </row>
    <row r="348" spans="1:11" x14ac:dyDescent="0.3">
      <c r="A348" s="6">
        <v>347</v>
      </c>
      <c r="B348" s="7">
        <v>45207</v>
      </c>
      <c r="C348" s="8" t="s">
        <v>37</v>
      </c>
      <c r="D348" s="8" t="s">
        <v>27</v>
      </c>
      <c r="E348" s="8" t="s">
        <v>17</v>
      </c>
      <c r="F348" s="8" t="s">
        <v>13</v>
      </c>
      <c r="G348" s="8" t="s">
        <v>21</v>
      </c>
      <c r="H348" s="9">
        <v>8542.52</v>
      </c>
      <c r="I348" s="8">
        <v>9</v>
      </c>
      <c r="J348" s="10">
        <v>1149.1300000000001</v>
      </c>
      <c r="K348" s="14" t="str" cm="1">
        <f t="array" ref="K348">_xlfn.IFS(Table44[[#This Row],[Sales]]&gt;40000,"Best Sales",Table44[[#This Row],[Sales]]&gt;20000,"Average Sales",Table44[[#This Row],[Sales]]&gt;0,"Poor Sales")</f>
        <v>Poor Sales</v>
      </c>
    </row>
    <row r="349" spans="1:11" x14ac:dyDescent="0.3">
      <c r="A349" s="11">
        <v>348</v>
      </c>
      <c r="B349" s="12">
        <v>45256</v>
      </c>
      <c r="C349" s="13" t="s">
        <v>10</v>
      </c>
      <c r="D349" s="13" t="s">
        <v>11</v>
      </c>
      <c r="E349" s="13" t="s">
        <v>20</v>
      </c>
      <c r="F349" s="13" t="s">
        <v>13</v>
      </c>
      <c r="G349" s="13" t="s">
        <v>14</v>
      </c>
      <c r="H349" s="14">
        <v>27306.13</v>
      </c>
      <c r="I349" s="13">
        <v>6</v>
      </c>
      <c r="J349" s="15">
        <v>6925.83</v>
      </c>
      <c r="K349" s="14" t="str" cm="1">
        <f t="array" ref="K349">_xlfn.IFS(Table44[[#This Row],[Sales]]&gt;40000,"Best Sales",Table44[[#This Row],[Sales]]&gt;20000,"Average Sales",Table44[[#This Row],[Sales]]&gt;0,"Poor Sales")</f>
        <v>Average Sales</v>
      </c>
    </row>
    <row r="350" spans="1:11" x14ac:dyDescent="0.3">
      <c r="A350" s="6">
        <v>349</v>
      </c>
      <c r="B350" s="7">
        <v>45192</v>
      </c>
      <c r="C350" s="8" t="s">
        <v>26</v>
      </c>
      <c r="D350" s="8" t="s">
        <v>27</v>
      </c>
      <c r="E350" s="8" t="s">
        <v>20</v>
      </c>
      <c r="F350" s="8" t="s">
        <v>13</v>
      </c>
      <c r="G350" s="8" t="s">
        <v>14</v>
      </c>
      <c r="H350" s="9">
        <v>6233.07</v>
      </c>
      <c r="I350" s="8">
        <v>2</v>
      </c>
      <c r="J350" s="10">
        <v>1160.33</v>
      </c>
      <c r="K350" s="14" t="str" cm="1">
        <f t="array" ref="K350">_xlfn.IFS(Table44[[#This Row],[Sales]]&gt;40000,"Best Sales",Table44[[#This Row],[Sales]]&gt;20000,"Average Sales",Table44[[#This Row],[Sales]]&gt;0,"Poor Sales")</f>
        <v>Poor Sales</v>
      </c>
    </row>
    <row r="351" spans="1:11" x14ac:dyDescent="0.3">
      <c r="A351" s="11">
        <v>350</v>
      </c>
      <c r="B351" s="12">
        <v>44946</v>
      </c>
      <c r="C351" s="13" t="s">
        <v>37</v>
      </c>
      <c r="D351" s="13" t="s">
        <v>27</v>
      </c>
      <c r="E351" s="13" t="s">
        <v>12</v>
      </c>
      <c r="F351" s="13" t="s">
        <v>24</v>
      </c>
      <c r="G351" s="13" t="s">
        <v>28</v>
      </c>
      <c r="H351" s="14">
        <v>16041.6</v>
      </c>
      <c r="I351" s="13">
        <v>4</v>
      </c>
      <c r="J351" s="15">
        <v>3108.36</v>
      </c>
      <c r="K351" s="14" t="str" cm="1">
        <f t="array" ref="K351">_xlfn.IFS(Table44[[#This Row],[Sales]]&gt;40000,"Best Sales",Table44[[#This Row],[Sales]]&gt;20000,"Average Sales",Table44[[#This Row],[Sales]]&gt;0,"Poor Sales")</f>
        <v>Poor Sales</v>
      </c>
    </row>
    <row r="352" spans="1:11" x14ac:dyDescent="0.3">
      <c r="A352" s="6">
        <v>351</v>
      </c>
      <c r="B352" s="7">
        <v>44960</v>
      </c>
      <c r="C352" s="8" t="s">
        <v>37</v>
      </c>
      <c r="D352" s="8" t="s">
        <v>27</v>
      </c>
      <c r="E352" s="8" t="s">
        <v>17</v>
      </c>
      <c r="F352" s="8" t="s">
        <v>13</v>
      </c>
      <c r="G352" s="8" t="s">
        <v>14</v>
      </c>
      <c r="H352" s="9">
        <v>32906.46</v>
      </c>
      <c r="I352" s="8">
        <v>10</v>
      </c>
      <c r="J352" s="10">
        <v>2385.66</v>
      </c>
      <c r="K352" s="14" t="str" cm="1">
        <f t="array" ref="K352">_xlfn.IFS(Table44[[#This Row],[Sales]]&gt;40000,"Best Sales",Table44[[#This Row],[Sales]]&gt;20000,"Average Sales",Table44[[#This Row],[Sales]]&gt;0,"Poor Sales")</f>
        <v>Average Sales</v>
      </c>
    </row>
    <row r="353" spans="1:11" x14ac:dyDescent="0.3">
      <c r="A353" s="11">
        <v>352</v>
      </c>
      <c r="B353" s="12">
        <v>44988</v>
      </c>
      <c r="C353" s="13" t="s">
        <v>22</v>
      </c>
      <c r="D353" s="13" t="s">
        <v>22</v>
      </c>
      <c r="E353" s="13" t="s">
        <v>12</v>
      </c>
      <c r="F353" s="13" t="s">
        <v>31</v>
      </c>
      <c r="G353" s="13" t="s">
        <v>39</v>
      </c>
      <c r="H353" s="14">
        <v>37239.54</v>
      </c>
      <c r="I353" s="13">
        <v>7</v>
      </c>
      <c r="J353" s="15">
        <v>2504.85</v>
      </c>
      <c r="K353" s="14" t="str" cm="1">
        <f t="array" ref="K353">_xlfn.IFS(Table44[[#This Row],[Sales]]&gt;40000,"Best Sales",Table44[[#This Row],[Sales]]&gt;20000,"Average Sales",Table44[[#This Row],[Sales]]&gt;0,"Poor Sales")</f>
        <v>Average Sales</v>
      </c>
    </row>
    <row r="354" spans="1:11" x14ac:dyDescent="0.3">
      <c r="A354" s="6">
        <v>353</v>
      </c>
      <c r="B354" s="7">
        <v>45202</v>
      </c>
      <c r="C354" s="8" t="s">
        <v>22</v>
      </c>
      <c r="D354" s="8" t="s">
        <v>22</v>
      </c>
      <c r="E354" s="8" t="s">
        <v>17</v>
      </c>
      <c r="F354" s="8" t="s">
        <v>31</v>
      </c>
      <c r="G354" s="8" t="s">
        <v>39</v>
      </c>
      <c r="H354" s="9">
        <v>4483.34</v>
      </c>
      <c r="I354" s="8">
        <v>9</v>
      </c>
      <c r="J354" s="10">
        <v>1083.8</v>
      </c>
      <c r="K354" s="14" t="str" cm="1">
        <f t="array" ref="K354">_xlfn.IFS(Table44[[#This Row],[Sales]]&gt;40000,"Best Sales",Table44[[#This Row],[Sales]]&gt;20000,"Average Sales",Table44[[#This Row],[Sales]]&gt;0,"Poor Sales")</f>
        <v>Poor Sales</v>
      </c>
    </row>
    <row r="355" spans="1:11" x14ac:dyDescent="0.3">
      <c r="A355" s="11">
        <v>354</v>
      </c>
      <c r="B355" s="12">
        <v>44965</v>
      </c>
      <c r="C355" s="13" t="s">
        <v>37</v>
      </c>
      <c r="D355" s="13" t="s">
        <v>27</v>
      </c>
      <c r="E355" s="13" t="s">
        <v>20</v>
      </c>
      <c r="F355" s="13" t="s">
        <v>31</v>
      </c>
      <c r="G355" s="13" t="s">
        <v>32</v>
      </c>
      <c r="H355" s="14">
        <v>48213.14</v>
      </c>
      <c r="I355" s="13">
        <v>6</v>
      </c>
      <c r="J355" s="15">
        <v>10326.15</v>
      </c>
      <c r="K355" s="14" t="str" cm="1">
        <f t="array" ref="K355">_xlfn.IFS(Table44[[#This Row],[Sales]]&gt;40000,"Best Sales",Table44[[#This Row],[Sales]]&gt;20000,"Average Sales",Table44[[#This Row],[Sales]]&gt;0,"Poor Sales")</f>
        <v>Best Sales</v>
      </c>
    </row>
    <row r="356" spans="1:11" x14ac:dyDescent="0.3">
      <c r="A356" s="6">
        <v>355</v>
      </c>
      <c r="B356" s="7">
        <v>45087</v>
      </c>
      <c r="C356" s="8" t="s">
        <v>22</v>
      </c>
      <c r="D356" s="8" t="s">
        <v>22</v>
      </c>
      <c r="E356" s="8" t="s">
        <v>20</v>
      </c>
      <c r="F356" s="8" t="s">
        <v>24</v>
      </c>
      <c r="G356" s="8" t="s">
        <v>29</v>
      </c>
      <c r="H356" s="9">
        <v>42851.99</v>
      </c>
      <c r="I356" s="8">
        <v>5</v>
      </c>
      <c r="J356" s="10">
        <v>9496.2099999999991</v>
      </c>
      <c r="K356" s="14" t="str" cm="1">
        <f t="array" ref="K356">_xlfn.IFS(Table44[[#This Row],[Sales]]&gt;40000,"Best Sales",Table44[[#This Row],[Sales]]&gt;20000,"Average Sales",Table44[[#This Row],[Sales]]&gt;0,"Poor Sales")</f>
        <v>Best Sales</v>
      </c>
    </row>
    <row r="357" spans="1:11" x14ac:dyDescent="0.3">
      <c r="A357" s="11">
        <v>356</v>
      </c>
      <c r="B357" s="12">
        <v>44987</v>
      </c>
      <c r="C357" s="13" t="s">
        <v>18</v>
      </c>
      <c r="D357" s="13" t="s">
        <v>19</v>
      </c>
      <c r="E357" s="13" t="s">
        <v>12</v>
      </c>
      <c r="F357" s="13" t="s">
        <v>24</v>
      </c>
      <c r="G357" s="13" t="s">
        <v>28</v>
      </c>
      <c r="H357" s="14">
        <v>1320.69</v>
      </c>
      <c r="I357" s="13">
        <v>2</v>
      </c>
      <c r="J357" s="15">
        <v>152.43</v>
      </c>
      <c r="K357" s="14" t="str" cm="1">
        <f t="array" ref="K357">_xlfn.IFS(Table44[[#This Row],[Sales]]&gt;40000,"Best Sales",Table44[[#This Row],[Sales]]&gt;20000,"Average Sales",Table44[[#This Row],[Sales]]&gt;0,"Poor Sales")</f>
        <v>Poor Sales</v>
      </c>
    </row>
    <row r="358" spans="1:11" x14ac:dyDescent="0.3">
      <c r="A358" s="6">
        <v>357</v>
      </c>
      <c r="B358" s="7">
        <v>45093</v>
      </c>
      <c r="C358" s="8" t="s">
        <v>38</v>
      </c>
      <c r="D358" s="8" t="s">
        <v>27</v>
      </c>
      <c r="E358" s="8" t="s">
        <v>17</v>
      </c>
      <c r="F358" s="8" t="s">
        <v>31</v>
      </c>
      <c r="G358" s="8" t="s">
        <v>33</v>
      </c>
      <c r="H358" s="9">
        <v>27600.51</v>
      </c>
      <c r="I358" s="8">
        <v>4</v>
      </c>
      <c r="J358" s="10">
        <v>6255.76</v>
      </c>
      <c r="K358" s="14" t="str" cm="1">
        <f t="array" ref="K358">_xlfn.IFS(Table44[[#This Row],[Sales]]&gt;40000,"Best Sales",Table44[[#This Row],[Sales]]&gt;20000,"Average Sales",Table44[[#This Row],[Sales]]&gt;0,"Poor Sales")</f>
        <v>Average Sales</v>
      </c>
    </row>
    <row r="359" spans="1:11" x14ac:dyDescent="0.3">
      <c r="A359" s="11">
        <v>358</v>
      </c>
      <c r="B359" s="12">
        <v>44942</v>
      </c>
      <c r="C359" s="13" t="s">
        <v>15</v>
      </c>
      <c r="D359" s="13" t="s">
        <v>16</v>
      </c>
      <c r="E359" s="13" t="s">
        <v>12</v>
      </c>
      <c r="F359" s="13" t="s">
        <v>13</v>
      </c>
      <c r="G359" s="13" t="s">
        <v>21</v>
      </c>
      <c r="H359" s="14">
        <v>36776.78</v>
      </c>
      <c r="I359" s="13">
        <v>10</v>
      </c>
      <c r="J359" s="15">
        <v>9228.1200000000008</v>
      </c>
      <c r="K359" s="14" t="str" cm="1">
        <f t="array" ref="K359">_xlfn.IFS(Table44[[#This Row],[Sales]]&gt;40000,"Best Sales",Table44[[#This Row],[Sales]]&gt;20000,"Average Sales",Table44[[#This Row],[Sales]]&gt;0,"Poor Sales")</f>
        <v>Average Sales</v>
      </c>
    </row>
    <row r="360" spans="1:11" x14ac:dyDescent="0.3">
      <c r="A360" s="6">
        <v>359</v>
      </c>
      <c r="B360" s="7">
        <v>45214</v>
      </c>
      <c r="C360" s="8" t="s">
        <v>30</v>
      </c>
      <c r="D360" s="8" t="s">
        <v>16</v>
      </c>
      <c r="E360" s="8" t="s">
        <v>17</v>
      </c>
      <c r="F360" s="8" t="s">
        <v>31</v>
      </c>
      <c r="G360" s="8" t="s">
        <v>33</v>
      </c>
      <c r="H360" s="9">
        <v>23572.9</v>
      </c>
      <c r="I360" s="8">
        <v>9</v>
      </c>
      <c r="J360" s="10">
        <v>2990.66</v>
      </c>
      <c r="K360" s="14" t="str" cm="1">
        <f t="array" ref="K360">_xlfn.IFS(Table44[[#This Row],[Sales]]&gt;40000,"Best Sales",Table44[[#This Row],[Sales]]&gt;20000,"Average Sales",Table44[[#This Row],[Sales]]&gt;0,"Poor Sales")</f>
        <v>Average Sales</v>
      </c>
    </row>
    <row r="361" spans="1:11" x14ac:dyDescent="0.3">
      <c r="A361" s="11">
        <v>360</v>
      </c>
      <c r="B361" s="12">
        <v>45259</v>
      </c>
      <c r="C361" s="13" t="s">
        <v>30</v>
      </c>
      <c r="D361" s="13" t="s">
        <v>16</v>
      </c>
      <c r="E361" s="13" t="s">
        <v>20</v>
      </c>
      <c r="F361" s="13" t="s">
        <v>13</v>
      </c>
      <c r="G361" s="13" t="s">
        <v>21</v>
      </c>
      <c r="H361" s="14">
        <v>47935.1</v>
      </c>
      <c r="I361" s="13">
        <v>5</v>
      </c>
      <c r="J361" s="15">
        <v>13700.82</v>
      </c>
      <c r="K361" s="14" t="str" cm="1">
        <f t="array" ref="K361">_xlfn.IFS(Table44[[#This Row],[Sales]]&gt;40000,"Best Sales",Table44[[#This Row],[Sales]]&gt;20000,"Average Sales",Table44[[#This Row],[Sales]]&gt;0,"Poor Sales")</f>
        <v>Best Sales</v>
      </c>
    </row>
    <row r="362" spans="1:11" x14ac:dyDescent="0.3">
      <c r="A362" s="6">
        <v>361</v>
      </c>
      <c r="B362" s="7">
        <v>45227</v>
      </c>
      <c r="C362" s="8" t="s">
        <v>35</v>
      </c>
      <c r="D362" s="8" t="s">
        <v>36</v>
      </c>
      <c r="E362" s="8" t="s">
        <v>20</v>
      </c>
      <c r="F362" s="8" t="s">
        <v>24</v>
      </c>
      <c r="G362" s="8" t="s">
        <v>25</v>
      </c>
      <c r="H362" s="9">
        <v>48787.24</v>
      </c>
      <c r="I362" s="8">
        <v>5</v>
      </c>
      <c r="J362" s="10">
        <v>4438.05</v>
      </c>
      <c r="K362" s="14" t="str" cm="1">
        <f t="array" ref="K362">_xlfn.IFS(Table44[[#This Row],[Sales]]&gt;40000,"Best Sales",Table44[[#This Row],[Sales]]&gt;20000,"Average Sales",Table44[[#This Row],[Sales]]&gt;0,"Poor Sales")</f>
        <v>Best Sales</v>
      </c>
    </row>
    <row r="363" spans="1:11" x14ac:dyDescent="0.3">
      <c r="A363" s="11">
        <v>362</v>
      </c>
      <c r="B363" s="12">
        <v>45215</v>
      </c>
      <c r="C363" s="13" t="s">
        <v>38</v>
      </c>
      <c r="D363" s="13" t="s">
        <v>27</v>
      </c>
      <c r="E363" s="13" t="s">
        <v>12</v>
      </c>
      <c r="F363" s="13" t="s">
        <v>24</v>
      </c>
      <c r="G363" s="13" t="s">
        <v>29</v>
      </c>
      <c r="H363" s="14">
        <v>40509.99</v>
      </c>
      <c r="I363" s="13">
        <v>10</v>
      </c>
      <c r="J363" s="15">
        <v>9829.24</v>
      </c>
      <c r="K363" s="14" t="str" cm="1">
        <f t="array" ref="K363">_xlfn.IFS(Table44[[#This Row],[Sales]]&gt;40000,"Best Sales",Table44[[#This Row],[Sales]]&gt;20000,"Average Sales",Table44[[#This Row],[Sales]]&gt;0,"Poor Sales")</f>
        <v>Best Sales</v>
      </c>
    </row>
    <row r="364" spans="1:11" x14ac:dyDescent="0.3">
      <c r="A364" s="6">
        <v>363</v>
      </c>
      <c r="B364" s="7">
        <v>45006</v>
      </c>
      <c r="C364" s="8" t="s">
        <v>22</v>
      </c>
      <c r="D364" s="8" t="s">
        <v>22</v>
      </c>
      <c r="E364" s="8" t="s">
        <v>17</v>
      </c>
      <c r="F364" s="8" t="s">
        <v>13</v>
      </c>
      <c r="G364" s="8" t="s">
        <v>34</v>
      </c>
      <c r="H364" s="9">
        <v>48237.08</v>
      </c>
      <c r="I364" s="8">
        <v>4</v>
      </c>
      <c r="J364" s="10">
        <v>9886.32</v>
      </c>
      <c r="K364" s="14" t="str" cm="1">
        <f t="array" ref="K364">_xlfn.IFS(Table44[[#This Row],[Sales]]&gt;40000,"Best Sales",Table44[[#This Row],[Sales]]&gt;20000,"Average Sales",Table44[[#This Row],[Sales]]&gt;0,"Poor Sales")</f>
        <v>Best Sales</v>
      </c>
    </row>
    <row r="365" spans="1:11" x14ac:dyDescent="0.3">
      <c r="A365" s="11">
        <v>364</v>
      </c>
      <c r="B365" s="12">
        <v>45208</v>
      </c>
      <c r="C365" s="13" t="s">
        <v>38</v>
      </c>
      <c r="D365" s="13" t="s">
        <v>27</v>
      </c>
      <c r="E365" s="13" t="s">
        <v>12</v>
      </c>
      <c r="F365" s="13" t="s">
        <v>31</v>
      </c>
      <c r="G365" s="13" t="s">
        <v>33</v>
      </c>
      <c r="H365" s="14">
        <v>8457.08</v>
      </c>
      <c r="I365" s="13">
        <v>3</v>
      </c>
      <c r="J365" s="15">
        <v>618.28</v>
      </c>
      <c r="K365" s="14" t="str" cm="1">
        <f t="array" ref="K365">_xlfn.IFS(Table44[[#This Row],[Sales]]&gt;40000,"Best Sales",Table44[[#This Row],[Sales]]&gt;20000,"Average Sales",Table44[[#This Row],[Sales]]&gt;0,"Poor Sales")</f>
        <v>Poor Sales</v>
      </c>
    </row>
    <row r="366" spans="1:11" x14ac:dyDescent="0.3">
      <c r="A366" s="6">
        <v>365</v>
      </c>
      <c r="B366" s="7">
        <v>45110</v>
      </c>
      <c r="C366" s="8" t="s">
        <v>30</v>
      </c>
      <c r="D366" s="8" t="s">
        <v>16</v>
      </c>
      <c r="E366" s="8" t="s">
        <v>17</v>
      </c>
      <c r="F366" s="8" t="s">
        <v>31</v>
      </c>
      <c r="G366" s="8" t="s">
        <v>33</v>
      </c>
      <c r="H366" s="9">
        <v>38741.599999999999</v>
      </c>
      <c r="I366" s="8">
        <v>2</v>
      </c>
      <c r="J366" s="10">
        <v>3876.42</v>
      </c>
      <c r="K366" s="14" t="str" cm="1">
        <f t="array" ref="K366">_xlfn.IFS(Table44[[#This Row],[Sales]]&gt;40000,"Best Sales",Table44[[#This Row],[Sales]]&gt;20000,"Average Sales",Table44[[#This Row],[Sales]]&gt;0,"Poor Sales")</f>
        <v>Average Sales</v>
      </c>
    </row>
    <row r="367" spans="1:11" x14ac:dyDescent="0.3">
      <c r="A367" s="11">
        <v>366</v>
      </c>
      <c r="B367" s="12">
        <v>45185</v>
      </c>
      <c r="C367" s="13" t="s">
        <v>26</v>
      </c>
      <c r="D367" s="13" t="s">
        <v>27</v>
      </c>
      <c r="E367" s="13" t="s">
        <v>20</v>
      </c>
      <c r="F367" s="13" t="s">
        <v>13</v>
      </c>
      <c r="G367" s="13" t="s">
        <v>34</v>
      </c>
      <c r="H367" s="14">
        <v>2389.33</v>
      </c>
      <c r="I367" s="13">
        <v>2</v>
      </c>
      <c r="J367" s="15">
        <v>314.41000000000003</v>
      </c>
      <c r="K367" s="14" t="str" cm="1">
        <f t="array" ref="K367">_xlfn.IFS(Table44[[#This Row],[Sales]]&gt;40000,"Best Sales",Table44[[#This Row],[Sales]]&gt;20000,"Average Sales",Table44[[#This Row],[Sales]]&gt;0,"Poor Sales")</f>
        <v>Poor Sales</v>
      </c>
    </row>
    <row r="368" spans="1:11" x14ac:dyDescent="0.3">
      <c r="A368" s="6">
        <v>367</v>
      </c>
      <c r="B368" s="7">
        <v>45271</v>
      </c>
      <c r="C368" s="8" t="s">
        <v>18</v>
      </c>
      <c r="D368" s="8" t="s">
        <v>19</v>
      </c>
      <c r="E368" s="8" t="s">
        <v>20</v>
      </c>
      <c r="F368" s="8" t="s">
        <v>13</v>
      </c>
      <c r="G368" s="8" t="s">
        <v>21</v>
      </c>
      <c r="H368" s="9">
        <v>49373.38</v>
      </c>
      <c r="I368" s="8">
        <v>5</v>
      </c>
      <c r="J368" s="10">
        <v>3614.64</v>
      </c>
      <c r="K368" s="14" t="str" cm="1">
        <f t="array" ref="K368">_xlfn.IFS(Table44[[#This Row],[Sales]]&gt;40000,"Best Sales",Table44[[#This Row],[Sales]]&gt;20000,"Average Sales",Table44[[#This Row],[Sales]]&gt;0,"Poor Sales")</f>
        <v>Best Sales</v>
      </c>
    </row>
    <row r="369" spans="1:11" x14ac:dyDescent="0.3">
      <c r="A369" s="11">
        <v>368</v>
      </c>
      <c r="B369" s="12">
        <v>45039</v>
      </c>
      <c r="C369" s="13" t="s">
        <v>37</v>
      </c>
      <c r="D369" s="13" t="s">
        <v>27</v>
      </c>
      <c r="E369" s="13" t="s">
        <v>12</v>
      </c>
      <c r="F369" s="13" t="s">
        <v>24</v>
      </c>
      <c r="G369" s="13" t="s">
        <v>28</v>
      </c>
      <c r="H369" s="14">
        <v>8784.44</v>
      </c>
      <c r="I369" s="13">
        <v>3</v>
      </c>
      <c r="J369" s="15">
        <v>2460.11</v>
      </c>
      <c r="K369" s="14" t="str" cm="1">
        <f t="array" ref="K369">_xlfn.IFS(Table44[[#This Row],[Sales]]&gt;40000,"Best Sales",Table44[[#This Row],[Sales]]&gt;20000,"Average Sales",Table44[[#This Row],[Sales]]&gt;0,"Poor Sales")</f>
        <v>Poor Sales</v>
      </c>
    </row>
    <row r="370" spans="1:11" x14ac:dyDescent="0.3">
      <c r="A370" s="6">
        <v>369</v>
      </c>
      <c r="B370" s="7">
        <v>45104</v>
      </c>
      <c r="C370" s="8" t="s">
        <v>22</v>
      </c>
      <c r="D370" s="8" t="s">
        <v>22</v>
      </c>
      <c r="E370" s="8" t="s">
        <v>17</v>
      </c>
      <c r="F370" s="8" t="s">
        <v>24</v>
      </c>
      <c r="G370" s="8" t="s">
        <v>25</v>
      </c>
      <c r="H370" s="9">
        <v>23978.25</v>
      </c>
      <c r="I370" s="8">
        <v>2</v>
      </c>
      <c r="J370" s="10">
        <v>4700.3500000000004</v>
      </c>
      <c r="K370" s="14" t="str" cm="1">
        <f t="array" ref="K370">_xlfn.IFS(Table44[[#This Row],[Sales]]&gt;40000,"Best Sales",Table44[[#This Row],[Sales]]&gt;20000,"Average Sales",Table44[[#This Row],[Sales]]&gt;0,"Poor Sales")</f>
        <v>Average Sales</v>
      </c>
    </row>
    <row r="371" spans="1:11" x14ac:dyDescent="0.3">
      <c r="A371" s="11">
        <v>370</v>
      </c>
      <c r="B371" s="12">
        <v>45221</v>
      </c>
      <c r="C371" s="13" t="s">
        <v>10</v>
      </c>
      <c r="D371" s="13" t="s">
        <v>11</v>
      </c>
      <c r="E371" s="13" t="s">
        <v>12</v>
      </c>
      <c r="F371" s="13" t="s">
        <v>31</v>
      </c>
      <c r="G371" s="13" t="s">
        <v>39</v>
      </c>
      <c r="H371" s="14">
        <v>45270.46</v>
      </c>
      <c r="I371" s="13">
        <v>3</v>
      </c>
      <c r="J371" s="15">
        <v>8514.58</v>
      </c>
      <c r="K371" s="14" t="str" cm="1">
        <f t="array" ref="K371">_xlfn.IFS(Table44[[#This Row],[Sales]]&gt;40000,"Best Sales",Table44[[#This Row],[Sales]]&gt;20000,"Average Sales",Table44[[#This Row],[Sales]]&gt;0,"Poor Sales")</f>
        <v>Best Sales</v>
      </c>
    </row>
    <row r="372" spans="1:11" x14ac:dyDescent="0.3">
      <c r="A372" s="6">
        <v>371</v>
      </c>
      <c r="B372" s="7">
        <v>45023</v>
      </c>
      <c r="C372" s="8" t="s">
        <v>35</v>
      </c>
      <c r="D372" s="8" t="s">
        <v>36</v>
      </c>
      <c r="E372" s="8" t="s">
        <v>17</v>
      </c>
      <c r="F372" s="8" t="s">
        <v>13</v>
      </c>
      <c r="G372" s="8" t="s">
        <v>21</v>
      </c>
      <c r="H372" s="9">
        <v>45850.91</v>
      </c>
      <c r="I372" s="8">
        <v>2</v>
      </c>
      <c r="J372" s="10">
        <v>6963.28</v>
      </c>
      <c r="K372" s="14" t="str" cm="1">
        <f t="array" ref="K372">_xlfn.IFS(Table44[[#This Row],[Sales]]&gt;40000,"Best Sales",Table44[[#This Row],[Sales]]&gt;20000,"Average Sales",Table44[[#This Row],[Sales]]&gt;0,"Poor Sales")</f>
        <v>Best Sales</v>
      </c>
    </row>
    <row r="373" spans="1:11" x14ac:dyDescent="0.3">
      <c r="A373" s="11">
        <v>372</v>
      </c>
      <c r="B373" s="12">
        <v>44927</v>
      </c>
      <c r="C373" s="13" t="s">
        <v>22</v>
      </c>
      <c r="D373" s="13" t="s">
        <v>22</v>
      </c>
      <c r="E373" s="13" t="s">
        <v>20</v>
      </c>
      <c r="F373" s="13" t="s">
        <v>13</v>
      </c>
      <c r="G373" s="13" t="s">
        <v>34</v>
      </c>
      <c r="H373" s="14">
        <v>49704.45</v>
      </c>
      <c r="I373" s="13">
        <v>1</v>
      </c>
      <c r="J373" s="15">
        <v>6338.36</v>
      </c>
      <c r="K373" s="14" t="str" cm="1">
        <f t="array" ref="K373">_xlfn.IFS(Table44[[#This Row],[Sales]]&gt;40000,"Best Sales",Table44[[#This Row],[Sales]]&gt;20000,"Average Sales",Table44[[#This Row],[Sales]]&gt;0,"Poor Sales")</f>
        <v>Best Sales</v>
      </c>
    </row>
    <row r="374" spans="1:11" x14ac:dyDescent="0.3">
      <c r="A374" s="6">
        <v>373</v>
      </c>
      <c r="B374" s="7">
        <v>45100</v>
      </c>
      <c r="C374" s="8" t="s">
        <v>10</v>
      </c>
      <c r="D374" s="8" t="s">
        <v>11</v>
      </c>
      <c r="E374" s="8" t="s">
        <v>20</v>
      </c>
      <c r="F374" s="8" t="s">
        <v>24</v>
      </c>
      <c r="G374" s="8" t="s">
        <v>29</v>
      </c>
      <c r="H374" s="9">
        <v>7689.17</v>
      </c>
      <c r="I374" s="8">
        <v>2</v>
      </c>
      <c r="J374" s="10">
        <v>2073.4699999999998</v>
      </c>
      <c r="K374" s="14" t="str" cm="1">
        <f t="array" ref="K374">_xlfn.IFS(Table44[[#This Row],[Sales]]&gt;40000,"Best Sales",Table44[[#This Row],[Sales]]&gt;20000,"Average Sales",Table44[[#This Row],[Sales]]&gt;0,"Poor Sales")</f>
        <v>Poor Sales</v>
      </c>
    </row>
    <row r="375" spans="1:11" x14ac:dyDescent="0.3">
      <c r="A375" s="11">
        <v>374</v>
      </c>
      <c r="B375" s="12">
        <v>45020</v>
      </c>
      <c r="C375" s="13" t="s">
        <v>37</v>
      </c>
      <c r="D375" s="13" t="s">
        <v>27</v>
      </c>
      <c r="E375" s="13" t="s">
        <v>12</v>
      </c>
      <c r="F375" s="13" t="s">
        <v>13</v>
      </c>
      <c r="G375" s="13" t="s">
        <v>21</v>
      </c>
      <c r="H375" s="14">
        <v>11067.26</v>
      </c>
      <c r="I375" s="13">
        <v>3</v>
      </c>
      <c r="J375" s="15">
        <v>2295.61</v>
      </c>
      <c r="K375" s="14" t="str" cm="1">
        <f t="array" ref="K375">_xlfn.IFS(Table44[[#This Row],[Sales]]&gt;40000,"Best Sales",Table44[[#This Row],[Sales]]&gt;20000,"Average Sales",Table44[[#This Row],[Sales]]&gt;0,"Poor Sales")</f>
        <v>Poor Sales</v>
      </c>
    </row>
    <row r="376" spans="1:11" x14ac:dyDescent="0.3">
      <c r="A376" s="6">
        <v>375</v>
      </c>
      <c r="B376" s="7">
        <v>45220</v>
      </c>
      <c r="C376" s="8" t="s">
        <v>18</v>
      </c>
      <c r="D376" s="8" t="s">
        <v>19</v>
      </c>
      <c r="E376" s="8" t="s">
        <v>17</v>
      </c>
      <c r="F376" s="8" t="s">
        <v>13</v>
      </c>
      <c r="G376" s="8" t="s">
        <v>21</v>
      </c>
      <c r="H376" s="9">
        <v>4039.27</v>
      </c>
      <c r="I376" s="8">
        <v>4</v>
      </c>
      <c r="J376" s="10">
        <v>706.06</v>
      </c>
      <c r="K376" s="14" t="str" cm="1">
        <f t="array" ref="K376">_xlfn.IFS(Table44[[#This Row],[Sales]]&gt;40000,"Best Sales",Table44[[#This Row],[Sales]]&gt;20000,"Average Sales",Table44[[#This Row],[Sales]]&gt;0,"Poor Sales")</f>
        <v>Poor Sales</v>
      </c>
    </row>
    <row r="377" spans="1:11" x14ac:dyDescent="0.3">
      <c r="A377" s="11">
        <v>376</v>
      </c>
      <c r="B377" s="12">
        <v>45084</v>
      </c>
      <c r="C377" s="13" t="s">
        <v>22</v>
      </c>
      <c r="D377" s="13" t="s">
        <v>22</v>
      </c>
      <c r="E377" s="13" t="s">
        <v>12</v>
      </c>
      <c r="F377" s="13" t="s">
        <v>13</v>
      </c>
      <c r="G377" s="13" t="s">
        <v>34</v>
      </c>
      <c r="H377" s="14">
        <v>21927.99</v>
      </c>
      <c r="I377" s="13">
        <v>1</v>
      </c>
      <c r="J377" s="15">
        <v>3544.98</v>
      </c>
      <c r="K377" s="14" t="str" cm="1">
        <f t="array" ref="K377">_xlfn.IFS(Table44[[#This Row],[Sales]]&gt;40000,"Best Sales",Table44[[#This Row],[Sales]]&gt;20000,"Average Sales",Table44[[#This Row],[Sales]]&gt;0,"Poor Sales")</f>
        <v>Average Sales</v>
      </c>
    </row>
    <row r="378" spans="1:11" x14ac:dyDescent="0.3">
      <c r="A378" s="6">
        <v>377</v>
      </c>
      <c r="B378" s="7">
        <v>45057</v>
      </c>
      <c r="C378" s="8" t="s">
        <v>30</v>
      </c>
      <c r="D378" s="8" t="s">
        <v>16</v>
      </c>
      <c r="E378" s="8" t="s">
        <v>17</v>
      </c>
      <c r="F378" s="8" t="s">
        <v>31</v>
      </c>
      <c r="G378" s="8" t="s">
        <v>32</v>
      </c>
      <c r="H378" s="9">
        <v>5975.75</v>
      </c>
      <c r="I378" s="8">
        <v>2</v>
      </c>
      <c r="J378" s="10">
        <v>329.14</v>
      </c>
      <c r="K378" s="14" t="str" cm="1">
        <f t="array" ref="K378">_xlfn.IFS(Table44[[#This Row],[Sales]]&gt;40000,"Best Sales",Table44[[#This Row],[Sales]]&gt;20000,"Average Sales",Table44[[#This Row],[Sales]]&gt;0,"Poor Sales")</f>
        <v>Poor Sales</v>
      </c>
    </row>
    <row r="379" spans="1:11" x14ac:dyDescent="0.3">
      <c r="A379" s="11">
        <v>378</v>
      </c>
      <c r="B379" s="12">
        <v>45191</v>
      </c>
      <c r="C379" s="13" t="s">
        <v>10</v>
      </c>
      <c r="D379" s="13" t="s">
        <v>11</v>
      </c>
      <c r="E379" s="13" t="s">
        <v>20</v>
      </c>
      <c r="F379" s="13" t="s">
        <v>31</v>
      </c>
      <c r="G379" s="13" t="s">
        <v>33</v>
      </c>
      <c r="H379" s="14">
        <v>20190.7</v>
      </c>
      <c r="I379" s="13">
        <v>3</v>
      </c>
      <c r="J379" s="15">
        <v>2927.7</v>
      </c>
      <c r="K379" s="14" t="str" cm="1">
        <f t="array" ref="K379">_xlfn.IFS(Table44[[#This Row],[Sales]]&gt;40000,"Best Sales",Table44[[#This Row],[Sales]]&gt;20000,"Average Sales",Table44[[#This Row],[Sales]]&gt;0,"Poor Sales")</f>
        <v>Average Sales</v>
      </c>
    </row>
    <row r="380" spans="1:11" x14ac:dyDescent="0.3">
      <c r="A380" s="6">
        <v>379</v>
      </c>
      <c r="B380" s="7">
        <v>44967</v>
      </c>
      <c r="C380" s="8" t="s">
        <v>22</v>
      </c>
      <c r="D380" s="8" t="s">
        <v>22</v>
      </c>
      <c r="E380" s="8" t="s">
        <v>20</v>
      </c>
      <c r="F380" s="8" t="s">
        <v>31</v>
      </c>
      <c r="G380" s="8" t="s">
        <v>33</v>
      </c>
      <c r="H380" s="9">
        <v>13485.54</v>
      </c>
      <c r="I380" s="8">
        <v>7</v>
      </c>
      <c r="J380" s="10">
        <v>3010.14</v>
      </c>
      <c r="K380" s="14" t="str" cm="1">
        <f t="array" ref="K380">_xlfn.IFS(Table44[[#This Row],[Sales]]&gt;40000,"Best Sales",Table44[[#This Row],[Sales]]&gt;20000,"Average Sales",Table44[[#This Row],[Sales]]&gt;0,"Poor Sales")</f>
        <v>Poor Sales</v>
      </c>
    </row>
    <row r="381" spans="1:11" x14ac:dyDescent="0.3">
      <c r="A381" s="11">
        <v>380</v>
      </c>
      <c r="B381" s="12">
        <v>45087</v>
      </c>
      <c r="C381" s="13" t="s">
        <v>15</v>
      </c>
      <c r="D381" s="13" t="s">
        <v>16</v>
      </c>
      <c r="E381" s="13" t="s">
        <v>12</v>
      </c>
      <c r="F381" s="13" t="s">
        <v>13</v>
      </c>
      <c r="G381" s="13" t="s">
        <v>34</v>
      </c>
      <c r="H381" s="14">
        <v>21403.96</v>
      </c>
      <c r="I381" s="13">
        <v>2</v>
      </c>
      <c r="J381" s="15">
        <v>5457.97</v>
      </c>
      <c r="K381" s="14" t="str" cm="1">
        <f t="array" ref="K381">_xlfn.IFS(Table44[[#This Row],[Sales]]&gt;40000,"Best Sales",Table44[[#This Row],[Sales]]&gt;20000,"Average Sales",Table44[[#This Row],[Sales]]&gt;0,"Poor Sales")</f>
        <v>Average Sales</v>
      </c>
    </row>
    <row r="382" spans="1:11" x14ac:dyDescent="0.3">
      <c r="A382" s="6">
        <v>381</v>
      </c>
      <c r="B382" s="7">
        <v>45216</v>
      </c>
      <c r="C382" s="8" t="s">
        <v>22</v>
      </c>
      <c r="D382" s="8" t="s">
        <v>22</v>
      </c>
      <c r="E382" s="8" t="s">
        <v>17</v>
      </c>
      <c r="F382" s="8" t="s">
        <v>13</v>
      </c>
      <c r="G382" s="8" t="s">
        <v>14</v>
      </c>
      <c r="H382" s="9">
        <v>28745.93</v>
      </c>
      <c r="I382" s="8">
        <v>8</v>
      </c>
      <c r="J382" s="10">
        <v>6468.31</v>
      </c>
      <c r="K382" s="14" t="str" cm="1">
        <f t="array" ref="K382">_xlfn.IFS(Table44[[#This Row],[Sales]]&gt;40000,"Best Sales",Table44[[#This Row],[Sales]]&gt;20000,"Average Sales",Table44[[#This Row],[Sales]]&gt;0,"Poor Sales")</f>
        <v>Average Sales</v>
      </c>
    </row>
    <row r="383" spans="1:11" x14ac:dyDescent="0.3">
      <c r="A383" s="11">
        <v>382</v>
      </c>
      <c r="B383" s="12">
        <v>45116</v>
      </c>
      <c r="C383" s="13" t="s">
        <v>30</v>
      </c>
      <c r="D383" s="13" t="s">
        <v>16</v>
      </c>
      <c r="E383" s="13" t="s">
        <v>12</v>
      </c>
      <c r="F383" s="13" t="s">
        <v>24</v>
      </c>
      <c r="G383" s="13" t="s">
        <v>29</v>
      </c>
      <c r="H383" s="14">
        <v>7482.71</v>
      </c>
      <c r="I383" s="13">
        <v>5</v>
      </c>
      <c r="J383" s="15">
        <v>437.89</v>
      </c>
      <c r="K383" s="14" t="str" cm="1">
        <f t="array" ref="K383">_xlfn.IFS(Table44[[#This Row],[Sales]]&gt;40000,"Best Sales",Table44[[#This Row],[Sales]]&gt;20000,"Average Sales",Table44[[#This Row],[Sales]]&gt;0,"Poor Sales")</f>
        <v>Poor Sales</v>
      </c>
    </row>
    <row r="384" spans="1:11" x14ac:dyDescent="0.3">
      <c r="A384" s="6">
        <v>383</v>
      </c>
      <c r="B384" s="7">
        <v>45266</v>
      </c>
      <c r="C384" s="8" t="s">
        <v>37</v>
      </c>
      <c r="D384" s="8" t="s">
        <v>27</v>
      </c>
      <c r="E384" s="8" t="s">
        <v>17</v>
      </c>
      <c r="F384" s="8" t="s">
        <v>24</v>
      </c>
      <c r="G384" s="8" t="s">
        <v>25</v>
      </c>
      <c r="H384" s="9">
        <v>46251.07</v>
      </c>
      <c r="I384" s="8">
        <v>7</v>
      </c>
      <c r="J384" s="10">
        <v>2777.42</v>
      </c>
      <c r="K384" s="14" t="str" cm="1">
        <f t="array" ref="K384">_xlfn.IFS(Table44[[#This Row],[Sales]]&gt;40000,"Best Sales",Table44[[#This Row],[Sales]]&gt;20000,"Average Sales",Table44[[#This Row],[Sales]]&gt;0,"Poor Sales")</f>
        <v>Best Sales</v>
      </c>
    </row>
    <row r="385" spans="1:11" x14ac:dyDescent="0.3">
      <c r="A385" s="11">
        <v>384</v>
      </c>
      <c r="B385" s="12">
        <v>45207</v>
      </c>
      <c r="C385" s="13" t="s">
        <v>22</v>
      </c>
      <c r="D385" s="13" t="s">
        <v>22</v>
      </c>
      <c r="E385" s="13" t="s">
        <v>20</v>
      </c>
      <c r="F385" s="13" t="s">
        <v>24</v>
      </c>
      <c r="G385" s="13" t="s">
        <v>28</v>
      </c>
      <c r="H385" s="14">
        <v>19948.55</v>
      </c>
      <c r="I385" s="13">
        <v>4</v>
      </c>
      <c r="J385" s="15">
        <v>1195.3</v>
      </c>
      <c r="K385" s="14" t="str" cm="1">
        <f t="array" ref="K385">_xlfn.IFS(Table44[[#This Row],[Sales]]&gt;40000,"Best Sales",Table44[[#This Row],[Sales]]&gt;20000,"Average Sales",Table44[[#This Row],[Sales]]&gt;0,"Poor Sales")</f>
        <v>Poor Sales</v>
      </c>
    </row>
    <row r="386" spans="1:11" x14ac:dyDescent="0.3">
      <c r="A386" s="6">
        <v>385</v>
      </c>
      <c r="B386" s="7">
        <v>45085</v>
      </c>
      <c r="C386" s="8" t="s">
        <v>15</v>
      </c>
      <c r="D386" s="8" t="s">
        <v>16</v>
      </c>
      <c r="E386" s="8" t="s">
        <v>20</v>
      </c>
      <c r="F386" s="8" t="s">
        <v>24</v>
      </c>
      <c r="G386" s="8" t="s">
        <v>29</v>
      </c>
      <c r="H386" s="9">
        <v>5721.76</v>
      </c>
      <c r="I386" s="8">
        <v>7</v>
      </c>
      <c r="J386" s="10">
        <v>1413.25</v>
      </c>
      <c r="K386" s="14" t="str" cm="1">
        <f t="array" ref="K386">_xlfn.IFS(Table44[[#This Row],[Sales]]&gt;40000,"Best Sales",Table44[[#This Row],[Sales]]&gt;20000,"Average Sales",Table44[[#This Row],[Sales]]&gt;0,"Poor Sales")</f>
        <v>Poor Sales</v>
      </c>
    </row>
    <row r="387" spans="1:11" x14ac:dyDescent="0.3">
      <c r="A387" s="11">
        <v>386</v>
      </c>
      <c r="B387" s="12">
        <v>45204</v>
      </c>
      <c r="C387" s="13" t="s">
        <v>30</v>
      </c>
      <c r="D387" s="13" t="s">
        <v>16</v>
      </c>
      <c r="E387" s="13" t="s">
        <v>12</v>
      </c>
      <c r="F387" s="13" t="s">
        <v>24</v>
      </c>
      <c r="G387" s="13" t="s">
        <v>29</v>
      </c>
      <c r="H387" s="14">
        <v>20443.47</v>
      </c>
      <c r="I387" s="13">
        <v>4</v>
      </c>
      <c r="J387" s="15">
        <v>3275.27</v>
      </c>
      <c r="K387" s="14" t="str" cm="1">
        <f t="array" ref="K387">_xlfn.IFS(Table44[[#This Row],[Sales]]&gt;40000,"Best Sales",Table44[[#This Row],[Sales]]&gt;20000,"Average Sales",Table44[[#This Row],[Sales]]&gt;0,"Poor Sales")</f>
        <v>Average Sales</v>
      </c>
    </row>
    <row r="388" spans="1:11" x14ac:dyDescent="0.3">
      <c r="A388" s="6">
        <v>387</v>
      </c>
      <c r="B388" s="7">
        <v>45088</v>
      </c>
      <c r="C388" s="8" t="s">
        <v>18</v>
      </c>
      <c r="D388" s="8" t="s">
        <v>19</v>
      </c>
      <c r="E388" s="8" t="s">
        <v>17</v>
      </c>
      <c r="F388" s="8" t="s">
        <v>31</v>
      </c>
      <c r="G388" s="8" t="s">
        <v>39</v>
      </c>
      <c r="H388" s="9">
        <v>33096.26</v>
      </c>
      <c r="I388" s="8">
        <v>6</v>
      </c>
      <c r="J388" s="10">
        <v>3046.86</v>
      </c>
      <c r="K388" s="14" t="str" cm="1">
        <f t="array" ref="K388">_xlfn.IFS(Table44[[#This Row],[Sales]]&gt;40000,"Best Sales",Table44[[#This Row],[Sales]]&gt;20000,"Average Sales",Table44[[#This Row],[Sales]]&gt;0,"Poor Sales")</f>
        <v>Average Sales</v>
      </c>
    </row>
    <row r="389" spans="1:11" x14ac:dyDescent="0.3">
      <c r="A389" s="11">
        <v>388</v>
      </c>
      <c r="B389" s="12">
        <v>45146</v>
      </c>
      <c r="C389" s="13" t="s">
        <v>26</v>
      </c>
      <c r="D389" s="13" t="s">
        <v>27</v>
      </c>
      <c r="E389" s="13" t="s">
        <v>12</v>
      </c>
      <c r="F389" s="13" t="s">
        <v>24</v>
      </c>
      <c r="G389" s="13" t="s">
        <v>25</v>
      </c>
      <c r="H389" s="14">
        <v>48615.63</v>
      </c>
      <c r="I389" s="13">
        <v>4</v>
      </c>
      <c r="J389" s="15">
        <v>12402.67</v>
      </c>
      <c r="K389" s="14" t="str" cm="1">
        <f t="array" ref="K389">_xlfn.IFS(Table44[[#This Row],[Sales]]&gt;40000,"Best Sales",Table44[[#This Row],[Sales]]&gt;20000,"Average Sales",Table44[[#This Row],[Sales]]&gt;0,"Poor Sales")</f>
        <v>Best Sales</v>
      </c>
    </row>
    <row r="390" spans="1:11" x14ac:dyDescent="0.3">
      <c r="A390" s="6">
        <v>389</v>
      </c>
      <c r="B390" s="7">
        <v>44976</v>
      </c>
      <c r="C390" s="8" t="s">
        <v>22</v>
      </c>
      <c r="D390" s="8" t="s">
        <v>22</v>
      </c>
      <c r="E390" s="8" t="s">
        <v>17</v>
      </c>
      <c r="F390" s="8" t="s">
        <v>13</v>
      </c>
      <c r="G390" s="8" t="s">
        <v>14</v>
      </c>
      <c r="H390" s="9">
        <v>41877.24</v>
      </c>
      <c r="I390" s="8">
        <v>6</v>
      </c>
      <c r="J390" s="10">
        <v>12432.71</v>
      </c>
      <c r="K390" s="14" t="str" cm="1">
        <f t="array" ref="K390">_xlfn.IFS(Table44[[#This Row],[Sales]]&gt;40000,"Best Sales",Table44[[#This Row],[Sales]]&gt;20000,"Average Sales",Table44[[#This Row],[Sales]]&gt;0,"Poor Sales")</f>
        <v>Best Sales</v>
      </c>
    </row>
    <row r="391" spans="1:11" x14ac:dyDescent="0.3">
      <c r="A391" s="11">
        <v>390</v>
      </c>
      <c r="B391" s="12">
        <v>45129</v>
      </c>
      <c r="C391" s="13" t="s">
        <v>22</v>
      </c>
      <c r="D391" s="13" t="s">
        <v>22</v>
      </c>
      <c r="E391" s="13" t="s">
        <v>20</v>
      </c>
      <c r="F391" s="13" t="s">
        <v>31</v>
      </c>
      <c r="G391" s="13" t="s">
        <v>33</v>
      </c>
      <c r="H391" s="14">
        <v>21423.18</v>
      </c>
      <c r="I391" s="13">
        <v>6</v>
      </c>
      <c r="J391" s="15">
        <v>2642.67</v>
      </c>
      <c r="K391" s="14" t="str" cm="1">
        <f t="array" ref="K391">_xlfn.IFS(Table44[[#This Row],[Sales]]&gt;40000,"Best Sales",Table44[[#This Row],[Sales]]&gt;20000,"Average Sales",Table44[[#This Row],[Sales]]&gt;0,"Poor Sales")</f>
        <v>Average Sales</v>
      </c>
    </row>
    <row r="392" spans="1:11" x14ac:dyDescent="0.3">
      <c r="A392" s="6">
        <v>391</v>
      </c>
      <c r="B392" s="7">
        <v>44942</v>
      </c>
      <c r="C392" s="8" t="s">
        <v>30</v>
      </c>
      <c r="D392" s="8" t="s">
        <v>16</v>
      </c>
      <c r="E392" s="8" t="s">
        <v>20</v>
      </c>
      <c r="F392" s="8" t="s">
        <v>13</v>
      </c>
      <c r="G392" s="8" t="s">
        <v>14</v>
      </c>
      <c r="H392" s="9">
        <v>12449.38</v>
      </c>
      <c r="I392" s="8">
        <v>7</v>
      </c>
      <c r="J392" s="10">
        <v>786.53</v>
      </c>
      <c r="K392" s="14" t="str" cm="1">
        <f t="array" ref="K392">_xlfn.IFS(Table44[[#This Row],[Sales]]&gt;40000,"Best Sales",Table44[[#This Row],[Sales]]&gt;20000,"Average Sales",Table44[[#This Row],[Sales]]&gt;0,"Poor Sales")</f>
        <v>Poor Sales</v>
      </c>
    </row>
    <row r="393" spans="1:11" x14ac:dyDescent="0.3">
      <c r="A393" s="11">
        <v>392</v>
      </c>
      <c r="B393" s="12">
        <v>45211</v>
      </c>
      <c r="C393" s="13" t="s">
        <v>15</v>
      </c>
      <c r="D393" s="13" t="s">
        <v>16</v>
      </c>
      <c r="E393" s="13" t="s">
        <v>12</v>
      </c>
      <c r="F393" s="13" t="s">
        <v>24</v>
      </c>
      <c r="G393" s="13" t="s">
        <v>25</v>
      </c>
      <c r="H393" s="14">
        <v>12941.19</v>
      </c>
      <c r="I393" s="13">
        <v>4</v>
      </c>
      <c r="J393" s="15">
        <v>1257.8900000000001</v>
      </c>
      <c r="K393" s="14" t="str" cm="1">
        <f t="array" ref="K393">_xlfn.IFS(Table44[[#This Row],[Sales]]&gt;40000,"Best Sales",Table44[[#This Row],[Sales]]&gt;20000,"Average Sales",Table44[[#This Row],[Sales]]&gt;0,"Poor Sales")</f>
        <v>Poor Sales</v>
      </c>
    </row>
    <row r="394" spans="1:11" x14ac:dyDescent="0.3">
      <c r="A394" s="6">
        <v>393</v>
      </c>
      <c r="B394" s="7">
        <v>45166</v>
      </c>
      <c r="C394" s="8" t="s">
        <v>30</v>
      </c>
      <c r="D394" s="8" t="s">
        <v>16</v>
      </c>
      <c r="E394" s="8" t="s">
        <v>17</v>
      </c>
      <c r="F394" s="8" t="s">
        <v>24</v>
      </c>
      <c r="G394" s="8" t="s">
        <v>28</v>
      </c>
      <c r="H394" s="9">
        <v>22201.1</v>
      </c>
      <c r="I394" s="8">
        <v>6</v>
      </c>
      <c r="J394" s="10">
        <v>4513.6000000000004</v>
      </c>
      <c r="K394" s="14" t="str" cm="1">
        <f t="array" ref="K394">_xlfn.IFS(Table44[[#This Row],[Sales]]&gt;40000,"Best Sales",Table44[[#This Row],[Sales]]&gt;20000,"Average Sales",Table44[[#This Row],[Sales]]&gt;0,"Poor Sales")</f>
        <v>Average Sales</v>
      </c>
    </row>
    <row r="395" spans="1:11" x14ac:dyDescent="0.3">
      <c r="A395" s="11">
        <v>394</v>
      </c>
      <c r="B395" s="12">
        <v>45112</v>
      </c>
      <c r="C395" s="13" t="s">
        <v>37</v>
      </c>
      <c r="D395" s="13" t="s">
        <v>27</v>
      </c>
      <c r="E395" s="13" t="s">
        <v>12</v>
      </c>
      <c r="F395" s="13" t="s">
        <v>13</v>
      </c>
      <c r="G395" s="13" t="s">
        <v>14</v>
      </c>
      <c r="H395" s="14">
        <v>32017.52</v>
      </c>
      <c r="I395" s="13">
        <v>9</v>
      </c>
      <c r="J395" s="15">
        <v>6657.95</v>
      </c>
      <c r="K395" s="14" t="str" cm="1">
        <f t="array" ref="K395">_xlfn.IFS(Table44[[#This Row],[Sales]]&gt;40000,"Best Sales",Table44[[#This Row],[Sales]]&gt;20000,"Average Sales",Table44[[#This Row],[Sales]]&gt;0,"Poor Sales")</f>
        <v>Average Sales</v>
      </c>
    </row>
    <row r="396" spans="1:11" x14ac:dyDescent="0.3">
      <c r="A396" s="6">
        <v>395</v>
      </c>
      <c r="B396" s="7">
        <v>45042</v>
      </c>
      <c r="C396" s="8" t="s">
        <v>30</v>
      </c>
      <c r="D396" s="8" t="s">
        <v>16</v>
      </c>
      <c r="E396" s="8" t="s">
        <v>17</v>
      </c>
      <c r="F396" s="8" t="s">
        <v>13</v>
      </c>
      <c r="G396" s="8" t="s">
        <v>34</v>
      </c>
      <c r="H396" s="9">
        <v>9140.99</v>
      </c>
      <c r="I396" s="8">
        <v>9</v>
      </c>
      <c r="J396" s="10">
        <v>1852.84</v>
      </c>
      <c r="K396" s="14" t="str" cm="1">
        <f t="array" ref="K396">_xlfn.IFS(Table44[[#This Row],[Sales]]&gt;40000,"Best Sales",Table44[[#This Row],[Sales]]&gt;20000,"Average Sales",Table44[[#This Row],[Sales]]&gt;0,"Poor Sales")</f>
        <v>Poor Sales</v>
      </c>
    </row>
    <row r="397" spans="1:11" x14ac:dyDescent="0.3">
      <c r="A397" s="11">
        <v>396</v>
      </c>
      <c r="B397" s="12">
        <v>44996</v>
      </c>
      <c r="C397" s="13" t="s">
        <v>10</v>
      </c>
      <c r="D397" s="13" t="s">
        <v>11</v>
      </c>
      <c r="E397" s="13" t="s">
        <v>20</v>
      </c>
      <c r="F397" s="13" t="s">
        <v>24</v>
      </c>
      <c r="G397" s="13" t="s">
        <v>28</v>
      </c>
      <c r="H397" s="14">
        <v>31801.74</v>
      </c>
      <c r="I397" s="13">
        <v>5</v>
      </c>
      <c r="J397" s="15">
        <v>4975.09</v>
      </c>
      <c r="K397" s="14" t="str" cm="1">
        <f t="array" ref="K397">_xlfn.IFS(Table44[[#This Row],[Sales]]&gt;40000,"Best Sales",Table44[[#This Row],[Sales]]&gt;20000,"Average Sales",Table44[[#This Row],[Sales]]&gt;0,"Poor Sales")</f>
        <v>Average Sales</v>
      </c>
    </row>
    <row r="398" spans="1:11" x14ac:dyDescent="0.3">
      <c r="A398" s="6">
        <v>397</v>
      </c>
      <c r="B398" s="7">
        <v>45180</v>
      </c>
      <c r="C398" s="8" t="s">
        <v>22</v>
      </c>
      <c r="D398" s="8" t="s">
        <v>22</v>
      </c>
      <c r="E398" s="8" t="s">
        <v>20</v>
      </c>
      <c r="F398" s="8" t="s">
        <v>13</v>
      </c>
      <c r="G398" s="8" t="s">
        <v>34</v>
      </c>
      <c r="H398" s="9">
        <v>18034.93</v>
      </c>
      <c r="I398" s="8">
        <v>1</v>
      </c>
      <c r="J398" s="10">
        <v>2248.6999999999998</v>
      </c>
      <c r="K398" s="14" t="str" cm="1">
        <f t="array" ref="K398">_xlfn.IFS(Table44[[#This Row],[Sales]]&gt;40000,"Best Sales",Table44[[#This Row],[Sales]]&gt;20000,"Average Sales",Table44[[#This Row],[Sales]]&gt;0,"Poor Sales")</f>
        <v>Poor Sales</v>
      </c>
    </row>
    <row r="399" spans="1:11" x14ac:dyDescent="0.3">
      <c r="A399" s="11">
        <v>398</v>
      </c>
      <c r="B399" s="12">
        <v>44941</v>
      </c>
      <c r="C399" s="13" t="s">
        <v>37</v>
      </c>
      <c r="D399" s="13" t="s">
        <v>27</v>
      </c>
      <c r="E399" s="13" t="s">
        <v>12</v>
      </c>
      <c r="F399" s="13" t="s">
        <v>13</v>
      </c>
      <c r="G399" s="13" t="s">
        <v>21</v>
      </c>
      <c r="H399" s="14">
        <v>29008.89</v>
      </c>
      <c r="I399" s="13">
        <v>3</v>
      </c>
      <c r="J399" s="15">
        <v>6564.12</v>
      </c>
      <c r="K399" s="14" t="str" cm="1">
        <f t="array" ref="K399">_xlfn.IFS(Table44[[#This Row],[Sales]]&gt;40000,"Best Sales",Table44[[#This Row],[Sales]]&gt;20000,"Average Sales",Table44[[#This Row],[Sales]]&gt;0,"Poor Sales")</f>
        <v>Average Sales</v>
      </c>
    </row>
    <row r="400" spans="1:11" x14ac:dyDescent="0.3">
      <c r="A400" s="6">
        <v>399</v>
      </c>
      <c r="B400" s="7">
        <v>45171</v>
      </c>
      <c r="C400" s="8" t="s">
        <v>22</v>
      </c>
      <c r="D400" s="8" t="s">
        <v>22</v>
      </c>
      <c r="E400" s="8" t="s">
        <v>17</v>
      </c>
      <c r="F400" s="8" t="s">
        <v>13</v>
      </c>
      <c r="G400" s="8" t="s">
        <v>34</v>
      </c>
      <c r="H400" s="9">
        <v>23170.27</v>
      </c>
      <c r="I400" s="8">
        <v>7</v>
      </c>
      <c r="J400" s="10">
        <v>3487.51</v>
      </c>
      <c r="K400" s="14" t="str" cm="1">
        <f t="array" ref="K400">_xlfn.IFS(Table44[[#This Row],[Sales]]&gt;40000,"Best Sales",Table44[[#This Row],[Sales]]&gt;20000,"Average Sales",Table44[[#This Row],[Sales]]&gt;0,"Poor Sales")</f>
        <v>Average Sales</v>
      </c>
    </row>
    <row r="401" spans="1:11" x14ac:dyDescent="0.3">
      <c r="A401" s="11">
        <v>400</v>
      </c>
      <c r="B401" s="12">
        <v>45225</v>
      </c>
      <c r="C401" s="13" t="s">
        <v>22</v>
      </c>
      <c r="D401" s="13" t="s">
        <v>22</v>
      </c>
      <c r="E401" s="13" t="s">
        <v>12</v>
      </c>
      <c r="F401" s="13" t="s">
        <v>13</v>
      </c>
      <c r="G401" s="13" t="s">
        <v>14</v>
      </c>
      <c r="H401" s="14">
        <v>17142.79</v>
      </c>
      <c r="I401" s="13">
        <v>5</v>
      </c>
      <c r="J401" s="15">
        <v>4739.3999999999996</v>
      </c>
      <c r="K401" s="14" t="str" cm="1">
        <f t="array" ref="K401">_xlfn.IFS(Table44[[#This Row],[Sales]]&gt;40000,"Best Sales",Table44[[#This Row],[Sales]]&gt;20000,"Average Sales",Table44[[#This Row],[Sales]]&gt;0,"Poor Sales")</f>
        <v>Poor Sales</v>
      </c>
    </row>
    <row r="402" spans="1:11" x14ac:dyDescent="0.3">
      <c r="A402" s="6">
        <v>401</v>
      </c>
      <c r="B402" s="7">
        <v>45188</v>
      </c>
      <c r="C402" s="8" t="s">
        <v>22</v>
      </c>
      <c r="D402" s="8" t="s">
        <v>22</v>
      </c>
      <c r="E402" s="8" t="s">
        <v>17</v>
      </c>
      <c r="F402" s="8" t="s">
        <v>13</v>
      </c>
      <c r="G402" s="8" t="s">
        <v>34</v>
      </c>
      <c r="H402" s="9">
        <v>2524.96</v>
      </c>
      <c r="I402" s="8">
        <v>4</v>
      </c>
      <c r="J402" s="10">
        <v>350.09</v>
      </c>
      <c r="K402" s="14" t="str" cm="1">
        <f t="array" ref="K402">_xlfn.IFS(Table44[[#This Row],[Sales]]&gt;40000,"Best Sales",Table44[[#This Row],[Sales]]&gt;20000,"Average Sales",Table44[[#This Row],[Sales]]&gt;0,"Poor Sales")</f>
        <v>Poor Sales</v>
      </c>
    </row>
    <row r="403" spans="1:11" x14ac:dyDescent="0.3">
      <c r="A403" s="11">
        <v>402</v>
      </c>
      <c r="B403" s="12">
        <v>45155</v>
      </c>
      <c r="C403" s="13" t="s">
        <v>18</v>
      </c>
      <c r="D403" s="13" t="s">
        <v>19</v>
      </c>
      <c r="E403" s="13" t="s">
        <v>20</v>
      </c>
      <c r="F403" s="13" t="s">
        <v>24</v>
      </c>
      <c r="G403" s="13" t="s">
        <v>28</v>
      </c>
      <c r="H403" s="14">
        <v>42834.37</v>
      </c>
      <c r="I403" s="13">
        <v>4</v>
      </c>
      <c r="J403" s="15">
        <v>4416.7700000000004</v>
      </c>
      <c r="K403" s="14" t="str" cm="1">
        <f t="array" ref="K403">_xlfn.IFS(Table44[[#This Row],[Sales]]&gt;40000,"Best Sales",Table44[[#This Row],[Sales]]&gt;20000,"Average Sales",Table44[[#This Row],[Sales]]&gt;0,"Poor Sales")</f>
        <v>Best Sales</v>
      </c>
    </row>
    <row r="404" spans="1:11" x14ac:dyDescent="0.3">
      <c r="A404" s="6">
        <v>403</v>
      </c>
      <c r="B404" s="7">
        <v>44974</v>
      </c>
      <c r="C404" s="8" t="s">
        <v>37</v>
      </c>
      <c r="D404" s="8" t="s">
        <v>27</v>
      </c>
      <c r="E404" s="8" t="s">
        <v>20</v>
      </c>
      <c r="F404" s="8" t="s">
        <v>24</v>
      </c>
      <c r="G404" s="8" t="s">
        <v>29</v>
      </c>
      <c r="H404" s="9">
        <v>42841.86</v>
      </c>
      <c r="I404" s="8">
        <v>5</v>
      </c>
      <c r="J404" s="10">
        <v>9517.9500000000007</v>
      </c>
      <c r="K404" s="14" t="str" cm="1">
        <f t="array" ref="K404">_xlfn.IFS(Table44[[#This Row],[Sales]]&gt;40000,"Best Sales",Table44[[#This Row],[Sales]]&gt;20000,"Average Sales",Table44[[#This Row],[Sales]]&gt;0,"Poor Sales")</f>
        <v>Best Sales</v>
      </c>
    </row>
    <row r="405" spans="1:11" x14ac:dyDescent="0.3">
      <c r="A405" s="11">
        <v>404</v>
      </c>
      <c r="B405" s="12">
        <v>45135</v>
      </c>
      <c r="C405" s="13" t="s">
        <v>37</v>
      </c>
      <c r="D405" s="13" t="s">
        <v>27</v>
      </c>
      <c r="E405" s="13" t="s">
        <v>12</v>
      </c>
      <c r="F405" s="13" t="s">
        <v>13</v>
      </c>
      <c r="G405" s="13" t="s">
        <v>34</v>
      </c>
      <c r="H405" s="14">
        <v>11685.69</v>
      </c>
      <c r="I405" s="13">
        <v>7</v>
      </c>
      <c r="J405" s="15">
        <v>1915.68</v>
      </c>
      <c r="K405" s="14" t="str" cm="1">
        <f t="array" ref="K405">_xlfn.IFS(Table44[[#This Row],[Sales]]&gt;40000,"Best Sales",Table44[[#This Row],[Sales]]&gt;20000,"Average Sales",Table44[[#This Row],[Sales]]&gt;0,"Poor Sales")</f>
        <v>Poor Sales</v>
      </c>
    </row>
    <row r="406" spans="1:11" x14ac:dyDescent="0.3">
      <c r="A406" s="6">
        <v>405</v>
      </c>
      <c r="B406" s="7">
        <v>45181</v>
      </c>
      <c r="C406" s="8" t="s">
        <v>18</v>
      </c>
      <c r="D406" s="8" t="s">
        <v>19</v>
      </c>
      <c r="E406" s="8" t="s">
        <v>17</v>
      </c>
      <c r="F406" s="8" t="s">
        <v>24</v>
      </c>
      <c r="G406" s="8" t="s">
        <v>25</v>
      </c>
      <c r="H406" s="9">
        <v>19564.080000000002</v>
      </c>
      <c r="I406" s="8">
        <v>4</v>
      </c>
      <c r="J406" s="10">
        <v>5174.68</v>
      </c>
      <c r="K406" s="14" t="str" cm="1">
        <f t="array" ref="K406">_xlfn.IFS(Table44[[#This Row],[Sales]]&gt;40000,"Best Sales",Table44[[#This Row],[Sales]]&gt;20000,"Average Sales",Table44[[#This Row],[Sales]]&gt;0,"Poor Sales")</f>
        <v>Poor Sales</v>
      </c>
    </row>
    <row r="407" spans="1:11" x14ac:dyDescent="0.3">
      <c r="A407" s="11">
        <v>406</v>
      </c>
      <c r="B407" s="12">
        <v>45190</v>
      </c>
      <c r="C407" s="13" t="s">
        <v>30</v>
      </c>
      <c r="D407" s="13" t="s">
        <v>16</v>
      </c>
      <c r="E407" s="13" t="s">
        <v>12</v>
      </c>
      <c r="F407" s="13" t="s">
        <v>13</v>
      </c>
      <c r="G407" s="13" t="s">
        <v>34</v>
      </c>
      <c r="H407" s="14">
        <v>19188.95</v>
      </c>
      <c r="I407" s="13">
        <v>8</v>
      </c>
      <c r="J407" s="15">
        <v>4252.95</v>
      </c>
      <c r="K407" s="14" t="str" cm="1">
        <f t="array" ref="K407">_xlfn.IFS(Table44[[#This Row],[Sales]]&gt;40000,"Best Sales",Table44[[#This Row],[Sales]]&gt;20000,"Average Sales",Table44[[#This Row],[Sales]]&gt;0,"Poor Sales")</f>
        <v>Poor Sales</v>
      </c>
    </row>
    <row r="408" spans="1:11" x14ac:dyDescent="0.3">
      <c r="A408" s="6">
        <v>407</v>
      </c>
      <c r="B408" s="7">
        <v>45030</v>
      </c>
      <c r="C408" s="8" t="s">
        <v>35</v>
      </c>
      <c r="D408" s="8" t="s">
        <v>36</v>
      </c>
      <c r="E408" s="8" t="s">
        <v>17</v>
      </c>
      <c r="F408" s="8" t="s">
        <v>13</v>
      </c>
      <c r="G408" s="8" t="s">
        <v>14</v>
      </c>
      <c r="H408" s="9">
        <v>48474.84</v>
      </c>
      <c r="I408" s="8">
        <v>10</v>
      </c>
      <c r="J408" s="10">
        <v>4164.55</v>
      </c>
      <c r="K408" s="14" t="str" cm="1">
        <f t="array" ref="K408">_xlfn.IFS(Table44[[#This Row],[Sales]]&gt;40000,"Best Sales",Table44[[#This Row],[Sales]]&gt;20000,"Average Sales",Table44[[#This Row],[Sales]]&gt;0,"Poor Sales")</f>
        <v>Best Sales</v>
      </c>
    </row>
    <row r="409" spans="1:11" x14ac:dyDescent="0.3">
      <c r="A409" s="11">
        <v>408</v>
      </c>
      <c r="B409" s="12">
        <v>44933</v>
      </c>
      <c r="C409" s="13" t="s">
        <v>35</v>
      </c>
      <c r="D409" s="13" t="s">
        <v>36</v>
      </c>
      <c r="E409" s="13" t="s">
        <v>20</v>
      </c>
      <c r="F409" s="13" t="s">
        <v>13</v>
      </c>
      <c r="G409" s="13" t="s">
        <v>21</v>
      </c>
      <c r="H409" s="14">
        <v>36147.51</v>
      </c>
      <c r="I409" s="13">
        <v>8</v>
      </c>
      <c r="J409" s="15">
        <v>7327.76</v>
      </c>
      <c r="K409" s="14" t="str" cm="1">
        <f t="array" ref="K409">_xlfn.IFS(Table44[[#This Row],[Sales]]&gt;40000,"Best Sales",Table44[[#This Row],[Sales]]&gt;20000,"Average Sales",Table44[[#This Row],[Sales]]&gt;0,"Poor Sales")</f>
        <v>Average Sales</v>
      </c>
    </row>
    <row r="410" spans="1:11" x14ac:dyDescent="0.3">
      <c r="A410" s="6">
        <v>409</v>
      </c>
      <c r="B410" s="7">
        <v>45154</v>
      </c>
      <c r="C410" s="8" t="s">
        <v>15</v>
      </c>
      <c r="D410" s="8" t="s">
        <v>16</v>
      </c>
      <c r="E410" s="8" t="s">
        <v>20</v>
      </c>
      <c r="F410" s="8" t="s">
        <v>13</v>
      </c>
      <c r="G410" s="8" t="s">
        <v>21</v>
      </c>
      <c r="H410" s="9">
        <v>15852.65</v>
      </c>
      <c r="I410" s="8">
        <v>5</v>
      </c>
      <c r="J410" s="10">
        <v>1225.72</v>
      </c>
      <c r="K410" s="14" t="str" cm="1">
        <f t="array" ref="K410">_xlfn.IFS(Table44[[#This Row],[Sales]]&gt;40000,"Best Sales",Table44[[#This Row],[Sales]]&gt;20000,"Average Sales",Table44[[#This Row],[Sales]]&gt;0,"Poor Sales")</f>
        <v>Poor Sales</v>
      </c>
    </row>
    <row r="411" spans="1:11" x14ac:dyDescent="0.3">
      <c r="A411" s="11">
        <v>410</v>
      </c>
      <c r="B411" s="12">
        <v>45231</v>
      </c>
      <c r="C411" s="13" t="s">
        <v>26</v>
      </c>
      <c r="D411" s="13" t="s">
        <v>27</v>
      </c>
      <c r="E411" s="13" t="s">
        <v>12</v>
      </c>
      <c r="F411" s="13" t="s">
        <v>31</v>
      </c>
      <c r="G411" s="13" t="s">
        <v>32</v>
      </c>
      <c r="H411" s="14">
        <v>39386.74</v>
      </c>
      <c r="I411" s="13">
        <v>8</v>
      </c>
      <c r="J411" s="15">
        <v>5212.04</v>
      </c>
      <c r="K411" s="14" t="str" cm="1">
        <f t="array" ref="K411">_xlfn.IFS(Table44[[#This Row],[Sales]]&gt;40000,"Best Sales",Table44[[#This Row],[Sales]]&gt;20000,"Average Sales",Table44[[#This Row],[Sales]]&gt;0,"Poor Sales")</f>
        <v>Average Sales</v>
      </c>
    </row>
    <row r="412" spans="1:11" x14ac:dyDescent="0.3">
      <c r="A412" s="6">
        <v>411</v>
      </c>
      <c r="B412" s="7">
        <v>45234</v>
      </c>
      <c r="C412" s="8" t="s">
        <v>35</v>
      </c>
      <c r="D412" s="8" t="s">
        <v>36</v>
      </c>
      <c r="E412" s="8" t="s">
        <v>17</v>
      </c>
      <c r="F412" s="8" t="s">
        <v>31</v>
      </c>
      <c r="G412" s="8" t="s">
        <v>33</v>
      </c>
      <c r="H412" s="9">
        <v>1072.04</v>
      </c>
      <c r="I412" s="8">
        <v>1</v>
      </c>
      <c r="J412" s="10">
        <v>258.16000000000003</v>
      </c>
      <c r="K412" s="14" t="str" cm="1">
        <f t="array" ref="K412">_xlfn.IFS(Table44[[#This Row],[Sales]]&gt;40000,"Best Sales",Table44[[#This Row],[Sales]]&gt;20000,"Average Sales",Table44[[#This Row],[Sales]]&gt;0,"Poor Sales")</f>
        <v>Poor Sales</v>
      </c>
    </row>
    <row r="413" spans="1:11" x14ac:dyDescent="0.3">
      <c r="A413" s="11">
        <v>412</v>
      </c>
      <c r="B413" s="12">
        <v>45107</v>
      </c>
      <c r="C413" s="13" t="s">
        <v>30</v>
      </c>
      <c r="D413" s="13" t="s">
        <v>16</v>
      </c>
      <c r="E413" s="13" t="s">
        <v>12</v>
      </c>
      <c r="F413" s="13" t="s">
        <v>13</v>
      </c>
      <c r="G413" s="13" t="s">
        <v>21</v>
      </c>
      <c r="H413" s="14">
        <v>34096.050000000003</v>
      </c>
      <c r="I413" s="13">
        <v>5</v>
      </c>
      <c r="J413" s="15">
        <v>8352.9</v>
      </c>
      <c r="K413" s="14" t="str" cm="1">
        <f t="array" ref="K413">_xlfn.IFS(Table44[[#This Row],[Sales]]&gt;40000,"Best Sales",Table44[[#This Row],[Sales]]&gt;20000,"Average Sales",Table44[[#This Row],[Sales]]&gt;0,"Poor Sales")</f>
        <v>Average Sales</v>
      </c>
    </row>
    <row r="414" spans="1:11" x14ac:dyDescent="0.3">
      <c r="A414" s="6">
        <v>413</v>
      </c>
      <c r="B414" s="7">
        <v>44985</v>
      </c>
      <c r="C414" s="8" t="s">
        <v>38</v>
      </c>
      <c r="D414" s="8" t="s">
        <v>27</v>
      </c>
      <c r="E414" s="8" t="s">
        <v>17</v>
      </c>
      <c r="F414" s="8" t="s">
        <v>24</v>
      </c>
      <c r="G414" s="8" t="s">
        <v>29</v>
      </c>
      <c r="H414" s="9">
        <v>21431.4</v>
      </c>
      <c r="I414" s="8">
        <v>6</v>
      </c>
      <c r="J414" s="10">
        <v>3110.02</v>
      </c>
      <c r="K414" s="14" t="str" cm="1">
        <f t="array" ref="K414">_xlfn.IFS(Table44[[#This Row],[Sales]]&gt;40000,"Best Sales",Table44[[#This Row],[Sales]]&gt;20000,"Average Sales",Table44[[#This Row],[Sales]]&gt;0,"Poor Sales")</f>
        <v>Average Sales</v>
      </c>
    </row>
    <row r="415" spans="1:11" x14ac:dyDescent="0.3">
      <c r="A415" s="11">
        <v>414</v>
      </c>
      <c r="B415" s="12">
        <v>45197</v>
      </c>
      <c r="C415" s="13" t="s">
        <v>22</v>
      </c>
      <c r="D415" s="13" t="s">
        <v>22</v>
      </c>
      <c r="E415" s="13" t="s">
        <v>20</v>
      </c>
      <c r="F415" s="13" t="s">
        <v>31</v>
      </c>
      <c r="G415" s="13" t="s">
        <v>33</v>
      </c>
      <c r="H415" s="14">
        <v>49809.53</v>
      </c>
      <c r="I415" s="13">
        <v>10</v>
      </c>
      <c r="J415" s="15">
        <v>12615.9</v>
      </c>
      <c r="K415" s="14" t="str" cm="1">
        <f t="array" ref="K415">_xlfn.IFS(Table44[[#This Row],[Sales]]&gt;40000,"Best Sales",Table44[[#This Row],[Sales]]&gt;20000,"Average Sales",Table44[[#This Row],[Sales]]&gt;0,"Poor Sales")</f>
        <v>Best Sales</v>
      </c>
    </row>
    <row r="416" spans="1:11" x14ac:dyDescent="0.3">
      <c r="A416" s="6">
        <v>415</v>
      </c>
      <c r="B416" s="7">
        <v>45168</v>
      </c>
      <c r="C416" s="8" t="s">
        <v>10</v>
      </c>
      <c r="D416" s="8" t="s">
        <v>11</v>
      </c>
      <c r="E416" s="8" t="s">
        <v>20</v>
      </c>
      <c r="F416" s="8" t="s">
        <v>13</v>
      </c>
      <c r="G416" s="8" t="s">
        <v>21</v>
      </c>
      <c r="H416" s="9">
        <v>37457.269999999997</v>
      </c>
      <c r="I416" s="8">
        <v>2</v>
      </c>
      <c r="J416" s="10">
        <v>2038.02</v>
      </c>
      <c r="K416" s="14" t="str" cm="1">
        <f t="array" ref="K416">_xlfn.IFS(Table44[[#This Row],[Sales]]&gt;40000,"Best Sales",Table44[[#This Row],[Sales]]&gt;20000,"Average Sales",Table44[[#This Row],[Sales]]&gt;0,"Poor Sales")</f>
        <v>Average Sales</v>
      </c>
    </row>
    <row r="417" spans="1:11" x14ac:dyDescent="0.3">
      <c r="A417" s="11">
        <v>416</v>
      </c>
      <c r="B417" s="12">
        <v>45265</v>
      </c>
      <c r="C417" s="13" t="s">
        <v>18</v>
      </c>
      <c r="D417" s="13" t="s">
        <v>19</v>
      </c>
      <c r="E417" s="13" t="s">
        <v>12</v>
      </c>
      <c r="F417" s="13" t="s">
        <v>24</v>
      </c>
      <c r="G417" s="13" t="s">
        <v>25</v>
      </c>
      <c r="H417" s="14">
        <v>9482.2900000000009</v>
      </c>
      <c r="I417" s="13">
        <v>8</v>
      </c>
      <c r="J417" s="15">
        <v>1193.25</v>
      </c>
      <c r="K417" s="14" t="str" cm="1">
        <f t="array" ref="K417">_xlfn.IFS(Table44[[#This Row],[Sales]]&gt;40000,"Best Sales",Table44[[#This Row],[Sales]]&gt;20000,"Average Sales",Table44[[#This Row],[Sales]]&gt;0,"Poor Sales")</f>
        <v>Poor Sales</v>
      </c>
    </row>
    <row r="418" spans="1:11" x14ac:dyDescent="0.3">
      <c r="A418" s="6">
        <v>417</v>
      </c>
      <c r="B418" s="7">
        <v>45099</v>
      </c>
      <c r="C418" s="8" t="s">
        <v>26</v>
      </c>
      <c r="D418" s="8" t="s">
        <v>27</v>
      </c>
      <c r="E418" s="8" t="s">
        <v>17</v>
      </c>
      <c r="F418" s="8" t="s">
        <v>24</v>
      </c>
      <c r="G418" s="8" t="s">
        <v>28</v>
      </c>
      <c r="H418" s="9">
        <v>35623</v>
      </c>
      <c r="I418" s="8">
        <v>7</v>
      </c>
      <c r="J418" s="10">
        <v>6475.03</v>
      </c>
      <c r="K418" s="14" t="str" cm="1">
        <f t="array" ref="K418">_xlfn.IFS(Table44[[#This Row],[Sales]]&gt;40000,"Best Sales",Table44[[#This Row],[Sales]]&gt;20000,"Average Sales",Table44[[#This Row],[Sales]]&gt;0,"Poor Sales")</f>
        <v>Average Sales</v>
      </c>
    </row>
    <row r="419" spans="1:11" x14ac:dyDescent="0.3">
      <c r="A419" s="11">
        <v>418</v>
      </c>
      <c r="B419" s="12">
        <v>44953</v>
      </c>
      <c r="C419" s="13" t="s">
        <v>22</v>
      </c>
      <c r="D419" s="13" t="s">
        <v>22</v>
      </c>
      <c r="E419" s="13" t="s">
        <v>12</v>
      </c>
      <c r="F419" s="13" t="s">
        <v>31</v>
      </c>
      <c r="G419" s="13" t="s">
        <v>39</v>
      </c>
      <c r="H419" s="14">
        <v>46161.55</v>
      </c>
      <c r="I419" s="13">
        <v>8</v>
      </c>
      <c r="J419" s="15">
        <v>11578.56</v>
      </c>
      <c r="K419" s="14" t="str" cm="1">
        <f t="array" ref="K419">_xlfn.IFS(Table44[[#This Row],[Sales]]&gt;40000,"Best Sales",Table44[[#This Row],[Sales]]&gt;20000,"Average Sales",Table44[[#This Row],[Sales]]&gt;0,"Poor Sales")</f>
        <v>Best Sales</v>
      </c>
    </row>
    <row r="420" spans="1:11" x14ac:dyDescent="0.3">
      <c r="A420" s="6">
        <v>419</v>
      </c>
      <c r="B420" s="7">
        <v>45039</v>
      </c>
      <c r="C420" s="8" t="s">
        <v>15</v>
      </c>
      <c r="D420" s="8" t="s">
        <v>16</v>
      </c>
      <c r="E420" s="8" t="s">
        <v>17</v>
      </c>
      <c r="F420" s="8" t="s">
        <v>24</v>
      </c>
      <c r="G420" s="8" t="s">
        <v>25</v>
      </c>
      <c r="H420" s="9">
        <v>14247.34</v>
      </c>
      <c r="I420" s="8">
        <v>8</v>
      </c>
      <c r="J420" s="10">
        <v>837.69</v>
      </c>
      <c r="K420" s="14" t="str" cm="1">
        <f t="array" ref="K420">_xlfn.IFS(Table44[[#This Row],[Sales]]&gt;40000,"Best Sales",Table44[[#This Row],[Sales]]&gt;20000,"Average Sales",Table44[[#This Row],[Sales]]&gt;0,"Poor Sales")</f>
        <v>Poor Sales</v>
      </c>
    </row>
    <row r="421" spans="1:11" x14ac:dyDescent="0.3">
      <c r="A421" s="11">
        <v>420</v>
      </c>
      <c r="B421" s="12">
        <v>45292</v>
      </c>
      <c r="C421" s="13" t="s">
        <v>22</v>
      </c>
      <c r="D421" s="13" t="s">
        <v>22</v>
      </c>
      <c r="E421" s="13" t="s">
        <v>20</v>
      </c>
      <c r="F421" s="13" t="s">
        <v>31</v>
      </c>
      <c r="G421" s="13" t="s">
        <v>33</v>
      </c>
      <c r="H421" s="14">
        <v>2003.36</v>
      </c>
      <c r="I421" s="13">
        <v>5</v>
      </c>
      <c r="J421" s="15">
        <v>300.98</v>
      </c>
      <c r="K421" s="14" t="str" cm="1">
        <f t="array" ref="K421">_xlfn.IFS(Table44[[#This Row],[Sales]]&gt;40000,"Best Sales",Table44[[#This Row],[Sales]]&gt;20000,"Average Sales",Table44[[#This Row],[Sales]]&gt;0,"Poor Sales")</f>
        <v>Poor Sales</v>
      </c>
    </row>
    <row r="422" spans="1:11" x14ac:dyDescent="0.3">
      <c r="A422" s="6">
        <v>421</v>
      </c>
      <c r="B422" s="7">
        <v>45029</v>
      </c>
      <c r="C422" s="8" t="s">
        <v>35</v>
      </c>
      <c r="D422" s="8" t="s">
        <v>36</v>
      </c>
      <c r="E422" s="8" t="s">
        <v>20</v>
      </c>
      <c r="F422" s="8" t="s">
        <v>13</v>
      </c>
      <c r="G422" s="8" t="s">
        <v>14</v>
      </c>
      <c r="H422" s="9">
        <v>25271.97</v>
      </c>
      <c r="I422" s="8">
        <v>5</v>
      </c>
      <c r="J422" s="10">
        <v>7144.62</v>
      </c>
      <c r="K422" s="14" t="str" cm="1">
        <f t="array" ref="K422">_xlfn.IFS(Table44[[#This Row],[Sales]]&gt;40000,"Best Sales",Table44[[#This Row],[Sales]]&gt;20000,"Average Sales",Table44[[#This Row],[Sales]]&gt;0,"Poor Sales")</f>
        <v>Average Sales</v>
      </c>
    </row>
    <row r="423" spans="1:11" x14ac:dyDescent="0.3">
      <c r="A423" s="11">
        <v>422</v>
      </c>
      <c r="B423" s="12">
        <v>44987</v>
      </c>
      <c r="C423" s="13" t="s">
        <v>35</v>
      </c>
      <c r="D423" s="13" t="s">
        <v>36</v>
      </c>
      <c r="E423" s="13" t="s">
        <v>12</v>
      </c>
      <c r="F423" s="13" t="s">
        <v>24</v>
      </c>
      <c r="G423" s="13" t="s">
        <v>25</v>
      </c>
      <c r="H423" s="14">
        <v>37101.279999999999</v>
      </c>
      <c r="I423" s="13">
        <v>10</v>
      </c>
      <c r="J423" s="15">
        <v>7469.11</v>
      </c>
      <c r="K423" s="14" t="str" cm="1">
        <f t="array" ref="K423">_xlfn.IFS(Table44[[#This Row],[Sales]]&gt;40000,"Best Sales",Table44[[#This Row],[Sales]]&gt;20000,"Average Sales",Table44[[#This Row],[Sales]]&gt;0,"Poor Sales")</f>
        <v>Average Sales</v>
      </c>
    </row>
    <row r="424" spans="1:11" x14ac:dyDescent="0.3">
      <c r="A424" s="6">
        <v>423</v>
      </c>
      <c r="B424" s="7">
        <v>44979</v>
      </c>
      <c r="C424" s="8" t="s">
        <v>37</v>
      </c>
      <c r="D424" s="8" t="s">
        <v>27</v>
      </c>
      <c r="E424" s="8" t="s">
        <v>17</v>
      </c>
      <c r="F424" s="8" t="s">
        <v>31</v>
      </c>
      <c r="G424" s="8" t="s">
        <v>33</v>
      </c>
      <c r="H424" s="9">
        <v>42041.48</v>
      </c>
      <c r="I424" s="8">
        <v>3</v>
      </c>
      <c r="J424" s="10">
        <v>3319.44</v>
      </c>
      <c r="K424" s="14" t="str" cm="1">
        <f t="array" ref="K424">_xlfn.IFS(Table44[[#This Row],[Sales]]&gt;40000,"Best Sales",Table44[[#This Row],[Sales]]&gt;20000,"Average Sales",Table44[[#This Row],[Sales]]&gt;0,"Poor Sales")</f>
        <v>Best Sales</v>
      </c>
    </row>
    <row r="425" spans="1:11" x14ac:dyDescent="0.3">
      <c r="A425" s="11">
        <v>424</v>
      </c>
      <c r="B425" s="12">
        <v>45179</v>
      </c>
      <c r="C425" s="13" t="s">
        <v>18</v>
      </c>
      <c r="D425" s="13" t="s">
        <v>19</v>
      </c>
      <c r="E425" s="13" t="s">
        <v>12</v>
      </c>
      <c r="F425" s="13" t="s">
        <v>24</v>
      </c>
      <c r="G425" s="13" t="s">
        <v>28</v>
      </c>
      <c r="H425" s="14">
        <v>20704.54</v>
      </c>
      <c r="I425" s="13">
        <v>3</v>
      </c>
      <c r="J425" s="15">
        <v>2503.7199999999998</v>
      </c>
      <c r="K425" s="14" t="str" cm="1">
        <f t="array" ref="K425">_xlfn.IFS(Table44[[#This Row],[Sales]]&gt;40000,"Best Sales",Table44[[#This Row],[Sales]]&gt;20000,"Average Sales",Table44[[#This Row],[Sales]]&gt;0,"Poor Sales")</f>
        <v>Average Sales</v>
      </c>
    </row>
    <row r="426" spans="1:11" x14ac:dyDescent="0.3">
      <c r="A426" s="6">
        <v>425</v>
      </c>
      <c r="B426" s="7">
        <v>45045</v>
      </c>
      <c r="C426" s="8" t="s">
        <v>30</v>
      </c>
      <c r="D426" s="8" t="s">
        <v>16</v>
      </c>
      <c r="E426" s="8" t="s">
        <v>17</v>
      </c>
      <c r="F426" s="8" t="s">
        <v>24</v>
      </c>
      <c r="G426" s="8" t="s">
        <v>25</v>
      </c>
      <c r="H426" s="9">
        <v>22455.3</v>
      </c>
      <c r="I426" s="8">
        <v>10</v>
      </c>
      <c r="J426" s="10">
        <v>3904.62</v>
      </c>
      <c r="K426" s="14" t="str" cm="1">
        <f t="array" ref="K426">_xlfn.IFS(Table44[[#This Row],[Sales]]&gt;40000,"Best Sales",Table44[[#This Row],[Sales]]&gt;20000,"Average Sales",Table44[[#This Row],[Sales]]&gt;0,"Poor Sales")</f>
        <v>Average Sales</v>
      </c>
    </row>
    <row r="427" spans="1:11" x14ac:dyDescent="0.3">
      <c r="A427" s="11">
        <v>426</v>
      </c>
      <c r="B427" s="12">
        <v>44991</v>
      </c>
      <c r="C427" s="13" t="s">
        <v>35</v>
      </c>
      <c r="D427" s="13" t="s">
        <v>36</v>
      </c>
      <c r="E427" s="13" t="s">
        <v>20</v>
      </c>
      <c r="F427" s="13" t="s">
        <v>31</v>
      </c>
      <c r="G427" s="13" t="s">
        <v>33</v>
      </c>
      <c r="H427" s="14">
        <v>6038.12</v>
      </c>
      <c r="I427" s="13">
        <v>3</v>
      </c>
      <c r="J427" s="15">
        <v>525.65</v>
      </c>
      <c r="K427" s="14" t="str" cm="1">
        <f t="array" ref="K427">_xlfn.IFS(Table44[[#This Row],[Sales]]&gt;40000,"Best Sales",Table44[[#This Row],[Sales]]&gt;20000,"Average Sales",Table44[[#This Row],[Sales]]&gt;0,"Poor Sales")</f>
        <v>Poor Sales</v>
      </c>
    </row>
    <row r="428" spans="1:11" x14ac:dyDescent="0.3">
      <c r="A428" s="6">
        <v>427</v>
      </c>
      <c r="B428" s="7">
        <v>45058</v>
      </c>
      <c r="C428" s="8" t="s">
        <v>35</v>
      </c>
      <c r="D428" s="8" t="s">
        <v>36</v>
      </c>
      <c r="E428" s="8" t="s">
        <v>20</v>
      </c>
      <c r="F428" s="8" t="s">
        <v>31</v>
      </c>
      <c r="G428" s="8" t="s">
        <v>33</v>
      </c>
      <c r="H428" s="9">
        <v>48326.83</v>
      </c>
      <c r="I428" s="8">
        <v>4</v>
      </c>
      <c r="J428" s="10">
        <v>3436.06</v>
      </c>
      <c r="K428" s="14" t="str" cm="1">
        <f t="array" ref="K428">_xlfn.IFS(Table44[[#This Row],[Sales]]&gt;40000,"Best Sales",Table44[[#This Row],[Sales]]&gt;20000,"Average Sales",Table44[[#This Row],[Sales]]&gt;0,"Poor Sales")</f>
        <v>Best Sales</v>
      </c>
    </row>
    <row r="429" spans="1:11" x14ac:dyDescent="0.3">
      <c r="A429" s="11">
        <v>428</v>
      </c>
      <c r="B429" s="12">
        <v>45284</v>
      </c>
      <c r="C429" s="13" t="s">
        <v>30</v>
      </c>
      <c r="D429" s="13" t="s">
        <v>16</v>
      </c>
      <c r="E429" s="13" t="s">
        <v>12</v>
      </c>
      <c r="F429" s="13" t="s">
        <v>24</v>
      </c>
      <c r="G429" s="13" t="s">
        <v>25</v>
      </c>
      <c r="H429" s="14">
        <v>9672.61</v>
      </c>
      <c r="I429" s="13">
        <v>2</v>
      </c>
      <c r="J429" s="15">
        <v>984.08</v>
      </c>
      <c r="K429" s="14" t="str" cm="1">
        <f t="array" ref="K429">_xlfn.IFS(Table44[[#This Row],[Sales]]&gt;40000,"Best Sales",Table44[[#This Row],[Sales]]&gt;20000,"Average Sales",Table44[[#This Row],[Sales]]&gt;0,"Poor Sales")</f>
        <v>Poor Sales</v>
      </c>
    </row>
    <row r="430" spans="1:11" x14ac:dyDescent="0.3">
      <c r="A430" s="6">
        <v>429</v>
      </c>
      <c r="B430" s="7">
        <v>45247</v>
      </c>
      <c r="C430" s="8" t="s">
        <v>10</v>
      </c>
      <c r="D430" s="8" t="s">
        <v>11</v>
      </c>
      <c r="E430" s="8" t="s">
        <v>17</v>
      </c>
      <c r="F430" s="8" t="s">
        <v>31</v>
      </c>
      <c r="G430" s="8" t="s">
        <v>39</v>
      </c>
      <c r="H430" s="9">
        <v>19904.45</v>
      </c>
      <c r="I430" s="8">
        <v>9</v>
      </c>
      <c r="J430" s="10">
        <v>5096.17</v>
      </c>
      <c r="K430" s="14" t="str" cm="1">
        <f t="array" ref="K430">_xlfn.IFS(Table44[[#This Row],[Sales]]&gt;40000,"Best Sales",Table44[[#This Row],[Sales]]&gt;20000,"Average Sales",Table44[[#This Row],[Sales]]&gt;0,"Poor Sales")</f>
        <v>Poor Sales</v>
      </c>
    </row>
    <row r="431" spans="1:11" x14ac:dyDescent="0.3">
      <c r="A431" s="11">
        <v>430</v>
      </c>
      <c r="B431" s="12">
        <v>45076</v>
      </c>
      <c r="C431" s="13" t="s">
        <v>15</v>
      </c>
      <c r="D431" s="13" t="s">
        <v>16</v>
      </c>
      <c r="E431" s="13" t="s">
        <v>12</v>
      </c>
      <c r="F431" s="13" t="s">
        <v>31</v>
      </c>
      <c r="G431" s="13" t="s">
        <v>39</v>
      </c>
      <c r="H431" s="14">
        <v>16944.29</v>
      </c>
      <c r="I431" s="13">
        <v>4</v>
      </c>
      <c r="J431" s="15">
        <v>3322.86</v>
      </c>
      <c r="K431" s="14" t="str" cm="1">
        <f t="array" ref="K431">_xlfn.IFS(Table44[[#This Row],[Sales]]&gt;40000,"Best Sales",Table44[[#This Row],[Sales]]&gt;20000,"Average Sales",Table44[[#This Row],[Sales]]&gt;0,"Poor Sales")</f>
        <v>Poor Sales</v>
      </c>
    </row>
    <row r="432" spans="1:11" x14ac:dyDescent="0.3">
      <c r="A432" s="6">
        <v>431</v>
      </c>
      <c r="B432" s="7">
        <v>44987</v>
      </c>
      <c r="C432" s="8" t="s">
        <v>26</v>
      </c>
      <c r="D432" s="8" t="s">
        <v>27</v>
      </c>
      <c r="E432" s="8" t="s">
        <v>17</v>
      </c>
      <c r="F432" s="8" t="s">
        <v>31</v>
      </c>
      <c r="G432" s="8" t="s">
        <v>33</v>
      </c>
      <c r="H432" s="9">
        <v>26079.08</v>
      </c>
      <c r="I432" s="8">
        <v>4</v>
      </c>
      <c r="J432" s="10">
        <v>4882.3900000000003</v>
      </c>
      <c r="K432" s="14" t="str" cm="1">
        <f t="array" ref="K432">_xlfn.IFS(Table44[[#This Row],[Sales]]&gt;40000,"Best Sales",Table44[[#This Row],[Sales]]&gt;20000,"Average Sales",Table44[[#This Row],[Sales]]&gt;0,"Poor Sales")</f>
        <v>Average Sales</v>
      </c>
    </row>
    <row r="433" spans="1:11" x14ac:dyDescent="0.3">
      <c r="A433" s="11">
        <v>432</v>
      </c>
      <c r="B433" s="12">
        <v>45119</v>
      </c>
      <c r="C433" s="13" t="s">
        <v>38</v>
      </c>
      <c r="D433" s="13" t="s">
        <v>27</v>
      </c>
      <c r="E433" s="13" t="s">
        <v>20</v>
      </c>
      <c r="F433" s="13" t="s">
        <v>13</v>
      </c>
      <c r="G433" s="13" t="s">
        <v>21</v>
      </c>
      <c r="H433" s="14">
        <v>7671.29</v>
      </c>
      <c r="I433" s="13">
        <v>2</v>
      </c>
      <c r="J433" s="15">
        <v>1004.67</v>
      </c>
      <c r="K433" s="14" t="str" cm="1">
        <f t="array" ref="K433">_xlfn.IFS(Table44[[#This Row],[Sales]]&gt;40000,"Best Sales",Table44[[#This Row],[Sales]]&gt;20000,"Average Sales",Table44[[#This Row],[Sales]]&gt;0,"Poor Sales")</f>
        <v>Poor Sales</v>
      </c>
    </row>
    <row r="434" spans="1:11" x14ac:dyDescent="0.3">
      <c r="A434" s="6">
        <v>433</v>
      </c>
      <c r="B434" s="7">
        <v>45015</v>
      </c>
      <c r="C434" s="8" t="s">
        <v>38</v>
      </c>
      <c r="D434" s="8" t="s">
        <v>27</v>
      </c>
      <c r="E434" s="8" t="s">
        <v>20</v>
      </c>
      <c r="F434" s="8" t="s">
        <v>13</v>
      </c>
      <c r="G434" s="8" t="s">
        <v>34</v>
      </c>
      <c r="H434" s="9">
        <v>1166.95</v>
      </c>
      <c r="I434" s="8">
        <v>8</v>
      </c>
      <c r="J434" s="10">
        <v>238.76</v>
      </c>
      <c r="K434" s="14" t="str" cm="1">
        <f t="array" ref="K434">_xlfn.IFS(Table44[[#This Row],[Sales]]&gt;40000,"Best Sales",Table44[[#This Row],[Sales]]&gt;20000,"Average Sales",Table44[[#This Row],[Sales]]&gt;0,"Poor Sales")</f>
        <v>Poor Sales</v>
      </c>
    </row>
    <row r="435" spans="1:11" x14ac:dyDescent="0.3">
      <c r="A435" s="11">
        <v>434</v>
      </c>
      <c r="B435" s="12">
        <v>45026</v>
      </c>
      <c r="C435" s="13" t="s">
        <v>10</v>
      </c>
      <c r="D435" s="13" t="s">
        <v>11</v>
      </c>
      <c r="E435" s="13" t="s">
        <v>12</v>
      </c>
      <c r="F435" s="13" t="s">
        <v>24</v>
      </c>
      <c r="G435" s="13" t="s">
        <v>29</v>
      </c>
      <c r="H435" s="14">
        <v>35047.11</v>
      </c>
      <c r="I435" s="13">
        <v>5</v>
      </c>
      <c r="J435" s="15">
        <v>8499.74</v>
      </c>
      <c r="K435" s="14" t="str" cm="1">
        <f t="array" ref="K435">_xlfn.IFS(Table44[[#This Row],[Sales]]&gt;40000,"Best Sales",Table44[[#This Row],[Sales]]&gt;20000,"Average Sales",Table44[[#This Row],[Sales]]&gt;0,"Poor Sales")</f>
        <v>Average Sales</v>
      </c>
    </row>
    <row r="436" spans="1:11" x14ac:dyDescent="0.3">
      <c r="A436" s="6">
        <v>435</v>
      </c>
      <c r="B436" s="7">
        <v>45076</v>
      </c>
      <c r="C436" s="8" t="s">
        <v>30</v>
      </c>
      <c r="D436" s="8" t="s">
        <v>16</v>
      </c>
      <c r="E436" s="8" t="s">
        <v>17</v>
      </c>
      <c r="F436" s="8" t="s">
        <v>24</v>
      </c>
      <c r="G436" s="8" t="s">
        <v>25</v>
      </c>
      <c r="H436" s="9">
        <v>40670.42</v>
      </c>
      <c r="I436" s="8">
        <v>2</v>
      </c>
      <c r="J436" s="10">
        <v>2326.37</v>
      </c>
      <c r="K436" s="14" t="str" cm="1">
        <f t="array" ref="K436">_xlfn.IFS(Table44[[#This Row],[Sales]]&gt;40000,"Best Sales",Table44[[#This Row],[Sales]]&gt;20000,"Average Sales",Table44[[#This Row],[Sales]]&gt;0,"Poor Sales")</f>
        <v>Best Sales</v>
      </c>
    </row>
    <row r="437" spans="1:11" x14ac:dyDescent="0.3">
      <c r="A437" s="11">
        <v>436</v>
      </c>
      <c r="B437" s="12">
        <v>45269</v>
      </c>
      <c r="C437" s="13" t="s">
        <v>22</v>
      </c>
      <c r="D437" s="13" t="s">
        <v>22</v>
      </c>
      <c r="E437" s="13" t="s">
        <v>12</v>
      </c>
      <c r="F437" s="13" t="s">
        <v>24</v>
      </c>
      <c r="G437" s="13" t="s">
        <v>29</v>
      </c>
      <c r="H437" s="14">
        <v>24434.99</v>
      </c>
      <c r="I437" s="13">
        <v>6</v>
      </c>
      <c r="J437" s="15">
        <v>4352.29</v>
      </c>
      <c r="K437" s="14" t="str" cm="1">
        <f t="array" ref="K437">_xlfn.IFS(Table44[[#This Row],[Sales]]&gt;40000,"Best Sales",Table44[[#This Row],[Sales]]&gt;20000,"Average Sales",Table44[[#This Row],[Sales]]&gt;0,"Poor Sales")</f>
        <v>Average Sales</v>
      </c>
    </row>
    <row r="438" spans="1:11" x14ac:dyDescent="0.3">
      <c r="A438" s="6">
        <v>437</v>
      </c>
      <c r="B438" s="7">
        <v>45292</v>
      </c>
      <c r="C438" s="8" t="s">
        <v>35</v>
      </c>
      <c r="D438" s="8" t="s">
        <v>36</v>
      </c>
      <c r="E438" s="8" t="s">
        <v>17</v>
      </c>
      <c r="F438" s="8" t="s">
        <v>24</v>
      </c>
      <c r="G438" s="8" t="s">
        <v>25</v>
      </c>
      <c r="H438" s="9">
        <v>46015.08</v>
      </c>
      <c r="I438" s="8">
        <v>6</v>
      </c>
      <c r="J438" s="10">
        <v>11461.24</v>
      </c>
      <c r="K438" s="14" t="str" cm="1">
        <f t="array" ref="K438">_xlfn.IFS(Table44[[#This Row],[Sales]]&gt;40000,"Best Sales",Table44[[#This Row],[Sales]]&gt;20000,"Average Sales",Table44[[#This Row],[Sales]]&gt;0,"Poor Sales")</f>
        <v>Best Sales</v>
      </c>
    </row>
    <row r="439" spans="1:11" x14ac:dyDescent="0.3">
      <c r="A439" s="11">
        <v>438</v>
      </c>
      <c r="B439" s="12">
        <v>45219</v>
      </c>
      <c r="C439" s="13" t="s">
        <v>35</v>
      </c>
      <c r="D439" s="13" t="s">
        <v>36</v>
      </c>
      <c r="E439" s="13" t="s">
        <v>20</v>
      </c>
      <c r="F439" s="13" t="s">
        <v>31</v>
      </c>
      <c r="G439" s="13" t="s">
        <v>33</v>
      </c>
      <c r="H439" s="14">
        <v>1292.73</v>
      </c>
      <c r="I439" s="13">
        <v>7</v>
      </c>
      <c r="J439" s="15">
        <v>383.69</v>
      </c>
      <c r="K439" s="14" t="str" cm="1">
        <f t="array" ref="K439">_xlfn.IFS(Table44[[#This Row],[Sales]]&gt;40000,"Best Sales",Table44[[#This Row],[Sales]]&gt;20000,"Average Sales",Table44[[#This Row],[Sales]]&gt;0,"Poor Sales")</f>
        <v>Poor Sales</v>
      </c>
    </row>
    <row r="440" spans="1:11" x14ac:dyDescent="0.3">
      <c r="A440" s="6">
        <v>439</v>
      </c>
      <c r="B440" s="7">
        <v>45081</v>
      </c>
      <c r="C440" s="8" t="s">
        <v>30</v>
      </c>
      <c r="D440" s="8" t="s">
        <v>16</v>
      </c>
      <c r="E440" s="8" t="s">
        <v>20</v>
      </c>
      <c r="F440" s="8" t="s">
        <v>24</v>
      </c>
      <c r="G440" s="8" t="s">
        <v>29</v>
      </c>
      <c r="H440" s="9">
        <v>9874.76</v>
      </c>
      <c r="I440" s="8">
        <v>3</v>
      </c>
      <c r="J440" s="10">
        <v>1358.17</v>
      </c>
      <c r="K440" s="14" t="str" cm="1">
        <f t="array" ref="K440">_xlfn.IFS(Table44[[#This Row],[Sales]]&gt;40000,"Best Sales",Table44[[#This Row],[Sales]]&gt;20000,"Average Sales",Table44[[#This Row],[Sales]]&gt;0,"Poor Sales")</f>
        <v>Poor Sales</v>
      </c>
    </row>
    <row r="441" spans="1:11" x14ac:dyDescent="0.3">
      <c r="A441" s="11">
        <v>440</v>
      </c>
      <c r="B441" s="12">
        <v>45137</v>
      </c>
      <c r="C441" s="13" t="s">
        <v>22</v>
      </c>
      <c r="D441" s="13" t="s">
        <v>22</v>
      </c>
      <c r="E441" s="13" t="s">
        <v>12</v>
      </c>
      <c r="F441" s="13" t="s">
        <v>24</v>
      </c>
      <c r="G441" s="13" t="s">
        <v>29</v>
      </c>
      <c r="H441" s="14">
        <v>15146.54</v>
      </c>
      <c r="I441" s="13">
        <v>2</v>
      </c>
      <c r="J441" s="15">
        <v>2336.02</v>
      </c>
      <c r="K441" s="14" t="str" cm="1">
        <f t="array" ref="K441">_xlfn.IFS(Table44[[#This Row],[Sales]]&gt;40000,"Best Sales",Table44[[#This Row],[Sales]]&gt;20000,"Average Sales",Table44[[#This Row],[Sales]]&gt;0,"Poor Sales")</f>
        <v>Poor Sales</v>
      </c>
    </row>
    <row r="442" spans="1:11" x14ac:dyDescent="0.3">
      <c r="A442" s="6">
        <v>441</v>
      </c>
      <c r="B442" s="7">
        <v>44959</v>
      </c>
      <c r="C442" s="8" t="s">
        <v>38</v>
      </c>
      <c r="D442" s="8" t="s">
        <v>27</v>
      </c>
      <c r="E442" s="8" t="s">
        <v>17</v>
      </c>
      <c r="F442" s="8" t="s">
        <v>31</v>
      </c>
      <c r="G442" s="8" t="s">
        <v>32</v>
      </c>
      <c r="H442" s="9">
        <v>34618.480000000003</v>
      </c>
      <c r="I442" s="8">
        <v>3</v>
      </c>
      <c r="J442" s="10">
        <v>5814.36</v>
      </c>
      <c r="K442" s="14" t="str" cm="1">
        <f t="array" ref="K442">_xlfn.IFS(Table44[[#This Row],[Sales]]&gt;40000,"Best Sales",Table44[[#This Row],[Sales]]&gt;20000,"Average Sales",Table44[[#This Row],[Sales]]&gt;0,"Poor Sales")</f>
        <v>Average Sales</v>
      </c>
    </row>
    <row r="443" spans="1:11" x14ac:dyDescent="0.3">
      <c r="A443" s="11">
        <v>442</v>
      </c>
      <c r="B443" s="12">
        <v>45167</v>
      </c>
      <c r="C443" s="13" t="s">
        <v>22</v>
      </c>
      <c r="D443" s="13" t="s">
        <v>22</v>
      </c>
      <c r="E443" s="13" t="s">
        <v>12</v>
      </c>
      <c r="F443" s="13" t="s">
        <v>31</v>
      </c>
      <c r="G443" s="13" t="s">
        <v>39</v>
      </c>
      <c r="H443" s="14">
        <v>46015.64</v>
      </c>
      <c r="I443" s="13">
        <v>2</v>
      </c>
      <c r="J443" s="15">
        <v>6821.68</v>
      </c>
      <c r="K443" s="14" t="str" cm="1">
        <f t="array" ref="K443">_xlfn.IFS(Table44[[#This Row],[Sales]]&gt;40000,"Best Sales",Table44[[#This Row],[Sales]]&gt;20000,"Average Sales",Table44[[#This Row],[Sales]]&gt;0,"Poor Sales")</f>
        <v>Best Sales</v>
      </c>
    </row>
    <row r="444" spans="1:11" x14ac:dyDescent="0.3">
      <c r="A444" s="6">
        <v>443</v>
      </c>
      <c r="B444" s="7">
        <v>45056</v>
      </c>
      <c r="C444" s="8" t="s">
        <v>38</v>
      </c>
      <c r="D444" s="8" t="s">
        <v>27</v>
      </c>
      <c r="E444" s="8" t="s">
        <v>17</v>
      </c>
      <c r="F444" s="8" t="s">
        <v>24</v>
      </c>
      <c r="G444" s="8" t="s">
        <v>25</v>
      </c>
      <c r="H444" s="9">
        <v>43471.73</v>
      </c>
      <c r="I444" s="8">
        <v>4</v>
      </c>
      <c r="J444" s="10">
        <v>9929.52</v>
      </c>
      <c r="K444" s="14" t="str" cm="1">
        <f t="array" ref="K444">_xlfn.IFS(Table44[[#This Row],[Sales]]&gt;40000,"Best Sales",Table44[[#This Row],[Sales]]&gt;20000,"Average Sales",Table44[[#This Row],[Sales]]&gt;0,"Poor Sales")</f>
        <v>Best Sales</v>
      </c>
    </row>
    <row r="445" spans="1:11" x14ac:dyDescent="0.3">
      <c r="A445" s="11">
        <v>444</v>
      </c>
      <c r="B445" s="12">
        <v>45108</v>
      </c>
      <c r="C445" s="13" t="s">
        <v>10</v>
      </c>
      <c r="D445" s="13" t="s">
        <v>11</v>
      </c>
      <c r="E445" s="13" t="s">
        <v>20</v>
      </c>
      <c r="F445" s="13" t="s">
        <v>13</v>
      </c>
      <c r="G445" s="13" t="s">
        <v>14</v>
      </c>
      <c r="H445" s="14">
        <v>27516.51</v>
      </c>
      <c r="I445" s="13">
        <v>9</v>
      </c>
      <c r="J445" s="15">
        <v>3418.86</v>
      </c>
      <c r="K445" s="14" t="str" cm="1">
        <f t="array" ref="K445">_xlfn.IFS(Table44[[#This Row],[Sales]]&gt;40000,"Best Sales",Table44[[#This Row],[Sales]]&gt;20000,"Average Sales",Table44[[#This Row],[Sales]]&gt;0,"Poor Sales")</f>
        <v>Average Sales</v>
      </c>
    </row>
    <row r="446" spans="1:11" x14ac:dyDescent="0.3">
      <c r="A446" s="6">
        <v>445</v>
      </c>
      <c r="B446" s="7">
        <v>45260</v>
      </c>
      <c r="C446" s="8" t="s">
        <v>10</v>
      </c>
      <c r="D446" s="8" t="s">
        <v>11</v>
      </c>
      <c r="E446" s="8" t="s">
        <v>20</v>
      </c>
      <c r="F446" s="8" t="s">
        <v>13</v>
      </c>
      <c r="G446" s="8" t="s">
        <v>34</v>
      </c>
      <c r="H446" s="9">
        <v>48032.71</v>
      </c>
      <c r="I446" s="8">
        <v>4</v>
      </c>
      <c r="J446" s="10">
        <v>6135.71</v>
      </c>
      <c r="K446" s="14" t="str" cm="1">
        <f t="array" ref="K446">_xlfn.IFS(Table44[[#This Row],[Sales]]&gt;40000,"Best Sales",Table44[[#This Row],[Sales]]&gt;20000,"Average Sales",Table44[[#This Row],[Sales]]&gt;0,"Poor Sales")</f>
        <v>Best Sales</v>
      </c>
    </row>
    <row r="447" spans="1:11" x14ac:dyDescent="0.3">
      <c r="A447" s="11">
        <v>446</v>
      </c>
      <c r="B447" s="12">
        <v>44976</v>
      </c>
      <c r="C447" s="13" t="s">
        <v>35</v>
      </c>
      <c r="D447" s="13" t="s">
        <v>36</v>
      </c>
      <c r="E447" s="13" t="s">
        <v>12</v>
      </c>
      <c r="F447" s="13" t="s">
        <v>24</v>
      </c>
      <c r="G447" s="13" t="s">
        <v>28</v>
      </c>
      <c r="H447" s="14">
        <v>7864.34</v>
      </c>
      <c r="I447" s="13">
        <v>10</v>
      </c>
      <c r="J447" s="15">
        <v>820.53</v>
      </c>
      <c r="K447" s="14" t="str" cm="1">
        <f t="array" ref="K447">_xlfn.IFS(Table44[[#This Row],[Sales]]&gt;40000,"Best Sales",Table44[[#This Row],[Sales]]&gt;20000,"Average Sales",Table44[[#This Row],[Sales]]&gt;0,"Poor Sales")</f>
        <v>Poor Sales</v>
      </c>
    </row>
    <row r="448" spans="1:11" x14ac:dyDescent="0.3">
      <c r="A448" s="6">
        <v>447</v>
      </c>
      <c r="B448" s="7">
        <v>44953</v>
      </c>
      <c r="C448" s="8" t="s">
        <v>26</v>
      </c>
      <c r="D448" s="8" t="s">
        <v>27</v>
      </c>
      <c r="E448" s="8" t="s">
        <v>17</v>
      </c>
      <c r="F448" s="8" t="s">
        <v>13</v>
      </c>
      <c r="G448" s="8" t="s">
        <v>21</v>
      </c>
      <c r="H448" s="9">
        <v>27123.54</v>
      </c>
      <c r="I448" s="8">
        <v>2</v>
      </c>
      <c r="J448" s="10">
        <v>2817.45</v>
      </c>
      <c r="K448" s="14" t="str" cm="1">
        <f t="array" ref="K448">_xlfn.IFS(Table44[[#This Row],[Sales]]&gt;40000,"Best Sales",Table44[[#This Row],[Sales]]&gt;20000,"Average Sales",Table44[[#This Row],[Sales]]&gt;0,"Poor Sales")</f>
        <v>Average Sales</v>
      </c>
    </row>
    <row r="449" spans="1:11" x14ac:dyDescent="0.3">
      <c r="A449" s="11">
        <v>448</v>
      </c>
      <c r="B449" s="12">
        <v>45062</v>
      </c>
      <c r="C449" s="13" t="s">
        <v>26</v>
      </c>
      <c r="D449" s="13" t="s">
        <v>27</v>
      </c>
      <c r="E449" s="13" t="s">
        <v>12</v>
      </c>
      <c r="F449" s="13" t="s">
        <v>13</v>
      </c>
      <c r="G449" s="13" t="s">
        <v>34</v>
      </c>
      <c r="H449" s="14">
        <v>24573.8</v>
      </c>
      <c r="I449" s="13">
        <v>6</v>
      </c>
      <c r="J449" s="15">
        <v>3674.62</v>
      </c>
      <c r="K449" s="14" t="str" cm="1">
        <f t="array" ref="K449">_xlfn.IFS(Table44[[#This Row],[Sales]]&gt;40000,"Best Sales",Table44[[#This Row],[Sales]]&gt;20000,"Average Sales",Table44[[#This Row],[Sales]]&gt;0,"Poor Sales")</f>
        <v>Average Sales</v>
      </c>
    </row>
    <row r="450" spans="1:11" x14ac:dyDescent="0.3">
      <c r="A450" s="6">
        <v>449</v>
      </c>
      <c r="B450" s="7">
        <v>44978</v>
      </c>
      <c r="C450" s="8" t="s">
        <v>18</v>
      </c>
      <c r="D450" s="8" t="s">
        <v>19</v>
      </c>
      <c r="E450" s="8" t="s">
        <v>17</v>
      </c>
      <c r="F450" s="8" t="s">
        <v>24</v>
      </c>
      <c r="G450" s="8" t="s">
        <v>29</v>
      </c>
      <c r="H450" s="9">
        <v>24662.23</v>
      </c>
      <c r="I450" s="8">
        <v>3</v>
      </c>
      <c r="J450" s="10">
        <v>3744.45</v>
      </c>
      <c r="K450" s="14" t="str" cm="1">
        <f t="array" ref="K450">_xlfn.IFS(Table44[[#This Row],[Sales]]&gt;40000,"Best Sales",Table44[[#This Row],[Sales]]&gt;20000,"Average Sales",Table44[[#This Row],[Sales]]&gt;0,"Poor Sales")</f>
        <v>Average Sales</v>
      </c>
    </row>
    <row r="451" spans="1:11" x14ac:dyDescent="0.3">
      <c r="A451" s="11">
        <v>450</v>
      </c>
      <c r="B451" s="12">
        <v>45214</v>
      </c>
      <c r="C451" s="13" t="s">
        <v>30</v>
      </c>
      <c r="D451" s="13" t="s">
        <v>16</v>
      </c>
      <c r="E451" s="13" t="s">
        <v>20</v>
      </c>
      <c r="F451" s="13" t="s">
        <v>24</v>
      </c>
      <c r="G451" s="13" t="s">
        <v>25</v>
      </c>
      <c r="H451" s="14">
        <v>22932.71</v>
      </c>
      <c r="I451" s="13">
        <v>1</v>
      </c>
      <c r="J451" s="15">
        <v>1770.13</v>
      </c>
      <c r="K451" s="14" t="str" cm="1">
        <f t="array" ref="K451">_xlfn.IFS(Table44[[#This Row],[Sales]]&gt;40000,"Best Sales",Table44[[#This Row],[Sales]]&gt;20000,"Average Sales",Table44[[#This Row],[Sales]]&gt;0,"Poor Sales")</f>
        <v>Average Sales</v>
      </c>
    </row>
    <row r="452" spans="1:11" x14ac:dyDescent="0.3">
      <c r="A452" s="6">
        <v>451</v>
      </c>
      <c r="B452" s="7">
        <v>45241</v>
      </c>
      <c r="C452" s="8" t="s">
        <v>10</v>
      </c>
      <c r="D452" s="8" t="s">
        <v>11</v>
      </c>
      <c r="E452" s="8" t="s">
        <v>20</v>
      </c>
      <c r="F452" s="8" t="s">
        <v>31</v>
      </c>
      <c r="G452" s="8" t="s">
        <v>33</v>
      </c>
      <c r="H452" s="9">
        <v>2101.9299999999998</v>
      </c>
      <c r="I452" s="8">
        <v>6</v>
      </c>
      <c r="J452" s="10">
        <v>507.01</v>
      </c>
      <c r="K452" s="14" t="str" cm="1">
        <f t="array" ref="K452">_xlfn.IFS(Table44[[#This Row],[Sales]]&gt;40000,"Best Sales",Table44[[#This Row],[Sales]]&gt;20000,"Average Sales",Table44[[#This Row],[Sales]]&gt;0,"Poor Sales")</f>
        <v>Poor Sales</v>
      </c>
    </row>
    <row r="453" spans="1:11" x14ac:dyDescent="0.3">
      <c r="A453" s="11">
        <v>452</v>
      </c>
      <c r="B453" s="12">
        <v>45192</v>
      </c>
      <c r="C453" s="13" t="s">
        <v>26</v>
      </c>
      <c r="D453" s="13" t="s">
        <v>27</v>
      </c>
      <c r="E453" s="13" t="s">
        <v>12</v>
      </c>
      <c r="F453" s="13" t="s">
        <v>24</v>
      </c>
      <c r="G453" s="13" t="s">
        <v>29</v>
      </c>
      <c r="H453" s="14">
        <v>23897.96</v>
      </c>
      <c r="I453" s="13">
        <v>7</v>
      </c>
      <c r="J453" s="15">
        <v>4085.47</v>
      </c>
      <c r="K453" s="14" t="str" cm="1">
        <f t="array" ref="K453">_xlfn.IFS(Table44[[#This Row],[Sales]]&gt;40000,"Best Sales",Table44[[#This Row],[Sales]]&gt;20000,"Average Sales",Table44[[#This Row],[Sales]]&gt;0,"Poor Sales")</f>
        <v>Average Sales</v>
      </c>
    </row>
    <row r="454" spans="1:11" x14ac:dyDescent="0.3">
      <c r="A454" s="6">
        <v>453</v>
      </c>
      <c r="B454" s="7">
        <v>45018</v>
      </c>
      <c r="C454" s="8" t="s">
        <v>35</v>
      </c>
      <c r="D454" s="8" t="s">
        <v>36</v>
      </c>
      <c r="E454" s="8" t="s">
        <v>17</v>
      </c>
      <c r="F454" s="8" t="s">
        <v>24</v>
      </c>
      <c r="G454" s="8" t="s">
        <v>29</v>
      </c>
      <c r="H454" s="9">
        <v>32507.15</v>
      </c>
      <c r="I454" s="8">
        <v>10</v>
      </c>
      <c r="J454" s="10">
        <v>4890.71</v>
      </c>
      <c r="K454" s="14" t="str" cm="1">
        <f t="array" ref="K454">_xlfn.IFS(Table44[[#This Row],[Sales]]&gt;40000,"Best Sales",Table44[[#This Row],[Sales]]&gt;20000,"Average Sales",Table44[[#This Row],[Sales]]&gt;0,"Poor Sales")</f>
        <v>Average Sales</v>
      </c>
    </row>
    <row r="455" spans="1:11" x14ac:dyDescent="0.3">
      <c r="A455" s="11">
        <v>454</v>
      </c>
      <c r="B455" s="12">
        <v>45053</v>
      </c>
      <c r="C455" s="13" t="s">
        <v>30</v>
      </c>
      <c r="D455" s="13" t="s">
        <v>16</v>
      </c>
      <c r="E455" s="13" t="s">
        <v>12</v>
      </c>
      <c r="F455" s="13" t="s">
        <v>13</v>
      </c>
      <c r="G455" s="13" t="s">
        <v>14</v>
      </c>
      <c r="H455" s="14">
        <v>8584.92</v>
      </c>
      <c r="I455" s="13">
        <v>1</v>
      </c>
      <c r="J455" s="15">
        <v>2560.9699999999998</v>
      </c>
      <c r="K455" s="14" t="str" cm="1">
        <f t="array" ref="K455">_xlfn.IFS(Table44[[#This Row],[Sales]]&gt;40000,"Best Sales",Table44[[#This Row],[Sales]]&gt;20000,"Average Sales",Table44[[#This Row],[Sales]]&gt;0,"Poor Sales")</f>
        <v>Poor Sales</v>
      </c>
    </row>
    <row r="456" spans="1:11" x14ac:dyDescent="0.3">
      <c r="A456" s="6">
        <v>455</v>
      </c>
      <c r="B456" s="7">
        <v>45069</v>
      </c>
      <c r="C456" s="8" t="s">
        <v>22</v>
      </c>
      <c r="D456" s="8" t="s">
        <v>22</v>
      </c>
      <c r="E456" s="8" t="s">
        <v>17</v>
      </c>
      <c r="F456" s="8" t="s">
        <v>24</v>
      </c>
      <c r="G456" s="8" t="s">
        <v>28</v>
      </c>
      <c r="H456" s="9">
        <v>17850.810000000001</v>
      </c>
      <c r="I456" s="8">
        <v>9</v>
      </c>
      <c r="J456" s="10">
        <v>4605.67</v>
      </c>
      <c r="K456" s="14" t="str" cm="1">
        <f t="array" ref="K456">_xlfn.IFS(Table44[[#This Row],[Sales]]&gt;40000,"Best Sales",Table44[[#This Row],[Sales]]&gt;20000,"Average Sales",Table44[[#This Row],[Sales]]&gt;0,"Poor Sales")</f>
        <v>Poor Sales</v>
      </c>
    </row>
    <row r="457" spans="1:11" x14ac:dyDescent="0.3">
      <c r="A457" s="11">
        <v>456</v>
      </c>
      <c r="B457" s="12">
        <v>44976</v>
      </c>
      <c r="C457" s="13" t="s">
        <v>10</v>
      </c>
      <c r="D457" s="13" t="s">
        <v>11</v>
      </c>
      <c r="E457" s="13" t="s">
        <v>20</v>
      </c>
      <c r="F457" s="13" t="s">
        <v>13</v>
      </c>
      <c r="G457" s="13" t="s">
        <v>21</v>
      </c>
      <c r="H457" s="14">
        <v>33800.74</v>
      </c>
      <c r="I457" s="13">
        <v>2</v>
      </c>
      <c r="J457" s="15">
        <v>2747.6</v>
      </c>
      <c r="K457" s="14" t="str" cm="1">
        <f t="array" ref="K457">_xlfn.IFS(Table44[[#This Row],[Sales]]&gt;40000,"Best Sales",Table44[[#This Row],[Sales]]&gt;20000,"Average Sales",Table44[[#This Row],[Sales]]&gt;0,"Poor Sales")</f>
        <v>Average Sales</v>
      </c>
    </row>
    <row r="458" spans="1:11" x14ac:dyDescent="0.3">
      <c r="A458" s="6">
        <v>457</v>
      </c>
      <c r="B458" s="7">
        <v>45264</v>
      </c>
      <c r="C458" s="8" t="s">
        <v>15</v>
      </c>
      <c r="D458" s="8" t="s">
        <v>16</v>
      </c>
      <c r="E458" s="8" t="s">
        <v>20</v>
      </c>
      <c r="F458" s="8" t="s">
        <v>24</v>
      </c>
      <c r="G458" s="8" t="s">
        <v>25</v>
      </c>
      <c r="H458" s="9">
        <v>5414.74</v>
      </c>
      <c r="I458" s="8">
        <v>4</v>
      </c>
      <c r="J458" s="10">
        <v>976.86</v>
      </c>
      <c r="K458" s="14" t="str" cm="1">
        <f t="array" ref="K458">_xlfn.IFS(Table44[[#This Row],[Sales]]&gt;40000,"Best Sales",Table44[[#This Row],[Sales]]&gt;20000,"Average Sales",Table44[[#This Row],[Sales]]&gt;0,"Poor Sales")</f>
        <v>Poor Sales</v>
      </c>
    </row>
    <row r="459" spans="1:11" x14ac:dyDescent="0.3">
      <c r="A459" s="11">
        <v>458</v>
      </c>
      <c r="B459" s="12">
        <v>44952</v>
      </c>
      <c r="C459" s="13" t="s">
        <v>37</v>
      </c>
      <c r="D459" s="13" t="s">
        <v>27</v>
      </c>
      <c r="E459" s="13" t="s">
        <v>12</v>
      </c>
      <c r="F459" s="13" t="s">
        <v>24</v>
      </c>
      <c r="G459" s="13" t="s">
        <v>28</v>
      </c>
      <c r="H459" s="14">
        <v>12452.06</v>
      </c>
      <c r="I459" s="13">
        <v>2</v>
      </c>
      <c r="J459" s="15">
        <v>2412.8200000000002</v>
      </c>
      <c r="K459" s="14" t="str" cm="1">
        <f t="array" ref="K459">_xlfn.IFS(Table44[[#This Row],[Sales]]&gt;40000,"Best Sales",Table44[[#This Row],[Sales]]&gt;20000,"Average Sales",Table44[[#This Row],[Sales]]&gt;0,"Poor Sales")</f>
        <v>Poor Sales</v>
      </c>
    </row>
    <row r="460" spans="1:11" x14ac:dyDescent="0.3">
      <c r="A460" s="6">
        <v>459</v>
      </c>
      <c r="B460" s="7">
        <v>45132</v>
      </c>
      <c r="C460" s="8" t="s">
        <v>10</v>
      </c>
      <c r="D460" s="8" t="s">
        <v>11</v>
      </c>
      <c r="E460" s="8" t="s">
        <v>17</v>
      </c>
      <c r="F460" s="8" t="s">
        <v>24</v>
      </c>
      <c r="G460" s="8" t="s">
        <v>29</v>
      </c>
      <c r="H460" s="9">
        <v>15764.96</v>
      </c>
      <c r="I460" s="8">
        <v>4</v>
      </c>
      <c r="J460" s="10">
        <v>2352.7399999999998</v>
      </c>
      <c r="K460" s="14" t="str" cm="1">
        <f t="array" ref="K460">_xlfn.IFS(Table44[[#This Row],[Sales]]&gt;40000,"Best Sales",Table44[[#This Row],[Sales]]&gt;20000,"Average Sales",Table44[[#This Row],[Sales]]&gt;0,"Poor Sales")</f>
        <v>Poor Sales</v>
      </c>
    </row>
    <row r="461" spans="1:11" x14ac:dyDescent="0.3">
      <c r="A461" s="11">
        <v>460</v>
      </c>
      <c r="B461" s="12">
        <v>45239</v>
      </c>
      <c r="C461" s="13" t="s">
        <v>37</v>
      </c>
      <c r="D461" s="13" t="s">
        <v>27</v>
      </c>
      <c r="E461" s="13" t="s">
        <v>12</v>
      </c>
      <c r="F461" s="13" t="s">
        <v>24</v>
      </c>
      <c r="G461" s="13" t="s">
        <v>25</v>
      </c>
      <c r="H461" s="14">
        <v>41835.79</v>
      </c>
      <c r="I461" s="13">
        <v>1</v>
      </c>
      <c r="J461" s="15">
        <v>2744.23</v>
      </c>
      <c r="K461" s="14" t="str" cm="1">
        <f t="array" ref="K461">_xlfn.IFS(Table44[[#This Row],[Sales]]&gt;40000,"Best Sales",Table44[[#This Row],[Sales]]&gt;20000,"Average Sales",Table44[[#This Row],[Sales]]&gt;0,"Poor Sales")</f>
        <v>Best Sales</v>
      </c>
    </row>
    <row r="462" spans="1:11" x14ac:dyDescent="0.3">
      <c r="A462" s="6">
        <v>461</v>
      </c>
      <c r="B462" s="7">
        <v>45075</v>
      </c>
      <c r="C462" s="8" t="s">
        <v>18</v>
      </c>
      <c r="D462" s="8" t="s">
        <v>19</v>
      </c>
      <c r="E462" s="8" t="s">
        <v>17</v>
      </c>
      <c r="F462" s="8" t="s">
        <v>31</v>
      </c>
      <c r="G462" s="8" t="s">
        <v>33</v>
      </c>
      <c r="H462" s="9">
        <v>23801.25</v>
      </c>
      <c r="I462" s="8">
        <v>2</v>
      </c>
      <c r="J462" s="10">
        <v>6445.33</v>
      </c>
      <c r="K462" s="14" t="str" cm="1">
        <f t="array" ref="K462">_xlfn.IFS(Table44[[#This Row],[Sales]]&gt;40000,"Best Sales",Table44[[#This Row],[Sales]]&gt;20000,"Average Sales",Table44[[#This Row],[Sales]]&gt;0,"Poor Sales")</f>
        <v>Average Sales</v>
      </c>
    </row>
    <row r="463" spans="1:11" x14ac:dyDescent="0.3">
      <c r="A463" s="11">
        <v>462</v>
      </c>
      <c r="B463" s="12">
        <v>45252</v>
      </c>
      <c r="C463" s="13" t="s">
        <v>26</v>
      </c>
      <c r="D463" s="13" t="s">
        <v>27</v>
      </c>
      <c r="E463" s="13" t="s">
        <v>20</v>
      </c>
      <c r="F463" s="13" t="s">
        <v>24</v>
      </c>
      <c r="G463" s="13" t="s">
        <v>25</v>
      </c>
      <c r="H463" s="14">
        <v>15461.71</v>
      </c>
      <c r="I463" s="13">
        <v>3</v>
      </c>
      <c r="J463" s="15">
        <v>3314.59</v>
      </c>
      <c r="K463" s="14" t="str" cm="1">
        <f t="array" ref="K463">_xlfn.IFS(Table44[[#This Row],[Sales]]&gt;40000,"Best Sales",Table44[[#This Row],[Sales]]&gt;20000,"Average Sales",Table44[[#This Row],[Sales]]&gt;0,"Poor Sales")</f>
        <v>Poor Sales</v>
      </c>
    </row>
    <row r="464" spans="1:11" x14ac:dyDescent="0.3">
      <c r="A464" s="6">
        <v>463</v>
      </c>
      <c r="B464" s="7">
        <v>45076</v>
      </c>
      <c r="C464" s="8" t="s">
        <v>35</v>
      </c>
      <c r="D464" s="8" t="s">
        <v>36</v>
      </c>
      <c r="E464" s="8" t="s">
        <v>20</v>
      </c>
      <c r="F464" s="8" t="s">
        <v>24</v>
      </c>
      <c r="G464" s="8" t="s">
        <v>29</v>
      </c>
      <c r="H464" s="9">
        <v>45619.47</v>
      </c>
      <c r="I464" s="8">
        <v>10</v>
      </c>
      <c r="J464" s="10">
        <v>10134.75</v>
      </c>
      <c r="K464" s="14" t="str" cm="1">
        <f t="array" ref="K464">_xlfn.IFS(Table44[[#This Row],[Sales]]&gt;40000,"Best Sales",Table44[[#This Row],[Sales]]&gt;20000,"Average Sales",Table44[[#This Row],[Sales]]&gt;0,"Poor Sales")</f>
        <v>Best Sales</v>
      </c>
    </row>
    <row r="465" spans="1:11" x14ac:dyDescent="0.3">
      <c r="A465" s="11">
        <v>464</v>
      </c>
      <c r="B465" s="12">
        <v>45000</v>
      </c>
      <c r="C465" s="13" t="s">
        <v>10</v>
      </c>
      <c r="D465" s="13" t="s">
        <v>11</v>
      </c>
      <c r="E465" s="13" t="s">
        <v>12</v>
      </c>
      <c r="F465" s="13" t="s">
        <v>31</v>
      </c>
      <c r="G465" s="13" t="s">
        <v>33</v>
      </c>
      <c r="H465" s="14">
        <v>15028.38</v>
      </c>
      <c r="I465" s="13">
        <v>7</v>
      </c>
      <c r="J465" s="15">
        <v>2910.42</v>
      </c>
      <c r="K465" s="14" t="str" cm="1">
        <f t="array" ref="K465">_xlfn.IFS(Table44[[#This Row],[Sales]]&gt;40000,"Best Sales",Table44[[#This Row],[Sales]]&gt;20000,"Average Sales",Table44[[#This Row],[Sales]]&gt;0,"Poor Sales")</f>
        <v>Poor Sales</v>
      </c>
    </row>
    <row r="466" spans="1:11" x14ac:dyDescent="0.3">
      <c r="A466" s="6">
        <v>465</v>
      </c>
      <c r="B466" s="7">
        <v>45205</v>
      </c>
      <c r="C466" s="8" t="s">
        <v>22</v>
      </c>
      <c r="D466" s="8" t="s">
        <v>22</v>
      </c>
      <c r="E466" s="8" t="s">
        <v>17</v>
      </c>
      <c r="F466" s="8" t="s">
        <v>13</v>
      </c>
      <c r="G466" s="8" t="s">
        <v>34</v>
      </c>
      <c r="H466" s="9">
        <v>30842.46</v>
      </c>
      <c r="I466" s="8">
        <v>1</v>
      </c>
      <c r="J466" s="10">
        <v>3773.49</v>
      </c>
      <c r="K466" s="14" t="str" cm="1">
        <f t="array" ref="K466">_xlfn.IFS(Table44[[#This Row],[Sales]]&gt;40000,"Best Sales",Table44[[#This Row],[Sales]]&gt;20000,"Average Sales",Table44[[#This Row],[Sales]]&gt;0,"Poor Sales")</f>
        <v>Average Sales</v>
      </c>
    </row>
    <row r="467" spans="1:11" x14ac:dyDescent="0.3">
      <c r="A467" s="11">
        <v>466</v>
      </c>
      <c r="B467" s="12">
        <v>45222</v>
      </c>
      <c r="C467" s="13" t="s">
        <v>10</v>
      </c>
      <c r="D467" s="13" t="s">
        <v>11</v>
      </c>
      <c r="E467" s="13" t="s">
        <v>12</v>
      </c>
      <c r="F467" s="13" t="s">
        <v>13</v>
      </c>
      <c r="G467" s="13" t="s">
        <v>21</v>
      </c>
      <c r="H467" s="14">
        <v>6318.79</v>
      </c>
      <c r="I467" s="13">
        <v>4</v>
      </c>
      <c r="J467" s="15">
        <v>1551.93</v>
      </c>
      <c r="K467" s="14" t="str" cm="1">
        <f t="array" ref="K467">_xlfn.IFS(Table44[[#This Row],[Sales]]&gt;40000,"Best Sales",Table44[[#This Row],[Sales]]&gt;20000,"Average Sales",Table44[[#This Row],[Sales]]&gt;0,"Poor Sales")</f>
        <v>Poor Sales</v>
      </c>
    </row>
    <row r="468" spans="1:11" x14ac:dyDescent="0.3">
      <c r="A468" s="6">
        <v>467</v>
      </c>
      <c r="B468" s="7">
        <v>44974</v>
      </c>
      <c r="C468" s="8" t="s">
        <v>38</v>
      </c>
      <c r="D468" s="8" t="s">
        <v>27</v>
      </c>
      <c r="E468" s="8" t="s">
        <v>17</v>
      </c>
      <c r="F468" s="8" t="s">
        <v>31</v>
      </c>
      <c r="G468" s="8" t="s">
        <v>33</v>
      </c>
      <c r="H468" s="9">
        <v>14828.09</v>
      </c>
      <c r="I468" s="8">
        <v>7</v>
      </c>
      <c r="J468" s="10">
        <v>2884.42</v>
      </c>
      <c r="K468" s="14" t="str" cm="1">
        <f t="array" ref="K468">_xlfn.IFS(Table44[[#This Row],[Sales]]&gt;40000,"Best Sales",Table44[[#This Row],[Sales]]&gt;20000,"Average Sales",Table44[[#This Row],[Sales]]&gt;0,"Poor Sales")</f>
        <v>Poor Sales</v>
      </c>
    </row>
    <row r="469" spans="1:11" x14ac:dyDescent="0.3">
      <c r="A469" s="11">
        <v>468</v>
      </c>
      <c r="B469" s="12">
        <v>45137</v>
      </c>
      <c r="C469" s="13" t="s">
        <v>37</v>
      </c>
      <c r="D469" s="13" t="s">
        <v>27</v>
      </c>
      <c r="E469" s="13" t="s">
        <v>20</v>
      </c>
      <c r="F469" s="13" t="s">
        <v>24</v>
      </c>
      <c r="G469" s="13" t="s">
        <v>28</v>
      </c>
      <c r="H469" s="14">
        <v>16069.37</v>
      </c>
      <c r="I469" s="13">
        <v>2</v>
      </c>
      <c r="J469" s="15">
        <v>3976.35</v>
      </c>
      <c r="K469" s="14" t="str" cm="1">
        <f t="array" ref="K469">_xlfn.IFS(Table44[[#This Row],[Sales]]&gt;40000,"Best Sales",Table44[[#This Row],[Sales]]&gt;20000,"Average Sales",Table44[[#This Row],[Sales]]&gt;0,"Poor Sales")</f>
        <v>Poor Sales</v>
      </c>
    </row>
    <row r="470" spans="1:11" x14ac:dyDescent="0.3">
      <c r="A470" s="6">
        <v>469</v>
      </c>
      <c r="B470" s="7">
        <v>45213</v>
      </c>
      <c r="C470" s="8" t="s">
        <v>30</v>
      </c>
      <c r="D470" s="8" t="s">
        <v>16</v>
      </c>
      <c r="E470" s="8" t="s">
        <v>20</v>
      </c>
      <c r="F470" s="8" t="s">
        <v>13</v>
      </c>
      <c r="G470" s="8" t="s">
        <v>21</v>
      </c>
      <c r="H470" s="9">
        <v>13770.88</v>
      </c>
      <c r="I470" s="8">
        <v>9</v>
      </c>
      <c r="J470" s="10">
        <v>1110.72</v>
      </c>
      <c r="K470" s="14" t="str" cm="1">
        <f t="array" ref="K470">_xlfn.IFS(Table44[[#This Row],[Sales]]&gt;40000,"Best Sales",Table44[[#This Row],[Sales]]&gt;20000,"Average Sales",Table44[[#This Row],[Sales]]&gt;0,"Poor Sales")</f>
        <v>Poor Sales</v>
      </c>
    </row>
    <row r="471" spans="1:11" x14ac:dyDescent="0.3">
      <c r="A471" s="11">
        <v>470</v>
      </c>
      <c r="B471" s="12">
        <v>45016</v>
      </c>
      <c r="C471" s="13" t="s">
        <v>37</v>
      </c>
      <c r="D471" s="13" t="s">
        <v>27</v>
      </c>
      <c r="E471" s="13" t="s">
        <v>12</v>
      </c>
      <c r="F471" s="13" t="s">
        <v>24</v>
      </c>
      <c r="G471" s="13" t="s">
        <v>29</v>
      </c>
      <c r="H471" s="14">
        <v>24821.75</v>
      </c>
      <c r="I471" s="13">
        <v>4</v>
      </c>
      <c r="J471" s="15">
        <v>4789.5600000000004</v>
      </c>
      <c r="K471" s="14" t="str" cm="1">
        <f t="array" ref="K471">_xlfn.IFS(Table44[[#This Row],[Sales]]&gt;40000,"Best Sales",Table44[[#This Row],[Sales]]&gt;20000,"Average Sales",Table44[[#This Row],[Sales]]&gt;0,"Poor Sales")</f>
        <v>Average Sales</v>
      </c>
    </row>
    <row r="472" spans="1:11" x14ac:dyDescent="0.3">
      <c r="A472" s="6">
        <v>471</v>
      </c>
      <c r="B472" s="7">
        <v>45038</v>
      </c>
      <c r="C472" s="8" t="s">
        <v>15</v>
      </c>
      <c r="D472" s="8" t="s">
        <v>16</v>
      </c>
      <c r="E472" s="8" t="s">
        <v>17</v>
      </c>
      <c r="F472" s="8" t="s">
        <v>13</v>
      </c>
      <c r="G472" s="8" t="s">
        <v>14</v>
      </c>
      <c r="H472" s="9">
        <v>19819</v>
      </c>
      <c r="I472" s="8">
        <v>9</v>
      </c>
      <c r="J472" s="10">
        <v>4493.47</v>
      </c>
      <c r="K472" s="14" t="str" cm="1">
        <f t="array" ref="K472">_xlfn.IFS(Table44[[#This Row],[Sales]]&gt;40000,"Best Sales",Table44[[#This Row],[Sales]]&gt;20000,"Average Sales",Table44[[#This Row],[Sales]]&gt;0,"Poor Sales")</f>
        <v>Poor Sales</v>
      </c>
    </row>
    <row r="473" spans="1:11" x14ac:dyDescent="0.3">
      <c r="A473" s="11">
        <v>472</v>
      </c>
      <c r="B473" s="12">
        <v>45211</v>
      </c>
      <c r="C473" s="13" t="s">
        <v>37</v>
      </c>
      <c r="D473" s="13" t="s">
        <v>27</v>
      </c>
      <c r="E473" s="13" t="s">
        <v>12</v>
      </c>
      <c r="F473" s="13" t="s">
        <v>13</v>
      </c>
      <c r="G473" s="13" t="s">
        <v>21</v>
      </c>
      <c r="H473" s="14">
        <v>7807.18</v>
      </c>
      <c r="I473" s="13">
        <v>9</v>
      </c>
      <c r="J473" s="15">
        <v>893.09</v>
      </c>
      <c r="K473" s="14" t="str" cm="1">
        <f t="array" ref="K473">_xlfn.IFS(Table44[[#This Row],[Sales]]&gt;40000,"Best Sales",Table44[[#This Row],[Sales]]&gt;20000,"Average Sales",Table44[[#This Row],[Sales]]&gt;0,"Poor Sales")</f>
        <v>Poor Sales</v>
      </c>
    </row>
    <row r="474" spans="1:11" x14ac:dyDescent="0.3">
      <c r="A474" s="6">
        <v>473</v>
      </c>
      <c r="B474" s="7">
        <v>45158</v>
      </c>
      <c r="C474" s="8" t="s">
        <v>35</v>
      </c>
      <c r="D474" s="8" t="s">
        <v>36</v>
      </c>
      <c r="E474" s="8" t="s">
        <v>17</v>
      </c>
      <c r="F474" s="8" t="s">
        <v>13</v>
      </c>
      <c r="G474" s="8" t="s">
        <v>14</v>
      </c>
      <c r="H474" s="9">
        <v>29187.5</v>
      </c>
      <c r="I474" s="8">
        <v>3</v>
      </c>
      <c r="J474" s="10">
        <v>2048.9699999999998</v>
      </c>
      <c r="K474" s="14" t="str" cm="1">
        <f t="array" ref="K474">_xlfn.IFS(Table44[[#This Row],[Sales]]&gt;40000,"Best Sales",Table44[[#This Row],[Sales]]&gt;20000,"Average Sales",Table44[[#This Row],[Sales]]&gt;0,"Poor Sales")</f>
        <v>Average Sales</v>
      </c>
    </row>
    <row r="475" spans="1:11" x14ac:dyDescent="0.3">
      <c r="A475" s="11">
        <v>474</v>
      </c>
      <c r="B475" s="12">
        <v>45287</v>
      </c>
      <c r="C475" s="13" t="s">
        <v>10</v>
      </c>
      <c r="D475" s="13" t="s">
        <v>11</v>
      </c>
      <c r="E475" s="13" t="s">
        <v>20</v>
      </c>
      <c r="F475" s="13" t="s">
        <v>24</v>
      </c>
      <c r="G475" s="13" t="s">
        <v>28</v>
      </c>
      <c r="H475" s="14">
        <v>30736.28</v>
      </c>
      <c r="I475" s="13">
        <v>6</v>
      </c>
      <c r="J475" s="15">
        <v>6419.01</v>
      </c>
      <c r="K475" s="14" t="str" cm="1">
        <f t="array" ref="K475">_xlfn.IFS(Table44[[#This Row],[Sales]]&gt;40000,"Best Sales",Table44[[#This Row],[Sales]]&gt;20000,"Average Sales",Table44[[#This Row],[Sales]]&gt;0,"Poor Sales")</f>
        <v>Average Sales</v>
      </c>
    </row>
    <row r="476" spans="1:11" x14ac:dyDescent="0.3">
      <c r="A476" s="6">
        <v>475</v>
      </c>
      <c r="B476" s="7">
        <v>44988</v>
      </c>
      <c r="C476" s="8" t="s">
        <v>30</v>
      </c>
      <c r="D476" s="8" t="s">
        <v>16</v>
      </c>
      <c r="E476" s="8" t="s">
        <v>20</v>
      </c>
      <c r="F476" s="8" t="s">
        <v>24</v>
      </c>
      <c r="G476" s="8" t="s">
        <v>25</v>
      </c>
      <c r="H476" s="9">
        <v>14023.91</v>
      </c>
      <c r="I476" s="8">
        <v>7</v>
      </c>
      <c r="J476" s="10">
        <v>1687.3</v>
      </c>
      <c r="K476" s="14" t="str" cm="1">
        <f t="array" ref="K476">_xlfn.IFS(Table44[[#This Row],[Sales]]&gt;40000,"Best Sales",Table44[[#This Row],[Sales]]&gt;20000,"Average Sales",Table44[[#This Row],[Sales]]&gt;0,"Poor Sales")</f>
        <v>Poor Sales</v>
      </c>
    </row>
    <row r="477" spans="1:11" x14ac:dyDescent="0.3">
      <c r="A477" s="11">
        <v>476</v>
      </c>
      <c r="B477" s="12">
        <v>45029</v>
      </c>
      <c r="C477" s="13" t="s">
        <v>18</v>
      </c>
      <c r="D477" s="13" t="s">
        <v>19</v>
      </c>
      <c r="E477" s="13" t="s">
        <v>12</v>
      </c>
      <c r="F477" s="13" t="s">
        <v>24</v>
      </c>
      <c r="G477" s="13" t="s">
        <v>29</v>
      </c>
      <c r="H477" s="14">
        <v>16267.75</v>
      </c>
      <c r="I477" s="13">
        <v>3</v>
      </c>
      <c r="J477" s="15">
        <v>3928.17</v>
      </c>
      <c r="K477" s="14" t="str" cm="1">
        <f t="array" ref="K477">_xlfn.IFS(Table44[[#This Row],[Sales]]&gt;40000,"Best Sales",Table44[[#This Row],[Sales]]&gt;20000,"Average Sales",Table44[[#This Row],[Sales]]&gt;0,"Poor Sales")</f>
        <v>Poor Sales</v>
      </c>
    </row>
    <row r="478" spans="1:11" x14ac:dyDescent="0.3">
      <c r="A478" s="6">
        <v>477</v>
      </c>
      <c r="B478" s="7">
        <v>45129</v>
      </c>
      <c r="C478" s="8" t="s">
        <v>38</v>
      </c>
      <c r="D478" s="8" t="s">
        <v>27</v>
      </c>
      <c r="E478" s="8" t="s">
        <v>17</v>
      </c>
      <c r="F478" s="8" t="s">
        <v>31</v>
      </c>
      <c r="G478" s="8" t="s">
        <v>39</v>
      </c>
      <c r="H478" s="9">
        <v>17638.95</v>
      </c>
      <c r="I478" s="8">
        <v>1</v>
      </c>
      <c r="J478" s="10">
        <v>5267.64</v>
      </c>
      <c r="K478" s="14" t="str" cm="1">
        <f t="array" ref="K478">_xlfn.IFS(Table44[[#This Row],[Sales]]&gt;40000,"Best Sales",Table44[[#This Row],[Sales]]&gt;20000,"Average Sales",Table44[[#This Row],[Sales]]&gt;0,"Poor Sales")</f>
        <v>Poor Sales</v>
      </c>
    </row>
    <row r="479" spans="1:11" x14ac:dyDescent="0.3">
      <c r="A479" s="11">
        <v>478</v>
      </c>
      <c r="B479" s="12">
        <v>45019</v>
      </c>
      <c r="C479" s="13" t="s">
        <v>35</v>
      </c>
      <c r="D479" s="13" t="s">
        <v>36</v>
      </c>
      <c r="E479" s="13" t="s">
        <v>12</v>
      </c>
      <c r="F479" s="13" t="s">
        <v>31</v>
      </c>
      <c r="G479" s="13" t="s">
        <v>39</v>
      </c>
      <c r="H479" s="14">
        <v>4634.8100000000004</v>
      </c>
      <c r="I479" s="13">
        <v>5</v>
      </c>
      <c r="J479" s="15">
        <v>1129.28</v>
      </c>
      <c r="K479" s="14" t="str" cm="1">
        <f t="array" ref="K479">_xlfn.IFS(Table44[[#This Row],[Sales]]&gt;40000,"Best Sales",Table44[[#This Row],[Sales]]&gt;20000,"Average Sales",Table44[[#This Row],[Sales]]&gt;0,"Poor Sales")</f>
        <v>Poor Sales</v>
      </c>
    </row>
    <row r="480" spans="1:11" x14ac:dyDescent="0.3">
      <c r="A480" s="6">
        <v>479</v>
      </c>
      <c r="B480" s="7">
        <v>44994</v>
      </c>
      <c r="C480" s="8" t="s">
        <v>38</v>
      </c>
      <c r="D480" s="8" t="s">
        <v>27</v>
      </c>
      <c r="E480" s="8" t="s">
        <v>17</v>
      </c>
      <c r="F480" s="8" t="s">
        <v>31</v>
      </c>
      <c r="G480" s="8" t="s">
        <v>32</v>
      </c>
      <c r="H480" s="9">
        <v>38025.67</v>
      </c>
      <c r="I480" s="8">
        <v>8</v>
      </c>
      <c r="J480" s="10">
        <v>2827.8</v>
      </c>
      <c r="K480" s="14" t="str" cm="1">
        <f t="array" ref="K480">_xlfn.IFS(Table44[[#This Row],[Sales]]&gt;40000,"Best Sales",Table44[[#This Row],[Sales]]&gt;20000,"Average Sales",Table44[[#This Row],[Sales]]&gt;0,"Poor Sales")</f>
        <v>Average Sales</v>
      </c>
    </row>
    <row r="481" spans="1:11" x14ac:dyDescent="0.3">
      <c r="A481" s="11">
        <v>480</v>
      </c>
      <c r="B481" s="12">
        <v>45024</v>
      </c>
      <c r="C481" s="13" t="s">
        <v>38</v>
      </c>
      <c r="D481" s="13" t="s">
        <v>27</v>
      </c>
      <c r="E481" s="13" t="s">
        <v>20</v>
      </c>
      <c r="F481" s="13" t="s">
        <v>13</v>
      </c>
      <c r="G481" s="13" t="s">
        <v>34</v>
      </c>
      <c r="H481" s="14">
        <v>2127.65</v>
      </c>
      <c r="I481" s="13">
        <v>9</v>
      </c>
      <c r="J481" s="15">
        <v>181.46</v>
      </c>
      <c r="K481" s="14" t="str" cm="1">
        <f t="array" ref="K481">_xlfn.IFS(Table44[[#This Row],[Sales]]&gt;40000,"Best Sales",Table44[[#This Row],[Sales]]&gt;20000,"Average Sales",Table44[[#This Row],[Sales]]&gt;0,"Poor Sales")</f>
        <v>Poor Sales</v>
      </c>
    </row>
    <row r="482" spans="1:11" x14ac:dyDescent="0.3">
      <c r="A482" s="6">
        <v>481</v>
      </c>
      <c r="B482" s="7">
        <v>44936</v>
      </c>
      <c r="C482" s="8" t="s">
        <v>37</v>
      </c>
      <c r="D482" s="8" t="s">
        <v>27</v>
      </c>
      <c r="E482" s="8" t="s">
        <v>20</v>
      </c>
      <c r="F482" s="8" t="s">
        <v>31</v>
      </c>
      <c r="G482" s="8" t="s">
        <v>33</v>
      </c>
      <c r="H482" s="9">
        <v>45815.93</v>
      </c>
      <c r="I482" s="8">
        <v>8</v>
      </c>
      <c r="J482" s="10">
        <v>2496.91</v>
      </c>
      <c r="K482" s="14" t="str" cm="1">
        <f t="array" ref="K482">_xlfn.IFS(Table44[[#This Row],[Sales]]&gt;40000,"Best Sales",Table44[[#This Row],[Sales]]&gt;20000,"Average Sales",Table44[[#This Row],[Sales]]&gt;0,"Poor Sales")</f>
        <v>Best Sales</v>
      </c>
    </row>
    <row r="483" spans="1:11" x14ac:dyDescent="0.3">
      <c r="A483" s="11">
        <v>482</v>
      </c>
      <c r="B483" s="12">
        <v>45291</v>
      </c>
      <c r="C483" s="13" t="s">
        <v>22</v>
      </c>
      <c r="D483" s="13" t="s">
        <v>22</v>
      </c>
      <c r="E483" s="13" t="s">
        <v>12</v>
      </c>
      <c r="F483" s="13" t="s">
        <v>13</v>
      </c>
      <c r="G483" s="13" t="s">
        <v>14</v>
      </c>
      <c r="H483" s="14">
        <v>15944.17</v>
      </c>
      <c r="I483" s="13">
        <v>3</v>
      </c>
      <c r="J483" s="15">
        <v>1241.5</v>
      </c>
      <c r="K483" s="14" t="str" cm="1">
        <f t="array" ref="K483">_xlfn.IFS(Table44[[#This Row],[Sales]]&gt;40000,"Best Sales",Table44[[#This Row],[Sales]]&gt;20000,"Average Sales",Table44[[#This Row],[Sales]]&gt;0,"Poor Sales")</f>
        <v>Poor Sales</v>
      </c>
    </row>
    <row r="484" spans="1:11" x14ac:dyDescent="0.3">
      <c r="A484" s="6">
        <v>483</v>
      </c>
      <c r="B484" s="7">
        <v>45127</v>
      </c>
      <c r="C484" s="8" t="s">
        <v>30</v>
      </c>
      <c r="D484" s="8" t="s">
        <v>16</v>
      </c>
      <c r="E484" s="8" t="s">
        <v>17</v>
      </c>
      <c r="F484" s="8" t="s">
        <v>31</v>
      </c>
      <c r="G484" s="8" t="s">
        <v>39</v>
      </c>
      <c r="H484" s="9">
        <v>13865.4</v>
      </c>
      <c r="I484" s="8">
        <v>7</v>
      </c>
      <c r="J484" s="10">
        <v>1146.8599999999999</v>
      </c>
      <c r="K484" s="14" t="str" cm="1">
        <f t="array" ref="K484">_xlfn.IFS(Table44[[#This Row],[Sales]]&gt;40000,"Best Sales",Table44[[#This Row],[Sales]]&gt;20000,"Average Sales",Table44[[#This Row],[Sales]]&gt;0,"Poor Sales")</f>
        <v>Poor Sales</v>
      </c>
    </row>
    <row r="485" spans="1:11" x14ac:dyDescent="0.3">
      <c r="A485" s="11">
        <v>484</v>
      </c>
      <c r="B485" s="12">
        <v>45219</v>
      </c>
      <c r="C485" s="13" t="s">
        <v>10</v>
      </c>
      <c r="D485" s="13" t="s">
        <v>11</v>
      </c>
      <c r="E485" s="13" t="s">
        <v>12</v>
      </c>
      <c r="F485" s="13" t="s">
        <v>31</v>
      </c>
      <c r="G485" s="13" t="s">
        <v>33</v>
      </c>
      <c r="H485" s="14">
        <v>49401.07</v>
      </c>
      <c r="I485" s="13">
        <v>7</v>
      </c>
      <c r="J485" s="15">
        <v>13668.97</v>
      </c>
      <c r="K485" s="14" t="str" cm="1">
        <f t="array" ref="K485">_xlfn.IFS(Table44[[#This Row],[Sales]]&gt;40000,"Best Sales",Table44[[#This Row],[Sales]]&gt;20000,"Average Sales",Table44[[#This Row],[Sales]]&gt;0,"Poor Sales")</f>
        <v>Best Sales</v>
      </c>
    </row>
    <row r="486" spans="1:11" x14ac:dyDescent="0.3">
      <c r="A486" s="6">
        <v>485</v>
      </c>
      <c r="B486" s="7">
        <v>45222</v>
      </c>
      <c r="C486" s="8" t="s">
        <v>38</v>
      </c>
      <c r="D486" s="8" t="s">
        <v>27</v>
      </c>
      <c r="E486" s="8" t="s">
        <v>17</v>
      </c>
      <c r="F486" s="8" t="s">
        <v>24</v>
      </c>
      <c r="G486" s="8" t="s">
        <v>28</v>
      </c>
      <c r="H486" s="9">
        <v>6564.48</v>
      </c>
      <c r="I486" s="8">
        <v>1</v>
      </c>
      <c r="J486" s="10">
        <v>522.54999999999995</v>
      </c>
      <c r="K486" s="14" t="str" cm="1">
        <f t="array" ref="K486">_xlfn.IFS(Table44[[#This Row],[Sales]]&gt;40000,"Best Sales",Table44[[#This Row],[Sales]]&gt;20000,"Average Sales",Table44[[#This Row],[Sales]]&gt;0,"Poor Sales")</f>
        <v>Poor Sales</v>
      </c>
    </row>
    <row r="487" spans="1:11" x14ac:dyDescent="0.3">
      <c r="A487" s="11">
        <v>486</v>
      </c>
      <c r="B487" s="12">
        <v>45109</v>
      </c>
      <c r="C487" s="13" t="s">
        <v>37</v>
      </c>
      <c r="D487" s="13" t="s">
        <v>27</v>
      </c>
      <c r="E487" s="13" t="s">
        <v>20</v>
      </c>
      <c r="F487" s="13" t="s">
        <v>13</v>
      </c>
      <c r="G487" s="13" t="s">
        <v>14</v>
      </c>
      <c r="H487" s="14">
        <v>5283.9</v>
      </c>
      <c r="I487" s="13">
        <v>9</v>
      </c>
      <c r="J487" s="15">
        <v>1226.3399999999999</v>
      </c>
      <c r="K487" s="14" t="str" cm="1">
        <f t="array" ref="K487">_xlfn.IFS(Table44[[#This Row],[Sales]]&gt;40000,"Best Sales",Table44[[#This Row],[Sales]]&gt;20000,"Average Sales",Table44[[#This Row],[Sales]]&gt;0,"Poor Sales")</f>
        <v>Poor Sales</v>
      </c>
    </row>
    <row r="488" spans="1:11" x14ac:dyDescent="0.3">
      <c r="A488" s="6">
        <v>487</v>
      </c>
      <c r="B488" s="7">
        <v>45011</v>
      </c>
      <c r="C488" s="8" t="s">
        <v>15</v>
      </c>
      <c r="D488" s="8" t="s">
        <v>16</v>
      </c>
      <c r="E488" s="8" t="s">
        <v>20</v>
      </c>
      <c r="F488" s="8" t="s">
        <v>24</v>
      </c>
      <c r="G488" s="8" t="s">
        <v>29</v>
      </c>
      <c r="H488" s="9">
        <v>36607.199999999997</v>
      </c>
      <c r="I488" s="8">
        <v>7</v>
      </c>
      <c r="J488" s="10">
        <v>3454.39</v>
      </c>
      <c r="K488" s="14" t="str" cm="1">
        <f t="array" ref="K488">_xlfn.IFS(Table44[[#This Row],[Sales]]&gt;40000,"Best Sales",Table44[[#This Row],[Sales]]&gt;20000,"Average Sales",Table44[[#This Row],[Sales]]&gt;0,"Poor Sales")</f>
        <v>Average Sales</v>
      </c>
    </row>
    <row r="489" spans="1:11" x14ac:dyDescent="0.3">
      <c r="A489" s="11">
        <v>488</v>
      </c>
      <c r="B489" s="12">
        <v>44986</v>
      </c>
      <c r="C489" s="13" t="s">
        <v>37</v>
      </c>
      <c r="D489" s="13" t="s">
        <v>27</v>
      </c>
      <c r="E489" s="13" t="s">
        <v>12</v>
      </c>
      <c r="F489" s="13" t="s">
        <v>24</v>
      </c>
      <c r="G489" s="13" t="s">
        <v>28</v>
      </c>
      <c r="H489" s="14">
        <v>17654.32</v>
      </c>
      <c r="I489" s="13">
        <v>9</v>
      </c>
      <c r="J489" s="15">
        <v>1231.93</v>
      </c>
      <c r="K489" s="14" t="str" cm="1">
        <f t="array" ref="K489">_xlfn.IFS(Table44[[#This Row],[Sales]]&gt;40000,"Best Sales",Table44[[#This Row],[Sales]]&gt;20000,"Average Sales",Table44[[#This Row],[Sales]]&gt;0,"Poor Sales")</f>
        <v>Poor Sales</v>
      </c>
    </row>
    <row r="490" spans="1:11" x14ac:dyDescent="0.3">
      <c r="A490" s="6">
        <v>489</v>
      </c>
      <c r="B490" s="7">
        <v>45143</v>
      </c>
      <c r="C490" s="8" t="s">
        <v>26</v>
      </c>
      <c r="D490" s="8" t="s">
        <v>27</v>
      </c>
      <c r="E490" s="8" t="s">
        <v>17</v>
      </c>
      <c r="F490" s="8" t="s">
        <v>31</v>
      </c>
      <c r="G490" s="8" t="s">
        <v>39</v>
      </c>
      <c r="H490" s="9">
        <v>9433.0400000000009</v>
      </c>
      <c r="I490" s="8">
        <v>8</v>
      </c>
      <c r="J490" s="10">
        <v>2046</v>
      </c>
      <c r="K490" s="14" t="str" cm="1">
        <f t="array" ref="K490">_xlfn.IFS(Table44[[#This Row],[Sales]]&gt;40000,"Best Sales",Table44[[#This Row],[Sales]]&gt;20000,"Average Sales",Table44[[#This Row],[Sales]]&gt;0,"Poor Sales")</f>
        <v>Poor Sales</v>
      </c>
    </row>
    <row r="491" spans="1:11" x14ac:dyDescent="0.3">
      <c r="A491" s="11">
        <v>490</v>
      </c>
      <c r="B491" s="12">
        <v>45217</v>
      </c>
      <c r="C491" s="13" t="s">
        <v>37</v>
      </c>
      <c r="D491" s="13" t="s">
        <v>27</v>
      </c>
      <c r="E491" s="13" t="s">
        <v>12</v>
      </c>
      <c r="F491" s="13" t="s">
        <v>24</v>
      </c>
      <c r="G491" s="13" t="s">
        <v>28</v>
      </c>
      <c r="H491" s="14">
        <v>2839.73</v>
      </c>
      <c r="I491" s="13">
        <v>9</v>
      </c>
      <c r="J491" s="15">
        <v>780.48</v>
      </c>
      <c r="K491" s="14" t="str" cm="1">
        <f t="array" ref="K491">_xlfn.IFS(Table44[[#This Row],[Sales]]&gt;40000,"Best Sales",Table44[[#This Row],[Sales]]&gt;20000,"Average Sales",Table44[[#This Row],[Sales]]&gt;0,"Poor Sales")</f>
        <v>Poor Sales</v>
      </c>
    </row>
    <row r="492" spans="1:11" x14ac:dyDescent="0.3">
      <c r="A492" s="6">
        <v>491</v>
      </c>
      <c r="B492" s="7">
        <v>45187</v>
      </c>
      <c r="C492" s="8" t="s">
        <v>26</v>
      </c>
      <c r="D492" s="8" t="s">
        <v>27</v>
      </c>
      <c r="E492" s="8" t="s">
        <v>17</v>
      </c>
      <c r="F492" s="8" t="s">
        <v>31</v>
      </c>
      <c r="G492" s="8" t="s">
        <v>39</v>
      </c>
      <c r="H492" s="9">
        <v>37729.72</v>
      </c>
      <c r="I492" s="8">
        <v>8</v>
      </c>
      <c r="J492" s="10">
        <v>7417.54</v>
      </c>
      <c r="K492" s="14" t="str" cm="1">
        <f t="array" ref="K492">_xlfn.IFS(Table44[[#This Row],[Sales]]&gt;40000,"Best Sales",Table44[[#This Row],[Sales]]&gt;20000,"Average Sales",Table44[[#This Row],[Sales]]&gt;0,"Poor Sales")</f>
        <v>Average Sales</v>
      </c>
    </row>
    <row r="493" spans="1:11" x14ac:dyDescent="0.3">
      <c r="A493" s="11">
        <v>492</v>
      </c>
      <c r="B493" s="12">
        <v>45082</v>
      </c>
      <c r="C493" s="13" t="s">
        <v>35</v>
      </c>
      <c r="D493" s="13" t="s">
        <v>36</v>
      </c>
      <c r="E493" s="13" t="s">
        <v>20</v>
      </c>
      <c r="F493" s="13" t="s">
        <v>13</v>
      </c>
      <c r="G493" s="13" t="s">
        <v>14</v>
      </c>
      <c r="H493" s="14">
        <v>42195.65</v>
      </c>
      <c r="I493" s="13">
        <v>8</v>
      </c>
      <c r="J493" s="15">
        <v>7879.74</v>
      </c>
      <c r="K493" s="14" t="str" cm="1">
        <f t="array" ref="K493">_xlfn.IFS(Table44[[#This Row],[Sales]]&gt;40000,"Best Sales",Table44[[#This Row],[Sales]]&gt;20000,"Average Sales",Table44[[#This Row],[Sales]]&gt;0,"Poor Sales")</f>
        <v>Best Sales</v>
      </c>
    </row>
    <row r="494" spans="1:11" x14ac:dyDescent="0.3">
      <c r="A494" s="6">
        <v>493</v>
      </c>
      <c r="B494" s="7">
        <v>45163</v>
      </c>
      <c r="C494" s="8" t="s">
        <v>18</v>
      </c>
      <c r="D494" s="8" t="s">
        <v>19</v>
      </c>
      <c r="E494" s="8" t="s">
        <v>20</v>
      </c>
      <c r="F494" s="8" t="s">
        <v>24</v>
      </c>
      <c r="G494" s="8" t="s">
        <v>28</v>
      </c>
      <c r="H494" s="9">
        <v>43878.42</v>
      </c>
      <c r="I494" s="8">
        <v>7</v>
      </c>
      <c r="J494" s="10">
        <v>6784.49</v>
      </c>
      <c r="K494" s="14" t="str" cm="1">
        <f t="array" ref="K494">_xlfn.IFS(Table44[[#This Row],[Sales]]&gt;40000,"Best Sales",Table44[[#This Row],[Sales]]&gt;20000,"Average Sales",Table44[[#This Row],[Sales]]&gt;0,"Poor Sales")</f>
        <v>Best Sales</v>
      </c>
    </row>
    <row r="495" spans="1:11" x14ac:dyDescent="0.3">
      <c r="A495" s="11">
        <v>494</v>
      </c>
      <c r="B495" s="12">
        <v>45203</v>
      </c>
      <c r="C495" s="13" t="s">
        <v>22</v>
      </c>
      <c r="D495" s="13" t="s">
        <v>22</v>
      </c>
      <c r="E495" s="13" t="s">
        <v>12</v>
      </c>
      <c r="F495" s="13" t="s">
        <v>24</v>
      </c>
      <c r="G495" s="13" t="s">
        <v>29</v>
      </c>
      <c r="H495" s="14">
        <v>38660.239999999998</v>
      </c>
      <c r="I495" s="13">
        <v>10</v>
      </c>
      <c r="J495" s="15">
        <v>4376.5</v>
      </c>
      <c r="K495" s="14" t="str" cm="1">
        <f t="array" ref="K495">_xlfn.IFS(Table44[[#This Row],[Sales]]&gt;40000,"Best Sales",Table44[[#This Row],[Sales]]&gt;20000,"Average Sales",Table44[[#This Row],[Sales]]&gt;0,"Poor Sales")</f>
        <v>Average Sales</v>
      </c>
    </row>
    <row r="496" spans="1:11" x14ac:dyDescent="0.3">
      <c r="A496" s="6">
        <v>495</v>
      </c>
      <c r="B496" s="7">
        <v>45086</v>
      </c>
      <c r="C496" s="8" t="s">
        <v>38</v>
      </c>
      <c r="D496" s="8" t="s">
        <v>27</v>
      </c>
      <c r="E496" s="8" t="s">
        <v>17</v>
      </c>
      <c r="F496" s="8" t="s">
        <v>31</v>
      </c>
      <c r="G496" s="8" t="s">
        <v>32</v>
      </c>
      <c r="H496" s="9">
        <v>21116.26</v>
      </c>
      <c r="I496" s="8">
        <v>4</v>
      </c>
      <c r="J496" s="10">
        <v>5256.29</v>
      </c>
      <c r="K496" s="14" t="str" cm="1">
        <f t="array" ref="K496">_xlfn.IFS(Table44[[#This Row],[Sales]]&gt;40000,"Best Sales",Table44[[#This Row],[Sales]]&gt;20000,"Average Sales",Table44[[#This Row],[Sales]]&gt;0,"Poor Sales")</f>
        <v>Average Sales</v>
      </c>
    </row>
    <row r="497" spans="1:11" x14ac:dyDescent="0.3">
      <c r="A497" s="11">
        <v>496</v>
      </c>
      <c r="B497" s="12">
        <v>45079</v>
      </c>
      <c r="C497" s="13" t="s">
        <v>38</v>
      </c>
      <c r="D497" s="13" t="s">
        <v>27</v>
      </c>
      <c r="E497" s="13" t="s">
        <v>12</v>
      </c>
      <c r="F497" s="13" t="s">
        <v>24</v>
      </c>
      <c r="G497" s="13" t="s">
        <v>29</v>
      </c>
      <c r="H497" s="14">
        <v>4757.99</v>
      </c>
      <c r="I497" s="13">
        <v>10</v>
      </c>
      <c r="J497" s="15">
        <v>1164.3900000000001</v>
      </c>
      <c r="K497" s="14" t="str" cm="1">
        <f t="array" ref="K497">_xlfn.IFS(Table44[[#This Row],[Sales]]&gt;40000,"Best Sales",Table44[[#This Row],[Sales]]&gt;20000,"Average Sales",Table44[[#This Row],[Sales]]&gt;0,"Poor Sales")</f>
        <v>Poor Sales</v>
      </c>
    </row>
    <row r="498" spans="1:11" x14ac:dyDescent="0.3">
      <c r="A498" s="6">
        <v>497</v>
      </c>
      <c r="B498" s="7">
        <v>45195</v>
      </c>
      <c r="C498" s="8" t="s">
        <v>30</v>
      </c>
      <c r="D498" s="8" t="s">
        <v>16</v>
      </c>
      <c r="E498" s="8" t="s">
        <v>17</v>
      </c>
      <c r="F498" s="8" t="s">
        <v>31</v>
      </c>
      <c r="G498" s="8" t="s">
        <v>33</v>
      </c>
      <c r="H498" s="9">
        <v>8870.2800000000007</v>
      </c>
      <c r="I498" s="8">
        <v>2</v>
      </c>
      <c r="J498" s="10">
        <v>1105.6300000000001</v>
      </c>
      <c r="K498" s="14" t="str" cm="1">
        <f t="array" ref="K498">_xlfn.IFS(Table44[[#This Row],[Sales]]&gt;40000,"Best Sales",Table44[[#This Row],[Sales]]&gt;20000,"Average Sales",Table44[[#This Row],[Sales]]&gt;0,"Poor Sales")</f>
        <v>Poor Sales</v>
      </c>
    </row>
    <row r="499" spans="1:11" x14ac:dyDescent="0.3">
      <c r="A499" s="11">
        <v>498</v>
      </c>
      <c r="B499" s="12">
        <v>45252</v>
      </c>
      <c r="C499" s="13" t="s">
        <v>30</v>
      </c>
      <c r="D499" s="13" t="s">
        <v>16</v>
      </c>
      <c r="E499" s="13" t="s">
        <v>20</v>
      </c>
      <c r="F499" s="13" t="s">
        <v>31</v>
      </c>
      <c r="G499" s="13" t="s">
        <v>33</v>
      </c>
      <c r="H499" s="14">
        <v>46482.94</v>
      </c>
      <c r="I499" s="13">
        <v>10</v>
      </c>
      <c r="J499" s="15">
        <v>7712.88</v>
      </c>
      <c r="K499" s="14" t="str" cm="1">
        <f t="array" ref="K499">_xlfn.IFS(Table44[[#This Row],[Sales]]&gt;40000,"Best Sales",Table44[[#This Row],[Sales]]&gt;20000,"Average Sales",Table44[[#This Row],[Sales]]&gt;0,"Poor Sales")</f>
        <v>Best Sales</v>
      </c>
    </row>
    <row r="500" spans="1:11" x14ac:dyDescent="0.3">
      <c r="A500" s="6">
        <v>499</v>
      </c>
      <c r="B500" s="7">
        <v>45042</v>
      </c>
      <c r="C500" s="8" t="s">
        <v>30</v>
      </c>
      <c r="D500" s="8" t="s">
        <v>16</v>
      </c>
      <c r="E500" s="8" t="s">
        <v>20</v>
      </c>
      <c r="F500" s="8" t="s">
        <v>13</v>
      </c>
      <c r="G500" s="8" t="s">
        <v>14</v>
      </c>
      <c r="H500" s="9">
        <v>43505.83</v>
      </c>
      <c r="I500" s="8">
        <v>7</v>
      </c>
      <c r="J500" s="10">
        <v>7809.91</v>
      </c>
      <c r="K500" s="14" t="str" cm="1">
        <f t="array" ref="K500">_xlfn.IFS(Table44[[#This Row],[Sales]]&gt;40000,"Best Sales",Table44[[#This Row],[Sales]]&gt;20000,"Average Sales",Table44[[#This Row],[Sales]]&gt;0,"Poor Sales")</f>
        <v>Best Sales</v>
      </c>
    </row>
    <row r="501" spans="1:11" x14ac:dyDescent="0.3">
      <c r="A501" s="16">
        <v>500</v>
      </c>
      <c r="B501" s="17">
        <v>45224</v>
      </c>
      <c r="C501" s="18" t="s">
        <v>15</v>
      </c>
      <c r="D501" s="18" t="s">
        <v>16</v>
      </c>
      <c r="E501" s="18" t="s">
        <v>12</v>
      </c>
      <c r="F501" s="18" t="s">
        <v>31</v>
      </c>
      <c r="G501" s="18" t="s">
        <v>32</v>
      </c>
      <c r="H501" s="19">
        <v>33463.57</v>
      </c>
      <c r="I501" s="18">
        <v>6</v>
      </c>
      <c r="J501" s="20">
        <v>6469.01</v>
      </c>
      <c r="K501" s="19" t="str" cm="1">
        <f t="array" ref="K501">_xlfn.IFS(Table44[[#This Row],[Sales]]&gt;40000,"Best Sales",Table44[[#This Row],[Sales]]&gt;20000,"Average Sales",Table44[[#This Row],[Sales]]&gt;0,"Poor Sales")</f>
        <v>Average Sales</v>
      </c>
    </row>
  </sheetData>
  <mergeCells count="1">
    <mergeCell ref="R3:S3"/>
  </mergeCells>
  <conditionalFormatting sqref="H1:H1048576">
    <cfRule type="iconSet" priority="1">
      <iconSet iconSet="3Arrows">
        <cfvo type="percent" val="0"/>
        <cfvo type="num" val="20000"/>
        <cfvo type="num" val="40000"/>
      </iconSet>
    </cfRule>
  </conditionalFormatting>
  <conditionalFormatting sqref="I1:I1048576">
    <cfRule type="colorScale" priority="2">
      <colorScale>
        <cfvo type="min"/>
        <cfvo type="max"/>
        <color rgb="FFF8696B"/>
        <color rgb="FF63BE7B"/>
      </colorScale>
    </cfRule>
  </conditionalFormatting>
  <conditionalFormatting sqref="J1:J501">
    <cfRule type="expression" dxfId="58" priority="21">
      <formula>AND($M$17="ON",$J2&gt;12000)</formula>
    </cfRule>
  </conditionalFormatting>
  <conditionalFormatting sqref="J1:J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{498F0D73-49B4-454E-B13B-E054E71EE268}</x14:id>
        </ext>
      </extLst>
    </cfRule>
  </conditionalFormatting>
  <conditionalFormatting sqref="J2:J501">
    <cfRule type="expression" dxfId="57" priority="17">
      <formula>AND($M$23="ON",$J2&lt;1000)</formula>
    </cfRule>
    <cfRule type="expression" dxfId="56" priority="18">
      <formula>AND($O$20="ON",$J2&gt;1000)</formula>
    </cfRule>
    <cfRule type="expression" dxfId="55" priority="19">
      <formula>AND($M$20="ON",$J2&gt;3000)</formula>
    </cfRule>
    <cfRule type="expression" dxfId="54" priority="20">
      <formula>AND($O$17="ON",$J2&gt;7000)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8F0D73-49B4-454E-B13B-E054E71EE2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4727-0C2D-4E70-9AEF-A536E61865AB}">
  <dimension ref="A1:U501"/>
  <sheetViews>
    <sheetView tabSelected="1" topLeftCell="A7" zoomScale="91" workbookViewId="0">
      <selection activeCell="M32" sqref="M32"/>
    </sheetView>
  </sheetViews>
  <sheetFormatPr defaultRowHeight="14.4" x14ac:dyDescent="0.3"/>
  <cols>
    <col min="1" max="2" width="10.77734375" bestFit="1" customWidth="1"/>
    <col min="4" max="4" width="11.44140625" bestFit="1" customWidth="1"/>
    <col min="6" max="6" width="10.77734375" bestFit="1" customWidth="1"/>
    <col min="7" max="7" width="9.88671875" bestFit="1" customWidth="1"/>
    <col min="9" max="9" width="10.5546875" bestFit="1" customWidth="1"/>
    <col min="11" max="11" width="13.109375" bestFit="1" customWidth="1"/>
    <col min="13" max="13" width="11.88671875" customWidth="1"/>
    <col min="14" max="14" width="11.21875" customWidth="1"/>
    <col min="15" max="15" width="14.5546875" customWidth="1"/>
    <col min="16" max="16" width="13.5546875" customWidth="1"/>
    <col min="17" max="17" width="10" bestFit="1" customWidth="1"/>
    <col min="21" max="21" width="12.33203125" bestFit="1" customWidth="1"/>
  </cols>
  <sheetData>
    <row r="1" spans="1:19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4" t="s">
        <v>42</v>
      </c>
    </row>
    <row r="2" spans="1:19" ht="15" thickTop="1" x14ac:dyDescent="0.3">
      <c r="A2" s="6">
        <v>1</v>
      </c>
      <c r="B2" s="7">
        <v>45197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9">
        <v>46482.46</v>
      </c>
      <c r="I2" s="8">
        <v>8</v>
      </c>
      <c r="J2" s="10">
        <v>12648.46</v>
      </c>
      <c r="K2" s="24" t="str" cm="1">
        <f t="array" ref="K2">_xlfn.IFS(Table4[[#This Row],[Sales]]&gt;40000,"Best Sales",Table4[[#This Row],[Sales]]&gt;20000,"Average Sales",Table4[[#This Row],[Sales]]&gt;0,"Poor Sales")</f>
        <v>Best Sales</v>
      </c>
    </row>
    <row r="3" spans="1:19" thickTop="1" x14ac:dyDescent="0.3">
      <c r="A3" s="11">
        <v>2</v>
      </c>
      <c r="B3" s="12">
        <v>45274</v>
      </c>
      <c r="C3" s="13" t="s">
        <v>15</v>
      </c>
      <c r="D3" s="13" t="s">
        <v>16</v>
      </c>
      <c r="E3" s="13" t="s">
        <v>17</v>
      </c>
      <c r="F3" s="13" t="s">
        <v>13</v>
      </c>
      <c r="G3" s="13" t="s">
        <v>14</v>
      </c>
      <c r="H3" s="14">
        <v>47951.42</v>
      </c>
      <c r="I3" s="13">
        <v>10</v>
      </c>
      <c r="J3" s="15">
        <v>9869.94</v>
      </c>
      <c r="K3" s="14" t="str" cm="1">
        <f t="array" ref="K3">_xlfn.IFS(Table4[[#This Row],[Sales]]&gt;40000,"Best Sales",Table4[[#This Row],[Sales]]&gt;20000,"Average Sales",Table4[[#This Row],[Sales]]&gt;0,"Poor Sales")</f>
        <v>Best Sales</v>
      </c>
      <c r="M3" s="36" t="s">
        <v>53</v>
      </c>
      <c r="N3" s="36"/>
      <c r="O3" s="36"/>
      <c r="S3" s="26" t="s">
        <v>68</v>
      </c>
    </row>
    <row r="4" spans="1:19" thickTop="1" x14ac:dyDescent="0.3">
      <c r="A4" s="6">
        <v>3</v>
      </c>
      <c r="B4" s="7">
        <v>45136</v>
      </c>
      <c r="C4" s="8" t="s">
        <v>18</v>
      </c>
      <c r="D4" s="8" t="s">
        <v>19</v>
      </c>
      <c r="E4" s="8" t="s">
        <v>20</v>
      </c>
      <c r="F4" s="8" t="s">
        <v>13</v>
      </c>
      <c r="G4" s="8" t="s">
        <v>21</v>
      </c>
      <c r="H4" s="9">
        <v>24461.75</v>
      </c>
      <c r="I4" s="8">
        <v>3</v>
      </c>
      <c r="J4" s="10">
        <v>7086.73</v>
      </c>
      <c r="K4" s="14" t="str" cm="1">
        <f t="array" ref="K4">_xlfn.IFS(Table4[[#This Row],[Sales]]&gt;40000,"Best Sales",Table4[[#This Row],[Sales]]&gt;20000,"Average Sales",Table4[[#This Row],[Sales]]&gt;0,"Poor Sales")</f>
        <v>Average Sales</v>
      </c>
      <c r="S4" s="21" t="s">
        <v>40</v>
      </c>
    </row>
    <row r="5" spans="1:19" thickTop="1" x14ac:dyDescent="0.3">
      <c r="A5" s="11">
        <v>4</v>
      </c>
      <c r="B5" s="12">
        <v>45044</v>
      </c>
      <c r="C5" s="13" t="s">
        <v>22</v>
      </c>
      <c r="D5" s="13" t="s">
        <v>22</v>
      </c>
      <c r="E5" s="13" t="s">
        <v>23</v>
      </c>
      <c r="F5" s="13" t="s">
        <v>24</v>
      </c>
      <c r="G5" s="13" t="s">
        <v>25</v>
      </c>
      <c r="H5" s="14">
        <v>11804.18</v>
      </c>
      <c r="I5" s="13">
        <v>5</v>
      </c>
      <c r="J5" s="15">
        <v>2281.2199999999998</v>
      </c>
      <c r="K5" s="14" t="str" cm="1">
        <f t="array" ref="K5">_xlfn.IFS(Table4[[#This Row],[Sales]]&gt;40000,"Best Sales",Table4[[#This Row],[Sales]]&gt;20000,"Average Sales",Table4[[#This Row],[Sales]]&gt;0,"Poor Sales")</f>
        <v>Poor Sales</v>
      </c>
      <c r="M5" s="22" t="s">
        <v>49</v>
      </c>
      <c r="O5" s="22" t="s">
        <v>50</v>
      </c>
      <c r="S5" s="21" t="s">
        <v>41</v>
      </c>
    </row>
    <row r="6" spans="1:19" thickTop="1" x14ac:dyDescent="0.3">
      <c r="A6" s="6">
        <v>5</v>
      </c>
      <c r="B6" s="7">
        <v>45175</v>
      </c>
      <c r="C6" s="8" t="s">
        <v>26</v>
      </c>
      <c r="D6" s="8" t="s">
        <v>27</v>
      </c>
      <c r="E6" s="8" t="s">
        <v>12</v>
      </c>
      <c r="F6" s="8" t="s">
        <v>24</v>
      </c>
      <c r="G6" s="8" t="s">
        <v>28</v>
      </c>
      <c r="H6" s="9">
        <v>32428.83</v>
      </c>
      <c r="I6" s="8">
        <v>7</v>
      </c>
      <c r="J6" s="10">
        <v>6931.45</v>
      </c>
      <c r="K6" s="14" t="str" cm="1">
        <f t="array" ref="K6">_xlfn.IFS(Table4[[#This Row],[Sales]]&gt;40000,"Best Sales",Table4[[#This Row],[Sales]]&gt;20000,"Average Sales",Table4[[#This Row],[Sales]]&gt;0,"Poor Sales")</f>
        <v>Average Sales</v>
      </c>
      <c r="M6" s="21" t="s">
        <v>41</v>
      </c>
      <c r="O6" s="21" t="s">
        <v>41</v>
      </c>
    </row>
    <row r="7" spans="1:19" thickTop="1" x14ac:dyDescent="0.3">
      <c r="A7" s="11">
        <v>6</v>
      </c>
      <c r="B7" s="12">
        <v>45004</v>
      </c>
      <c r="C7" s="13" t="s">
        <v>18</v>
      </c>
      <c r="D7" s="13" t="s">
        <v>19</v>
      </c>
      <c r="E7" s="13" t="s">
        <v>17</v>
      </c>
      <c r="F7" s="13" t="s">
        <v>24</v>
      </c>
      <c r="G7" s="13" t="s">
        <v>29</v>
      </c>
      <c r="H7" s="14">
        <v>25931.95</v>
      </c>
      <c r="I7" s="13">
        <v>4</v>
      </c>
      <c r="J7" s="15">
        <v>1541.8</v>
      </c>
      <c r="K7" s="14" t="str" cm="1">
        <f t="array" ref="K7">_xlfn.IFS(Table4[[#This Row],[Sales]]&gt;40000,"Best Sales",Table4[[#This Row],[Sales]]&gt;20000,"Average Sales",Table4[[#This Row],[Sales]]&gt;0,"Poor Sales")</f>
        <v>Average Sales</v>
      </c>
    </row>
    <row r="8" spans="1:19" thickTop="1" x14ac:dyDescent="0.3">
      <c r="A8" s="6">
        <v>7</v>
      </c>
      <c r="B8" s="7">
        <v>45258</v>
      </c>
      <c r="C8" s="8" t="s">
        <v>30</v>
      </c>
      <c r="D8" s="8" t="s">
        <v>16</v>
      </c>
      <c r="E8" s="8" t="s">
        <v>23</v>
      </c>
      <c r="F8" s="8" t="s">
        <v>24</v>
      </c>
      <c r="G8" s="8" t="s">
        <v>25</v>
      </c>
      <c r="H8" s="9">
        <v>15599.35</v>
      </c>
      <c r="I8" s="8">
        <v>4</v>
      </c>
      <c r="J8" s="10">
        <v>2837.29</v>
      </c>
      <c r="K8" s="14" t="str" cm="1">
        <f t="array" ref="K8">_xlfn.IFS(Table4[[#This Row],[Sales]]&gt;40000,"Best Sales",Table4[[#This Row],[Sales]]&gt;20000,"Average Sales",Table4[[#This Row],[Sales]]&gt;0,"Poor Sales")</f>
        <v>Poor Sales</v>
      </c>
      <c r="M8" s="22" t="s">
        <v>52</v>
      </c>
      <c r="O8" s="22" t="s">
        <v>51</v>
      </c>
    </row>
    <row r="9" spans="1:19" x14ac:dyDescent="0.3">
      <c r="A9" s="11">
        <v>8</v>
      </c>
      <c r="B9" s="12">
        <v>45165</v>
      </c>
      <c r="C9" s="13" t="s">
        <v>18</v>
      </c>
      <c r="D9" s="13" t="s">
        <v>19</v>
      </c>
      <c r="E9" s="13" t="s">
        <v>20</v>
      </c>
      <c r="F9" s="13" t="s">
        <v>31</v>
      </c>
      <c r="G9" s="13" t="s">
        <v>32</v>
      </c>
      <c r="H9" s="14">
        <v>31649</v>
      </c>
      <c r="I9" s="13">
        <v>5</v>
      </c>
      <c r="J9" s="15">
        <v>3646.09</v>
      </c>
      <c r="K9" s="14" t="str" cm="1">
        <f t="array" ref="K9">_xlfn.IFS(Table4[[#This Row],[Sales]]&gt;40000,"Best Sales",Table4[[#This Row],[Sales]]&gt;20000,"Average Sales",Table4[[#This Row],[Sales]]&gt;0,"Poor Sales")</f>
        <v>Average Sales</v>
      </c>
      <c r="M9" s="21" t="s">
        <v>41</v>
      </c>
      <c r="O9" s="21" t="s">
        <v>41</v>
      </c>
    </row>
    <row r="10" spans="1:19" x14ac:dyDescent="0.3">
      <c r="A10" s="6">
        <v>9</v>
      </c>
      <c r="B10" s="7">
        <v>45027</v>
      </c>
      <c r="C10" s="8" t="s">
        <v>15</v>
      </c>
      <c r="D10" s="8" t="s">
        <v>16</v>
      </c>
      <c r="E10" s="8" t="s">
        <v>12</v>
      </c>
      <c r="F10" s="8" t="s">
        <v>24</v>
      </c>
      <c r="G10" s="8" t="s">
        <v>29</v>
      </c>
      <c r="H10" s="9">
        <v>555555</v>
      </c>
      <c r="I10" s="8">
        <v>7</v>
      </c>
      <c r="J10" s="10">
        <v>2025</v>
      </c>
      <c r="K10" s="14" t="str" cm="1">
        <f t="array" ref="K10">_xlfn.IFS(Table4[[#This Row],[Sales]]&gt;40000,"Best Sales",Table4[[#This Row],[Sales]]&gt;20000,"Average Sales",Table4[[#This Row],[Sales]]&gt;0,"Poor Sales")</f>
        <v>Best Sales</v>
      </c>
    </row>
    <row r="11" spans="1:19" x14ac:dyDescent="0.3">
      <c r="A11" s="11">
        <v>10</v>
      </c>
      <c r="B11" s="12">
        <v>45097</v>
      </c>
      <c r="C11" s="13" t="s">
        <v>30</v>
      </c>
      <c r="D11" s="13" t="s">
        <v>16</v>
      </c>
      <c r="E11" s="13" t="s">
        <v>17</v>
      </c>
      <c r="F11" s="13" t="s">
        <v>31</v>
      </c>
      <c r="G11" s="13" t="s">
        <v>33</v>
      </c>
      <c r="H11" s="14">
        <v>31852.71</v>
      </c>
      <c r="I11" s="13">
        <v>5</v>
      </c>
      <c r="J11" s="15">
        <v>9113.66</v>
      </c>
      <c r="K11" s="14" t="str" cm="1">
        <f t="array" ref="K11">_xlfn.IFS(Table4[[#This Row],[Sales]]&gt;40000,"Best Sales",Table4[[#This Row],[Sales]]&gt;20000,"Average Sales",Table4[[#This Row],[Sales]]&gt;0,"Poor Sales")</f>
        <v>Average Sales</v>
      </c>
      <c r="M11" s="22" t="s">
        <v>0</v>
      </c>
      <c r="O11" s="35" t="s">
        <v>56</v>
      </c>
      <c r="P11" s="35"/>
    </row>
    <row r="12" spans="1:19" x14ac:dyDescent="0.3">
      <c r="A12" s="6">
        <v>11</v>
      </c>
      <c r="B12" s="7">
        <v>45272</v>
      </c>
      <c r="C12" s="8" t="s">
        <v>22</v>
      </c>
      <c r="D12" s="8" t="s">
        <v>22</v>
      </c>
      <c r="E12" s="8" t="s">
        <v>23</v>
      </c>
      <c r="F12" s="8" t="s">
        <v>31</v>
      </c>
      <c r="G12" s="8" t="s">
        <v>32</v>
      </c>
      <c r="H12" s="9">
        <v>46127.15</v>
      </c>
      <c r="I12" s="8">
        <v>7</v>
      </c>
      <c r="J12" s="10">
        <v>12556.39</v>
      </c>
      <c r="K12" s="14" t="str" cm="1">
        <f t="array" ref="K12">_xlfn.IFS(Table4[[#This Row],[Sales]]&gt;40000,"Best Sales",Table4[[#This Row],[Sales]]&gt;20000,"Average Sales",Table4[[#This Row],[Sales]]&gt;0,"Poor Sales")</f>
        <v>Best Sales</v>
      </c>
      <c r="M12" s="21">
        <v>0</v>
      </c>
      <c r="O12" s="37" t="s">
        <v>41</v>
      </c>
      <c r="P12" s="38"/>
    </row>
    <row r="13" spans="1:19" x14ac:dyDescent="0.3">
      <c r="A13" s="11">
        <v>12</v>
      </c>
      <c r="B13" s="12">
        <v>45123</v>
      </c>
      <c r="C13" s="13" t="s">
        <v>18</v>
      </c>
      <c r="D13" s="13" t="s">
        <v>19</v>
      </c>
      <c r="E13" s="13" t="s">
        <v>20</v>
      </c>
      <c r="F13" s="13" t="s">
        <v>13</v>
      </c>
      <c r="G13" s="13" t="s">
        <v>34</v>
      </c>
      <c r="H13" s="14">
        <v>16045.71</v>
      </c>
      <c r="I13" s="13">
        <v>10</v>
      </c>
      <c r="J13" s="15">
        <v>921.15</v>
      </c>
      <c r="K13" s="14" t="str" cm="1">
        <f t="array" ref="K13">_xlfn.IFS(Table4[[#This Row],[Sales]]&gt;40000,"Best Sales",Table4[[#This Row],[Sales]]&gt;20000,"Average Sales",Table4[[#This Row],[Sales]]&gt;0,"Poor Sales")</f>
        <v>Poor Sales</v>
      </c>
    </row>
    <row r="14" spans="1:19" x14ac:dyDescent="0.3">
      <c r="A14" s="6">
        <v>13</v>
      </c>
      <c r="B14" s="7">
        <v>45004</v>
      </c>
      <c r="C14" s="8" t="s">
        <v>35</v>
      </c>
      <c r="D14" s="8" t="s">
        <v>36</v>
      </c>
      <c r="E14" s="8" t="s">
        <v>20</v>
      </c>
      <c r="F14" s="8" t="s">
        <v>31</v>
      </c>
      <c r="G14" s="8" t="s">
        <v>32</v>
      </c>
      <c r="H14" s="9">
        <v>17293.28</v>
      </c>
      <c r="I14" s="8">
        <v>3</v>
      </c>
      <c r="J14" s="10">
        <v>3755.05</v>
      </c>
      <c r="K14" s="14" t="str" cm="1">
        <f t="array" ref="K14">_xlfn.IFS(Table4[[#This Row],[Sales]]&gt;40000,"Best Sales",Table4[[#This Row],[Sales]]&gt;20000,"Average Sales",Table4[[#This Row],[Sales]]&gt;0,"Poor Sales")</f>
        <v>Poor Sales</v>
      </c>
      <c r="M14" s="36" t="s">
        <v>54</v>
      </c>
      <c r="N14" s="36"/>
      <c r="O14" s="36"/>
      <c r="Q14" s="36" t="s">
        <v>86</v>
      </c>
      <c r="R14" s="36"/>
      <c r="S14" s="36"/>
    </row>
    <row r="15" spans="1:19" x14ac:dyDescent="0.3">
      <c r="A15" s="11">
        <v>14</v>
      </c>
      <c r="B15" s="12">
        <v>45278</v>
      </c>
      <c r="C15" s="13" t="s">
        <v>37</v>
      </c>
      <c r="D15" s="13" t="s">
        <v>27</v>
      </c>
      <c r="E15" s="13" t="s">
        <v>12</v>
      </c>
      <c r="F15" s="13" t="s">
        <v>13</v>
      </c>
      <c r="G15" s="13" t="s">
        <v>34</v>
      </c>
      <c r="H15" s="14">
        <v>34137.550000000003</v>
      </c>
      <c r="I15" s="13">
        <v>4</v>
      </c>
      <c r="J15" s="15">
        <v>1912.63</v>
      </c>
      <c r="K15" s="14" t="str" cm="1">
        <f t="array" ref="K15">_xlfn.IFS(Table4[[#This Row],[Sales]]&gt;40000,"Best Sales",Table4[[#This Row],[Sales]]&gt;20000,"Average Sales",Table4[[#This Row],[Sales]]&gt;0,"Poor Sales")</f>
        <v>Average Sales</v>
      </c>
    </row>
    <row r="16" spans="1:19" x14ac:dyDescent="0.3">
      <c r="A16" s="6">
        <v>15</v>
      </c>
      <c r="B16" s="7">
        <v>44966</v>
      </c>
      <c r="C16" s="8" t="s">
        <v>38</v>
      </c>
      <c r="D16" s="8" t="s">
        <v>27</v>
      </c>
      <c r="E16" s="8" t="s">
        <v>17</v>
      </c>
      <c r="F16" s="8" t="s">
        <v>24</v>
      </c>
      <c r="G16" s="8" t="s">
        <v>29</v>
      </c>
      <c r="H16" s="9">
        <v>37166.230000000003</v>
      </c>
      <c r="I16" s="8">
        <v>9</v>
      </c>
      <c r="J16" s="10">
        <v>4660.25</v>
      </c>
      <c r="K16" s="14" t="str" cm="1">
        <f t="array" ref="K16">_xlfn.IFS(Table4[[#This Row],[Sales]]&gt;40000,"Best Sales",Table4[[#This Row],[Sales]]&gt;20000,"Average Sales",Table4[[#This Row],[Sales]]&gt;0,"Poor Sales")</f>
        <v>Average Sales</v>
      </c>
      <c r="M16" s="22" t="s">
        <v>96</v>
      </c>
      <c r="O16" s="22" t="s">
        <v>98</v>
      </c>
      <c r="Q16" s="22" t="s">
        <v>65</v>
      </c>
      <c r="S16" s="22" t="s">
        <v>66</v>
      </c>
    </row>
    <row r="17" spans="1:21" x14ac:dyDescent="0.3">
      <c r="A17" s="11">
        <v>16</v>
      </c>
      <c r="B17" s="12">
        <v>45001</v>
      </c>
      <c r="C17" s="13" t="s">
        <v>38</v>
      </c>
      <c r="D17" s="13" t="s">
        <v>27</v>
      </c>
      <c r="E17" s="13" t="s">
        <v>17</v>
      </c>
      <c r="F17" s="13" t="s">
        <v>13</v>
      </c>
      <c r="G17" s="13" t="s">
        <v>21</v>
      </c>
      <c r="H17" s="14">
        <v>7067.15</v>
      </c>
      <c r="I17" s="13">
        <v>10</v>
      </c>
      <c r="J17" s="15">
        <v>959.24</v>
      </c>
      <c r="K17" s="14" t="str" cm="1">
        <f t="array" ref="K17">_xlfn.IFS(Table4[[#This Row],[Sales]]&gt;40000,"Best Sales",Table4[[#This Row],[Sales]]&gt;20000,"Average Sales",Table4[[#This Row],[Sales]]&gt;0,"Poor Sales")</f>
        <v>Poor Sales</v>
      </c>
      <c r="M17" s="21" t="s">
        <v>41</v>
      </c>
      <c r="O17" s="21" t="s">
        <v>41</v>
      </c>
      <c r="Q17" s="21" t="s">
        <v>41</v>
      </c>
      <c r="S17" s="21" t="s">
        <v>41</v>
      </c>
    </row>
    <row r="18" spans="1:21" x14ac:dyDescent="0.3">
      <c r="A18" s="6">
        <v>17</v>
      </c>
      <c r="B18" s="7">
        <v>45119</v>
      </c>
      <c r="C18" s="8" t="s">
        <v>15</v>
      </c>
      <c r="D18" s="8" t="s">
        <v>16</v>
      </c>
      <c r="E18" s="8" t="s">
        <v>17</v>
      </c>
      <c r="F18" s="8" t="s">
        <v>31</v>
      </c>
      <c r="G18" s="8" t="s">
        <v>33</v>
      </c>
      <c r="H18" s="9">
        <v>28440.25</v>
      </c>
      <c r="I18" s="8">
        <v>7</v>
      </c>
      <c r="J18" s="10">
        <v>8317.2999999999993</v>
      </c>
      <c r="K18" s="14" t="str" cm="1">
        <f t="array" ref="K18">_xlfn.IFS(Table4[[#This Row],[Sales]]&gt;40000,"Best Sales",Table4[[#This Row],[Sales]]&gt;20000,"Average Sales",Table4[[#This Row],[Sales]]&gt;0,"Poor Sales")</f>
        <v>Average Sales</v>
      </c>
    </row>
    <row r="19" spans="1:21" x14ac:dyDescent="0.3">
      <c r="A19" s="11">
        <v>18</v>
      </c>
      <c r="B19" s="12">
        <v>45259</v>
      </c>
      <c r="C19" s="13" t="s">
        <v>22</v>
      </c>
      <c r="D19" s="13" t="s">
        <v>22</v>
      </c>
      <c r="E19" s="13" t="s">
        <v>17</v>
      </c>
      <c r="F19" s="13" t="s">
        <v>13</v>
      </c>
      <c r="G19" s="13" t="s">
        <v>34</v>
      </c>
      <c r="H19" s="14">
        <v>4336.55</v>
      </c>
      <c r="I19" s="13">
        <v>10</v>
      </c>
      <c r="J19" s="15">
        <v>883.82</v>
      </c>
      <c r="K19" s="14" t="str" cm="1">
        <f t="array" ref="K19">_xlfn.IFS(Table4[[#This Row],[Sales]]&gt;40000,"Best Sales",Table4[[#This Row],[Sales]]&gt;20000,"Average Sales",Table4[[#This Row],[Sales]]&gt;0,"Poor Sales")</f>
        <v>Poor Sales</v>
      </c>
      <c r="M19" s="22" t="s">
        <v>97</v>
      </c>
      <c r="O19" s="22" t="s">
        <v>99</v>
      </c>
      <c r="Q19" s="22" t="s">
        <v>67</v>
      </c>
    </row>
    <row r="20" spans="1:21" x14ac:dyDescent="0.3">
      <c r="A20" s="6">
        <v>19</v>
      </c>
      <c r="B20" s="7">
        <v>45282</v>
      </c>
      <c r="C20" s="8" t="s">
        <v>22</v>
      </c>
      <c r="D20" s="8" t="s">
        <v>22</v>
      </c>
      <c r="E20" s="8" t="s">
        <v>17</v>
      </c>
      <c r="F20" s="8" t="s">
        <v>13</v>
      </c>
      <c r="G20" s="8" t="s">
        <v>14</v>
      </c>
      <c r="H20" s="9">
        <v>1239.49</v>
      </c>
      <c r="I20" s="8">
        <v>4</v>
      </c>
      <c r="J20" s="10">
        <v>278.37</v>
      </c>
      <c r="K20" s="14" t="str" cm="1">
        <f t="array" ref="K20">_xlfn.IFS(Table4[[#This Row],[Sales]]&gt;40000,"Best Sales",Table4[[#This Row],[Sales]]&gt;20000,"Average Sales",Table4[[#This Row],[Sales]]&gt;0,"Poor Sales")</f>
        <v>Poor Sales</v>
      </c>
      <c r="M20" s="21" t="s">
        <v>41</v>
      </c>
      <c r="O20" s="21" t="s">
        <v>41</v>
      </c>
      <c r="Q20" s="21" t="s">
        <v>41</v>
      </c>
    </row>
    <row r="21" spans="1:21" x14ac:dyDescent="0.3">
      <c r="A21" s="11">
        <v>20</v>
      </c>
      <c r="B21" s="12">
        <v>45003</v>
      </c>
      <c r="C21" s="13" t="s">
        <v>26</v>
      </c>
      <c r="D21" s="13" t="s">
        <v>27</v>
      </c>
      <c r="E21" s="13" t="s">
        <v>17</v>
      </c>
      <c r="F21" s="13" t="s">
        <v>24</v>
      </c>
      <c r="G21" s="13" t="s">
        <v>25</v>
      </c>
      <c r="H21" s="14">
        <v>12013.15</v>
      </c>
      <c r="I21" s="13">
        <v>7</v>
      </c>
      <c r="J21" s="15">
        <v>968.92</v>
      </c>
      <c r="K21" s="14" t="str" cm="1">
        <f t="array" ref="K21">_xlfn.IFS(Table4[[#This Row],[Sales]]&gt;40000,"Best Sales",Table4[[#This Row],[Sales]]&gt;20000,"Average Sales",Table4[[#This Row],[Sales]]&gt;0,"Poor Sales")</f>
        <v>Poor Sales</v>
      </c>
    </row>
    <row r="22" spans="1:21" x14ac:dyDescent="0.3">
      <c r="A22" s="6">
        <v>21</v>
      </c>
      <c r="B22" s="7">
        <v>44972</v>
      </c>
      <c r="C22" s="8" t="s">
        <v>10</v>
      </c>
      <c r="D22" s="8" t="s">
        <v>11</v>
      </c>
      <c r="E22" s="8" t="s">
        <v>17</v>
      </c>
      <c r="F22" s="8" t="s">
        <v>31</v>
      </c>
      <c r="G22" s="8" t="s">
        <v>39</v>
      </c>
      <c r="H22" s="9">
        <v>43252.06</v>
      </c>
      <c r="I22" s="8">
        <v>10</v>
      </c>
      <c r="J22" s="10">
        <v>8949.06</v>
      </c>
      <c r="K22" s="14" t="str" cm="1">
        <f t="array" ref="K22">_xlfn.IFS(Table4[[#This Row],[Sales]]&gt;40000,"Best Sales",Table4[[#This Row],[Sales]]&gt;20000,"Average Sales",Table4[[#This Row],[Sales]]&gt;0,"Poor Sales")</f>
        <v>Best Sales</v>
      </c>
      <c r="M22" s="26" t="s">
        <v>55</v>
      </c>
    </row>
    <row r="23" spans="1:21" x14ac:dyDescent="0.3">
      <c r="A23" s="11">
        <v>22</v>
      </c>
      <c r="B23" s="12">
        <v>45175</v>
      </c>
      <c r="C23" s="13" t="s">
        <v>26</v>
      </c>
      <c r="D23" s="13" t="s">
        <v>27</v>
      </c>
      <c r="E23" s="13" t="s">
        <v>17</v>
      </c>
      <c r="F23" s="13" t="s">
        <v>24</v>
      </c>
      <c r="G23" s="13" t="s">
        <v>29</v>
      </c>
      <c r="H23" s="14">
        <v>13136.74</v>
      </c>
      <c r="I23" s="13">
        <v>10</v>
      </c>
      <c r="J23" s="15">
        <v>2907.53</v>
      </c>
      <c r="K23" s="14" t="str" cm="1">
        <f t="array" ref="K23">_xlfn.IFS(Table4[[#This Row],[Sales]]&gt;40000,"Best Sales",Table4[[#This Row],[Sales]]&gt;20000,"Average Sales",Table4[[#This Row],[Sales]]&gt;0,"Poor Sales")</f>
        <v>Poor Sales</v>
      </c>
      <c r="M23" s="21" t="s">
        <v>41</v>
      </c>
    </row>
    <row r="24" spans="1:21" x14ac:dyDescent="0.3">
      <c r="A24" s="6">
        <v>23</v>
      </c>
      <c r="B24" s="7">
        <v>45260</v>
      </c>
      <c r="C24" s="8" t="s">
        <v>26</v>
      </c>
      <c r="D24" s="8" t="s">
        <v>27</v>
      </c>
      <c r="E24" s="8" t="s">
        <v>20</v>
      </c>
      <c r="F24" s="8" t="s">
        <v>31</v>
      </c>
      <c r="G24" s="8" t="s">
        <v>39</v>
      </c>
      <c r="H24" s="9">
        <v>35956.54</v>
      </c>
      <c r="I24" s="8">
        <v>1</v>
      </c>
      <c r="J24" s="10">
        <v>6308.41</v>
      </c>
      <c r="K24" s="14" t="str" cm="1">
        <f t="array" ref="K24">_xlfn.IFS(Table4[[#This Row],[Sales]]&gt;40000,"Best Sales",Table4[[#This Row],[Sales]]&gt;20000,"Average Sales",Table4[[#This Row],[Sales]]&gt;0,"Poor Sales")</f>
        <v>Average Sales</v>
      </c>
    </row>
    <row r="25" spans="1:21" x14ac:dyDescent="0.3">
      <c r="A25" s="11">
        <v>24</v>
      </c>
      <c r="B25" s="12">
        <v>45103</v>
      </c>
      <c r="C25" s="13" t="s">
        <v>18</v>
      </c>
      <c r="D25" s="13" t="s">
        <v>19</v>
      </c>
      <c r="E25" s="13" t="s">
        <v>20</v>
      </c>
      <c r="F25" s="13" t="s">
        <v>31</v>
      </c>
      <c r="G25" s="13" t="s">
        <v>33</v>
      </c>
      <c r="H25" s="14">
        <v>36894.9</v>
      </c>
      <c r="I25" s="13">
        <v>5</v>
      </c>
      <c r="J25" s="15">
        <v>10265.879999999999</v>
      </c>
      <c r="K25" s="14" t="str" cm="1">
        <f t="array" ref="K25">_xlfn.IFS(Table4[[#This Row],[Sales]]&gt;40000,"Best Sales",Table4[[#This Row],[Sales]]&gt;20000,"Average Sales",Table4[[#This Row],[Sales]]&gt;0,"Poor Sales")</f>
        <v>Average Sales</v>
      </c>
      <c r="Q25" s="27" t="s">
        <v>58</v>
      </c>
      <c r="S25" s="27" t="s">
        <v>59</v>
      </c>
      <c r="U25" s="27" t="s">
        <v>60</v>
      </c>
    </row>
    <row r="26" spans="1:21" x14ac:dyDescent="0.3">
      <c r="A26" s="6">
        <v>25</v>
      </c>
      <c r="B26" s="7">
        <v>45176</v>
      </c>
      <c r="C26" s="8" t="s">
        <v>35</v>
      </c>
      <c r="D26" s="8" t="s">
        <v>36</v>
      </c>
      <c r="E26" s="8" t="s">
        <v>12</v>
      </c>
      <c r="F26" s="8" t="s">
        <v>13</v>
      </c>
      <c r="G26" s="8" t="s">
        <v>34</v>
      </c>
      <c r="H26" s="9">
        <v>36393.839999999997</v>
      </c>
      <c r="I26" s="8">
        <v>2</v>
      </c>
      <c r="J26" s="10">
        <v>4029.33</v>
      </c>
      <c r="K26" s="14" t="str" cm="1">
        <f t="array" ref="K26">_xlfn.IFS(Table4[[#This Row],[Sales]]&gt;40000,"Best Sales",Table4[[#This Row],[Sales]]&gt;20000,"Average Sales",Table4[[#This Row],[Sales]]&gt;0,"Poor Sales")</f>
        <v>Average Sales</v>
      </c>
      <c r="M26" s="36" t="s">
        <v>87</v>
      </c>
      <c r="N26" s="36"/>
      <c r="O26" s="36"/>
      <c r="Q26" s="21" t="s">
        <v>41</v>
      </c>
      <c r="S26" s="21" t="s">
        <v>41</v>
      </c>
      <c r="U26" s="21" t="s">
        <v>41</v>
      </c>
    </row>
    <row r="27" spans="1:21" x14ac:dyDescent="0.3">
      <c r="A27" s="11">
        <v>26</v>
      </c>
      <c r="B27" s="12">
        <v>45153</v>
      </c>
      <c r="C27" s="13" t="s">
        <v>26</v>
      </c>
      <c r="D27" s="13" t="s">
        <v>27</v>
      </c>
      <c r="E27" s="13" t="s">
        <v>12</v>
      </c>
      <c r="F27" s="13" t="s">
        <v>24</v>
      </c>
      <c r="G27" s="13" t="s">
        <v>29</v>
      </c>
      <c r="H27" s="14">
        <v>18244.080000000002</v>
      </c>
      <c r="I27" s="13">
        <v>10</v>
      </c>
      <c r="J27" s="15">
        <v>1308.29</v>
      </c>
      <c r="K27" s="14" t="str" cm="1">
        <f t="array" ref="K27">_xlfn.IFS(Table4[[#This Row],[Sales]]&gt;40000,"Best Sales",Table4[[#This Row],[Sales]]&gt;20000,"Average Sales",Table4[[#This Row],[Sales]]&gt;0,"Poor Sales")</f>
        <v>Poor Sales</v>
      </c>
      <c r="Q27" s="21" t="s">
        <v>29</v>
      </c>
      <c r="S27" s="21" t="s">
        <v>17</v>
      </c>
      <c r="U27" s="21" t="s">
        <v>63</v>
      </c>
    </row>
    <row r="28" spans="1:21" x14ac:dyDescent="0.3">
      <c r="A28" s="6">
        <v>27</v>
      </c>
      <c r="B28" s="7">
        <v>45050</v>
      </c>
      <c r="C28" s="8" t="s">
        <v>18</v>
      </c>
      <c r="D28" s="8" t="s">
        <v>19</v>
      </c>
      <c r="E28" s="8" t="s">
        <v>12</v>
      </c>
      <c r="F28" s="8" t="s">
        <v>24</v>
      </c>
      <c r="G28" s="8" t="s">
        <v>25</v>
      </c>
      <c r="H28" s="9">
        <v>39573.279999999999</v>
      </c>
      <c r="I28" s="8">
        <v>7</v>
      </c>
      <c r="J28" s="10">
        <v>6877.16</v>
      </c>
      <c r="K28" s="14" t="str" cm="1">
        <f t="array" ref="K28">_xlfn.IFS(Table4[[#This Row],[Sales]]&gt;40000,"Best Sales",Table4[[#This Row],[Sales]]&gt;20000,"Average Sales",Table4[[#This Row],[Sales]]&gt;0,"Poor Sales")</f>
        <v>Average Sales</v>
      </c>
      <c r="M28" s="27" t="s">
        <v>57</v>
      </c>
      <c r="O28" s="27" t="s">
        <v>4</v>
      </c>
      <c r="Q28" s="21" t="s">
        <v>39</v>
      </c>
      <c r="S28" s="21" t="s">
        <v>23</v>
      </c>
      <c r="U28" s="21" t="s">
        <v>61</v>
      </c>
    </row>
    <row r="29" spans="1:21" x14ac:dyDescent="0.3">
      <c r="A29" s="11">
        <v>28</v>
      </c>
      <c r="B29" s="12">
        <v>44968</v>
      </c>
      <c r="C29" s="13" t="s">
        <v>37</v>
      </c>
      <c r="D29" s="13" t="s">
        <v>27</v>
      </c>
      <c r="E29" s="13" t="s">
        <v>12</v>
      </c>
      <c r="F29" s="13" t="s">
        <v>24</v>
      </c>
      <c r="G29" s="13" t="s">
        <v>25</v>
      </c>
      <c r="H29" s="14">
        <v>16112.12</v>
      </c>
      <c r="I29" s="13">
        <v>2</v>
      </c>
      <c r="J29" s="15">
        <v>2614.2399999999998</v>
      </c>
      <c r="K29" s="14" t="str" cm="1">
        <f t="array" ref="K29">_xlfn.IFS(Table4[[#This Row],[Sales]]&gt;40000,"Best Sales",Table4[[#This Row],[Sales]]&gt;20000,"Average Sales",Table4[[#This Row],[Sales]]&gt;0,"Poor Sales")</f>
        <v>Poor Sales</v>
      </c>
      <c r="M29" s="21" t="s">
        <v>41</v>
      </c>
      <c r="O29" s="21" t="s">
        <v>41</v>
      </c>
      <c r="Q29" s="21" t="s">
        <v>32</v>
      </c>
      <c r="S29" s="21" t="s">
        <v>20</v>
      </c>
      <c r="U29" s="21" t="s">
        <v>62</v>
      </c>
    </row>
    <row r="30" spans="1:21" x14ac:dyDescent="0.3">
      <c r="A30" s="6">
        <v>29</v>
      </c>
      <c r="B30" s="7">
        <v>45166</v>
      </c>
      <c r="C30" s="8" t="s">
        <v>18</v>
      </c>
      <c r="D30" s="8" t="s">
        <v>19</v>
      </c>
      <c r="E30" s="8" t="s">
        <v>12</v>
      </c>
      <c r="F30" s="8" t="s">
        <v>13</v>
      </c>
      <c r="G30" s="8" t="s">
        <v>14</v>
      </c>
      <c r="H30" s="9">
        <v>17197.509999999998</v>
      </c>
      <c r="I30" s="8">
        <v>3</v>
      </c>
      <c r="J30" s="10">
        <v>1675.41</v>
      </c>
      <c r="K30" s="14" t="str" cm="1">
        <f t="array" ref="K30">_xlfn.IFS(Table4[[#This Row],[Sales]]&gt;40000,"Best Sales",Table4[[#This Row],[Sales]]&gt;20000,"Average Sales",Table4[[#This Row],[Sales]]&gt;0,"Poor Sales")</f>
        <v>Poor Sales</v>
      </c>
      <c r="Q30" s="21" t="s">
        <v>34</v>
      </c>
      <c r="S30" s="21" t="s">
        <v>12</v>
      </c>
    </row>
    <row r="31" spans="1:21" x14ac:dyDescent="0.3">
      <c r="A31" s="11">
        <v>30</v>
      </c>
      <c r="B31" s="12">
        <v>44995</v>
      </c>
      <c r="C31" s="13" t="s">
        <v>30</v>
      </c>
      <c r="D31" s="13" t="s">
        <v>16</v>
      </c>
      <c r="E31" s="13" t="s">
        <v>12</v>
      </c>
      <c r="F31" s="13" t="s">
        <v>31</v>
      </c>
      <c r="G31" s="13" t="s">
        <v>39</v>
      </c>
      <c r="H31" s="14">
        <v>40062.949999999997</v>
      </c>
      <c r="I31" s="13">
        <v>5</v>
      </c>
      <c r="J31" s="15">
        <v>11536.21</v>
      </c>
      <c r="K31" s="14" t="str" cm="1">
        <f t="array" ref="K31">_xlfn.IFS(Table4[[#This Row],[Sales]]&gt;40000,"Best Sales",Table4[[#This Row],[Sales]]&gt;20000,"Average Sales",Table4[[#This Row],[Sales]]&gt;0,"Poor Sales")</f>
        <v>Best Sales</v>
      </c>
      <c r="M31" s="27" t="s">
        <v>64</v>
      </c>
      <c r="Q31" s="21" t="s">
        <v>14</v>
      </c>
    </row>
    <row r="32" spans="1:21" x14ac:dyDescent="0.3">
      <c r="A32" s="6">
        <v>31</v>
      </c>
      <c r="B32" s="7">
        <v>45217</v>
      </c>
      <c r="C32" s="8" t="s">
        <v>15</v>
      </c>
      <c r="D32" s="8" t="s">
        <v>16</v>
      </c>
      <c r="E32" s="8" t="s">
        <v>12</v>
      </c>
      <c r="F32" s="8" t="s">
        <v>24</v>
      </c>
      <c r="G32" s="8" t="s">
        <v>25</v>
      </c>
      <c r="H32" s="9">
        <v>30699.4</v>
      </c>
      <c r="I32" s="8">
        <v>2</v>
      </c>
      <c r="J32" s="10">
        <v>5821.81</v>
      </c>
      <c r="K32" s="14" t="str" cm="1">
        <f t="array" ref="K32">_xlfn.IFS(Table4[[#This Row],[Sales]]&gt;40000,"Best Sales",Table4[[#This Row],[Sales]]&gt;20000,"Average Sales",Table4[[#This Row],[Sales]]&gt;0,"Poor Sales")</f>
        <v>Average Sales</v>
      </c>
      <c r="M32" s="21" t="s">
        <v>62</v>
      </c>
      <c r="Q32" s="21" t="s">
        <v>33</v>
      </c>
    </row>
    <row r="33" spans="1:17" x14ac:dyDescent="0.3">
      <c r="A33" s="11">
        <v>32</v>
      </c>
      <c r="B33" s="12">
        <v>45127</v>
      </c>
      <c r="C33" s="13" t="s">
        <v>22</v>
      </c>
      <c r="D33" s="13" t="s">
        <v>22</v>
      </c>
      <c r="E33" s="13" t="s">
        <v>12</v>
      </c>
      <c r="F33" s="13" t="s">
        <v>31</v>
      </c>
      <c r="G33" s="13" t="s">
        <v>32</v>
      </c>
      <c r="H33" s="14">
        <v>46798.46</v>
      </c>
      <c r="I33" s="13">
        <v>8</v>
      </c>
      <c r="J33" s="15">
        <v>12650.58</v>
      </c>
      <c r="K33" s="14" t="str" cm="1">
        <f t="array" ref="K33">_xlfn.IFS(Table4[[#This Row],[Sales]]&gt;40000,"Best Sales",Table4[[#This Row],[Sales]]&gt;20000,"Average Sales",Table4[[#This Row],[Sales]]&gt;0,"Poor Sales")</f>
        <v>Best Sales</v>
      </c>
      <c r="Q33" s="21" t="s">
        <v>25</v>
      </c>
    </row>
    <row r="34" spans="1:17" x14ac:dyDescent="0.3">
      <c r="A34" s="6">
        <v>33</v>
      </c>
      <c r="B34" s="7">
        <v>45005</v>
      </c>
      <c r="C34" s="8" t="s">
        <v>30</v>
      </c>
      <c r="D34" s="8" t="s">
        <v>16</v>
      </c>
      <c r="E34" s="8" t="s">
        <v>12</v>
      </c>
      <c r="F34" s="8" t="s">
        <v>24</v>
      </c>
      <c r="G34" s="8" t="s">
        <v>28</v>
      </c>
      <c r="H34" s="9">
        <v>18545.72</v>
      </c>
      <c r="I34" s="8">
        <v>9</v>
      </c>
      <c r="J34" s="10">
        <v>3893.71</v>
      </c>
      <c r="K34" s="14" t="str" cm="1">
        <f t="array" ref="K34">_xlfn.IFS(Table4[[#This Row],[Sales]]&gt;40000,"Best Sales",Table4[[#This Row],[Sales]]&gt;20000,"Average Sales",Table4[[#This Row],[Sales]]&gt;0,"Poor Sales")</f>
        <v>Poor Sales</v>
      </c>
      <c r="Q34" s="21" t="s">
        <v>28</v>
      </c>
    </row>
    <row r="35" spans="1:17" x14ac:dyDescent="0.3">
      <c r="A35" s="11">
        <v>34</v>
      </c>
      <c r="B35" s="12">
        <v>45097</v>
      </c>
      <c r="C35" s="13" t="s">
        <v>15</v>
      </c>
      <c r="D35" s="13" t="s">
        <v>16</v>
      </c>
      <c r="E35" s="13" t="s">
        <v>12</v>
      </c>
      <c r="F35" s="13" t="s">
        <v>24</v>
      </c>
      <c r="G35" s="13" t="s">
        <v>25</v>
      </c>
      <c r="H35" s="14">
        <v>47078.67</v>
      </c>
      <c r="I35" s="13">
        <v>4</v>
      </c>
      <c r="J35" s="15">
        <v>5416.29</v>
      </c>
      <c r="K35" s="14" t="str" cm="1">
        <f t="array" ref="K35">_xlfn.IFS(Table4[[#This Row],[Sales]]&gt;40000,"Best Sales",Table4[[#This Row],[Sales]]&gt;20000,"Average Sales",Table4[[#This Row],[Sales]]&gt;0,"Poor Sales")</f>
        <v>Best Sales</v>
      </c>
      <c r="Q35" s="21" t="s">
        <v>21</v>
      </c>
    </row>
    <row r="36" spans="1:17" x14ac:dyDescent="0.3">
      <c r="A36" s="6">
        <v>35</v>
      </c>
      <c r="B36" s="7">
        <v>44983</v>
      </c>
      <c r="C36" s="8" t="s">
        <v>37</v>
      </c>
      <c r="D36" s="8" t="s">
        <v>27</v>
      </c>
      <c r="E36" s="8" t="s">
        <v>12</v>
      </c>
      <c r="F36" s="8" t="s">
        <v>13</v>
      </c>
      <c r="G36" s="8" t="s">
        <v>21</v>
      </c>
      <c r="H36" s="9">
        <v>45410.16</v>
      </c>
      <c r="I36" s="8">
        <v>2</v>
      </c>
      <c r="J36" s="10">
        <v>6601.61</v>
      </c>
      <c r="K36" s="14" t="str" cm="1">
        <f t="array" ref="K36">_xlfn.IFS(Table4[[#This Row],[Sales]]&gt;40000,"Best Sales",Table4[[#This Row],[Sales]]&gt;20000,"Average Sales",Table4[[#This Row],[Sales]]&gt;0,"Poor Sales")</f>
        <v>Best Sales</v>
      </c>
    </row>
    <row r="37" spans="1:17" x14ac:dyDescent="0.3">
      <c r="A37" s="11">
        <v>36</v>
      </c>
      <c r="B37" s="12">
        <v>45083</v>
      </c>
      <c r="C37" s="13" t="s">
        <v>18</v>
      </c>
      <c r="D37" s="13" t="s">
        <v>19</v>
      </c>
      <c r="E37" s="13" t="s">
        <v>12</v>
      </c>
      <c r="F37" s="13" t="s">
        <v>31</v>
      </c>
      <c r="G37" s="13" t="s">
        <v>32</v>
      </c>
      <c r="H37" s="14">
        <v>8022.9</v>
      </c>
      <c r="I37" s="13">
        <v>9</v>
      </c>
      <c r="J37" s="15">
        <v>1118.83</v>
      </c>
      <c r="K37" s="14" t="str" cm="1">
        <f t="array" ref="K37">_xlfn.IFS(Table4[[#This Row],[Sales]]&gt;40000,"Best Sales",Table4[[#This Row],[Sales]]&gt;20000,"Average Sales",Table4[[#This Row],[Sales]]&gt;0,"Poor Sales")</f>
        <v>Poor Sales</v>
      </c>
    </row>
    <row r="38" spans="1:17" x14ac:dyDescent="0.3">
      <c r="A38" s="6">
        <v>37</v>
      </c>
      <c r="B38" s="7">
        <v>45039</v>
      </c>
      <c r="C38" s="8" t="s">
        <v>15</v>
      </c>
      <c r="D38" s="8" t="s">
        <v>16</v>
      </c>
      <c r="E38" s="8" t="s">
        <v>12</v>
      </c>
      <c r="F38" s="8" t="s">
        <v>13</v>
      </c>
      <c r="G38" s="8" t="s">
        <v>34</v>
      </c>
      <c r="H38" s="9">
        <v>34478.959999999999</v>
      </c>
      <c r="I38" s="8">
        <v>5</v>
      </c>
      <c r="J38" s="10">
        <v>4118.41</v>
      </c>
      <c r="K38" s="14" t="str" cm="1">
        <f t="array" ref="K38">_xlfn.IFS(Table4[[#This Row],[Sales]]&gt;40000,"Best Sales",Table4[[#This Row],[Sales]]&gt;20000,"Average Sales",Table4[[#This Row],[Sales]]&gt;0,"Poor Sales")</f>
        <v>Average Sales</v>
      </c>
    </row>
    <row r="39" spans="1:17" x14ac:dyDescent="0.3">
      <c r="A39" s="11">
        <v>38</v>
      </c>
      <c r="B39" s="12">
        <v>45247</v>
      </c>
      <c r="C39" s="13" t="s">
        <v>18</v>
      </c>
      <c r="D39" s="13" t="s">
        <v>19</v>
      </c>
      <c r="E39" s="13" t="s">
        <v>12</v>
      </c>
      <c r="F39" s="13" t="s">
        <v>31</v>
      </c>
      <c r="G39" s="13" t="s">
        <v>33</v>
      </c>
      <c r="H39" s="14">
        <v>34640.65</v>
      </c>
      <c r="I39" s="13">
        <v>10</v>
      </c>
      <c r="J39" s="15">
        <v>9567.4500000000007</v>
      </c>
      <c r="K39" s="14" t="str" cm="1">
        <f t="array" ref="K39">_xlfn.IFS(Table4[[#This Row],[Sales]]&gt;40000,"Best Sales",Table4[[#This Row],[Sales]]&gt;20000,"Average Sales",Table4[[#This Row],[Sales]]&gt;0,"Poor Sales")</f>
        <v>Average Sales</v>
      </c>
    </row>
    <row r="40" spans="1:17" x14ac:dyDescent="0.3">
      <c r="A40" s="6">
        <v>39</v>
      </c>
      <c r="B40" s="7">
        <v>44941</v>
      </c>
      <c r="C40" s="8" t="s">
        <v>26</v>
      </c>
      <c r="D40" s="8" t="s">
        <v>27</v>
      </c>
      <c r="E40" s="8" t="s">
        <v>12</v>
      </c>
      <c r="F40" s="8" t="s">
        <v>13</v>
      </c>
      <c r="G40" s="8" t="s">
        <v>34</v>
      </c>
      <c r="H40" s="9">
        <v>3218.7</v>
      </c>
      <c r="I40" s="8">
        <v>3</v>
      </c>
      <c r="J40" s="10">
        <v>572.08000000000004</v>
      </c>
      <c r="K40" s="14" t="str" cm="1">
        <f t="array" ref="K40">_xlfn.IFS(Table4[[#This Row],[Sales]]&gt;40000,"Best Sales",Table4[[#This Row],[Sales]]&gt;20000,"Average Sales",Table4[[#This Row],[Sales]]&gt;0,"Poor Sales")</f>
        <v>Poor Sales</v>
      </c>
    </row>
    <row r="41" spans="1:17" x14ac:dyDescent="0.3">
      <c r="A41" s="11">
        <v>40</v>
      </c>
      <c r="B41" s="12">
        <v>44941</v>
      </c>
      <c r="C41" s="13" t="s">
        <v>22</v>
      </c>
      <c r="D41" s="13" t="s">
        <v>22</v>
      </c>
      <c r="E41" s="13" t="s">
        <v>12</v>
      </c>
      <c r="F41" s="13" t="s">
        <v>31</v>
      </c>
      <c r="G41" s="13" t="s">
        <v>33</v>
      </c>
      <c r="H41" s="14">
        <v>28642.2</v>
      </c>
      <c r="I41" s="13">
        <v>5</v>
      </c>
      <c r="J41" s="15">
        <v>2312.54</v>
      </c>
      <c r="K41" s="14" t="str" cm="1">
        <f t="array" ref="K41">_xlfn.IFS(Table4[[#This Row],[Sales]]&gt;40000,"Best Sales",Table4[[#This Row],[Sales]]&gt;20000,"Average Sales",Table4[[#This Row],[Sales]]&gt;0,"Poor Sales")</f>
        <v>Average Sales</v>
      </c>
    </row>
    <row r="42" spans="1:17" x14ac:dyDescent="0.3">
      <c r="A42" s="6">
        <v>41</v>
      </c>
      <c r="B42" s="7">
        <v>45238</v>
      </c>
      <c r="C42" s="8" t="s">
        <v>15</v>
      </c>
      <c r="D42" s="8" t="s">
        <v>16</v>
      </c>
      <c r="E42" s="8" t="s">
        <v>12</v>
      </c>
      <c r="F42" s="8" t="s">
        <v>13</v>
      </c>
      <c r="G42" s="8" t="s">
        <v>14</v>
      </c>
      <c r="H42" s="9">
        <v>30927.86</v>
      </c>
      <c r="I42" s="8">
        <v>10</v>
      </c>
      <c r="J42" s="10">
        <v>8460.2199999999993</v>
      </c>
      <c r="K42" s="14" t="str" cm="1">
        <f t="array" ref="K42">_xlfn.IFS(Table4[[#This Row],[Sales]]&gt;40000,"Best Sales",Table4[[#This Row],[Sales]]&gt;20000,"Average Sales",Table4[[#This Row],[Sales]]&gt;0,"Poor Sales")</f>
        <v>Average Sales</v>
      </c>
    </row>
    <row r="43" spans="1:17" x14ac:dyDescent="0.3">
      <c r="A43" s="11">
        <v>42</v>
      </c>
      <c r="B43" s="12">
        <v>45143</v>
      </c>
      <c r="C43" s="13" t="s">
        <v>10</v>
      </c>
      <c r="D43" s="13" t="s">
        <v>11</v>
      </c>
      <c r="E43" s="13" t="s">
        <v>12</v>
      </c>
      <c r="F43" s="13" t="s">
        <v>31</v>
      </c>
      <c r="G43" s="13" t="s">
        <v>32</v>
      </c>
      <c r="H43" s="14">
        <v>32426.75</v>
      </c>
      <c r="I43" s="13">
        <v>7</v>
      </c>
      <c r="J43" s="15">
        <v>8518.11</v>
      </c>
      <c r="K43" s="14" t="str" cm="1">
        <f t="array" ref="K43">_xlfn.IFS(Table4[[#This Row],[Sales]]&gt;40000,"Best Sales",Table4[[#This Row],[Sales]]&gt;20000,"Average Sales",Table4[[#This Row],[Sales]]&gt;0,"Poor Sales")</f>
        <v>Average Sales</v>
      </c>
    </row>
    <row r="44" spans="1:17" x14ac:dyDescent="0.3">
      <c r="A44" s="6">
        <v>43</v>
      </c>
      <c r="B44" s="7">
        <v>45283</v>
      </c>
      <c r="C44" s="8" t="s">
        <v>38</v>
      </c>
      <c r="D44" s="8" t="s">
        <v>27</v>
      </c>
      <c r="E44" s="8" t="s">
        <v>20</v>
      </c>
      <c r="F44" s="8" t="s">
        <v>31</v>
      </c>
      <c r="G44" s="8" t="s">
        <v>39</v>
      </c>
      <c r="H44" s="9">
        <v>19643.03</v>
      </c>
      <c r="I44" s="8">
        <v>5</v>
      </c>
      <c r="J44" s="10">
        <v>2911.87</v>
      </c>
      <c r="K44" s="14" t="str" cm="1">
        <f t="array" ref="K44">_xlfn.IFS(Table4[[#This Row],[Sales]]&gt;40000,"Best Sales",Table4[[#This Row],[Sales]]&gt;20000,"Average Sales",Table4[[#This Row],[Sales]]&gt;0,"Poor Sales")</f>
        <v>Poor Sales</v>
      </c>
    </row>
    <row r="45" spans="1:17" x14ac:dyDescent="0.3">
      <c r="A45" s="11">
        <v>44</v>
      </c>
      <c r="B45" s="12">
        <v>44981</v>
      </c>
      <c r="C45" s="13" t="s">
        <v>26</v>
      </c>
      <c r="D45" s="13" t="s">
        <v>27</v>
      </c>
      <c r="E45" s="13" t="s">
        <v>20</v>
      </c>
      <c r="F45" s="13" t="s">
        <v>13</v>
      </c>
      <c r="G45" s="13" t="s">
        <v>34</v>
      </c>
      <c r="H45" s="14">
        <v>46031.41</v>
      </c>
      <c r="I45" s="13">
        <v>10</v>
      </c>
      <c r="J45" s="15">
        <v>12190.44</v>
      </c>
      <c r="K45" s="14" t="str" cm="1">
        <f t="array" ref="K45">_xlfn.IFS(Table4[[#This Row],[Sales]]&gt;40000,"Best Sales",Table4[[#This Row],[Sales]]&gt;20000,"Average Sales",Table4[[#This Row],[Sales]]&gt;0,"Poor Sales")</f>
        <v>Best Sales</v>
      </c>
    </row>
    <row r="46" spans="1:17" x14ac:dyDescent="0.3">
      <c r="A46" s="6">
        <v>45</v>
      </c>
      <c r="B46" s="7">
        <v>44967</v>
      </c>
      <c r="C46" s="8" t="s">
        <v>22</v>
      </c>
      <c r="D46" s="8" t="s">
        <v>22</v>
      </c>
      <c r="E46" s="8" t="s">
        <v>20</v>
      </c>
      <c r="F46" s="8" t="s">
        <v>13</v>
      </c>
      <c r="G46" s="8" t="s">
        <v>21</v>
      </c>
      <c r="H46" s="9">
        <v>10312.469999999999</v>
      </c>
      <c r="I46" s="8">
        <v>3</v>
      </c>
      <c r="J46" s="10">
        <v>917.6</v>
      </c>
      <c r="K46" s="14" t="str" cm="1">
        <f t="array" ref="K46">_xlfn.IFS(Table4[[#This Row],[Sales]]&gt;40000,"Best Sales",Table4[[#This Row],[Sales]]&gt;20000,"Average Sales",Table4[[#This Row],[Sales]]&gt;0,"Poor Sales")</f>
        <v>Poor Sales</v>
      </c>
    </row>
    <row r="47" spans="1:17" x14ac:dyDescent="0.3">
      <c r="A47" s="11">
        <v>46</v>
      </c>
      <c r="B47" s="12">
        <v>45288</v>
      </c>
      <c r="C47" s="13" t="s">
        <v>37</v>
      </c>
      <c r="D47" s="13" t="s">
        <v>27</v>
      </c>
      <c r="E47" s="13" t="s">
        <v>20</v>
      </c>
      <c r="F47" s="13" t="s">
        <v>24</v>
      </c>
      <c r="G47" s="13" t="s">
        <v>28</v>
      </c>
      <c r="H47" s="14">
        <v>6582.1</v>
      </c>
      <c r="I47" s="13">
        <v>1</v>
      </c>
      <c r="J47" s="15">
        <v>1867.37</v>
      </c>
      <c r="K47" s="14" t="str" cm="1">
        <f t="array" ref="K47">_xlfn.IFS(Table4[[#This Row],[Sales]]&gt;40000,"Best Sales",Table4[[#This Row],[Sales]]&gt;20000,"Average Sales",Table4[[#This Row],[Sales]]&gt;0,"Poor Sales")</f>
        <v>Poor Sales</v>
      </c>
    </row>
    <row r="48" spans="1:17" x14ac:dyDescent="0.3">
      <c r="A48" s="6">
        <v>47</v>
      </c>
      <c r="B48" s="7">
        <v>45155</v>
      </c>
      <c r="C48" s="8" t="s">
        <v>15</v>
      </c>
      <c r="D48" s="8" t="s">
        <v>16</v>
      </c>
      <c r="E48" s="8" t="s">
        <v>20</v>
      </c>
      <c r="F48" s="8" t="s">
        <v>31</v>
      </c>
      <c r="G48" s="8" t="s">
        <v>39</v>
      </c>
      <c r="H48" s="9">
        <v>3134.95</v>
      </c>
      <c r="I48" s="8">
        <v>8</v>
      </c>
      <c r="J48" s="10">
        <v>371.46</v>
      </c>
      <c r="K48" s="14" t="str" cm="1">
        <f t="array" ref="K48">_xlfn.IFS(Table4[[#This Row],[Sales]]&gt;40000,"Best Sales",Table4[[#This Row],[Sales]]&gt;20000,"Average Sales",Table4[[#This Row],[Sales]]&gt;0,"Poor Sales")</f>
        <v>Poor Sales</v>
      </c>
    </row>
    <row r="49" spans="1:11" x14ac:dyDescent="0.3">
      <c r="A49" s="11">
        <v>48</v>
      </c>
      <c r="B49" s="12">
        <v>45252</v>
      </c>
      <c r="C49" s="13" t="s">
        <v>18</v>
      </c>
      <c r="D49" s="13" t="s">
        <v>19</v>
      </c>
      <c r="E49" s="13" t="s">
        <v>20</v>
      </c>
      <c r="F49" s="13" t="s">
        <v>31</v>
      </c>
      <c r="G49" s="13" t="s">
        <v>39</v>
      </c>
      <c r="H49" s="14">
        <v>43738.86</v>
      </c>
      <c r="I49" s="13">
        <v>4</v>
      </c>
      <c r="J49" s="15">
        <v>5140.59</v>
      </c>
      <c r="K49" s="14" t="str" cm="1">
        <f t="array" ref="K49">_xlfn.IFS(Table4[[#This Row],[Sales]]&gt;40000,"Best Sales",Table4[[#This Row],[Sales]]&gt;20000,"Average Sales",Table4[[#This Row],[Sales]]&gt;0,"Poor Sales")</f>
        <v>Best Sales</v>
      </c>
    </row>
    <row r="50" spans="1:11" x14ac:dyDescent="0.3">
      <c r="A50" s="6">
        <v>49</v>
      </c>
      <c r="B50" s="7">
        <v>45229</v>
      </c>
      <c r="C50" s="8" t="s">
        <v>38</v>
      </c>
      <c r="D50" s="8" t="s">
        <v>27</v>
      </c>
      <c r="E50" s="8" t="s">
        <v>20</v>
      </c>
      <c r="F50" s="8" t="s">
        <v>24</v>
      </c>
      <c r="G50" s="8" t="s">
        <v>29</v>
      </c>
      <c r="H50" s="9">
        <v>17707.400000000001</v>
      </c>
      <c r="I50" s="8">
        <v>10</v>
      </c>
      <c r="J50" s="10">
        <v>2970.2</v>
      </c>
      <c r="K50" s="14" t="str" cm="1">
        <f t="array" ref="K50">_xlfn.IFS(Table4[[#This Row],[Sales]]&gt;40000,"Best Sales",Table4[[#This Row],[Sales]]&gt;20000,"Average Sales",Table4[[#This Row],[Sales]]&gt;0,"Poor Sales")</f>
        <v>Poor Sales</v>
      </c>
    </row>
    <row r="51" spans="1:11" x14ac:dyDescent="0.3">
      <c r="A51" s="11">
        <v>50</v>
      </c>
      <c r="B51" s="12">
        <v>45222</v>
      </c>
      <c r="C51" s="13" t="s">
        <v>15</v>
      </c>
      <c r="D51" s="13" t="s">
        <v>16</v>
      </c>
      <c r="E51" s="13" t="s">
        <v>20</v>
      </c>
      <c r="F51" s="13" t="s">
        <v>31</v>
      </c>
      <c r="G51" s="13" t="s">
        <v>39</v>
      </c>
      <c r="H51" s="14">
        <v>7789.2</v>
      </c>
      <c r="I51" s="13">
        <v>1</v>
      </c>
      <c r="J51" s="15">
        <v>1011.85</v>
      </c>
      <c r="K51" s="14" t="str" cm="1">
        <f t="array" ref="K51">_xlfn.IFS(Table4[[#This Row],[Sales]]&gt;40000,"Best Sales",Table4[[#This Row],[Sales]]&gt;20000,"Average Sales",Table4[[#This Row],[Sales]]&gt;0,"Poor Sales")</f>
        <v>Poor Sales</v>
      </c>
    </row>
    <row r="52" spans="1:11" x14ac:dyDescent="0.3">
      <c r="A52" s="6">
        <v>51</v>
      </c>
      <c r="B52" s="7">
        <v>45270</v>
      </c>
      <c r="C52" s="8" t="s">
        <v>18</v>
      </c>
      <c r="D52" s="8" t="s">
        <v>19</v>
      </c>
      <c r="E52" s="8" t="s">
        <v>20</v>
      </c>
      <c r="F52" s="8" t="s">
        <v>31</v>
      </c>
      <c r="G52" s="8" t="s">
        <v>33</v>
      </c>
      <c r="H52" s="9">
        <v>18333.759999999998</v>
      </c>
      <c r="I52" s="8">
        <v>7</v>
      </c>
      <c r="J52" s="10">
        <v>4255.3900000000003</v>
      </c>
      <c r="K52" s="14" t="str" cm="1">
        <f t="array" ref="K52">_xlfn.IFS(Table4[[#This Row],[Sales]]&gt;40000,"Best Sales",Table4[[#This Row],[Sales]]&gt;20000,"Average Sales",Table4[[#This Row],[Sales]]&gt;0,"Poor Sales")</f>
        <v>Poor Sales</v>
      </c>
    </row>
    <row r="53" spans="1:11" x14ac:dyDescent="0.3">
      <c r="A53" s="11">
        <v>52</v>
      </c>
      <c r="B53" s="12">
        <v>45041</v>
      </c>
      <c r="C53" s="13" t="s">
        <v>15</v>
      </c>
      <c r="D53" s="13" t="s">
        <v>16</v>
      </c>
      <c r="E53" s="13" t="s">
        <v>20</v>
      </c>
      <c r="F53" s="13" t="s">
        <v>31</v>
      </c>
      <c r="G53" s="13" t="s">
        <v>39</v>
      </c>
      <c r="H53" s="14">
        <v>29916.02</v>
      </c>
      <c r="I53" s="13">
        <v>1</v>
      </c>
      <c r="J53" s="15">
        <v>6067.18</v>
      </c>
      <c r="K53" s="14" t="str" cm="1">
        <f t="array" ref="K53">_xlfn.IFS(Table4[[#This Row],[Sales]]&gt;40000,"Best Sales",Table4[[#This Row],[Sales]]&gt;20000,"Average Sales",Table4[[#This Row],[Sales]]&gt;0,"Poor Sales")</f>
        <v>Average Sales</v>
      </c>
    </row>
    <row r="54" spans="1:11" x14ac:dyDescent="0.3">
      <c r="A54" s="6">
        <v>53</v>
      </c>
      <c r="B54" s="7">
        <v>45143</v>
      </c>
      <c r="C54" s="8" t="s">
        <v>15</v>
      </c>
      <c r="D54" s="8" t="s">
        <v>16</v>
      </c>
      <c r="E54" s="8" t="s">
        <v>20</v>
      </c>
      <c r="F54" s="8" t="s">
        <v>13</v>
      </c>
      <c r="G54" s="8" t="s">
        <v>14</v>
      </c>
      <c r="H54" s="9">
        <v>40222.480000000003</v>
      </c>
      <c r="I54" s="8">
        <v>5</v>
      </c>
      <c r="J54" s="10">
        <v>8031.61</v>
      </c>
      <c r="K54" s="14" t="str" cm="1">
        <f t="array" ref="K54">_xlfn.IFS(Table4[[#This Row],[Sales]]&gt;40000,"Best Sales",Table4[[#This Row],[Sales]]&gt;20000,"Average Sales",Table4[[#This Row],[Sales]]&gt;0,"Poor Sales")</f>
        <v>Best Sales</v>
      </c>
    </row>
    <row r="55" spans="1:11" x14ac:dyDescent="0.3">
      <c r="A55" s="11">
        <v>54</v>
      </c>
      <c r="B55" s="12">
        <v>45148</v>
      </c>
      <c r="C55" s="13" t="s">
        <v>35</v>
      </c>
      <c r="D55" s="13" t="s">
        <v>36</v>
      </c>
      <c r="E55" s="13" t="s">
        <v>23</v>
      </c>
      <c r="F55" s="13" t="s">
        <v>13</v>
      </c>
      <c r="G55" s="13" t="s">
        <v>14</v>
      </c>
      <c r="H55" s="14">
        <v>28351.119999999999</v>
      </c>
      <c r="I55" s="13">
        <v>2</v>
      </c>
      <c r="J55" s="15">
        <v>7580.92</v>
      </c>
      <c r="K55" s="14" t="str" cm="1">
        <f t="array" ref="K55">_xlfn.IFS(Table4[[#This Row],[Sales]]&gt;40000,"Best Sales",Table4[[#This Row],[Sales]]&gt;20000,"Average Sales",Table4[[#This Row],[Sales]]&gt;0,"Poor Sales")</f>
        <v>Average Sales</v>
      </c>
    </row>
    <row r="56" spans="1:11" x14ac:dyDescent="0.3">
      <c r="A56" s="6">
        <v>55</v>
      </c>
      <c r="B56" s="7">
        <v>44980</v>
      </c>
      <c r="C56" s="8" t="s">
        <v>30</v>
      </c>
      <c r="D56" s="8" t="s">
        <v>16</v>
      </c>
      <c r="E56" s="8" t="s">
        <v>23</v>
      </c>
      <c r="F56" s="8" t="s">
        <v>31</v>
      </c>
      <c r="G56" s="8" t="s">
        <v>32</v>
      </c>
      <c r="H56" s="9">
        <v>26706.3</v>
      </c>
      <c r="I56" s="8">
        <v>5</v>
      </c>
      <c r="J56" s="10">
        <v>3028.14</v>
      </c>
      <c r="K56" s="14" t="str" cm="1">
        <f t="array" ref="K56">_xlfn.IFS(Table4[[#This Row],[Sales]]&gt;40000,"Best Sales",Table4[[#This Row],[Sales]]&gt;20000,"Average Sales",Table4[[#This Row],[Sales]]&gt;0,"Poor Sales")</f>
        <v>Average Sales</v>
      </c>
    </row>
    <row r="57" spans="1:11" x14ac:dyDescent="0.3">
      <c r="A57" s="11">
        <v>56</v>
      </c>
      <c r="B57" s="12">
        <v>45068</v>
      </c>
      <c r="C57" s="13" t="s">
        <v>10</v>
      </c>
      <c r="D57" s="13" t="s">
        <v>11</v>
      </c>
      <c r="E57" s="13" t="s">
        <v>23</v>
      </c>
      <c r="F57" s="13" t="s">
        <v>13</v>
      </c>
      <c r="G57" s="13" t="s">
        <v>34</v>
      </c>
      <c r="H57" s="14">
        <v>5030.05</v>
      </c>
      <c r="I57" s="13">
        <v>3</v>
      </c>
      <c r="J57" s="15">
        <v>1411.28</v>
      </c>
      <c r="K57" s="14" t="str" cm="1">
        <f t="array" ref="K57">_xlfn.IFS(Table4[[#This Row],[Sales]]&gt;40000,"Best Sales",Table4[[#This Row],[Sales]]&gt;20000,"Average Sales",Table4[[#This Row],[Sales]]&gt;0,"Poor Sales")</f>
        <v>Poor Sales</v>
      </c>
    </row>
    <row r="58" spans="1:11" x14ac:dyDescent="0.3">
      <c r="A58" s="6">
        <v>57</v>
      </c>
      <c r="B58" s="7">
        <v>45006</v>
      </c>
      <c r="C58" s="8" t="s">
        <v>30</v>
      </c>
      <c r="D58" s="8" t="s">
        <v>16</v>
      </c>
      <c r="E58" s="8" t="s">
        <v>23</v>
      </c>
      <c r="F58" s="8" t="s">
        <v>13</v>
      </c>
      <c r="G58" s="8" t="s">
        <v>21</v>
      </c>
      <c r="H58" s="9">
        <v>36606.480000000003</v>
      </c>
      <c r="I58" s="8">
        <v>1</v>
      </c>
      <c r="J58" s="10">
        <v>5249.58</v>
      </c>
      <c r="K58" s="14" t="str" cm="1">
        <f t="array" ref="K58">_xlfn.IFS(Table4[[#This Row],[Sales]]&gt;40000,"Best Sales",Table4[[#This Row],[Sales]]&gt;20000,"Average Sales",Table4[[#This Row],[Sales]]&gt;0,"Poor Sales")</f>
        <v>Average Sales</v>
      </c>
    </row>
    <row r="59" spans="1:11" x14ac:dyDescent="0.3">
      <c r="A59" s="11">
        <v>58</v>
      </c>
      <c r="B59" s="12">
        <v>44946</v>
      </c>
      <c r="C59" s="13" t="s">
        <v>15</v>
      </c>
      <c r="D59" s="13" t="s">
        <v>16</v>
      </c>
      <c r="E59" s="13" t="s">
        <v>23</v>
      </c>
      <c r="F59" s="13" t="s">
        <v>13</v>
      </c>
      <c r="G59" s="13" t="s">
        <v>14</v>
      </c>
      <c r="H59" s="14">
        <v>30254.94</v>
      </c>
      <c r="I59" s="13">
        <v>3</v>
      </c>
      <c r="J59" s="15">
        <v>5950.99</v>
      </c>
      <c r="K59" s="14" t="str" cm="1">
        <f t="array" ref="K59">_xlfn.IFS(Table4[[#This Row],[Sales]]&gt;40000,"Best Sales",Table4[[#This Row],[Sales]]&gt;20000,"Average Sales",Table4[[#This Row],[Sales]]&gt;0,"Poor Sales")</f>
        <v>Average Sales</v>
      </c>
    </row>
    <row r="60" spans="1:11" x14ac:dyDescent="0.3">
      <c r="A60" s="6">
        <v>59</v>
      </c>
      <c r="B60" s="7">
        <v>45065</v>
      </c>
      <c r="C60" s="8" t="s">
        <v>30</v>
      </c>
      <c r="D60" s="8" t="s">
        <v>16</v>
      </c>
      <c r="E60" s="8" t="s">
        <v>23</v>
      </c>
      <c r="F60" s="8" t="s">
        <v>31</v>
      </c>
      <c r="G60" s="8" t="s">
        <v>39</v>
      </c>
      <c r="H60" s="9">
        <v>43019.7</v>
      </c>
      <c r="I60" s="8">
        <v>4</v>
      </c>
      <c r="J60" s="10">
        <v>9540.3799999999992</v>
      </c>
      <c r="K60" s="14" t="str" cm="1">
        <f t="array" ref="K60">_xlfn.IFS(Table4[[#This Row],[Sales]]&gt;40000,"Best Sales",Table4[[#This Row],[Sales]]&gt;20000,"Average Sales",Table4[[#This Row],[Sales]]&gt;0,"Poor Sales")</f>
        <v>Best Sales</v>
      </c>
    </row>
    <row r="61" spans="1:11" x14ac:dyDescent="0.3">
      <c r="A61" s="11">
        <v>60</v>
      </c>
      <c r="B61" s="12">
        <v>44977</v>
      </c>
      <c r="C61" s="13" t="s">
        <v>38</v>
      </c>
      <c r="D61" s="13" t="s">
        <v>27</v>
      </c>
      <c r="E61" s="13" t="s">
        <v>23</v>
      </c>
      <c r="F61" s="13" t="s">
        <v>13</v>
      </c>
      <c r="G61" s="13" t="s">
        <v>21</v>
      </c>
      <c r="H61" s="14">
        <v>3020.57</v>
      </c>
      <c r="I61" s="13">
        <v>7</v>
      </c>
      <c r="J61" s="15">
        <v>762.12</v>
      </c>
      <c r="K61" s="14" t="str" cm="1">
        <f t="array" ref="K61">_xlfn.IFS(Table4[[#This Row],[Sales]]&gt;40000,"Best Sales",Table4[[#This Row],[Sales]]&gt;20000,"Average Sales",Table4[[#This Row],[Sales]]&gt;0,"Poor Sales")</f>
        <v>Poor Sales</v>
      </c>
    </row>
    <row r="62" spans="1:11" x14ac:dyDescent="0.3">
      <c r="A62" s="6">
        <v>61</v>
      </c>
      <c r="B62" s="7">
        <v>44992</v>
      </c>
      <c r="C62" s="8" t="s">
        <v>22</v>
      </c>
      <c r="D62" s="8" t="s">
        <v>22</v>
      </c>
      <c r="E62" s="8" t="s">
        <v>23</v>
      </c>
      <c r="F62" s="8" t="s">
        <v>13</v>
      </c>
      <c r="G62" s="8" t="s">
        <v>14</v>
      </c>
      <c r="H62" s="9">
        <v>29105.97</v>
      </c>
      <c r="I62" s="8">
        <v>7</v>
      </c>
      <c r="J62" s="10">
        <v>7986.26</v>
      </c>
      <c r="K62" s="14" t="str" cm="1">
        <f t="array" ref="K62">_xlfn.IFS(Table4[[#This Row],[Sales]]&gt;40000,"Best Sales",Table4[[#This Row],[Sales]]&gt;20000,"Average Sales",Table4[[#This Row],[Sales]]&gt;0,"Poor Sales")</f>
        <v>Average Sales</v>
      </c>
    </row>
    <row r="63" spans="1:11" x14ac:dyDescent="0.3">
      <c r="A63" s="11">
        <v>62</v>
      </c>
      <c r="B63" s="12">
        <v>44987</v>
      </c>
      <c r="C63" s="13" t="s">
        <v>18</v>
      </c>
      <c r="D63" s="13" t="s">
        <v>19</v>
      </c>
      <c r="E63" s="13" t="s">
        <v>23</v>
      </c>
      <c r="F63" s="13" t="s">
        <v>13</v>
      </c>
      <c r="G63" s="13" t="s">
        <v>21</v>
      </c>
      <c r="H63" s="14">
        <v>42202.76</v>
      </c>
      <c r="I63" s="13">
        <v>10</v>
      </c>
      <c r="J63" s="15">
        <v>5345.77</v>
      </c>
      <c r="K63" s="14" t="str" cm="1">
        <f t="array" ref="K63">_xlfn.IFS(Table4[[#This Row],[Sales]]&gt;40000,"Best Sales",Table4[[#This Row],[Sales]]&gt;20000,"Average Sales",Table4[[#This Row],[Sales]]&gt;0,"Poor Sales")</f>
        <v>Best Sales</v>
      </c>
    </row>
    <row r="64" spans="1:11" x14ac:dyDescent="0.3">
      <c r="A64" s="6">
        <v>63</v>
      </c>
      <c r="B64" s="7">
        <v>45126</v>
      </c>
      <c r="C64" s="8" t="s">
        <v>15</v>
      </c>
      <c r="D64" s="8" t="s">
        <v>16</v>
      </c>
      <c r="E64" s="8" t="s">
        <v>23</v>
      </c>
      <c r="F64" s="8" t="s">
        <v>31</v>
      </c>
      <c r="G64" s="8" t="s">
        <v>33</v>
      </c>
      <c r="H64" s="9">
        <v>16484.55</v>
      </c>
      <c r="I64" s="8">
        <v>9</v>
      </c>
      <c r="J64" s="10">
        <v>1351</v>
      </c>
      <c r="K64" s="14" t="str" cm="1">
        <f t="array" ref="K64">_xlfn.IFS(Table4[[#This Row],[Sales]]&gt;40000,"Best Sales",Table4[[#This Row],[Sales]]&gt;20000,"Average Sales",Table4[[#This Row],[Sales]]&gt;0,"Poor Sales")</f>
        <v>Poor Sales</v>
      </c>
    </row>
    <row r="65" spans="1:11" x14ac:dyDescent="0.3">
      <c r="A65" s="11">
        <v>64</v>
      </c>
      <c r="B65" s="12">
        <v>45216</v>
      </c>
      <c r="C65" s="13" t="s">
        <v>15</v>
      </c>
      <c r="D65" s="13" t="s">
        <v>16</v>
      </c>
      <c r="E65" s="13" t="s">
        <v>23</v>
      </c>
      <c r="F65" s="13" t="s">
        <v>24</v>
      </c>
      <c r="G65" s="13" t="s">
        <v>28</v>
      </c>
      <c r="H65" s="14">
        <v>48949.84</v>
      </c>
      <c r="I65" s="13">
        <v>9</v>
      </c>
      <c r="J65" s="15">
        <v>10667.27</v>
      </c>
      <c r="K65" s="14" t="str" cm="1">
        <f t="array" ref="K65">_xlfn.IFS(Table4[[#This Row],[Sales]]&gt;40000,"Best Sales",Table4[[#This Row],[Sales]]&gt;20000,"Average Sales",Table4[[#This Row],[Sales]]&gt;0,"Poor Sales")</f>
        <v>Best Sales</v>
      </c>
    </row>
    <row r="66" spans="1:11" x14ac:dyDescent="0.3">
      <c r="A66" s="6">
        <v>65</v>
      </c>
      <c r="B66" s="7">
        <v>45173</v>
      </c>
      <c r="C66" s="8" t="s">
        <v>30</v>
      </c>
      <c r="D66" s="8" t="s">
        <v>16</v>
      </c>
      <c r="E66" s="8" t="s">
        <v>23</v>
      </c>
      <c r="F66" s="8" t="s">
        <v>24</v>
      </c>
      <c r="G66" s="8" t="s">
        <v>28</v>
      </c>
      <c r="H66" s="9">
        <v>19183.52</v>
      </c>
      <c r="I66" s="8">
        <v>5</v>
      </c>
      <c r="J66" s="10">
        <v>2804.51</v>
      </c>
      <c r="K66" s="14" t="str" cm="1">
        <f t="array" ref="K66">_xlfn.IFS(Table4[[#This Row],[Sales]]&gt;40000,"Best Sales",Table4[[#This Row],[Sales]]&gt;20000,"Average Sales",Table4[[#This Row],[Sales]]&gt;0,"Poor Sales")</f>
        <v>Poor Sales</v>
      </c>
    </row>
    <row r="67" spans="1:11" x14ac:dyDescent="0.3">
      <c r="A67" s="11">
        <v>66</v>
      </c>
      <c r="B67" s="12">
        <v>45163</v>
      </c>
      <c r="C67" s="13" t="s">
        <v>22</v>
      </c>
      <c r="D67" s="13" t="s">
        <v>22</v>
      </c>
      <c r="E67" s="13" t="s">
        <v>23</v>
      </c>
      <c r="F67" s="13" t="s">
        <v>13</v>
      </c>
      <c r="G67" s="13" t="s">
        <v>34</v>
      </c>
      <c r="H67" s="14">
        <v>25834.9</v>
      </c>
      <c r="I67" s="13">
        <v>2</v>
      </c>
      <c r="J67" s="15">
        <v>6880.51</v>
      </c>
      <c r="K67" s="14" t="str" cm="1">
        <f t="array" ref="K67">_xlfn.IFS(Table4[[#This Row],[Sales]]&gt;40000,"Best Sales",Table4[[#This Row],[Sales]]&gt;20000,"Average Sales",Table4[[#This Row],[Sales]]&gt;0,"Poor Sales")</f>
        <v>Average Sales</v>
      </c>
    </row>
    <row r="68" spans="1:11" x14ac:dyDescent="0.3">
      <c r="A68" s="6">
        <v>67</v>
      </c>
      <c r="B68" s="7">
        <v>44930</v>
      </c>
      <c r="C68" s="8" t="s">
        <v>22</v>
      </c>
      <c r="D68" s="8" t="s">
        <v>22</v>
      </c>
      <c r="E68" s="8" t="s">
        <v>12</v>
      </c>
      <c r="F68" s="8" t="s">
        <v>13</v>
      </c>
      <c r="G68" s="8" t="s">
        <v>34</v>
      </c>
      <c r="H68" s="9">
        <v>37162.660000000003</v>
      </c>
      <c r="I68" s="8">
        <v>8</v>
      </c>
      <c r="J68" s="10">
        <v>5652.71</v>
      </c>
      <c r="K68" s="14" t="str" cm="1">
        <f t="array" ref="K68">_xlfn.IFS(Table4[[#This Row],[Sales]]&gt;40000,"Best Sales",Table4[[#This Row],[Sales]]&gt;20000,"Average Sales",Table4[[#This Row],[Sales]]&gt;0,"Poor Sales")</f>
        <v>Average Sales</v>
      </c>
    </row>
    <row r="69" spans="1:11" x14ac:dyDescent="0.3">
      <c r="A69" s="11">
        <v>68</v>
      </c>
      <c r="B69" s="12">
        <v>45098</v>
      </c>
      <c r="C69" s="13" t="s">
        <v>30</v>
      </c>
      <c r="D69" s="13" t="s">
        <v>16</v>
      </c>
      <c r="E69" s="13" t="s">
        <v>17</v>
      </c>
      <c r="F69" s="13" t="s">
        <v>24</v>
      </c>
      <c r="G69" s="13" t="s">
        <v>25</v>
      </c>
      <c r="H69" s="14">
        <v>28938.6</v>
      </c>
      <c r="I69" s="13">
        <v>10</v>
      </c>
      <c r="J69" s="15">
        <v>7700.06</v>
      </c>
      <c r="K69" s="14" t="str" cm="1">
        <f t="array" ref="K69">_xlfn.IFS(Table4[[#This Row],[Sales]]&gt;40000,"Best Sales",Table4[[#This Row],[Sales]]&gt;20000,"Average Sales",Table4[[#This Row],[Sales]]&gt;0,"Poor Sales")</f>
        <v>Average Sales</v>
      </c>
    </row>
    <row r="70" spans="1:11" x14ac:dyDescent="0.3">
      <c r="A70" s="6">
        <v>69</v>
      </c>
      <c r="B70" s="7">
        <v>45268</v>
      </c>
      <c r="C70" s="8" t="s">
        <v>38</v>
      </c>
      <c r="D70" s="8" t="s">
        <v>27</v>
      </c>
      <c r="E70" s="8" t="s">
        <v>17</v>
      </c>
      <c r="F70" s="8" t="s">
        <v>24</v>
      </c>
      <c r="G70" s="8" t="s">
        <v>25</v>
      </c>
      <c r="H70" s="9">
        <v>10690.45</v>
      </c>
      <c r="I70" s="8">
        <v>5</v>
      </c>
      <c r="J70" s="10">
        <v>2992.24</v>
      </c>
      <c r="K70" s="14" t="str" cm="1">
        <f t="array" ref="K70">_xlfn.IFS(Table4[[#This Row],[Sales]]&gt;40000,"Best Sales",Table4[[#This Row],[Sales]]&gt;20000,"Average Sales",Table4[[#This Row],[Sales]]&gt;0,"Poor Sales")</f>
        <v>Poor Sales</v>
      </c>
    </row>
    <row r="71" spans="1:11" x14ac:dyDescent="0.3">
      <c r="A71" s="11">
        <v>70</v>
      </c>
      <c r="B71" s="12">
        <v>45137</v>
      </c>
      <c r="C71" s="13" t="s">
        <v>22</v>
      </c>
      <c r="D71" s="13" t="s">
        <v>22</v>
      </c>
      <c r="E71" s="13" t="s">
        <v>12</v>
      </c>
      <c r="F71" s="13" t="s">
        <v>31</v>
      </c>
      <c r="G71" s="13" t="s">
        <v>39</v>
      </c>
      <c r="H71" s="14">
        <v>4383.75</v>
      </c>
      <c r="I71" s="13">
        <v>1</v>
      </c>
      <c r="J71" s="15">
        <v>918.46</v>
      </c>
      <c r="K71" s="14" t="str" cm="1">
        <f t="array" ref="K71">_xlfn.IFS(Table4[[#This Row],[Sales]]&gt;40000,"Best Sales",Table4[[#This Row],[Sales]]&gt;20000,"Average Sales",Table4[[#This Row],[Sales]]&gt;0,"Poor Sales")</f>
        <v>Poor Sales</v>
      </c>
    </row>
    <row r="72" spans="1:11" x14ac:dyDescent="0.3">
      <c r="A72" s="6">
        <v>71</v>
      </c>
      <c r="B72" s="7">
        <v>45257</v>
      </c>
      <c r="C72" s="8" t="s">
        <v>30</v>
      </c>
      <c r="D72" s="8" t="s">
        <v>16</v>
      </c>
      <c r="E72" s="8" t="s">
        <v>12</v>
      </c>
      <c r="F72" s="8" t="s">
        <v>13</v>
      </c>
      <c r="G72" s="8" t="s">
        <v>21</v>
      </c>
      <c r="H72" s="9">
        <v>23844.99</v>
      </c>
      <c r="I72" s="8">
        <v>5</v>
      </c>
      <c r="J72" s="10">
        <v>2367.61</v>
      </c>
      <c r="K72" s="14" t="str" cm="1">
        <f t="array" ref="K72">_xlfn.IFS(Table4[[#This Row],[Sales]]&gt;40000,"Best Sales",Table4[[#This Row],[Sales]]&gt;20000,"Average Sales",Table4[[#This Row],[Sales]]&gt;0,"Poor Sales")</f>
        <v>Average Sales</v>
      </c>
    </row>
    <row r="73" spans="1:11" x14ac:dyDescent="0.3">
      <c r="A73" s="11">
        <v>72</v>
      </c>
      <c r="B73" s="12">
        <v>45214</v>
      </c>
      <c r="C73" s="13" t="s">
        <v>15</v>
      </c>
      <c r="D73" s="13" t="s">
        <v>16</v>
      </c>
      <c r="E73" s="13" t="s">
        <v>17</v>
      </c>
      <c r="F73" s="13" t="s">
        <v>24</v>
      </c>
      <c r="G73" s="13" t="s">
        <v>29</v>
      </c>
      <c r="H73" s="14">
        <v>48504.77</v>
      </c>
      <c r="I73" s="13">
        <v>10</v>
      </c>
      <c r="J73" s="15">
        <v>8679.41</v>
      </c>
      <c r="K73" s="14" t="str" cm="1">
        <f t="array" ref="K73">_xlfn.IFS(Table4[[#This Row],[Sales]]&gt;40000,"Best Sales",Table4[[#This Row],[Sales]]&gt;20000,"Average Sales",Table4[[#This Row],[Sales]]&gt;0,"Poor Sales")</f>
        <v>Best Sales</v>
      </c>
    </row>
    <row r="74" spans="1:11" x14ac:dyDescent="0.3">
      <c r="A74" s="6">
        <v>73</v>
      </c>
      <c r="B74" s="7">
        <v>45053</v>
      </c>
      <c r="C74" s="8" t="s">
        <v>37</v>
      </c>
      <c r="D74" s="8" t="s">
        <v>27</v>
      </c>
      <c r="E74" s="8" t="s">
        <v>12</v>
      </c>
      <c r="F74" s="8" t="s">
        <v>31</v>
      </c>
      <c r="G74" s="8" t="s">
        <v>32</v>
      </c>
      <c r="H74" s="9">
        <v>10052.780000000001</v>
      </c>
      <c r="I74" s="8">
        <v>8</v>
      </c>
      <c r="J74" s="10">
        <v>2293.2600000000002</v>
      </c>
      <c r="K74" s="14" t="str" cm="1">
        <f t="array" ref="K74">_xlfn.IFS(Table4[[#This Row],[Sales]]&gt;40000,"Best Sales",Table4[[#This Row],[Sales]]&gt;20000,"Average Sales",Table4[[#This Row],[Sales]]&gt;0,"Poor Sales")</f>
        <v>Poor Sales</v>
      </c>
    </row>
    <row r="75" spans="1:11" x14ac:dyDescent="0.3">
      <c r="A75" s="11">
        <v>74</v>
      </c>
      <c r="B75" s="12">
        <v>44964</v>
      </c>
      <c r="C75" s="13" t="s">
        <v>37</v>
      </c>
      <c r="D75" s="13" t="s">
        <v>27</v>
      </c>
      <c r="E75" s="13" t="s">
        <v>17</v>
      </c>
      <c r="F75" s="13" t="s">
        <v>13</v>
      </c>
      <c r="G75" s="13" t="s">
        <v>34</v>
      </c>
      <c r="H75" s="14">
        <v>47147.42</v>
      </c>
      <c r="I75" s="13">
        <v>6</v>
      </c>
      <c r="J75" s="15">
        <v>9546.64</v>
      </c>
      <c r="K75" s="14" t="str" cm="1">
        <f t="array" ref="K75">_xlfn.IFS(Table4[[#This Row],[Sales]]&gt;40000,"Best Sales",Table4[[#This Row],[Sales]]&gt;20000,"Average Sales",Table4[[#This Row],[Sales]]&gt;0,"Poor Sales")</f>
        <v>Best Sales</v>
      </c>
    </row>
    <row r="76" spans="1:11" x14ac:dyDescent="0.3">
      <c r="A76" s="6">
        <v>75</v>
      </c>
      <c r="B76" s="7">
        <v>45109</v>
      </c>
      <c r="C76" s="8" t="s">
        <v>37</v>
      </c>
      <c r="D76" s="8" t="s">
        <v>27</v>
      </c>
      <c r="E76" s="8" t="s">
        <v>20</v>
      </c>
      <c r="F76" s="8" t="s">
        <v>13</v>
      </c>
      <c r="G76" s="8" t="s">
        <v>14</v>
      </c>
      <c r="H76" s="9">
        <v>35496.660000000003</v>
      </c>
      <c r="I76" s="8">
        <v>8</v>
      </c>
      <c r="J76" s="10">
        <v>8170.12</v>
      </c>
      <c r="K76" s="14" t="str" cm="1">
        <f t="array" ref="K76">_xlfn.IFS(Table4[[#This Row],[Sales]]&gt;40000,"Best Sales",Table4[[#This Row],[Sales]]&gt;20000,"Average Sales",Table4[[#This Row],[Sales]]&gt;0,"Poor Sales")</f>
        <v>Average Sales</v>
      </c>
    </row>
    <row r="77" spans="1:11" x14ac:dyDescent="0.3">
      <c r="A77" s="11">
        <v>76</v>
      </c>
      <c r="B77" s="12">
        <v>45274</v>
      </c>
      <c r="C77" s="13" t="s">
        <v>35</v>
      </c>
      <c r="D77" s="13" t="s">
        <v>36</v>
      </c>
      <c r="E77" s="13" t="s">
        <v>20</v>
      </c>
      <c r="F77" s="13" t="s">
        <v>13</v>
      </c>
      <c r="G77" s="13" t="s">
        <v>34</v>
      </c>
      <c r="H77" s="14">
        <v>33753.199999999997</v>
      </c>
      <c r="I77" s="13">
        <v>9</v>
      </c>
      <c r="J77" s="15">
        <v>4284.71</v>
      </c>
      <c r="K77" s="14" t="str" cm="1">
        <f t="array" ref="K77">_xlfn.IFS(Table4[[#This Row],[Sales]]&gt;40000,"Best Sales",Table4[[#This Row],[Sales]]&gt;20000,"Average Sales",Table4[[#This Row],[Sales]]&gt;0,"Poor Sales")</f>
        <v>Average Sales</v>
      </c>
    </row>
    <row r="78" spans="1:11" x14ac:dyDescent="0.3">
      <c r="A78" s="6">
        <v>77</v>
      </c>
      <c r="B78" s="7">
        <v>45228</v>
      </c>
      <c r="C78" s="8" t="s">
        <v>35</v>
      </c>
      <c r="D78" s="8" t="s">
        <v>36</v>
      </c>
      <c r="E78" s="8" t="s">
        <v>20</v>
      </c>
      <c r="F78" s="8" t="s">
        <v>31</v>
      </c>
      <c r="G78" s="8" t="s">
        <v>39</v>
      </c>
      <c r="H78" s="9">
        <v>7488.8</v>
      </c>
      <c r="I78" s="8">
        <v>5</v>
      </c>
      <c r="J78" s="10">
        <v>2208.5100000000002</v>
      </c>
      <c r="K78" s="14" t="str" cm="1">
        <f t="array" ref="K78">_xlfn.IFS(Table4[[#This Row],[Sales]]&gt;40000,"Best Sales",Table4[[#This Row],[Sales]]&gt;20000,"Average Sales",Table4[[#This Row],[Sales]]&gt;0,"Poor Sales")</f>
        <v>Poor Sales</v>
      </c>
    </row>
    <row r="79" spans="1:11" x14ac:dyDescent="0.3">
      <c r="A79" s="11">
        <v>78</v>
      </c>
      <c r="B79" s="12">
        <v>45135</v>
      </c>
      <c r="C79" s="13" t="s">
        <v>22</v>
      </c>
      <c r="D79" s="13" t="s">
        <v>22</v>
      </c>
      <c r="E79" s="13" t="s">
        <v>20</v>
      </c>
      <c r="F79" s="13" t="s">
        <v>13</v>
      </c>
      <c r="G79" s="13" t="s">
        <v>34</v>
      </c>
      <c r="H79" s="14">
        <v>41949.599999999999</v>
      </c>
      <c r="I79" s="13">
        <v>1</v>
      </c>
      <c r="J79" s="15">
        <v>2775.01</v>
      </c>
      <c r="K79" s="14" t="str" cm="1">
        <f t="array" ref="K79">_xlfn.IFS(Table4[[#This Row],[Sales]]&gt;40000,"Best Sales",Table4[[#This Row],[Sales]]&gt;20000,"Average Sales",Table4[[#This Row],[Sales]]&gt;0,"Poor Sales")</f>
        <v>Best Sales</v>
      </c>
    </row>
    <row r="80" spans="1:11" x14ac:dyDescent="0.3">
      <c r="A80" s="6">
        <v>79</v>
      </c>
      <c r="B80" s="7">
        <v>45008</v>
      </c>
      <c r="C80" s="8" t="s">
        <v>26</v>
      </c>
      <c r="D80" s="8" t="s">
        <v>27</v>
      </c>
      <c r="E80" s="8" t="s">
        <v>20</v>
      </c>
      <c r="F80" s="8" t="s">
        <v>24</v>
      </c>
      <c r="G80" s="8" t="s">
        <v>29</v>
      </c>
      <c r="H80" s="9">
        <v>34219.17</v>
      </c>
      <c r="I80" s="8">
        <v>5</v>
      </c>
      <c r="J80" s="10">
        <v>6904.79</v>
      </c>
      <c r="K80" s="14" t="str" cm="1">
        <f t="array" ref="K80">_xlfn.IFS(Table4[[#This Row],[Sales]]&gt;40000,"Best Sales",Table4[[#This Row],[Sales]]&gt;20000,"Average Sales",Table4[[#This Row],[Sales]]&gt;0,"Poor Sales")</f>
        <v>Average Sales</v>
      </c>
    </row>
    <row r="81" spans="1:11" x14ac:dyDescent="0.3">
      <c r="A81" s="11">
        <v>80</v>
      </c>
      <c r="B81" s="12">
        <v>45057</v>
      </c>
      <c r="C81" s="13" t="s">
        <v>30</v>
      </c>
      <c r="D81" s="13" t="s">
        <v>16</v>
      </c>
      <c r="E81" s="13" t="s">
        <v>20</v>
      </c>
      <c r="F81" s="13" t="s">
        <v>13</v>
      </c>
      <c r="G81" s="13" t="s">
        <v>21</v>
      </c>
      <c r="H81" s="14">
        <v>18981.490000000002</v>
      </c>
      <c r="I81" s="13">
        <v>2</v>
      </c>
      <c r="J81" s="15">
        <v>4601.25</v>
      </c>
      <c r="K81" s="14" t="str" cm="1">
        <f t="array" ref="K81">_xlfn.IFS(Table4[[#This Row],[Sales]]&gt;40000,"Best Sales",Table4[[#This Row],[Sales]]&gt;20000,"Average Sales",Table4[[#This Row],[Sales]]&gt;0,"Poor Sales")</f>
        <v>Poor Sales</v>
      </c>
    </row>
    <row r="82" spans="1:11" x14ac:dyDescent="0.3">
      <c r="A82" s="6">
        <v>81</v>
      </c>
      <c r="B82" s="7">
        <v>45074</v>
      </c>
      <c r="C82" s="8" t="s">
        <v>38</v>
      </c>
      <c r="D82" s="8" t="s">
        <v>27</v>
      </c>
      <c r="E82" s="8" t="s">
        <v>20</v>
      </c>
      <c r="F82" s="8" t="s">
        <v>13</v>
      </c>
      <c r="G82" s="8" t="s">
        <v>34</v>
      </c>
      <c r="H82" s="9">
        <v>13262.03</v>
      </c>
      <c r="I82" s="8">
        <v>3</v>
      </c>
      <c r="J82" s="10">
        <v>1704.76</v>
      </c>
      <c r="K82" s="14" t="str" cm="1">
        <f t="array" ref="K82">_xlfn.IFS(Table4[[#This Row],[Sales]]&gt;40000,"Best Sales",Table4[[#This Row],[Sales]]&gt;20000,"Average Sales",Table4[[#This Row],[Sales]]&gt;0,"Poor Sales")</f>
        <v>Poor Sales</v>
      </c>
    </row>
    <row r="83" spans="1:11" x14ac:dyDescent="0.3">
      <c r="A83" s="11">
        <v>82</v>
      </c>
      <c r="B83" s="12">
        <v>45007</v>
      </c>
      <c r="C83" s="13" t="s">
        <v>30</v>
      </c>
      <c r="D83" s="13" t="s">
        <v>16</v>
      </c>
      <c r="E83" s="13" t="s">
        <v>20</v>
      </c>
      <c r="F83" s="13" t="s">
        <v>31</v>
      </c>
      <c r="G83" s="13" t="s">
        <v>33</v>
      </c>
      <c r="H83" s="14">
        <v>28533.71</v>
      </c>
      <c r="I83" s="13">
        <v>7</v>
      </c>
      <c r="J83" s="15">
        <v>5376.75</v>
      </c>
      <c r="K83" s="14" t="str" cm="1">
        <f t="array" ref="K83">_xlfn.IFS(Table4[[#This Row],[Sales]]&gt;40000,"Best Sales",Table4[[#This Row],[Sales]]&gt;20000,"Average Sales",Table4[[#This Row],[Sales]]&gt;0,"Poor Sales")</f>
        <v>Average Sales</v>
      </c>
    </row>
    <row r="84" spans="1:11" x14ac:dyDescent="0.3">
      <c r="A84" s="6">
        <v>83</v>
      </c>
      <c r="B84" s="7">
        <v>45065</v>
      </c>
      <c r="C84" s="8" t="s">
        <v>38</v>
      </c>
      <c r="D84" s="8" t="s">
        <v>27</v>
      </c>
      <c r="E84" s="8" t="s">
        <v>20</v>
      </c>
      <c r="F84" s="8" t="s">
        <v>31</v>
      </c>
      <c r="G84" s="8" t="s">
        <v>32</v>
      </c>
      <c r="H84" s="9">
        <v>23050.22</v>
      </c>
      <c r="I84" s="8">
        <v>9</v>
      </c>
      <c r="J84" s="10">
        <v>3097.82</v>
      </c>
      <c r="K84" s="14" t="str" cm="1">
        <f t="array" ref="K84">_xlfn.IFS(Table4[[#This Row],[Sales]]&gt;40000,"Best Sales",Table4[[#This Row],[Sales]]&gt;20000,"Average Sales",Table4[[#This Row],[Sales]]&gt;0,"Poor Sales")</f>
        <v>Average Sales</v>
      </c>
    </row>
    <row r="85" spans="1:11" x14ac:dyDescent="0.3">
      <c r="A85" s="11">
        <v>84</v>
      </c>
      <c r="B85" s="12">
        <v>45083</v>
      </c>
      <c r="C85" s="13" t="s">
        <v>22</v>
      </c>
      <c r="D85" s="13" t="s">
        <v>22</v>
      </c>
      <c r="E85" s="13" t="s">
        <v>20</v>
      </c>
      <c r="F85" s="13" t="s">
        <v>13</v>
      </c>
      <c r="G85" s="13" t="s">
        <v>34</v>
      </c>
      <c r="H85" s="14">
        <v>5628.94</v>
      </c>
      <c r="I85" s="13">
        <v>10</v>
      </c>
      <c r="J85" s="15">
        <v>502.11</v>
      </c>
      <c r="K85" s="14" t="str" cm="1">
        <f t="array" ref="K85">_xlfn.IFS(Table4[[#This Row],[Sales]]&gt;40000,"Best Sales",Table4[[#This Row],[Sales]]&gt;20000,"Average Sales",Table4[[#This Row],[Sales]]&gt;0,"Poor Sales")</f>
        <v>Poor Sales</v>
      </c>
    </row>
    <row r="86" spans="1:11" x14ac:dyDescent="0.3">
      <c r="A86" s="6">
        <v>85</v>
      </c>
      <c r="B86" s="7">
        <v>45094</v>
      </c>
      <c r="C86" s="8" t="s">
        <v>26</v>
      </c>
      <c r="D86" s="8" t="s">
        <v>27</v>
      </c>
      <c r="E86" s="8" t="s">
        <v>20</v>
      </c>
      <c r="F86" s="8" t="s">
        <v>13</v>
      </c>
      <c r="G86" s="8" t="s">
        <v>34</v>
      </c>
      <c r="H86" s="9">
        <v>24580.28</v>
      </c>
      <c r="I86" s="8">
        <v>4</v>
      </c>
      <c r="J86" s="10">
        <v>4569.32</v>
      </c>
      <c r="K86" s="14" t="str" cm="1">
        <f t="array" ref="K86">_xlfn.IFS(Table4[[#This Row],[Sales]]&gt;40000,"Best Sales",Table4[[#This Row],[Sales]]&gt;20000,"Average Sales",Table4[[#This Row],[Sales]]&gt;0,"Poor Sales")</f>
        <v>Average Sales</v>
      </c>
    </row>
    <row r="87" spans="1:11" x14ac:dyDescent="0.3">
      <c r="A87" s="11">
        <v>86</v>
      </c>
      <c r="B87" s="12">
        <v>45167</v>
      </c>
      <c r="C87" s="13" t="s">
        <v>15</v>
      </c>
      <c r="D87" s="13" t="s">
        <v>16</v>
      </c>
      <c r="E87" s="13" t="s">
        <v>20</v>
      </c>
      <c r="F87" s="13" t="s">
        <v>31</v>
      </c>
      <c r="G87" s="13" t="s">
        <v>33</v>
      </c>
      <c r="H87" s="14">
        <v>5581.58</v>
      </c>
      <c r="I87" s="13">
        <v>4</v>
      </c>
      <c r="J87" s="15">
        <v>1382.81</v>
      </c>
      <c r="K87" s="14" t="str" cm="1">
        <f t="array" ref="K87">_xlfn.IFS(Table4[[#This Row],[Sales]]&gt;40000,"Best Sales",Table4[[#This Row],[Sales]]&gt;20000,"Average Sales",Table4[[#This Row],[Sales]]&gt;0,"Poor Sales")</f>
        <v>Poor Sales</v>
      </c>
    </row>
    <row r="88" spans="1:11" x14ac:dyDescent="0.3">
      <c r="A88" s="6">
        <v>87</v>
      </c>
      <c r="B88" s="7">
        <v>45180</v>
      </c>
      <c r="C88" s="8" t="s">
        <v>38</v>
      </c>
      <c r="D88" s="8" t="s">
        <v>27</v>
      </c>
      <c r="E88" s="8" t="s">
        <v>20</v>
      </c>
      <c r="F88" s="8" t="s">
        <v>24</v>
      </c>
      <c r="G88" s="8" t="s">
        <v>28</v>
      </c>
      <c r="H88" s="9">
        <v>42628.71</v>
      </c>
      <c r="I88" s="8">
        <v>2</v>
      </c>
      <c r="J88" s="10">
        <v>12647.05</v>
      </c>
      <c r="K88" s="14" t="str" cm="1">
        <f t="array" ref="K88">_xlfn.IFS(Table4[[#This Row],[Sales]]&gt;40000,"Best Sales",Table4[[#This Row],[Sales]]&gt;20000,"Average Sales",Table4[[#This Row],[Sales]]&gt;0,"Poor Sales")</f>
        <v>Best Sales</v>
      </c>
    </row>
    <row r="89" spans="1:11" x14ac:dyDescent="0.3">
      <c r="A89" s="11">
        <v>88</v>
      </c>
      <c r="B89" s="12">
        <v>45026</v>
      </c>
      <c r="C89" s="13" t="s">
        <v>26</v>
      </c>
      <c r="D89" s="13" t="s">
        <v>27</v>
      </c>
      <c r="E89" s="13" t="s">
        <v>20</v>
      </c>
      <c r="F89" s="13" t="s">
        <v>24</v>
      </c>
      <c r="G89" s="13" t="s">
        <v>25</v>
      </c>
      <c r="H89" s="14">
        <v>36936.449999999997</v>
      </c>
      <c r="I89" s="13">
        <v>1</v>
      </c>
      <c r="J89" s="15">
        <v>1871.1</v>
      </c>
      <c r="K89" s="14" t="str" cm="1">
        <f t="array" ref="K89">_xlfn.IFS(Table4[[#This Row],[Sales]]&gt;40000,"Best Sales",Table4[[#This Row],[Sales]]&gt;20000,"Average Sales",Table4[[#This Row],[Sales]]&gt;0,"Poor Sales")</f>
        <v>Average Sales</v>
      </c>
    </row>
    <row r="90" spans="1:11" x14ac:dyDescent="0.3">
      <c r="A90" s="6">
        <v>89</v>
      </c>
      <c r="B90" s="7">
        <v>45154</v>
      </c>
      <c r="C90" s="8" t="s">
        <v>10</v>
      </c>
      <c r="D90" s="8" t="s">
        <v>11</v>
      </c>
      <c r="E90" s="8" t="s">
        <v>20</v>
      </c>
      <c r="F90" s="8" t="s">
        <v>13</v>
      </c>
      <c r="G90" s="8" t="s">
        <v>34</v>
      </c>
      <c r="H90" s="9">
        <v>49161.73</v>
      </c>
      <c r="I90" s="8">
        <v>4</v>
      </c>
      <c r="J90" s="10">
        <v>11453.36</v>
      </c>
      <c r="K90" s="14" t="str" cm="1">
        <f t="array" ref="K90">_xlfn.IFS(Table4[[#This Row],[Sales]]&gt;40000,"Best Sales",Table4[[#This Row],[Sales]]&gt;20000,"Average Sales",Table4[[#This Row],[Sales]]&gt;0,"Poor Sales")</f>
        <v>Best Sales</v>
      </c>
    </row>
    <row r="91" spans="1:11" x14ac:dyDescent="0.3">
      <c r="A91" s="11">
        <v>90</v>
      </c>
      <c r="B91" s="12">
        <v>45256</v>
      </c>
      <c r="C91" s="13" t="s">
        <v>18</v>
      </c>
      <c r="D91" s="13" t="s">
        <v>19</v>
      </c>
      <c r="E91" s="13" t="s">
        <v>20</v>
      </c>
      <c r="F91" s="13" t="s">
        <v>24</v>
      </c>
      <c r="G91" s="13" t="s">
        <v>28</v>
      </c>
      <c r="H91" s="14">
        <v>2971.97</v>
      </c>
      <c r="I91" s="13">
        <v>4</v>
      </c>
      <c r="J91" s="15">
        <v>387.64</v>
      </c>
      <c r="K91" s="14" t="str" cm="1">
        <f t="array" ref="K91">_xlfn.IFS(Table4[[#This Row],[Sales]]&gt;40000,"Best Sales",Table4[[#This Row],[Sales]]&gt;20000,"Average Sales",Table4[[#This Row],[Sales]]&gt;0,"Poor Sales")</f>
        <v>Poor Sales</v>
      </c>
    </row>
    <row r="92" spans="1:11" x14ac:dyDescent="0.3">
      <c r="A92" s="6">
        <v>91</v>
      </c>
      <c r="B92" s="7">
        <v>45221</v>
      </c>
      <c r="C92" s="8" t="s">
        <v>26</v>
      </c>
      <c r="D92" s="8" t="s">
        <v>27</v>
      </c>
      <c r="E92" s="8" t="s">
        <v>20</v>
      </c>
      <c r="F92" s="8" t="s">
        <v>31</v>
      </c>
      <c r="G92" s="8" t="s">
        <v>33</v>
      </c>
      <c r="H92" s="9">
        <v>45280.43</v>
      </c>
      <c r="I92" s="8">
        <v>8</v>
      </c>
      <c r="J92" s="10">
        <v>5426.84</v>
      </c>
      <c r="K92" s="14" t="str" cm="1">
        <f t="array" ref="K92">_xlfn.IFS(Table4[[#This Row],[Sales]]&gt;40000,"Best Sales",Table4[[#This Row],[Sales]]&gt;20000,"Average Sales",Table4[[#This Row],[Sales]]&gt;0,"Poor Sales")</f>
        <v>Best Sales</v>
      </c>
    </row>
    <row r="93" spans="1:11" x14ac:dyDescent="0.3">
      <c r="A93" s="11">
        <v>92</v>
      </c>
      <c r="B93" s="12">
        <v>44956</v>
      </c>
      <c r="C93" s="13" t="s">
        <v>22</v>
      </c>
      <c r="D93" s="13" t="s">
        <v>22</v>
      </c>
      <c r="E93" s="13" t="s">
        <v>20</v>
      </c>
      <c r="F93" s="13" t="s">
        <v>13</v>
      </c>
      <c r="G93" s="13" t="s">
        <v>14</v>
      </c>
      <c r="H93" s="14">
        <v>15117.73</v>
      </c>
      <c r="I93" s="13">
        <v>1</v>
      </c>
      <c r="J93" s="15">
        <v>3245</v>
      </c>
      <c r="K93" s="14" t="str" cm="1">
        <f t="array" ref="K93">_xlfn.IFS(Table4[[#This Row],[Sales]]&gt;40000,"Best Sales",Table4[[#This Row],[Sales]]&gt;20000,"Average Sales",Table4[[#This Row],[Sales]]&gt;0,"Poor Sales")</f>
        <v>Poor Sales</v>
      </c>
    </row>
    <row r="94" spans="1:11" x14ac:dyDescent="0.3">
      <c r="A94" s="6">
        <v>93</v>
      </c>
      <c r="B94" s="7">
        <v>45211</v>
      </c>
      <c r="C94" s="8" t="s">
        <v>15</v>
      </c>
      <c r="D94" s="8" t="s">
        <v>16</v>
      </c>
      <c r="E94" s="8" t="s">
        <v>20</v>
      </c>
      <c r="F94" s="8" t="s">
        <v>31</v>
      </c>
      <c r="G94" s="8" t="s">
        <v>39</v>
      </c>
      <c r="H94" s="9">
        <v>17343.349999999999</v>
      </c>
      <c r="I94" s="8">
        <v>4</v>
      </c>
      <c r="J94" s="10">
        <v>3930.83</v>
      </c>
      <c r="K94" s="14" t="str" cm="1">
        <f t="array" ref="K94">_xlfn.IFS(Table4[[#This Row],[Sales]]&gt;40000,"Best Sales",Table4[[#This Row],[Sales]]&gt;20000,"Average Sales",Table4[[#This Row],[Sales]]&gt;0,"Poor Sales")</f>
        <v>Poor Sales</v>
      </c>
    </row>
    <row r="95" spans="1:11" x14ac:dyDescent="0.3">
      <c r="A95" s="11">
        <v>94</v>
      </c>
      <c r="B95" s="12">
        <v>45080</v>
      </c>
      <c r="C95" s="13" t="s">
        <v>38</v>
      </c>
      <c r="D95" s="13" t="s">
        <v>27</v>
      </c>
      <c r="E95" s="13" t="s">
        <v>20</v>
      </c>
      <c r="F95" s="13" t="s">
        <v>13</v>
      </c>
      <c r="G95" s="13" t="s">
        <v>34</v>
      </c>
      <c r="H95" s="14">
        <v>20412.259999999998</v>
      </c>
      <c r="I95" s="13">
        <v>9</v>
      </c>
      <c r="J95" s="15">
        <v>4042.76</v>
      </c>
      <c r="K95" s="14" t="str" cm="1">
        <f t="array" ref="K95">_xlfn.IFS(Table4[[#This Row],[Sales]]&gt;40000,"Best Sales",Table4[[#This Row],[Sales]]&gt;20000,"Average Sales",Table4[[#This Row],[Sales]]&gt;0,"Poor Sales")</f>
        <v>Average Sales</v>
      </c>
    </row>
    <row r="96" spans="1:11" x14ac:dyDescent="0.3">
      <c r="A96" s="6">
        <v>95</v>
      </c>
      <c r="B96" s="7">
        <v>45237</v>
      </c>
      <c r="C96" s="8" t="s">
        <v>10</v>
      </c>
      <c r="D96" s="8" t="s">
        <v>11</v>
      </c>
      <c r="E96" s="8" t="s">
        <v>20</v>
      </c>
      <c r="F96" s="8" t="s">
        <v>31</v>
      </c>
      <c r="G96" s="8" t="s">
        <v>33</v>
      </c>
      <c r="H96" s="9">
        <v>43100.75</v>
      </c>
      <c r="I96" s="8">
        <v>3</v>
      </c>
      <c r="J96" s="10">
        <v>7277.93</v>
      </c>
      <c r="K96" s="14" t="str" cm="1">
        <f t="array" ref="K96">_xlfn.IFS(Table4[[#This Row],[Sales]]&gt;40000,"Best Sales",Table4[[#This Row],[Sales]]&gt;20000,"Average Sales",Table4[[#This Row],[Sales]]&gt;0,"Poor Sales")</f>
        <v>Best Sales</v>
      </c>
    </row>
    <row r="97" spans="1:11" x14ac:dyDescent="0.3">
      <c r="A97" s="11">
        <v>96</v>
      </c>
      <c r="B97" s="12">
        <v>45167</v>
      </c>
      <c r="C97" s="13" t="s">
        <v>22</v>
      </c>
      <c r="D97" s="13" t="s">
        <v>22</v>
      </c>
      <c r="E97" s="13" t="s">
        <v>20</v>
      </c>
      <c r="F97" s="13" t="s">
        <v>24</v>
      </c>
      <c r="G97" s="13" t="s">
        <v>25</v>
      </c>
      <c r="H97" s="14">
        <v>33221.47</v>
      </c>
      <c r="I97" s="13">
        <v>2</v>
      </c>
      <c r="J97" s="15">
        <v>8139.07</v>
      </c>
      <c r="K97" s="14" t="str" cm="1">
        <f t="array" ref="K97">_xlfn.IFS(Table4[[#This Row],[Sales]]&gt;40000,"Best Sales",Table4[[#This Row],[Sales]]&gt;20000,"Average Sales",Table4[[#This Row],[Sales]]&gt;0,"Poor Sales")</f>
        <v>Average Sales</v>
      </c>
    </row>
    <row r="98" spans="1:11" x14ac:dyDescent="0.3">
      <c r="A98" s="6">
        <v>97</v>
      </c>
      <c r="B98" s="7">
        <v>45145</v>
      </c>
      <c r="C98" s="8" t="s">
        <v>15</v>
      </c>
      <c r="D98" s="8" t="s">
        <v>16</v>
      </c>
      <c r="E98" s="8" t="s">
        <v>20</v>
      </c>
      <c r="F98" s="8" t="s">
        <v>31</v>
      </c>
      <c r="G98" s="8" t="s">
        <v>33</v>
      </c>
      <c r="H98" s="9">
        <v>27420.6</v>
      </c>
      <c r="I98" s="8">
        <v>1</v>
      </c>
      <c r="J98" s="10">
        <v>3380.25</v>
      </c>
      <c r="K98" s="14" t="str" cm="1">
        <f t="array" ref="K98">_xlfn.IFS(Table4[[#This Row],[Sales]]&gt;40000,"Best Sales",Table4[[#This Row],[Sales]]&gt;20000,"Average Sales",Table4[[#This Row],[Sales]]&gt;0,"Poor Sales")</f>
        <v>Average Sales</v>
      </c>
    </row>
    <row r="99" spans="1:11" x14ac:dyDescent="0.3">
      <c r="A99" s="11">
        <v>98</v>
      </c>
      <c r="B99" s="12">
        <v>45151</v>
      </c>
      <c r="C99" s="13" t="s">
        <v>18</v>
      </c>
      <c r="D99" s="13" t="s">
        <v>19</v>
      </c>
      <c r="E99" s="13" t="s">
        <v>20</v>
      </c>
      <c r="F99" s="13" t="s">
        <v>13</v>
      </c>
      <c r="G99" s="13" t="s">
        <v>21</v>
      </c>
      <c r="H99" s="14">
        <v>41720.79</v>
      </c>
      <c r="I99" s="13">
        <v>9</v>
      </c>
      <c r="J99" s="15">
        <v>7269.45</v>
      </c>
      <c r="K99" s="14" t="str" cm="1">
        <f t="array" ref="K99">_xlfn.IFS(Table4[[#This Row],[Sales]]&gt;40000,"Best Sales",Table4[[#This Row],[Sales]]&gt;20000,"Average Sales",Table4[[#This Row],[Sales]]&gt;0,"Poor Sales")</f>
        <v>Best Sales</v>
      </c>
    </row>
    <row r="100" spans="1:11" x14ac:dyDescent="0.3">
      <c r="A100" s="6">
        <v>99</v>
      </c>
      <c r="B100" s="7">
        <v>45008</v>
      </c>
      <c r="C100" s="8" t="s">
        <v>22</v>
      </c>
      <c r="D100" s="8" t="s">
        <v>22</v>
      </c>
      <c r="E100" s="8" t="s">
        <v>20</v>
      </c>
      <c r="F100" s="8" t="s">
        <v>13</v>
      </c>
      <c r="G100" s="8" t="s">
        <v>14</v>
      </c>
      <c r="H100" s="9">
        <v>43520.98</v>
      </c>
      <c r="I100" s="8">
        <v>8</v>
      </c>
      <c r="J100" s="10">
        <v>6580.87</v>
      </c>
      <c r="K100" s="14" t="str" cm="1">
        <f t="array" ref="K100">_xlfn.IFS(Table4[[#This Row],[Sales]]&gt;40000,"Best Sales",Table4[[#This Row],[Sales]]&gt;20000,"Average Sales",Table4[[#This Row],[Sales]]&gt;0,"Poor Sales")</f>
        <v>Best Sales</v>
      </c>
    </row>
    <row r="101" spans="1:11" x14ac:dyDescent="0.3">
      <c r="A101" s="11">
        <v>100</v>
      </c>
      <c r="B101" s="12">
        <v>45104</v>
      </c>
      <c r="C101" s="13" t="s">
        <v>18</v>
      </c>
      <c r="D101" s="13" t="s">
        <v>19</v>
      </c>
      <c r="E101" s="13" t="s">
        <v>12</v>
      </c>
      <c r="F101" s="13" t="s">
        <v>31</v>
      </c>
      <c r="G101" s="13" t="s">
        <v>39</v>
      </c>
      <c r="H101" s="14">
        <v>43256.76</v>
      </c>
      <c r="I101" s="13">
        <v>9</v>
      </c>
      <c r="J101" s="15">
        <v>12801</v>
      </c>
      <c r="K101" s="14" t="str" cm="1">
        <f t="array" ref="K101">_xlfn.IFS(Table4[[#This Row],[Sales]]&gt;40000,"Best Sales",Table4[[#This Row],[Sales]]&gt;20000,"Average Sales",Table4[[#This Row],[Sales]]&gt;0,"Poor Sales")</f>
        <v>Best Sales</v>
      </c>
    </row>
    <row r="102" spans="1:11" x14ac:dyDescent="0.3">
      <c r="A102" s="6">
        <v>101</v>
      </c>
      <c r="B102" s="7">
        <v>45016</v>
      </c>
      <c r="C102" s="8" t="s">
        <v>38</v>
      </c>
      <c r="D102" s="8" t="s">
        <v>27</v>
      </c>
      <c r="E102" s="8" t="s">
        <v>12</v>
      </c>
      <c r="F102" s="8" t="s">
        <v>31</v>
      </c>
      <c r="G102" s="8" t="s">
        <v>33</v>
      </c>
      <c r="H102" s="9">
        <v>28432</v>
      </c>
      <c r="I102" s="8">
        <v>1</v>
      </c>
      <c r="J102" s="10">
        <v>4326.1000000000004</v>
      </c>
      <c r="K102" s="14" t="str" cm="1">
        <f t="array" ref="K102">_xlfn.IFS(Table4[[#This Row],[Sales]]&gt;40000,"Best Sales",Table4[[#This Row],[Sales]]&gt;20000,"Average Sales",Table4[[#This Row],[Sales]]&gt;0,"Poor Sales")</f>
        <v>Average Sales</v>
      </c>
    </row>
    <row r="103" spans="1:11" x14ac:dyDescent="0.3">
      <c r="A103" s="11">
        <v>102</v>
      </c>
      <c r="B103" s="12">
        <v>45043</v>
      </c>
      <c r="C103" s="13" t="s">
        <v>26</v>
      </c>
      <c r="D103" s="13" t="s">
        <v>27</v>
      </c>
      <c r="E103" s="13" t="s">
        <v>12</v>
      </c>
      <c r="F103" s="13" t="s">
        <v>24</v>
      </c>
      <c r="G103" s="13" t="s">
        <v>29</v>
      </c>
      <c r="H103" s="14">
        <v>45607.68</v>
      </c>
      <c r="I103" s="13">
        <v>9</v>
      </c>
      <c r="J103" s="15">
        <v>10061.65</v>
      </c>
      <c r="K103" s="14" t="str" cm="1">
        <f t="array" ref="K103">_xlfn.IFS(Table4[[#This Row],[Sales]]&gt;40000,"Best Sales",Table4[[#This Row],[Sales]]&gt;20000,"Average Sales",Table4[[#This Row],[Sales]]&gt;0,"Poor Sales")</f>
        <v>Best Sales</v>
      </c>
    </row>
    <row r="104" spans="1:11" x14ac:dyDescent="0.3">
      <c r="A104" s="6">
        <v>103</v>
      </c>
      <c r="B104" s="7">
        <v>45249</v>
      </c>
      <c r="C104" s="8" t="s">
        <v>15</v>
      </c>
      <c r="D104" s="8" t="s">
        <v>16</v>
      </c>
      <c r="E104" s="8" t="s">
        <v>12</v>
      </c>
      <c r="F104" s="8" t="s">
        <v>24</v>
      </c>
      <c r="G104" s="8" t="s">
        <v>28</v>
      </c>
      <c r="H104" s="9">
        <v>45100.31</v>
      </c>
      <c r="I104" s="8">
        <v>5</v>
      </c>
      <c r="J104" s="10">
        <v>5435.3</v>
      </c>
      <c r="K104" s="14" t="str" cm="1">
        <f t="array" ref="K104">_xlfn.IFS(Table4[[#This Row],[Sales]]&gt;40000,"Best Sales",Table4[[#This Row],[Sales]]&gt;20000,"Average Sales",Table4[[#This Row],[Sales]]&gt;0,"Poor Sales")</f>
        <v>Best Sales</v>
      </c>
    </row>
    <row r="105" spans="1:11" x14ac:dyDescent="0.3">
      <c r="A105" s="11">
        <v>104</v>
      </c>
      <c r="B105" s="12">
        <v>45258</v>
      </c>
      <c r="C105" s="13" t="s">
        <v>35</v>
      </c>
      <c r="D105" s="13" t="s">
        <v>36</v>
      </c>
      <c r="E105" s="13" t="s">
        <v>12</v>
      </c>
      <c r="F105" s="13" t="s">
        <v>13</v>
      </c>
      <c r="G105" s="13" t="s">
        <v>21</v>
      </c>
      <c r="H105" s="14">
        <v>31680.26</v>
      </c>
      <c r="I105" s="13">
        <v>6</v>
      </c>
      <c r="J105" s="15">
        <v>7130.43</v>
      </c>
      <c r="K105" s="14" t="str" cm="1">
        <f t="array" ref="K105">_xlfn.IFS(Table4[[#This Row],[Sales]]&gt;40000,"Best Sales",Table4[[#This Row],[Sales]]&gt;20000,"Average Sales",Table4[[#This Row],[Sales]]&gt;0,"Poor Sales")</f>
        <v>Average Sales</v>
      </c>
    </row>
    <row r="106" spans="1:11" x14ac:dyDescent="0.3">
      <c r="A106" s="6">
        <v>105</v>
      </c>
      <c r="B106" s="7">
        <v>45178</v>
      </c>
      <c r="C106" s="8" t="s">
        <v>10</v>
      </c>
      <c r="D106" s="8" t="s">
        <v>11</v>
      </c>
      <c r="E106" s="8" t="s">
        <v>12</v>
      </c>
      <c r="F106" s="8" t="s">
        <v>24</v>
      </c>
      <c r="G106" s="8" t="s">
        <v>29</v>
      </c>
      <c r="H106" s="9">
        <v>17942.34</v>
      </c>
      <c r="I106" s="8">
        <v>4</v>
      </c>
      <c r="J106" s="10">
        <v>4800.71</v>
      </c>
      <c r="K106" s="14" t="str" cm="1">
        <f t="array" ref="K106">_xlfn.IFS(Table4[[#This Row],[Sales]]&gt;40000,"Best Sales",Table4[[#This Row],[Sales]]&gt;20000,"Average Sales",Table4[[#This Row],[Sales]]&gt;0,"Poor Sales")</f>
        <v>Poor Sales</v>
      </c>
    </row>
    <row r="107" spans="1:11" x14ac:dyDescent="0.3">
      <c r="A107" s="11">
        <v>106</v>
      </c>
      <c r="B107" s="12">
        <v>44943</v>
      </c>
      <c r="C107" s="13" t="s">
        <v>38</v>
      </c>
      <c r="D107" s="13" t="s">
        <v>27</v>
      </c>
      <c r="E107" s="13" t="s">
        <v>12</v>
      </c>
      <c r="F107" s="13" t="s">
        <v>31</v>
      </c>
      <c r="G107" s="13" t="s">
        <v>33</v>
      </c>
      <c r="H107" s="14">
        <v>46409.88</v>
      </c>
      <c r="I107" s="13">
        <v>7</v>
      </c>
      <c r="J107" s="15">
        <v>12657.84</v>
      </c>
      <c r="K107" s="14" t="str" cm="1">
        <f t="array" ref="K107">_xlfn.IFS(Table4[[#This Row],[Sales]]&gt;40000,"Best Sales",Table4[[#This Row],[Sales]]&gt;20000,"Average Sales",Table4[[#This Row],[Sales]]&gt;0,"Poor Sales")</f>
        <v>Best Sales</v>
      </c>
    </row>
    <row r="108" spans="1:11" x14ac:dyDescent="0.3">
      <c r="A108" s="6">
        <v>107</v>
      </c>
      <c r="B108" s="7">
        <v>45270</v>
      </c>
      <c r="C108" s="8" t="s">
        <v>35</v>
      </c>
      <c r="D108" s="8" t="s">
        <v>36</v>
      </c>
      <c r="E108" s="8" t="s">
        <v>12</v>
      </c>
      <c r="F108" s="8" t="s">
        <v>31</v>
      </c>
      <c r="G108" s="8" t="s">
        <v>33</v>
      </c>
      <c r="H108" s="9">
        <v>20904.05</v>
      </c>
      <c r="I108" s="8">
        <v>9</v>
      </c>
      <c r="J108" s="10">
        <v>2758.95</v>
      </c>
      <c r="K108" s="14" t="str" cm="1">
        <f t="array" ref="K108">_xlfn.IFS(Table4[[#This Row],[Sales]]&gt;40000,"Best Sales",Table4[[#This Row],[Sales]]&gt;20000,"Average Sales",Table4[[#This Row],[Sales]]&gt;0,"Poor Sales")</f>
        <v>Average Sales</v>
      </c>
    </row>
    <row r="109" spans="1:11" x14ac:dyDescent="0.3">
      <c r="A109" s="11">
        <v>108</v>
      </c>
      <c r="B109" s="12">
        <v>45143</v>
      </c>
      <c r="C109" s="13" t="s">
        <v>18</v>
      </c>
      <c r="D109" s="13" t="s">
        <v>19</v>
      </c>
      <c r="E109" s="13" t="s">
        <v>12</v>
      </c>
      <c r="F109" s="13" t="s">
        <v>31</v>
      </c>
      <c r="G109" s="13" t="s">
        <v>39</v>
      </c>
      <c r="H109" s="14">
        <v>9106.1</v>
      </c>
      <c r="I109" s="13">
        <v>3</v>
      </c>
      <c r="J109" s="15">
        <v>519.4</v>
      </c>
      <c r="K109" s="14" t="str" cm="1">
        <f t="array" ref="K109">_xlfn.IFS(Table4[[#This Row],[Sales]]&gt;40000,"Best Sales",Table4[[#This Row],[Sales]]&gt;20000,"Average Sales",Table4[[#This Row],[Sales]]&gt;0,"Poor Sales")</f>
        <v>Poor Sales</v>
      </c>
    </row>
    <row r="110" spans="1:11" x14ac:dyDescent="0.3">
      <c r="A110" s="6">
        <v>109</v>
      </c>
      <c r="B110" s="7">
        <v>45214</v>
      </c>
      <c r="C110" s="8" t="s">
        <v>10</v>
      </c>
      <c r="D110" s="8" t="s">
        <v>11</v>
      </c>
      <c r="E110" s="8" t="s">
        <v>12</v>
      </c>
      <c r="F110" s="8" t="s">
        <v>24</v>
      </c>
      <c r="G110" s="8" t="s">
        <v>25</v>
      </c>
      <c r="H110" s="9">
        <v>7629.97</v>
      </c>
      <c r="I110" s="8">
        <v>9</v>
      </c>
      <c r="J110" s="10">
        <v>1489.6</v>
      </c>
      <c r="K110" s="14" t="str" cm="1">
        <f t="array" ref="K110">_xlfn.IFS(Table4[[#This Row],[Sales]]&gt;40000,"Best Sales",Table4[[#This Row],[Sales]]&gt;20000,"Average Sales",Table4[[#This Row],[Sales]]&gt;0,"Poor Sales")</f>
        <v>Poor Sales</v>
      </c>
    </row>
    <row r="111" spans="1:11" x14ac:dyDescent="0.3">
      <c r="A111" s="11">
        <v>110</v>
      </c>
      <c r="B111" s="12">
        <v>45008</v>
      </c>
      <c r="C111" s="13" t="s">
        <v>26</v>
      </c>
      <c r="D111" s="13" t="s">
        <v>27</v>
      </c>
      <c r="E111" s="13" t="s">
        <v>12</v>
      </c>
      <c r="F111" s="13" t="s">
        <v>13</v>
      </c>
      <c r="G111" s="13" t="s">
        <v>14</v>
      </c>
      <c r="H111" s="14">
        <v>23310.71</v>
      </c>
      <c r="I111" s="13">
        <v>1</v>
      </c>
      <c r="J111" s="15">
        <v>3512.57</v>
      </c>
      <c r="K111" s="14" t="str" cm="1">
        <f t="array" ref="K111">_xlfn.IFS(Table4[[#This Row],[Sales]]&gt;40000,"Best Sales",Table4[[#This Row],[Sales]]&gt;20000,"Average Sales",Table4[[#This Row],[Sales]]&gt;0,"Poor Sales")</f>
        <v>Average Sales</v>
      </c>
    </row>
    <row r="112" spans="1:11" x14ac:dyDescent="0.3">
      <c r="A112" s="6">
        <v>111</v>
      </c>
      <c r="B112" s="7">
        <v>45085</v>
      </c>
      <c r="C112" s="8" t="s">
        <v>30</v>
      </c>
      <c r="D112" s="8" t="s">
        <v>16</v>
      </c>
      <c r="E112" s="8" t="s">
        <v>12</v>
      </c>
      <c r="F112" s="8" t="s">
        <v>13</v>
      </c>
      <c r="G112" s="8" t="s">
        <v>34</v>
      </c>
      <c r="H112" s="9">
        <v>27994.05</v>
      </c>
      <c r="I112" s="8">
        <v>4</v>
      </c>
      <c r="J112" s="10">
        <v>5449.63</v>
      </c>
      <c r="K112" s="14" t="str" cm="1">
        <f t="array" ref="K112">_xlfn.IFS(Table4[[#This Row],[Sales]]&gt;40000,"Best Sales",Table4[[#This Row],[Sales]]&gt;20000,"Average Sales",Table4[[#This Row],[Sales]]&gt;0,"Poor Sales")</f>
        <v>Average Sales</v>
      </c>
    </row>
    <row r="113" spans="1:11" x14ac:dyDescent="0.3">
      <c r="A113" s="11">
        <v>112</v>
      </c>
      <c r="B113" s="12">
        <v>44963</v>
      </c>
      <c r="C113" s="13" t="s">
        <v>18</v>
      </c>
      <c r="D113" s="13" t="s">
        <v>19</v>
      </c>
      <c r="E113" s="13" t="s">
        <v>12</v>
      </c>
      <c r="F113" s="13" t="s">
        <v>13</v>
      </c>
      <c r="G113" s="13" t="s">
        <v>34</v>
      </c>
      <c r="H113" s="14">
        <v>32440.06</v>
      </c>
      <c r="I113" s="13">
        <v>3</v>
      </c>
      <c r="J113" s="15">
        <v>7193.85</v>
      </c>
      <c r="K113" s="14" t="str" cm="1">
        <f t="array" ref="K113">_xlfn.IFS(Table4[[#This Row],[Sales]]&gt;40000,"Best Sales",Table4[[#This Row],[Sales]]&gt;20000,"Average Sales",Table4[[#This Row],[Sales]]&gt;0,"Poor Sales")</f>
        <v>Average Sales</v>
      </c>
    </row>
    <row r="114" spans="1:11" x14ac:dyDescent="0.3">
      <c r="A114" s="6">
        <v>113</v>
      </c>
      <c r="B114" s="7">
        <v>45103</v>
      </c>
      <c r="C114" s="8" t="s">
        <v>30</v>
      </c>
      <c r="D114" s="8" t="s">
        <v>16</v>
      </c>
      <c r="E114" s="8" t="s">
        <v>12</v>
      </c>
      <c r="F114" s="8" t="s">
        <v>13</v>
      </c>
      <c r="G114" s="8" t="s">
        <v>34</v>
      </c>
      <c r="H114" s="9">
        <v>40462.19</v>
      </c>
      <c r="I114" s="8">
        <v>3</v>
      </c>
      <c r="J114" s="10">
        <v>9068.9</v>
      </c>
      <c r="K114" s="14" t="str" cm="1">
        <f t="array" ref="K114">_xlfn.IFS(Table4[[#This Row],[Sales]]&gt;40000,"Best Sales",Table4[[#This Row],[Sales]]&gt;20000,"Average Sales",Table4[[#This Row],[Sales]]&gt;0,"Poor Sales")</f>
        <v>Best Sales</v>
      </c>
    </row>
    <row r="115" spans="1:11" x14ac:dyDescent="0.3">
      <c r="A115" s="11">
        <v>114</v>
      </c>
      <c r="B115" s="12">
        <v>45086</v>
      </c>
      <c r="C115" s="13" t="s">
        <v>37</v>
      </c>
      <c r="D115" s="13" t="s">
        <v>27</v>
      </c>
      <c r="E115" s="13" t="s">
        <v>12</v>
      </c>
      <c r="F115" s="13" t="s">
        <v>31</v>
      </c>
      <c r="G115" s="13" t="s">
        <v>32</v>
      </c>
      <c r="H115" s="14">
        <v>4946.33</v>
      </c>
      <c r="I115" s="13">
        <v>9</v>
      </c>
      <c r="J115" s="15">
        <v>1157.56</v>
      </c>
      <c r="K115" s="14" t="str" cm="1">
        <f t="array" ref="K115">_xlfn.IFS(Table4[[#This Row],[Sales]]&gt;40000,"Best Sales",Table4[[#This Row],[Sales]]&gt;20000,"Average Sales",Table4[[#This Row],[Sales]]&gt;0,"Poor Sales")</f>
        <v>Poor Sales</v>
      </c>
    </row>
    <row r="116" spans="1:11" x14ac:dyDescent="0.3">
      <c r="A116" s="6">
        <v>115</v>
      </c>
      <c r="B116" s="7">
        <v>45067</v>
      </c>
      <c r="C116" s="8" t="s">
        <v>18</v>
      </c>
      <c r="D116" s="8" t="s">
        <v>19</v>
      </c>
      <c r="E116" s="8" t="s">
        <v>12</v>
      </c>
      <c r="F116" s="8" t="s">
        <v>24</v>
      </c>
      <c r="G116" s="8" t="s">
        <v>25</v>
      </c>
      <c r="H116" s="9">
        <v>41523.230000000003</v>
      </c>
      <c r="I116" s="8">
        <v>7</v>
      </c>
      <c r="J116" s="10">
        <v>9474.06</v>
      </c>
      <c r="K116" s="14" t="str" cm="1">
        <f t="array" ref="K116">_xlfn.IFS(Table4[[#This Row],[Sales]]&gt;40000,"Best Sales",Table4[[#This Row],[Sales]]&gt;20000,"Average Sales",Table4[[#This Row],[Sales]]&gt;0,"Poor Sales")</f>
        <v>Best Sales</v>
      </c>
    </row>
    <row r="117" spans="1:11" x14ac:dyDescent="0.3">
      <c r="A117" s="11">
        <v>116</v>
      </c>
      <c r="B117" s="12">
        <v>45091</v>
      </c>
      <c r="C117" s="13" t="s">
        <v>37</v>
      </c>
      <c r="D117" s="13" t="s">
        <v>27</v>
      </c>
      <c r="E117" s="13" t="s">
        <v>12</v>
      </c>
      <c r="F117" s="13" t="s">
        <v>31</v>
      </c>
      <c r="G117" s="13" t="s">
        <v>33</v>
      </c>
      <c r="H117" s="14">
        <v>41692.239999999998</v>
      </c>
      <c r="I117" s="13">
        <v>1</v>
      </c>
      <c r="J117" s="15">
        <v>11454.59</v>
      </c>
      <c r="K117" s="14" t="str" cm="1">
        <f t="array" ref="K117">_xlfn.IFS(Table4[[#This Row],[Sales]]&gt;40000,"Best Sales",Table4[[#This Row],[Sales]]&gt;20000,"Average Sales",Table4[[#This Row],[Sales]]&gt;0,"Poor Sales")</f>
        <v>Best Sales</v>
      </c>
    </row>
    <row r="118" spans="1:11" x14ac:dyDescent="0.3">
      <c r="A118" s="6">
        <v>117</v>
      </c>
      <c r="B118" s="7">
        <v>45275</v>
      </c>
      <c r="C118" s="8" t="s">
        <v>18</v>
      </c>
      <c r="D118" s="8" t="s">
        <v>19</v>
      </c>
      <c r="E118" s="8" t="s">
        <v>12</v>
      </c>
      <c r="F118" s="8" t="s">
        <v>24</v>
      </c>
      <c r="G118" s="8" t="s">
        <v>25</v>
      </c>
      <c r="H118" s="9">
        <v>37435.72</v>
      </c>
      <c r="I118" s="8">
        <v>10</v>
      </c>
      <c r="J118" s="10">
        <v>7225.3</v>
      </c>
      <c r="K118" s="14" t="str" cm="1">
        <f t="array" ref="K118">_xlfn.IFS(Table4[[#This Row],[Sales]]&gt;40000,"Best Sales",Table4[[#This Row],[Sales]]&gt;20000,"Average Sales",Table4[[#This Row],[Sales]]&gt;0,"Poor Sales")</f>
        <v>Average Sales</v>
      </c>
    </row>
    <row r="119" spans="1:11" x14ac:dyDescent="0.3">
      <c r="A119" s="11">
        <v>118</v>
      </c>
      <c r="B119" s="12">
        <v>44993</v>
      </c>
      <c r="C119" s="13" t="s">
        <v>22</v>
      </c>
      <c r="D119" s="13" t="s">
        <v>22</v>
      </c>
      <c r="E119" s="13" t="s">
        <v>12</v>
      </c>
      <c r="F119" s="13" t="s">
        <v>31</v>
      </c>
      <c r="G119" s="13" t="s">
        <v>39</v>
      </c>
      <c r="H119" s="14">
        <v>24188.17</v>
      </c>
      <c r="I119" s="13">
        <v>4</v>
      </c>
      <c r="J119" s="15">
        <v>1398.98</v>
      </c>
      <c r="K119" s="14" t="str" cm="1">
        <f t="array" ref="K119">_xlfn.IFS(Table4[[#This Row],[Sales]]&gt;40000,"Best Sales",Table4[[#This Row],[Sales]]&gt;20000,"Average Sales",Table4[[#This Row],[Sales]]&gt;0,"Poor Sales")</f>
        <v>Average Sales</v>
      </c>
    </row>
    <row r="120" spans="1:11" x14ac:dyDescent="0.3">
      <c r="A120" s="6">
        <v>119</v>
      </c>
      <c r="B120" s="7">
        <v>44978</v>
      </c>
      <c r="C120" s="8" t="s">
        <v>10</v>
      </c>
      <c r="D120" s="8" t="s">
        <v>11</v>
      </c>
      <c r="E120" s="8" t="s">
        <v>12</v>
      </c>
      <c r="F120" s="8" t="s">
        <v>13</v>
      </c>
      <c r="G120" s="8" t="s">
        <v>14</v>
      </c>
      <c r="H120" s="9">
        <v>7636.41</v>
      </c>
      <c r="I120" s="8">
        <v>5</v>
      </c>
      <c r="J120" s="10">
        <v>1440.24</v>
      </c>
      <c r="K120" s="14" t="str" cm="1">
        <f t="array" ref="K120">_xlfn.IFS(Table4[[#This Row],[Sales]]&gt;40000,"Best Sales",Table4[[#This Row],[Sales]]&gt;20000,"Average Sales",Table4[[#This Row],[Sales]]&gt;0,"Poor Sales")</f>
        <v>Poor Sales</v>
      </c>
    </row>
    <row r="121" spans="1:11" x14ac:dyDescent="0.3">
      <c r="A121" s="11">
        <v>120</v>
      </c>
      <c r="B121" s="12">
        <v>44930</v>
      </c>
      <c r="C121" s="13" t="s">
        <v>30</v>
      </c>
      <c r="D121" s="13" t="s">
        <v>16</v>
      </c>
      <c r="E121" s="13" t="s">
        <v>12</v>
      </c>
      <c r="F121" s="13" t="s">
        <v>24</v>
      </c>
      <c r="G121" s="13" t="s">
        <v>29</v>
      </c>
      <c r="H121" s="14">
        <v>46770.74</v>
      </c>
      <c r="I121" s="13">
        <v>9</v>
      </c>
      <c r="J121" s="15">
        <v>10311.32</v>
      </c>
      <c r="K121" s="14" t="str" cm="1">
        <f t="array" ref="K121">_xlfn.IFS(Table4[[#This Row],[Sales]]&gt;40000,"Best Sales",Table4[[#This Row],[Sales]]&gt;20000,"Average Sales",Table4[[#This Row],[Sales]]&gt;0,"Poor Sales")</f>
        <v>Best Sales</v>
      </c>
    </row>
    <row r="122" spans="1:11" x14ac:dyDescent="0.3">
      <c r="A122" s="6">
        <v>121</v>
      </c>
      <c r="B122" s="7">
        <v>45269</v>
      </c>
      <c r="C122" s="8" t="s">
        <v>30</v>
      </c>
      <c r="D122" s="8" t="s">
        <v>16</v>
      </c>
      <c r="E122" s="8" t="s">
        <v>12</v>
      </c>
      <c r="F122" s="8" t="s">
        <v>24</v>
      </c>
      <c r="G122" s="8" t="s">
        <v>29</v>
      </c>
      <c r="H122" s="9">
        <v>25666.98</v>
      </c>
      <c r="I122" s="8">
        <v>6</v>
      </c>
      <c r="J122" s="10">
        <v>5659.2</v>
      </c>
      <c r="K122" s="14" t="str" cm="1">
        <f t="array" ref="K122">_xlfn.IFS(Table4[[#This Row],[Sales]]&gt;40000,"Best Sales",Table4[[#This Row],[Sales]]&gt;20000,"Average Sales",Table4[[#This Row],[Sales]]&gt;0,"Poor Sales")</f>
        <v>Average Sales</v>
      </c>
    </row>
    <row r="123" spans="1:11" x14ac:dyDescent="0.3">
      <c r="A123" s="11">
        <v>122</v>
      </c>
      <c r="B123" s="12">
        <v>45281</v>
      </c>
      <c r="C123" s="13" t="s">
        <v>37</v>
      </c>
      <c r="D123" s="13" t="s">
        <v>27</v>
      </c>
      <c r="E123" s="13" t="s">
        <v>12</v>
      </c>
      <c r="F123" s="13" t="s">
        <v>13</v>
      </c>
      <c r="G123" s="13" t="s">
        <v>14</v>
      </c>
      <c r="H123" s="14">
        <v>23082.5</v>
      </c>
      <c r="I123" s="13">
        <v>5</v>
      </c>
      <c r="J123" s="15">
        <v>6692.32</v>
      </c>
      <c r="K123" s="14" t="str" cm="1">
        <f t="array" ref="K123">_xlfn.IFS(Table4[[#This Row],[Sales]]&gt;40000,"Best Sales",Table4[[#This Row],[Sales]]&gt;20000,"Average Sales",Table4[[#This Row],[Sales]]&gt;0,"Poor Sales")</f>
        <v>Average Sales</v>
      </c>
    </row>
    <row r="124" spans="1:11" x14ac:dyDescent="0.3">
      <c r="A124" s="6">
        <v>123</v>
      </c>
      <c r="B124" s="7">
        <v>45087</v>
      </c>
      <c r="C124" s="8" t="s">
        <v>37</v>
      </c>
      <c r="D124" s="8" t="s">
        <v>27</v>
      </c>
      <c r="E124" s="8" t="s">
        <v>12</v>
      </c>
      <c r="F124" s="8" t="s">
        <v>31</v>
      </c>
      <c r="G124" s="8" t="s">
        <v>33</v>
      </c>
      <c r="H124" s="9">
        <v>38476.03</v>
      </c>
      <c r="I124" s="8">
        <v>5</v>
      </c>
      <c r="J124" s="10">
        <v>4209.84</v>
      </c>
      <c r="K124" s="14" t="str" cm="1">
        <f t="array" ref="K124">_xlfn.IFS(Table4[[#This Row],[Sales]]&gt;40000,"Best Sales",Table4[[#This Row],[Sales]]&gt;20000,"Average Sales",Table4[[#This Row],[Sales]]&gt;0,"Poor Sales")</f>
        <v>Average Sales</v>
      </c>
    </row>
    <row r="125" spans="1:11" x14ac:dyDescent="0.3">
      <c r="A125" s="11">
        <v>124</v>
      </c>
      <c r="B125" s="12">
        <v>44997</v>
      </c>
      <c r="C125" s="13" t="s">
        <v>37</v>
      </c>
      <c r="D125" s="13" t="s">
        <v>27</v>
      </c>
      <c r="E125" s="13" t="s">
        <v>12</v>
      </c>
      <c r="F125" s="13" t="s">
        <v>31</v>
      </c>
      <c r="G125" s="13" t="s">
        <v>32</v>
      </c>
      <c r="H125" s="14">
        <v>18610.04</v>
      </c>
      <c r="I125" s="13">
        <v>9</v>
      </c>
      <c r="J125" s="15">
        <v>2849.41</v>
      </c>
      <c r="K125" s="14" t="str" cm="1">
        <f t="array" ref="K125">_xlfn.IFS(Table4[[#This Row],[Sales]]&gt;40000,"Best Sales",Table4[[#This Row],[Sales]]&gt;20000,"Average Sales",Table4[[#This Row],[Sales]]&gt;0,"Poor Sales")</f>
        <v>Poor Sales</v>
      </c>
    </row>
    <row r="126" spans="1:11" x14ac:dyDescent="0.3">
      <c r="A126" s="6">
        <v>125</v>
      </c>
      <c r="B126" s="7">
        <v>44996</v>
      </c>
      <c r="C126" s="8" t="s">
        <v>30</v>
      </c>
      <c r="D126" s="8" t="s">
        <v>16</v>
      </c>
      <c r="E126" s="8" t="s">
        <v>12</v>
      </c>
      <c r="F126" s="8" t="s">
        <v>13</v>
      </c>
      <c r="G126" s="8" t="s">
        <v>14</v>
      </c>
      <c r="H126" s="9">
        <v>9386.76</v>
      </c>
      <c r="I126" s="8">
        <v>5</v>
      </c>
      <c r="J126" s="10">
        <v>1362.58</v>
      </c>
      <c r="K126" s="14" t="str" cm="1">
        <f t="array" ref="K126">_xlfn.IFS(Table4[[#This Row],[Sales]]&gt;40000,"Best Sales",Table4[[#This Row],[Sales]]&gt;20000,"Average Sales",Table4[[#This Row],[Sales]]&gt;0,"Poor Sales")</f>
        <v>Poor Sales</v>
      </c>
    </row>
    <row r="127" spans="1:11" x14ac:dyDescent="0.3">
      <c r="A127" s="11">
        <v>126</v>
      </c>
      <c r="B127" s="12">
        <v>45288</v>
      </c>
      <c r="C127" s="13" t="s">
        <v>26</v>
      </c>
      <c r="D127" s="13" t="s">
        <v>27</v>
      </c>
      <c r="E127" s="13" t="s">
        <v>12</v>
      </c>
      <c r="F127" s="13" t="s">
        <v>13</v>
      </c>
      <c r="G127" s="13" t="s">
        <v>14</v>
      </c>
      <c r="H127" s="14">
        <v>28617.52</v>
      </c>
      <c r="I127" s="13">
        <v>6</v>
      </c>
      <c r="J127" s="15">
        <v>2807.32</v>
      </c>
      <c r="K127" s="14" t="str" cm="1">
        <f t="array" ref="K127">_xlfn.IFS(Table4[[#This Row],[Sales]]&gt;40000,"Best Sales",Table4[[#This Row],[Sales]]&gt;20000,"Average Sales",Table4[[#This Row],[Sales]]&gt;0,"Poor Sales")</f>
        <v>Average Sales</v>
      </c>
    </row>
    <row r="128" spans="1:11" x14ac:dyDescent="0.3">
      <c r="A128" s="6">
        <v>127</v>
      </c>
      <c r="B128" s="7">
        <v>45268</v>
      </c>
      <c r="C128" s="8" t="s">
        <v>15</v>
      </c>
      <c r="D128" s="8" t="s">
        <v>16</v>
      </c>
      <c r="E128" s="8" t="s">
        <v>12</v>
      </c>
      <c r="F128" s="8" t="s">
        <v>31</v>
      </c>
      <c r="G128" s="8" t="s">
        <v>32</v>
      </c>
      <c r="H128" s="9">
        <v>23321.11</v>
      </c>
      <c r="I128" s="8">
        <v>6</v>
      </c>
      <c r="J128" s="10">
        <v>6516.94</v>
      </c>
      <c r="K128" s="14" t="str" cm="1">
        <f t="array" ref="K128">_xlfn.IFS(Table4[[#This Row],[Sales]]&gt;40000,"Best Sales",Table4[[#This Row],[Sales]]&gt;20000,"Average Sales",Table4[[#This Row],[Sales]]&gt;0,"Poor Sales")</f>
        <v>Average Sales</v>
      </c>
    </row>
    <row r="129" spans="1:11" x14ac:dyDescent="0.3">
      <c r="A129" s="11">
        <v>128</v>
      </c>
      <c r="B129" s="12">
        <v>45195</v>
      </c>
      <c r="C129" s="13" t="s">
        <v>26</v>
      </c>
      <c r="D129" s="13" t="s">
        <v>27</v>
      </c>
      <c r="E129" s="13" t="s">
        <v>12</v>
      </c>
      <c r="F129" s="13" t="s">
        <v>13</v>
      </c>
      <c r="G129" s="13" t="s">
        <v>14</v>
      </c>
      <c r="H129" s="14">
        <v>30886.63</v>
      </c>
      <c r="I129" s="13">
        <v>3</v>
      </c>
      <c r="J129" s="15">
        <v>7845.04</v>
      </c>
      <c r="K129" s="14" t="str" cm="1">
        <f t="array" ref="K129">_xlfn.IFS(Table4[[#This Row],[Sales]]&gt;40000,"Best Sales",Table4[[#This Row],[Sales]]&gt;20000,"Average Sales",Table4[[#This Row],[Sales]]&gt;0,"Poor Sales")</f>
        <v>Average Sales</v>
      </c>
    </row>
    <row r="130" spans="1:11" x14ac:dyDescent="0.3">
      <c r="A130" s="6">
        <v>129</v>
      </c>
      <c r="B130" s="7">
        <v>45236</v>
      </c>
      <c r="C130" s="8" t="s">
        <v>10</v>
      </c>
      <c r="D130" s="8" t="s">
        <v>11</v>
      </c>
      <c r="E130" s="8" t="s">
        <v>12</v>
      </c>
      <c r="F130" s="8" t="s">
        <v>31</v>
      </c>
      <c r="G130" s="8" t="s">
        <v>39</v>
      </c>
      <c r="H130" s="9">
        <v>33355.910000000003</v>
      </c>
      <c r="I130" s="8">
        <v>5</v>
      </c>
      <c r="J130" s="10">
        <v>2731.47</v>
      </c>
      <c r="K130" s="14" t="str" cm="1">
        <f t="array" ref="K130">_xlfn.IFS(Table4[[#This Row],[Sales]]&gt;40000,"Best Sales",Table4[[#This Row],[Sales]]&gt;20000,"Average Sales",Table4[[#This Row],[Sales]]&gt;0,"Poor Sales")</f>
        <v>Average Sales</v>
      </c>
    </row>
    <row r="131" spans="1:11" x14ac:dyDescent="0.3">
      <c r="A131" s="11">
        <v>130</v>
      </c>
      <c r="B131" s="12">
        <v>45109</v>
      </c>
      <c r="C131" s="13" t="s">
        <v>10</v>
      </c>
      <c r="D131" s="13" t="s">
        <v>11</v>
      </c>
      <c r="E131" s="13" t="s">
        <v>12</v>
      </c>
      <c r="F131" s="13" t="s">
        <v>24</v>
      </c>
      <c r="G131" s="13" t="s">
        <v>28</v>
      </c>
      <c r="H131" s="14">
        <v>23925.26</v>
      </c>
      <c r="I131" s="13">
        <v>3</v>
      </c>
      <c r="J131" s="15">
        <v>4614.3999999999996</v>
      </c>
      <c r="K131" s="14" t="str" cm="1">
        <f t="array" ref="K131">_xlfn.IFS(Table4[[#This Row],[Sales]]&gt;40000,"Best Sales",Table4[[#This Row],[Sales]]&gt;20000,"Average Sales",Table4[[#This Row],[Sales]]&gt;0,"Poor Sales")</f>
        <v>Average Sales</v>
      </c>
    </row>
    <row r="132" spans="1:11" x14ac:dyDescent="0.3">
      <c r="A132" s="6">
        <v>131</v>
      </c>
      <c r="B132" s="7">
        <v>44930</v>
      </c>
      <c r="C132" s="8" t="s">
        <v>10</v>
      </c>
      <c r="D132" s="8" t="s">
        <v>11</v>
      </c>
      <c r="E132" s="8" t="s">
        <v>12</v>
      </c>
      <c r="F132" s="8" t="s">
        <v>13</v>
      </c>
      <c r="G132" s="8" t="s">
        <v>34</v>
      </c>
      <c r="H132" s="9">
        <v>46208.11</v>
      </c>
      <c r="I132" s="8">
        <v>1</v>
      </c>
      <c r="J132" s="10">
        <v>4640.21</v>
      </c>
      <c r="K132" s="14" t="str" cm="1">
        <f t="array" ref="K132">_xlfn.IFS(Table4[[#This Row],[Sales]]&gt;40000,"Best Sales",Table4[[#This Row],[Sales]]&gt;20000,"Average Sales",Table4[[#This Row],[Sales]]&gt;0,"Poor Sales")</f>
        <v>Best Sales</v>
      </c>
    </row>
    <row r="133" spans="1:11" x14ac:dyDescent="0.3">
      <c r="A133" s="11">
        <v>132</v>
      </c>
      <c r="B133" s="12">
        <v>44967</v>
      </c>
      <c r="C133" s="13" t="s">
        <v>10</v>
      </c>
      <c r="D133" s="13" t="s">
        <v>11</v>
      </c>
      <c r="E133" s="13" t="s">
        <v>12</v>
      </c>
      <c r="F133" s="13" t="s">
        <v>31</v>
      </c>
      <c r="G133" s="13" t="s">
        <v>39</v>
      </c>
      <c r="H133" s="14">
        <v>7965.54</v>
      </c>
      <c r="I133" s="13">
        <v>3</v>
      </c>
      <c r="J133" s="15">
        <v>2341.5300000000002</v>
      </c>
      <c r="K133" s="14" t="str" cm="1">
        <f t="array" ref="K133">_xlfn.IFS(Table4[[#This Row],[Sales]]&gt;40000,"Best Sales",Table4[[#This Row],[Sales]]&gt;20000,"Average Sales",Table4[[#This Row],[Sales]]&gt;0,"Poor Sales")</f>
        <v>Poor Sales</v>
      </c>
    </row>
    <row r="134" spans="1:11" x14ac:dyDescent="0.3">
      <c r="A134" s="6">
        <v>133</v>
      </c>
      <c r="B134" s="7">
        <v>45265</v>
      </c>
      <c r="C134" s="8" t="s">
        <v>15</v>
      </c>
      <c r="D134" s="8" t="s">
        <v>16</v>
      </c>
      <c r="E134" s="8" t="s">
        <v>12</v>
      </c>
      <c r="F134" s="8" t="s">
        <v>13</v>
      </c>
      <c r="G134" s="8" t="s">
        <v>34</v>
      </c>
      <c r="H134" s="9">
        <v>47622.58</v>
      </c>
      <c r="I134" s="8">
        <v>8</v>
      </c>
      <c r="J134" s="10">
        <v>13847.81</v>
      </c>
      <c r="K134" s="14" t="str" cm="1">
        <f t="array" ref="K134">_xlfn.IFS(Table4[[#This Row],[Sales]]&gt;40000,"Best Sales",Table4[[#This Row],[Sales]]&gt;20000,"Average Sales",Table4[[#This Row],[Sales]]&gt;0,"Poor Sales")</f>
        <v>Best Sales</v>
      </c>
    </row>
    <row r="135" spans="1:11" x14ac:dyDescent="0.3">
      <c r="A135" s="11">
        <v>134</v>
      </c>
      <c r="B135" s="12">
        <v>45204</v>
      </c>
      <c r="C135" s="13" t="s">
        <v>22</v>
      </c>
      <c r="D135" s="13" t="s">
        <v>22</v>
      </c>
      <c r="E135" s="13" t="s">
        <v>12</v>
      </c>
      <c r="F135" s="13" t="s">
        <v>31</v>
      </c>
      <c r="G135" s="13" t="s">
        <v>33</v>
      </c>
      <c r="H135" s="14">
        <v>2192.81</v>
      </c>
      <c r="I135" s="13">
        <v>2</v>
      </c>
      <c r="J135" s="15">
        <v>448.06</v>
      </c>
      <c r="K135" s="14" t="str" cm="1">
        <f t="array" ref="K135">_xlfn.IFS(Table4[[#This Row],[Sales]]&gt;40000,"Best Sales",Table4[[#This Row],[Sales]]&gt;20000,"Average Sales",Table4[[#This Row],[Sales]]&gt;0,"Poor Sales")</f>
        <v>Poor Sales</v>
      </c>
    </row>
    <row r="136" spans="1:11" x14ac:dyDescent="0.3">
      <c r="A136" s="6">
        <v>135</v>
      </c>
      <c r="B136" s="7">
        <v>45182</v>
      </c>
      <c r="C136" s="8" t="s">
        <v>35</v>
      </c>
      <c r="D136" s="8" t="s">
        <v>36</v>
      </c>
      <c r="E136" s="8" t="s">
        <v>12</v>
      </c>
      <c r="F136" s="8" t="s">
        <v>13</v>
      </c>
      <c r="G136" s="8" t="s">
        <v>34</v>
      </c>
      <c r="H136" s="9">
        <v>39455.26</v>
      </c>
      <c r="I136" s="8">
        <v>6</v>
      </c>
      <c r="J136" s="10">
        <v>7254.89</v>
      </c>
      <c r="K136" s="14" t="str" cm="1">
        <f t="array" ref="K136">_xlfn.IFS(Table4[[#This Row],[Sales]]&gt;40000,"Best Sales",Table4[[#This Row],[Sales]]&gt;20000,"Average Sales",Table4[[#This Row],[Sales]]&gt;0,"Poor Sales")</f>
        <v>Average Sales</v>
      </c>
    </row>
    <row r="137" spans="1:11" x14ac:dyDescent="0.3">
      <c r="A137" s="11">
        <v>136</v>
      </c>
      <c r="B137" s="12">
        <v>45066</v>
      </c>
      <c r="C137" s="13" t="s">
        <v>30</v>
      </c>
      <c r="D137" s="13" t="s">
        <v>16</v>
      </c>
      <c r="E137" s="13" t="s">
        <v>12</v>
      </c>
      <c r="F137" s="13" t="s">
        <v>31</v>
      </c>
      <c r="G137" s="13" t="s">
        <v>33</v>
      </c>
      <c r="H137" s="14">
        <v>33615.199999999997</v>
      </c>
      <c r="I137" s="13">
        <v>10</v>
      </c>
      <c r="J137" s="15">
        <v>9400.1200000000008</v>
      </c>
      <c r="K137" s="14" t="str" cm="1">
        <f t="array" ref="K137">_xlfn.IFS(Table4[[#This Row],[Sales]]&gt;40000,"Best Sales",Table4[[#This Row],[Sales]]&gt;20000,"Average Sales",Table4[[#This Row],[Sales]]&gt;0,"Poor Sales")</f>
        <v>Average Sales</v>
      </c>
    </row>
    <row r="138" spans="1:11" x14ac:dyDescent="0.3">
      <c r="A138" s="6">
        <v>137</v>
      </c>
      <c r="B138" s="7">
        <v>45112</v>
      </c>
      <c r="C138" s="8" t="s">
        <v>10</v>
      </c>
      <c r="D138" s="8" t="s">
        <v>11</v>
      </c>
      <c r="E138" s="8" t="s">
        <v>12</v>
      </c>
      <c r="F138" s="8" t="s">
        <v>13</v>
      </c>
      <c r="G138" s="8" t="s">
        <v>21</v>
      </c>
      <c r="H138" s="9">
        <v>43630.27</v>
      </c>
      <c r="I138" s="8">
        <v>1</v>
      </c>
      <c r="J138" s="10">
        <v>5720.89</v>
      </c>
      <c r="K138" s="14" t="str" cm="1">
        <f t="array" ref="K138">_xlfn.IFS(Table4[[#This Row],[Sales]]&gt;40000,"Best Sales",Table4[[#This Row],[Sales]]&gt;20000,"Average Sales",Table4[[#This Row],[Sales]]&gt;0,"Poor Sales")</f>
        <v>Best Sales</v>
      </c>
    </row>
    <row r="139" spans="1:11" x14ac:dyDescent="0.3">
      <c r="A139" s="11">
        <v>138</v>
      </c>
      <c r="B139" s="12">
        <v>45222</v>
      </c>
      <c r="C139" s="13" t="s">
        <v>30</v>
      </c>
      <c r="D139" s="13" t="s">
        <v>16</v>
      </c>
      <c r="E139" s="13" t="s">
        <v>12</v>
      </c>
      <c r="F139" s="13" t="s">
        <v>31</v>
      </c>
      <c r="G139" s="13" t="s">
        <v>39</v>
      </c>
      <c r="H139" s="14">
        <v>45089.98</v>
      </c>
      <c r="I139" s="13">
        <v>5</v>
      </c>
      <c r="J139" s="15">
        <v>4787.6899999999996</v>
      </c>
      <c r="K139" s="14" t="str" cm="1">
        <f t="array" ref="K139">_xlfn.IFS(Table4[[#This Row],[Sales]]&gt;40000,"Best Sales",Table4[[#This Row],[Sales]]&gt;20000,"Average Sales",Table4[[#This Row],[Sales]]&gt;0,"Poor Sales")</f>
        <v>Best Sales</v>
      </c>
    </row>
    <row r="140" spans="1:11" x14ac:dyDescent="0.3">
      <c r="A140" s="6">
        <v>139</v>
      </c>
      <c r="B140" s="7">
        <v>45193</v>
      </c>
      <c r="C140" s="8" t="s">
        <v>30</v>
      </c>
      <c r="D140" s="8" t="s">
        <v>16</v>
      </c>
      <c r="E140" s="8" t="s">
        <v>12</v>
      </c>
      <c r="F140" s="8" t="s">
        <v>24</v>
      </c>
      <c r="G140" s="8" t="s">
        <v>29</v>
      </c>
      <c r="H140" s="9">
        <v>41314.769999999997</v>
      </c>
      <c r="I140" s="8">
        <v>7</v>
      </c>
      <c r="J140" s="10">
        <v>9847.14</v>
      </c>
      <c r="K140" s="14" t="str" cm="1">
        <f t="array" ref="K140">_xlfn.IFS(Table4[[#This Row],[Sales]]&gt;40000,"Best Sales",Table4[[#This Row],[Sales]]&gt;20000,"Average Sales",Table4[[#This Row],[Sales]]&gt;0,"Poor Sales")</f>
        <v>Best Sales</v>
      </c>
    </row>
    <row r="141" spans="1:11" x14ac:dyDescent="0.3">
      <c r="A141" s="11">
        <v>140</v>
      </c>
      <c r="B141" s="12">
        <v>44981</v>
      </c>
      <c r="C141" s="13" t="s">
        <v>30</v>
      </c>
      <c r="D141" s="13" t="s">
        <v>16</v>
      </c>
      <c r="E141" s="13" t="s">
        <v>12</v>
      </c>
      <c r="F141" s="13" t="s">
        <v>24</v>
      </c>
      <c r="G141" s="13" t="s">
        <v>28</v>
      </c>
      <c r="H141" s="14">
        <v>33348.76</v>
      </c>
      <c r="I141" s="13">
        <v>2</v>
      </c>
      <c r="J141" s="15">
        <v>3732.78</v>
      </c>
      <c r="K141" s="14" t="str" cm="1">
        <f t="array" ref="K141">_xlfn.IFS(Table4[[#This Row],[Sales]]&gt;40000,"Best Sales",Table4[[#This Row],[Sales]]&gt;20000,"Average Sales",Table4[[#This Row],[Sales]]&gt;0,"Poor Sales")</f>
        <v>Average Sales</v>
      </c>
    </row>
    <row r="142" spans="1:11" x14ac:dyDescent="0.3">
      <c r="A142" s="6">
        <v>141</v>
      </c>
      <c r="B142" s="7">
        <v>44944</v>
      </c>
      <c r="C142" s="8" t="s">
        <v>18</v>
      </c>
      <c r="D142" s="8" t="s">
        <v>19</v>
      </c>
      <c r="E142" s="8" t="s">
        <v>12</v>
      </c>
      <c r="F142" s="8" t="s">
        <v>13</v>
      </c>
      <c r="G142" s="8" t="s">
        <v>14</v>
      </c>
      <c r="H142" s="9">
        <v>36059.56</v>
      </c>
      <c r="I142" s="8">
        <v>8</v>
      </c>
      <c r="J142" s="10">
        <v>6777.54</v>
      </c>
      <c r="K142" s="14" t="str" cm="1">
        <f t="array" ref="K142">_xlfn.IFS(Table4[[#This Row],[Sales]]&gt;40000,"Best Sales",Table4[[#This Row],[Sales]]&gt;20000,"Average Sales",Table4[[#This Row],[Sales]]&gt;0,"Poor Sales")</f>
        <v>Average Sales</v>
      </c>
    </row>
    <row r="143" spans="1:11" x14ac:dyDescent="0.3">
      <c r="A143" s="11">
        <v>142</v>
      </c>
      <c r="B143" s="12">
        <v>45063</v>
      </c>
      <c r="C143" s="13" t="s">
        <v>37</v>
      </c>
      <c r="D143" s="13" t="s">
        <v>27</v>
      </c>
      <c r="E143" s="13" t="s">
        <v>12</v>
      </c>
      <c r="F143" s="13" t="s">
        <v>24</v>
      </c>
      <c r="G143" s="13" t="s">
        <v>29</v>
      </c>
      <c r="H143" s="14">
        <v>21431.96</v>
      </c>
      <c r="I143" s="13">
        <v>6</v>
      </c>
      <c r="J143" s="15">
        <v>2214.5500000000002</v>
      </c>
      <c r="K143" s="14" t="str" cm="1">
        <f t="array" ref="K143">_xlfn.IFS(Table4[[#This Row],[Sales]]&gt;40000,"Best Sales",Table4[[#This Row],[Sales]]&gt;20000,"Average Sales",Table4[[#This Row],[Sales]]&gt;0,"Poor Sales")</f>
        <v>Average Sales</v>
      </c>
    </row>
    <row r="144" spans="1:11" x14ac:dyDescent="0.3">
      <c r="A144" s="6">
        <v>143</v>
      </c>
      <c r="B144" s="7">
        <v>45177</v>
      </c>
      <c r="C144" s="8" t="s">
        <v>26</v>
      </c>
      <c r="D144" s="8" t="s">
        <v>27</v>
      </c>
      <c r="E144" s="8" t="s">
        <v>12</v>
      </c>
      <c r="F144" s="8" t="s">
        <v>13</v>
      </c>
      <c r="G144" s="8" t="s">
        <v>14</v>
      </c>
      <c r="H144" s="9">
        <v>29187.79</v>
      </c>
      <c r="I144" s="8">
        <v>2</v>
      </c>
      <c r="J144" s="10">
        <v>1532.13</v>
      </c>
      <c r="K144" s="14" t="str" cm="1">
        <f t="array" ref="K144">_xlfn.IFS(Table4[[#This Row],[Sales]]&gt;40000,"Best Sales",Table4[[#This Row],[Sales]]&gt;20000,"Average Sales",Table4[[#This Row],[Sales]]&gt;0,"Poor Sales")</f>
        <v>Average Sales</v>
      </c>
    </row>
    <row r="145" spans="1:11" x14ac:dyDescent="0.3">
      <c r="A145" s="11">
        <v>144</v>
      </c>
      <c r="B145" s="12">
        <v>44930</v>
      </c>
      <c r="C145" s="13" t="s">
        <v>30</v>
      </c>
      <c r="D145" s="13" t="s">
        <v>16</v>
      </c>
      <c r="E145" s="13" t="s">
        <v>17</v>
      </c>
      <c r="F145" s="13" t="s">
        <v>31</v>
      </c>
      <c r="G145" s="13" t="s">
        <v>32</v>
      </c>
      <c r="H145" s="14">
        <v>45025.54</v>
      </c>
      <c r="I145" s="13">
        <v>2</v>
      </c>
      <c r="J145" s="15">
        <v>12720.22</v>
      </c>
      <c r="K145" s="14" t="str" cm="1">
        <f t="array" ref="K145">_xlfn.IFS(Table4[[#This Row],[Sales]]&gt;40000,"Best Sales",Table4[[#This Row],[Sales]]&gt;20000,"Average Sales",Table4[[#This Row],[Sales]]&gt;0,"Poor Sales")</f>
        <v>Best Sales</v>
      </c>
    </row>
    <row r="146" spans="1:11" x14ac:dyDescent="0.3">
      <c r="A146" s="6">
        <v>145</v>
      </c>
      <c r="B146" s="7">
        <v>45118</v>
      </c>
      <c r="C146" s="8" t="s">
        <v>15</v>
      </c>
      <c r="D146" s="8" t="s">
        <v>16</v>
      </c>
      <c r="E146" s="8" t="s">
        <v>17</v>
      </c>
      <c r="F146" s="8" t="s">
        <v>13</v>
      </c>
      <c r="G146" s="8" t="s">
        <v>14</v>
      </c>
      <c r="H146" s="9">
        <v>29484.35</v>
      </c>
      <c r="I146" s="8">
        <v>4</v>
      </c>
      <c r="J146" s="10">
        <v>2052.4299999999998</v>
      </c>
      <c r="K146" s="14" t="str" cm="1">
        <f t="array" ref="K146">_xlfn.IFS(Table4[[#This Row],[Sales]]&gt;40000,"Best Sales",Table4[[#This Row],[Sales]]&gt;20000,"Average Sales",Table4[[#This Row],[Sales]]&gt;0,"Poor Sales")</f>
        <v>Average Sales</v>
      </c>
    </row>
    <row r="147" spans="1:11" x14ac:dyDescent="0.3">
      <c r="A147" s="11">
        <v>146</v>
      </c>
      <c r="B147" s="12">
        <v>45067</v>
      </c>
      <c r="C147" s="13" t="s">
        <v>26</v>
      </c>
      <c r="D147" s="13" t="s">
        <v>27</v>
      </c>
      <c r="E147" s="13" t="s">
        <v>17</v>
      </c>
      <c r="F147" s="13" t="s">
        <v>13</v>
      </c>
      <c r="G147" s="13" t="s">
        <v>34</v>
      </c>
      <c r="H147" s="14">
        <v>16959.68</v>
      </c>
      <c r="I147" s="13">
        <v>4</v>
      </c>
      <c r="J147" s="15">
        <v>1943.65</v>
      </c>
      <c r="K147" s="14" t="str" cm="1">
        <f t="array" ref="K147">_xlfn.IFS(Table4[[#This Row],[Sales]]&gt;40000,"Best Sales",Table4[[#This Row],[Sales]]&gt;20000,"Average Sales",Table4[[#This Row],[Sales]]&gt;0,"Poor Sales")</f>
        <v>Poor Sales</v>
      </c>
    </row>
    <row r="148" spans="1:11" x14ac:dyDescent="0.3">
      <c r="A148" s="6">
        <v>147</v>
      </c>
      <c r="B148" s="7">
        <v>45022</v>
      </c>
      <c r="C148" s="8" t="s">
        <v>38</v>
      </c>
      <c r="D148" s="8" t="s">
        <v>27</v>
      </c>
      <c r="E148" s="8" t="s">
        <v>17</v>
      </c>
      <c r="F148" s="8" t="s">
        <v>13</v>
      </c>
      <c r="G148" s="8" t="s">
        <v>34</v>
      </c>
      <c r="H148" s="9">
        <v>31987.86</v>
      </c>
      <c r="I148" s="8">
        <v>8</v>
      </c>
      <c r="J148" s="10">
        <v>9445.74</v>
      </c>
      <c r="K148" s="14" t="str" cm="1">
        <f t="array" ref="K148">_xlfn.IFS(Table4[[#This Row],[Sales]]&gt;40000,"Best Sales",Table4[[#This Row],[Sales]]&gt;20000,"Average Sales",Table4[[#This Row],[Sales]]&gt;0,"Poor Sales")</f>
        <v>Average Sales</v>
      </c>
    </row>
    <row r="149" spans="1:11" x14ac:dyDescent="0.3">
      <c r="A149" s="11">
        <v>148</v>
      </c>
      <c r="B149" s="12">
        <v>44953</v>
      </c>
      <c r="C149" s="13" t="s">
        <v>38</v>
      </c>
      <c r="D149" s="13" t="s">
        <v>27</v>
      </c>
      <c r="E149" s="13" t="s">
        <v>17</v>
      </c>
      <c r="F149" s="13" t="s">
        <v>31</v>
      </c>
      <c r="G149" s="13" t="s">
        <v>32</v>
      </c>
      <c r="H149" s="14">
        <v>24644.97</v>
      </c>
      <c r="I149" s="13">
        <v>5</v>
      </c>
      <c r="J149" s="15">
        <v>2363.06</v>
      </c>
      <c r="K149" s="14" t="str" cm="1">
        <f t="array" ref="K149">_xlfn.IFS(Table4[[#This Row],[Sales]]&gt;40000,"Best Sales",Table4[[#This Row],[Sales]]&gt;20000,"Average Sales",Table4[[#This Row],[Sales]]&gt;0,"Poor Sales")</f>
        <v>Average Sales</v>
      </c>
    </row>
    <row r="150" spans="1:11" x14ac:dyDescent="0.3">
      <c r="A150" s="6">
        <v>149</v>
      </c>
      <c r="B150" s="7">
        <v>45241</v>
      </c>
      <c r="C150" s="8" t="s">
        <v>37</v>
      </c>
      <c r="D150" s="8" t="s">
        <v>27</v>
      </c>
      <c r="E150" s="8" t="s">
        <v>17</v>
      </c>
      <c r="F150" s="8" t="s">
        <v>13</v>
      </c>
      <c r="G150" s="8" t="s">
        <v>14</v>
      </c>
      <c r="H150" s="9">
        <v>28554.67</v>
      </c>
      <c r="I150" s="8">
        <v>9</v>
      </c>
      <c r="J150" s="10">
        <v>7750.57</v>
      </c>
      <c r="K150" s="14" t="str" cm="1">
        <f t="array" ref="K150">_xlfn.IFS(Table4[[#This Row],[Sales]]&gt;40000,"Best Sales",Table4[[#This Row],[Sales]]&gt;20000,"Average Sales",Table4[[#This Row],[Sales]]&gt;0,"Poor Sales")</f>
        <v>Average Sales</v>
      </c>
    </row>
    <row r="151" spans="1:11" x14ac:dyDescent="0.3">
      <c r="A151" s="11">
        <v>150</v>
      </c>
      <c r="B151" s="12">
        <v>44960</v>
      </c>
      <c r="C151" s="13" t="s">
        <v>18</v>
      </c>
      <c r="D151" s="13" t="s">
        <v>19</v>
      </c>
      <c r="E151" s="13" t="s">
        <v>17</v>
      </c>
      <c r="F151" s="13" t="s">
        <v>13</v>
      </c>
      <c r="G151" s="13" t="s">
        <v>34</v>
      </c>
      <c r="H151" s="14">
        <v>8418.6</v>
      </c>
      <c r="I151" s="13">
        <v>7</v>
      </c>
      <c r="J151" s="15">
        <v>1523.75</v>
      </c>
      <c r="K151" s="14" t="str" cm="1">
        <f t="array" ref="K151">_xlfn.IFS(Table4[[#This Row],[Sales]]&gt;40000,"Best Sales",Table4[[#This Row],[Sales]]&gt;20000,"Average Sales",Table4[[#This Row],[Sales]]&gt;0,"Poor Sales")</f>
        <v>Poor Sales</v>
      </c>
    </row>
    <row r="152" spans="1:11" x14ac:dyDescent="0.3">
      <c r="A152" s="6">
        <v>151</v>
      </c>
      <c r="B152" s="7">
        <v>45257</v>
      </c>
      <c r="C152" s="8" t="s">
        <v>18</v>
      </c>
      <c r="D152" s="8" t="s">
        <v>19</v>
      </c>
      <c r="E152" s="8" t="s">
        <v>17</v>
      </c>
      <c r="F152" s="8" t="s">
        <v>24</v>
      </c>
      <c r="G152" s="8" t="s">
        <v>28</v>
      </c>
      <c r="H152" s="9">
        <v>27560.07</v>
      </c>
      <c r="I152" s="8">
        <v>8</v>
      </c>
      <c r="J152" s="10">
        <v>2515.9699999999998</v>
      </c>
      <c r="K152" s="14" t="str" cm="1">
        <f t="array" ref="K152">_xlfn.IFS(Table4[[#This Row],[Sales]]&gt;40000,"Best Sales",Table4[[#This Row],[Sales]]&gt;20000,"Average Sales",Table4[[#This Row],[Sales]]&gt;0,"Poor Sales")</f>
        <v>Average Sales</v>
      </c>
    </row>
    <row r="153" spans="1:11" x14ac:dyDescent="0.3">
      <c r="A153" s="11">
        <v>152</v>
      </c>
      <c r="B153" s="12">
        <v>45201</v>
      </c>
      <c r="C153" s="13" t="s">
        <v>35</v>
      </c>
      <c r="D153" s="13" t="s">
        <v>36</v>
      </c>
      <c r="E153" s="13" t="s">
        <v>17</v>
      </c>
      <c r="F153" s="13" t="s">
        <v>24</v>
      </c>
      <c r="G153" s="13" t="s">
        <v>25</v>
      </c>
      <c r="H153" s="14">
        <v>13616.19</v>
      </c>
      <c r="I153" s="13">
        <v>10</v>
      </c>
      <c r="J153" s="15">
        <v>4009.3</v>
      </c>
      <c r="K153" s="14" t="str" cm="1">
        <f t="array" ref="K153">_xlfn.IFS(Table4[[#This Row],[Sales]]&gt;40000,"Best Sales",Table4[[#This Row],[Sales]]&gt;20000,"Average Sales",Table4[[#This Row],[Sales]]&gt;0,"Poor Sales")</f>
        <v>Poor Sales</v>
      </c>
    </row>
    <row r="154" spans="1:11" x14ac:dyDescent="0.3">
      <c r="A154" s="6">
        <v>153</v>
      </c>
      <c r="B154" s="7">
        <v>45139</v>
      </c>
      <c r="C154" s="8" t="s">
        <v>35</v>
      </c>
      <c r="D154" s="8" t="s">
        <v>36</v>
      </c>
      <c r="E154" s="8" t="s">
        <v>17</v>
      </c>
      <c r="F154" s="8" t="s">
        <v>13</v>
      </c>
      <c r="G154" s="8" t="s">
        <v>21</v>
      </c>
      <c r="H154" s="9">
        <v>25212.93</v>
      </c>
      <c r="I154" s="8">
        <v>8</v>
      </c>
      <c r="J154" s="10">
        <v>3535.68</v>
      </c>
      <c r="K154" s="14" t="str" cm="1">
        <f t="array" ref="K154">_xlfn.IFS(Table4[[#This Row],[Sales]]&gt;40000,"Best Sales",Table4[[#This Row],[Sales]]&gt;20000,"Average Sales",Table4[[#This Row],[Sales]]&gt;0,"Poor Sales")</f>
        <v>Average Sales</v>
      </c>
    </row>
    <row r="155" spans="1:11" x14ac:dyDescent="0.3">
      <c r="A155" s="11">
        <v>154</v>
      </c>
      <c r="B155" s="12">
        <v>44977</v>
      </c>
      <c r="C155" s="13" t="s">
        <v>15</v>
      </c>
      <c r="D155" s="13" t="s">
        <v>16</v>
      </c>
      <c r="E155" s="13" t="s">
        <v>17</v>
      </c>
      <c r="F155" s="13" t="s">
        <v>31</v>
      </c>
      <c r="G155" s="13" t="s">
        <v>39</v>
      </c>
      <c r="H155" s="14">
        <v>43825.39</v>
      </c>
      <c r="I155" s="13">
        <v>6</v>
      </c>
      <c r="J155" s="15">
        <v>10611</v>
      </c>
      <c r="K155" s="14" t="str" cm="1">
        <f t="array" ref="K155">_xlfn.IFS(Table4[[#This Row],[Sales]]&gt;40000,"Best Sales",Table4[[#This Row],[Sales]]&gt;20000,"Average Sales",Table4[[#This Row],[Sales]]&gt;0,"Poor Sales")</f>
        <v>Best Sales</v>
      </c>
    </row>
    <row r="156" spans="1:11" x14ac:dyDescent="0.3">
      <c r="A156" s="6">
        <v>155</v>
      </c>
      <c r="B156" s="7">
        <v>45011</v>
      </c>
      <c r="C156" s="8" t="s">
        <v>22</v>
      </c>
      <c r="D156" s="8" t="s">
        <v>22</v>
      </c>
      <c r="E156" s="8" t="s">
        <v>17</v>
      </c>
      <c r="F156" s="8" t="s">
        <v>24</v>
      </c>
      <c r="G156" s="8" t="s">
        <v>29</v>
      </c>
      <c r="H156" s="9">
        <v>40738.550000000003</v>
      </c>
      <c r="I156" s="8">
        <v>10</v>
      </c>
      <c r="J156" s="10">
        <v>3969.18</v>
      </c>
      <c r="K156" s="14" t="str" cm="1">
        <f t="array" ref="K156">_xlfn.IFS(Table4[[#This Row],[Sales]]&gt;40000,"Best Sales",Table4[[#This Row],[Sales]]&gt;20000,"Average Sales",Table4[[#This Row],[Sales]]&gt;0,"Poor Sales")</f>
        <v>Best Sales</v>
      </c>
    </row>
    <row r="157" spans="1:11" x14ac:dyDescent="0.3">
      <c r="A157" s="11">
        <v>156</v>
      </c>
      <c r="B157" s="12">
        <v>45007</v>
      </c>
      <c r="C157" s="13" t="s">
        <v>10</v>
      </c>
      <c r="D157" s="13" t="s">
        <v>11</v>
      </c>
      <c r="E157" s="13" t="s">
        <v>17</v>
      </c>
      <c r="F157" s="13" t="s">
        <v>24</v>
      </c>
      <c r="G157" s="13" t="s">
        <v>28</v>
      </c>
      <c r="H157" s="14">
        <v>8460.74</v>
      </c>
      <c r="I157" s="13">
        <v>4</v>
      </c>
      <c r="J157" s="15">
        <v>1472.42</v>
      </c>
      <c r="K157" s="14" t="str" cm="1">
        <f t="array" ref="K157">_xlfn.IFS(Table4[[#This Row],[Sales]]&gt;40000,"Best Sales",Table4[[#This Row],[Sales]]&gt;20000,"Average Sales",Table4[[#This Row],[Sales]]&gt;0,"Poor Sales")</f>
        <v>Poor Sales</v>
      </c>
    </row>
    <row r="158" spans="1:11" x14ac:dyDescent="0.3">
      <c r="A158" s="6">
        <v>157</v>
      </c>
      <c r="B158" s="7">
        <v>45002</v>
      </c>
      <c r="C158" s="8" t="s">
        <v>37</v>
      </c>
      <c r="D158" s="8" t="s">
        <v>27</v>
      </c>
      <c r="E158" s="8" t="s">
        <v>17</v>
      </c>
      <c r="F158" s="8" t="s">
        <v>13</v>
      </c>
      <c r="G158" s="8" t="s">
        <v>34</v>
      </c>
      <c r="H158" s="9">
        <v>41629.51</v>
      </c>
      <c r="I158" s="8">
        <v>9</v>
      </c>
      <c r="J158" s="10">
        <v>11605.29</v>
      </c>
      <c r="K158" s="14" t="str" cm="1">
        <f t="array" ref="K158">_xlfn.IFS(Table4[[#This Row],[Sales]]&gt;40000,"Best Sales",Table4[[#This Row],[Sales]]&gt;20000,"Average Sales",Table4[[#This Row],[Sales]]&gt;0,"Poor Sales")</f>
        <v>Best Sales</v>
      </c>
    </row>
    <row r="159" spans="1:11" x14ac:dyDescent="0.3">
      <c r="A159" s="11">
        <v>158</v>
      </c>
      <c r="B159" s="12">
        <v>45166</v>
      </c>
      <c r="C159" s="13" t="s">
        <v>15</v>
      </c>
      <c r="D159" s="13" t="s">
        <v>16</v>
      </c>
      <c r="E159" s="13" t="s">
        <v>17</v>
      </c>
      <c r="F159" s="13" t="s">
        <v>24</v>
      </c>
      <c r="G159" s="13" t="s">
        <v>28</v>
      </c>
      <c r="H159" s="14">
        <v>26680.82</v>
      </c>
      <c r="I159" s="13">
        <v>2</v>
      </c>
      <c r="J159" s="15">
        <v>5004.5</v>
      </c>
      <c r="K159" s="14" t="str" cm="1">
        <f t="array" ref="K159">_xlfn.IFS(Table4[[#This Row],[Sales]]&gt;40000,"Best Sales",Table4[[#This Row],[Sales]]&gt;20000,"Average Sales",Table4[[#This Row],[Sales]]&gt;0,"Poor Sales")</f>
        <v>Average Sales</v>
      </c>
    </row>
    <row r="160" spans="1:11" x14ac:dyDescent="0.3">
      <c r="A160" s="6">
        <v>159</v>
      </c>
      <c r="B160" s="7">
        <v>45085</v>
      </c>
      <c r="C160" s="8" t="s">
        <v>15</v>
      </c>
      <c r="D160" s="8" t="s">
        <v>16</v>
      </c>
      <c r="E160" s="8" t="s">
        <v>17</v>
      </c>
      <c r="F160" s="8" t="s">
        <v>24</v>
      </c>
      <c r="G160" s="8" t="s">
        <v>28</v>
      </c>
      <c r="H160" s="9">
        <v>31459.86</v>
      </c>
      <c r="I160" s="8">
        <v>7</v>
      </c>
      <c r="J160" s="10">
        <v>2921.88</v>
      </c>
      <c r="K160" s="14" t="str" cm="1">
        <f t="array" ref="K160">_xlfn.IFS(Table4[[#This Row],[Sales]]&gt;40000,"Best Sales",Table4[[#This Row],[Sales]]&gt;20000,"Average Sales",Table4[[#This Row],[Sales]]&gt;0,"Poor Sales")</f>
        <v>Average Sales</v>
      </c>
    </row>
    <row r="161" spans="1:11" x14ac:dyDescent="0.3">
      <c r="A161" s="11">
        <v>160</v>
      </c>
      <c r="B161" s="12">
        <v>45122</v>
      </c>
      <c r="C161" s="13" t="s">
        <v>26</v>
      </c>
      <c r="D161" s="13" t="s">
        <v>27</v>
      </c>
      <c r="E161" s="13" t="s">
        <v>17</v>
      </c>
      <c r="F161" s="13" t="s">
        <v>24</v>
      </c>
      <c r="G161" s="13" t="s">
        <v>25</v>
      </c>
      <c r="H161" s="14">
        <v>2532.71</v>
      </c>
      <c r="I161" s="13">
        <v>8</v>
      </c>
      <c r="J161" s="15">
        <v>324.74</v>
      </c>
      <c r="K161" s="14" t="str" cm="1">
        <f t="array" ref="K161">_xlfn.IFS(Table4[[#This Row],[Sales]]&gt;40000,"Best Sales",Table4[[#This Row],[Sales]]&gt;20000,"Average Sales",Table4[[#This Row],[Sales]]&gt;0,"Poor Sales")</f>
        <v>Poor Sales</v>
      </c>
    </row>
    <row r="162" spans="1:11" x14ac:dyDescent="0.3">
      <c r="A162" s="6">
        <v>161</v>
      </c>
      <c r="B162" s="7">
        <v>45062</v>
      </c>
      <c r="C162" s="8" t="s">
        <v>38</v>
      </c>
      <c r="D162" s="8" t="s">
        <v>27</v>
      </c>
      <c r="E162" s="8" t="s">
        <v>17</v>
      </c>
      <c r="F162" s="8" t="s">
        <v>31</v>
      </c>
      <c r="G162" s="8" t="s">
        <v>33</v>
      </c>
      <c r="H162" s="9">
        <v>26794.54</v>
      </c>
      <c r="I162" s="8">
        <v>8</v>
      </c>
      <c r="J162" s="10">
        <v>5027.8900000000003</v>
      </c>
      <c r="K162" s="14" t="str" cm="1">
        <f t="array" ref="K162">_xlfn.IFS(Table4[[#This Row],[Sales]]&gt;40000,"Best Sales",Table4[[#This Row],[Sales]]&gt;20000,"Average Sales",Table4[[#This Row],[Sales]]&gt;0,"Poor Sales")</f>
        <v>Average Sales</v>
      </c>
    </row>
    <row r="163" spans="1:11" x14ac:dyDescent="0.3">
      <c r="A163" s="11">
        <v>162</v>
      </c>
      <c r="B163" s="12">
        <v>45069</v>
      </c>
      <c r="C163" s="13" t="s">
        <v>10</v>
      </c>
      <c r="D163" s="13" t="s">
        <v>11</v>
      </c>
      <c r="E163" s="13" t="s">
        <v>17</v>
      </c>
      <c r="F163" s="13" t="s">
        <v>31</v>
      </c>
      <c r="G163" s="13" t="s">
        <v>33</v>
      </c>
      <c r="H163" s="14">
        <v>36838.78</v>
      </c>
      <c r="I163" s="13">
        <v>6</v>
      </c>
      <c r="J163" s="15">
        <v>4092.23</v>
      </c>
      <c r="K163" s="14" t="str" cm="1">
        <f t="array" ref="K163">_xlfn.IFS(Table4[[#This Row],[Sales]]&gt;40000,"Best Sales",Table4[[#This Row],[Sales]]&gt;20000,"Average Sales",Table4[[#This Row],[Sales]]&gt;0,"Poor Sales")</f>
        <v>Average Sales</v>
      </c>
    </row>
    <row r="164" spans="1:11" x14ac:dyDescent="0.3">
      <c r="A164" s="6">
        <v>163</v>
      </c>
      <c r="B164" s="7">
        <v>45233</v>
      </c>
      <c r="C164" s="8" t="s">
        <v>22</v>
      </c>
      <c r="D164" s="8" t="s">
        <v>22</v>
      </c>
      <c r="E164" s="8" t="s">
        <v>17</v>
      </c>
      <c r="F164" s="8" t="s">
        <v>31</v>
      </c>
      <c r="G164" s="8" t="s">
        <v>39</v>
      </c>
      <c r="H164" s="9">
        <v>13801.62</v>
      </c>
      <c r="I164" s="8">
        <v>1</v>
      </c>
      <c r="J164" s="10">
        <v>1863.69</v>
      </c>
      <c r="K164" s="14" t="str" cm="1">
        <f t="array" ref="K164">_xlfn.IFS(Table4[[#This Row],[Sales]]&gt;40000,"Best Sales",Table4[[#This Row],[Sales]]&gt;20000,"Average Sales",Table4[[#This Row],[Sales]]&gt;0,"Poor Sales")</f>
        <v>Poor Sales</v>
      </c>
    </row>
    <row r="165" spans="1:11" x14ac:dyDescent="0.3">
      <c r="A165" s="11">
        <v>164</v>
      </c>
      <c r="B165" s="12">
        <v>45018</v>
      </c>
      <c r="C165" s="13" t="s">
        <v>37</v>
      </c>
      <c r="D165" s="13" t="s">
        <v>27</v>
      </c>
      <c r="E165" s="13" t="s">
        <v>17</v>
      </c>
      <c r="F165" s="13" t="s">
        <v>31</v>
      </c>
      <c r="G165" s="13" t="s">
        <v>32</v>
      </c>
      <c r="H165" s="14">
        <v>26884.04</v>
      </c>
      <c r="I165" s="13">
        <v>9</v>
      </c>
      <c r="J165" s="15">
        <v>4634.18</v>
      </c>
      <c r="K165" s="14" t="str" cm="1">
        <f t="array" ref="K165">_xlfn.IFS(Table4[[#This Row],[Sales]]&gt;40000,"Best Sales",Table4[[#This Row],[Sales]]&gt;20000,"Average Sales",Table4[[#This Row],[Sales]]&gt;0,"Poor Sales")</f>
        <v>Average Sales</v>
      </c>
    </row>
    <row r="166" spans="1:11" x14ac:dyDescent="0.3">
      <c r="A166" s="6">
        <v>165</v>
      </c>
      <c r="B166" s="7">
        <v>45280</v>
      </c>
      <c r="C166" s="8" t="s">
        <v>22</v>
      </c>
      <c r="D166" s="8" t="s">
        <v>22</v>
      </c>
      <c r="E166" s="8" t="s">
        <v>17</v>
      </c>
      <c r="F166" s="8" t="s">
        <v>31</v>
      </c>
      <c r="G166" s="8" t="s">
        <v>39</v>
      </c>
      <c r="H166" s="9">
        <v>24536.3</v>
      </c>
      <c r="I166" s="8">
        <v>4</v>
      </c>
      <c r="J166" s="10">
        <v>4883.58</v>
      </c>
      <c r="K166" s="14" t="str" cm="1">
        <f t="array" ref="K166">_xlfn.IFS(Table4[[#This Row],[Sales]]&gt;40000,"Best Sales",Table4[[#This Row],[Sales]]&gt;20000,"Average Sales",Table4[[#This Row],[Sales]]&gt;0,"Poor Sales")</f>
        <v>Average Sales</v>
      </c>
    </row>
    <row r="167" spans="1:11" x14ac:dyDescent="0.3">
      <c r="A167" s="11">
        <v>166</v>
      </c>
      <c r="B167" s="12">
        <v>45092</v>
      </c>
      <c r="C167" s="13" t="s">
        <v>26</v>
      </c>
      <c r="D167" s="13" t="s">
        <v>27</v>
      </c>
      <c r="E167" s="13" t="s">
        <v>17</v>
      </c>
      <c r="F167" s="13" t="s">
        <v>13</v>
      </c>
      <c r="G167" s="13" t="s">
        <v>14</v>
      </c>
      <c r="H167" s="14">
        <v>38091.9</v>
      </c>
      <c r="I167" s="13">
        <v>3</v>
      </c>
      <c r="J167" s="15">
        <v>2162.17</v>
      </c>
      <c r="K167" s="14" t="str" cm="1">
        <f t="array" ref="K167">_xlfn.IFS(Table4[[#This Row],[Sales]]&gt;40000,"Best Sales",Table4[[#This Row],[Sales]]&gt;20000,"Average Sales",Table4[[#This Row],[Sales]]&gt;0,"Poor Sales")</f>
        <v>Average Sales</v>
      </c>
    </row>
    <row r="168" spans="1:11" x14ac:dyDescent="0.3">
      <c r="A168" s="6">
        <v>167</v>
      </c>
      <c r="B168" s="7">
        <v>45066</v>
      </c>
      <c r="C168" s="8" t="s">
        <v>38</v>
      </c>
      <c r="D168" s="8" t="s">
        <v>27</v>
      </c>
      <c r="E168" s="8" t="s">
        <v>17</v>
      </c>
      <c r="F168" s="8" t="s">
        <v>24</v>
      </c>
      <c r="G168" s="8" t="s">
        <v>28</v>
      </c>
      <c r="H168" s="9">
        <v>39598.29</v>
      </c>
      <c r="I168" s="8">
        <v>5</v>
      </c>
      <c r="J168" s="10">
        <v>6403.75</v>
      </c>
      <c r="K168" s="14" t="str" cm="1">
        <f t="array" ref="K168">_xlfn.IFS(Table4[[#This Row],[Sales]]&gt;40000,"Best Sales",Table4[[#This Row],[Sales]]&gt;20000,"Average Sales",Table4[[#This Row],[Sales]]&gt;0,"Poor Sales")</f>
        <v>Average Sales</v>
      </c>
    </row>
    <row r="169" spans="1:11" x14ac:dyDescent="0.3">
      <c r="A169" s="11">
        <v>168</v>
      </c>
      <c r="B169" s="12">
        <v>44968</v>
      </c>
      <c r="C169" s="13" t="s">
        <v>38</v>
      </c>
      <c r="D169" s="13" t="s">
        <v>27</v>
      </c>
      <c r="E169" s="13" t="s">
        <v>17</v>
      </c>
      <c r="F169" s="13" t="s">
        <v>13</v>
      </c>
      <c r="G169" s="13" t="s">
        <v>34</v>
      </c>
      <c r="H169" s="14">
        <v>4814.78</v>
      </c>
      <c r="I169" s="13">
        <v>6</v>
      </c>
      <c r="J169" s="15">
        <v>378.7</v>
      </c>
      <c r="K169" s="14" t="str" cm="1">
        <f t="array" ref="K169">_xlfn.IFS(Table4[[#This Row],[Sales]]&gt;40000,"Best Sales",Table4[[#This Row],[Sales]]&gt;20000,"Average Sales",Table4[[#This Row],[Sales]]&gt;0,"Poor Sales")</f>
        <v>Poor Sales</v>
      </c>
    </row>
    <row r="170" spans="1:11" x14ac:dyDescent="0.3">
      <c r="A170" s="6">
        <v>169</v>
      </c>
      <c r="B170" s="7">
        <v>45237</v>
      </c>
      <c r="C170" s="8" t="s">
        <v>18</v>
      </c>
      <c r="D170" s="8" t="s">
        <v>19</v>
      </c>
      <c r="E170" s="8" t="s">
        <v>17</v>
      </c>
      <c r="F170" s="8" t="s">
        <v>31</v>
      </c>
      <c r="G170" s="8" t="s">
        <v>32</v>
      </c>
      <c r="H170" s="9">
        <v>20072.27</v>
      </c>
      <c r="I170" s="8">
        <v>1</v>
      </c>
      <c r="J170" s="10">
        <v>4794.18</v>
      </c>
      <c r="K170" s="14" t="str" cm="1">
        <f t="array" ref="K170">_xlfn.IFS(Table4[[#This Row],[Sales]]&gt;40000,"Best Sales",Table4[[#This Row],[Sales]]&gt;20000,"Average Sales",Table4[[#This Row],[Sales]]&gt;0,"Poor Sales")</f>
        <v>Average Sales</v>
      </c>
    </row>
    <row r="171" spans="1:11" x14ac:dyDescent="0.3">
      <c r="A171" s="11">
        <v>170</v>
      </c>
      <c r="B171" s="12">
        <v>45175</v>
      </c>
      <c r="C171" s="13" t="s">
        <v>10</v>
      </c>
      <c r="D171" s="13" t="s">
        <v>11</v>
      </c>
      <c r="E171" s="13" t="s">
        <v>17</v>
      </c>
      <c r="F171" s="13" t="s">
        <v>31</v>
      </c>
      <c r="G171" s="13" t="s">
        <v>32</v>
      </c>
      <c r="H171" s="14">
        <v>23725.51</v>
      </c>
      <c r="I171" s="13">
        <v>1</v>
      </c>
      <c r="J171" s="15">
        <v>1324.6</v>
      </c>
      <c r="K171" s="14" t="str" cm="1">
        <f t="array" ref="K171">_xlfn.IFS(Table4[[#This Row],[Sales]]&gt;40000,"Best Sales",Table4[[#This Row],[Sales]]&gt;20000,"Average Sales",Table4[[#This Row],[Sales]]&gt;0,"Poor Sales")</f>
        <v>Average Sales</v>
      </c>
    </row>
    <row r="172" spans="1:11" x14ac:dyDescent="0.3">
      <c r="A172" s="6">
        <v>171</v>
      </c>
      <c r="B172" s="7">
        <v>45192</v>
      </c>
      <c r="C172" s="8" t="s">
        <v>18</v>
      </c>
      <c r="D172" s="8" t="s">
        <v>19</v>
      </c>
      <c r="E172" s="8" t="s">
        <v>17</v>
      </c>
      <c r="F172" s="8" t="s">
        <v>13</v>
      </c>
      <c r="G172" s="8" t="s">
        <v>14</v>
      </c>
      <c r="H172" s="9">
        <v>6338.6</v>
      </c>
      <c r="I172" s="8">
        <v>10</v>
      </c>
      <c r="J172" s="10">
        <v>850.83</v>
      </c>
      <c r="K172" s="14" t="str" cm="1">
        <f t="array" ref="K172">_xlfn.IFS(Table4[[#This Row],[Sales]]&gt;40000,"Best Sales",Table4[[#This Row],[Sales]]&gt;20000,"Average Sales",Table4[[#This Row],[Sales]]&gt;0,"Poor Sales")</f>
        <v>Poor Sales</v>
      </c>
    </row>
    <row r="173" spans="1:11" x14ac:dyDescent="0.3">
      <c r="A173" s="11">
        <v>172</v>
      </c>
      <c r="B173" s="12">
        <v>44934</v>
      </c>
      <c r="C173" s="13" t="s">
        <v>26</v>
      </c>
      <c r="D173" s="13" t="s">
        <v>27</v>
      </c>
      <c r="E173" s="13" t="s">
        <v>17</v>
      </c>
      <c r="F173" s="13" t="s">
        <v>31</v>
      </c>
      <c r="G173" s="13" t="s">
        <v>33</v>
      </c>
      <c r="H173" s="14">
        <v>43340.91</v>
      </c>
      <c r="I173" s="13">
        <v>3</v>
      </c>
      <c r="J173" s="15">
        <v>3409.31</v>
      </c>
      <c r="K173" s="14" t="str" cm="1">
        <f t="array" ref="K173">_xlfn.IFS(Table4[[#This Row],[Sales]]&gt;40000,"Best Sales",Table4[[#This Row],[Sales]]&gt;20000,"Average Sales",Table4[[#This Row],[Sales]]&gt;0,"Poor Sales")</f>
        <v>Best Sales</v>
      </c>
    </row>
    <row r="174" spans="1:11" x14ac:dyDescent="0.3">
      <c r="A174" s="6">
        <v>173</v>
      </c>
      <c r="B174" s="7">
        <v>45014</v>
      </c>
      <c r="C174" s="8" t="s">
        <v>37</v>
      </c>
      <c r="D174" s="8" t="s">
        <v>27</v>
      </c>
      <c r="E174" s="8" t="s">
        <v>17</v>
      </c>
      <c r="F174" s="8" t="s">
        <v>31</v>
      </c>
      <c r="G174" s="8" t="s">
        <v>39</v>
      </c>
      <c r="H174" s="9">
        <v>5774.71</v>
      </c>
      <c r="I174" s="8">
        <v>6</v>
      </c>
      <c r="J174" s="10">
        <v>1350.62</v>
      </c>
      <c r="K174" s="14" t="str" cm="1">
        <f t="array" ref="K174">_xlfn.IFS(Table4[[#This Row],[Sales]]&gt;40000,"Best Sales",Table4[[#This Row],[Sales]]&gt;20000,"Average Sales",Table4[[#This Row],[Sales]]&gt;0,"Poor Sales")</f>
        <v>Poor Sales</v>
      </c>
    </row>
    <row r="175" spans="1:11" x14ac:dyDescent="0.3">
      <c r="A175" s="11">
        <v>174</v>
      </c>
      <c r="B175" s="12">
        <v>45178</v>
      </c>
      <c r="C175" s="13" t="s">
        <v>10</v>
      </c>
      <c r="D175" s="13" t="s">
        <v>11</v>
      </c>
      <c r="E175" s="13" t="s">
        <v>17</v>
      </c>
      <c r="F175" s="13" t="s">
        <v>13</v>
      </c>
      <c r="G175" s="13" t="s">
        <v>14</v>
      </c>
      <c r="H175" s="14">
        <v>31543.41</v>
      </c>
      <c r="I175" s="13">
        <v>7</v>
      </c>
      <c r="J175" s="15">
        <v>7095.9</v>
      </c>
      <c r="K175" s="14" t="str" cm="1">
        <f t="array" ref="K175">_xlfn.IFS(Table4[[#This Row],[Sales]]&gt;40000,"Best Sales",Table4[[#This Row],[Sales]]&gt;20000,"Average Sales",Table4[[#This Row],[Sales]]&gt;0,"Poor Sales")</f>
        <v>Average Sales</v>
      </c>
    </row>
    <row r="176" spans="1:11" x14ac:dyDescent="0.3">
      <c r="A176" s="6">
        <v>175</v>
      </c>
      <c r="B176" s="7">
        <v>45127</v>
      </c>
      <c r="C176" s="8" t="s">
        <v>37</v>
      </c>
      <c r="D176" s="8" t="s">
        <v>27</v>
      </c>
      <c r="E176" s="8" t="s">
        <v>17</v>
      </c>
      <c r="F176" s="8" t="s">
        <v>24</v>
      </c>
      <c r="G176" s="8" t="s">
        <v>28</v>
      </c>
      <c r="H176" s="9">
        <v>48726.25</v>
      </c>
      <c r="I176" s="8">
        <v>6</v>
      </c>
      <c r="J176" s="10">
        <v>9754.02</v>
      </c>
      <c r="K176" s="14" t="str" cm="1">
        <f t="array" ref="K176">_xlfn.IFS(Table4[[#This Row],[Sales]]&gt;40000,"Best Sales",Table4[[#This Row],[Sales]]&gt;20000,"Average Sales",Table4[[#This Row],[Sales]]&gt;0,"Poor Sales")</f>
        <v>Best Sales</v>
      </c>
    </row>
    <row r="177" spans="1:11" x14ac:dyDescent="0.3">
      <c r="A177" s="11">
        <v>176</v>
      </c>
      <c r="B177" s="12">
        <v>45082</v>
      </c>
      <c r="C177" s="13" t="s">
        <v>22</v>
      </c>
      <c r="D177" s="13" t="s">
        <v>22</v>
      </c>
      <c r="E177" s="13" t="s">
        <v>17</v>
      </c>
      <c r="F177" s="13" t="s">
        <v>13</v>
      </c>
      <c r="G177" s="13" t="s">
        <v>21</v>
      </c>
      <c r="H177" s="14">
        <v>4877.32</v>
      </c>
      <c r="I177" s="13">
        <v>2</v>
      </c>
      <c r="J177" s="15">
        <v>678.04</v>
      </c>
      <c r="K177" s="14" t="str" cm="1">
        <f t="array" ref="K177">_xlfn.IFS(Table4[[#This Row],[Sales]]&gt;40000,"Best Sales",Table4[[#This Row],[Sales]]&gt;20000,"Average Sales",Table4[[#This Row],[Sales]]&gt;0,"Poor Sales")</f>
        <v>Poor Sales</v>
      </c>
    </row>
    <row r="178" spans="1:11" x14ac:dyDescent="0.3">
      <c r="A178" s="6">
        <v>177</v>
      </c>
      <c r="B178" s="7">
        <v>45227</v>
      </c>
      <c r="C178" s="8" t="s">
        <v>30</v>
      </c>
      <c r="D178" s="8" t="s">
        <v>16</v>
      </c>
      <c r="E178" s="8" t="s">
        <v>17</v>
      </c>
      <c r="F178" s="8" t="s">
        <v>24</v>
      </c>
      <c r="G178" s="8" t="s">
        <v>28</v>
      </c>
      <c r="H178" s="9">
        <v>36632.480000000003</v>
      </c>
      <c r="I178" s="8">
        <v>5</v>
      </c>
      <c r="J178" s="10">
        <v>4419.68</v>
      </c>
      <c r="K178" s="14" t="str" cm="1">
        <f t="array" ref="K178">_xlfn.IFS(Table4[[#This Row],[Sales]]&gt;40000,"Best Sales",Table4[[#This Row],[Sales]]&gt;20000,"Average Sales",Table4[[#This Row],[Sales]]&gt;0,"Poor Sales")</f>
        <v>Average Sales</v>
      </c>
    </row>
    <row r="179" spans="1:11" x14ac:dyDescent="0.3">
      <c r="A179" s="11">
        <v>178</v>
      </c>
      <c r="B179" s="12">
        <v>44978</v>
      </c>
      <c r="C179" s="13" t="s">
        <v>26</v>
      </c>
      <c r="D179" s="13" t="s">
        <v>27</v>
      </c>
      <c r="E179" s="13" t="s">
        <v>17</v>
      </c>
      <c r="F179" s="13" t="s">
        <v>31</v>
      </c>
      <c r="G179" s="13" t="s">
        <v>32</v>
      </c>
      <c r="H179" s="14">
        <v>7302.34</v>
      </c>
      <c r="I179" s="13">
        <v>10</v>
      </c>
      <c r="J179" s="15">
        <v>909.18</v>
      </c>
      <c r="K179" s="14" t="str" cm="1">
        <f t="array" ref="K179">_xlfn.IFS(Table4[[#This Row],[Sales]]&gt;40000,"Best Sales",Table4[[#This Row],[Sales]]&gt;20000,"Average Sales",Table4[[#This Row],[Sales]]&gt;0,"Poor Sales")</f>
        <v>Poor Sales</v>
      </c>
    </row>
    <row r="180" spans="1:11" x14ac:dyDescent="0.3">
      <c r="A180" s="6">
        <v>179</v>
      </c>
      <c r="B180" s="7">
        <v>44993</v>
      </c>
      <c r="C180" s="8" t="s">
        <v>15</v>
      </c>
      <c r="D180" s="8" t="s">
        <v>16</v>
      </c>
      <c r="E180" s="8" t="s">
        <v>17</v>
      </c>
      <c r="F180" s="8" t="s">
        <v>31</v>
      </c>
      <c r="G180" s="8" t="s">
        <v>39</v>
      </c>
      <c r="H180" s="9">
        <v>17646.86</v>
      </c>
      <c r="I180" s="8">
        <v>9</v>
      </c>
      <c r="J180" s="10">
        <v>3145.05</v>
      </c>
      <c r="K180" s="14" t="str" cm="1">
        <f t="array" ref="K180">_xlfn.IFS(Table4[[#This Row],[Sales]]&gt;40000,"Best Sales",Table4[[#This Row],[Sales]]&gt;20000,"Average Sales",Table4[[#This Row],[Sales]]&gt;0,"Poor Sales")</f>
        <v>Poor Sales</v>
      </c>
    </row>
    <row r="181" spans="1:11" x14ac:dyDescent="0.3">
      <c r="A181" s="11">
        <v>180</v>
      </c>
      <c r="B181" s="12">
        <v>45230</v>
      </c>
      <c r="C181" s="13" t="s">
        <v>37</v>
      </c>
      <c r="D181" s="13" t="s">
        <v>27</v>
      </c>
      <c r="E181" s="13" t="s">
        <v>17</v>
      </c>
      <c r="F181" s="13" t="s">
        <v>13</v>
      </c>
      <c r="G181" s="13" t="s">
        <v>14</v>
      </c>
      <c r="H181" s="14">
        <v>18272.21</v>
      </c>
      <c r="I181" s="13">
        <v>9</v>
      </c>
      <c r="J181" s="15">
        <v>4352.6099999999997</v>
      </c>
      <c r="K181" s="14" t="str" cm="1">
        <f t="array" ref="K181">_xlfn.IFS(Table4[[#This Row],[Sales]]&gt;40000,"Best Sales",Table4[[#This Row],[Sales]]&gt;20000,"Average Sales",Table4[[#This Row],[Sales]]&gt;0,"Poor Sales")</f>
        <v>Poor Sales</v>
      </c>
    </row>
    <row r="182" spans="1:11" x14ac:dyDescent="0.3">
      <c r="A182" s="6">
        <v>181</v>
      </c>
      <c r="B182" s="7">
        <v>45151</v>
      </c>
      <c r="C182" s="8" t="s">
        <v>22</v>
      </c>
      <c r="D182" s="8" t="s">
        <v>22</v>
      </c>
      <c r="E182" s="8" t="s">
        <v>17</v>
      </c>
      <c r="F182" s="8" t="s">
        <v>24</v>
      </c>
      <c r="G182" s="8" t="s">
        <v>29</v>
      </c>
      <c r="H182" s="9">
        <v>30968.38</v>
      </c>
      <c r="I182" s="8">
        <v>7</v>
      </c>
      <c r="J182" s="10">
        <v>4688.1000000000004</v>
      </c>
      <c r="K182" s="14" t="str" cm="1">
        <f t="array" ref="K182">_xlfn.IFS(Table4[[#This Row],[Sales]]&gt;40000,"Best Sales",Table4[[#This Row],[Sales]]&gt;20000,"Average Sales",Table4[[#This Row],[Sales]]&gt;0,"Poor Sales")</f>
        <v>Average Sales</v>
      </c>
    </row>
    <row r="183" spans="1:11" x14ac:dyDescent="0.3">
      <c r="A183" s="11">
        <v>182</v>
      </c>
      <c r="B183" s="12">
        <v>45080</v>
      </c>
      <c r="C183" s="13" t="s">
        <v>26</v>
      </c>
      <c r="D183" s="13" t="s">
        <v>27</v>
      </c>
      <c r="E183" s="13" t="s">
        <v>17</v>
      </c>
      <c r="F183" s="13" t="s">
        <v>31</v>
      </c>
      <c r="G183" s="13" t="s">
        <v>33</v>
      </c>
      <c r="H183" s="14">
        <v>17745.36</v>
      </c>
      <c r="I183" s="13">
        <v>2</v>
      </c>
      <c r="J183" s="15">
        <v>1736.15</v>
      </c>
      <c r="K183" s="14" t="str" cm="1">
        <f t="array" ref="K183">_xlfn.IFS(Table4[[#This Row],[Sales]]&gt;40000,"Best Sales",Table4[[#This Row],[Sales]]&gt;20000,"Average Sales",Table4[[#This Row],[Sales]]&gt;0,"Poor Sales")</f>
        <v>Poor Sales</v>
      </c>
    </row>
    <row r="184" spans="1:11" x14ac:dyDescent="0.3">
      <c r="A184" s="6">
        <v>183</v>
      </c>
      <c r="B184" s="7">
        <v>44984</v>
      </c>
      <c r="C184" s="8" t="s">
        <v>26</v>
      </c>
      <c r="D184" s="8" t="s">
        <v>27</v>
      </c>
      <c r="E184" s="8" t="s">
        <v>17</v>
      </c>
      <c r="F184" s="8" t="s">
        <v>13</v>
      </c>
      <c r="G184" s="8" t="s">
        <v>21</v>
      </c>
      <c r="H184" s="9">
        <v>30601.31</v>
      </c>
      <c r="I184" s="8">
        <v>9</v>
      </c>
      <c r="J184" s="10">
        <v>4632.5600000000004</v>
      </c>
      <c r="K184" s="14" t="str" cm="1">
        <f t="array" ref="K184">_xlfn.IFS(Table4[[#This Row],[Sales]]&gt;40000,"Best Sales",Table4[[#This Row],[Sales]]&gt;20000,"Average Sales",Table4[[#This Row],[Sales]]&gt;0,"Poor Sales")</f>
        <v>Average Sales</v>
      </c>
    </row>
    <row r="185" spans="1:11" x14ac:dyDescent="0.3">
      <c r="A185" s="11">
        <v>184</v>
      </c>
      <c r="B185" s="12">
        <v>45256</v>
      </c>
      <c r="C185" s="13" t="s">
        <v>22</v>
      </c>
      <c r="D185" s="13" t="s">
        <v>22</v>
      </c>
      <c r="E185" s="13" t="s">
        <v>17</v>
      </c>
      <c r="F185" s="13" t="s">
        <v>24</v>
      </c>
      <c r="G185" s="13" t="s">
        <v>25</v>
      </c>
      <c r="H185" s="14">
        <v>27508.720000000001</v>
      </c>
      <c r="I185" s="13">
        <v>4</v>
      </c>
      <c r="J185" s="15">
        <v>2649.16</v>
      </c>
      <c r="K185" s="14" t="str" cm="1">
        <f t="array" ref="K185">_xlfn.IFS(Table4[[#This Row],[Sales]]&gt;40000,"Best Sales",Table4[[#This Row],[Sales]]&gt;20000,"Average Sales",Table4[[#This Row],[Sales]]&gt;0,"Poor Sales")</f>
        <v>Average Sales</v>
      </c>
    </row>
    <row r="186" spans="1:11" x14ac:dyDescent="0.3">
      <c r="A186" s="6">
        <v>185</v>
      </c>
      <c r="B186" s="7">
        <v>44959</v>
      </c>
      <c r="C186" s="8" t="s">
        <v>35</v>
      </c>
      <c r="D186" s="8" t="s">
        <v>36</v>
      </c>
      <c r="E186" s="8" t="s">
        <v>17</v>
      </c>
      <c r="F186" s="8" t="s">
        <v>24</v>
      </c>
      <c r="G186" s="8" t="s">
        <v>29</v>
      </c>
      <c r="H186" s="9">
        <v>20818.54</v>
      </c>
      <c r="I186" s="8">
        <v>10</v>
      </c>
      <c r="J186" s="10">
        <v>2457.2199999999998</v>
      </c>
      <c r="K186" s="14" t="str" cm="1">
        <f t="array" ref="K186">_xlfn.IFS(Table4[[#This Row],[Sales]]&gt;40000,"Best Sales",Table4[[#This Row],[Sales]]&gt;20000,"Average Sales",Table4[[#This Row],[Sales]]&gt;0,"Poor Sales")</f>
        <v>Average Sales</v>
      </c>
    </row>
    <row r="187" spans="1:11" x14ac:dyDescent="0.3">
      <c r="A187" s="11">
        <v>186</v>
      </c>
      <c r="B187" s="12">
        <v>44990</v>
      </c>
      <c r="C187" s="13" t="s">
        <v>18</v>
      </c>
      <c r="D187" s="13" t="s">
        <v>19</v>
      </c>
      <c r="E187" s="13" t="s">
        <v>17</v>
      </c>
      <c r="F187" s="13" t="s">
        <v>24</v>
      </c>
      <c r="G187" s="13" t="s">
        <v>29</v>
      </c>
      <c r="H187" s="14">
        <v>49951.15</v>
      </c>
      <c r="I187" s="13">
        <v>8</v>
      </c>
      <c r="J187" s="15">
        <v>9925.48</v>
      </c>
      <c r="K187" s="14" t="str" cm="1">
        <f t="array" ref="K187">_xlfn.IFS(Table4[[#This Row],[Sales]]&gt;40000,"Best Sales",Table4[[#This Row],[Sales]]&gt;20000,"Average Sales",Table4[[#This Row],[Sales]]&gt;0,"Poor Sales")</f>
        <v>Best Sales</v>
      </c>
    </row>
    <row r="188" spans="1:11" x14ac:dyDescent="0.3">
      <c r="A188" s="6">
        <v>187</v>
      </c>
      <c r="B188" s="7">
        <v>45184</v>
      </c>
      <c r="C188" s="8" t="s">
        <v>26</v>
      </c>
      <c r="D188" s="8" t="s">
        <v>27</v>
      </c>
      <c r="E188" s="8" t="s">
        <v>17</v>
      </c>
      <c r="F188" s="8" t="s">
        <v>31</v>
      </c>
      <c r="G188" s="8" t="s">
        <v>33</v>
      </c>
      <c r="H188" s="9">
        <v>14099.59</v>
      </c>
      <c r="I188" s="8">
        <v>7</v>
      </c>
      <c r="J188" s="10">
        <v>1349.86</v>
      </c>
      <c r="K188" s="14" t="str" cm="1">
        <f t="array" ref="K188">_xlfn.IFS(Table4[[#This Row],[Sales]]&gt;40000,"Best Sales",Table4[[#This Row],[Sales]]&gt;20000,"Average Sales",Table4[[#This Row],[Sales]]&gt;0,"Poor Sales")</f>
        <v>Poor Sales</v>
      </c>
    </row>
    <row r="189" spans="1:11" x14ac:dyDescent="0.3">
      <c r="A189" s="11">
        <v>188</v>
      </c>
      <c r="B189" s="12">
        <v>45210</v>
      </c>
      <c r="C189" s="13" t="s">
        <v>15</v>
      </c>
      <c r="D189" s="13" t="s">
        <v>16</v>
      </c>
      <c r="E189" s="13" t="s">
        <v>12</v>
      </c>
      <c r="F189" s="13" t="s">
        <v>31</v>
      </c>
      <c r="G189" s="13" t="s">
        <v>33</v>
      </c>
      <c r="H189" s="14">
        <v>30464.74</v>
      </c>
      <c r="I189" s="13">
        <v>6</v>
      </c>
      <c r="J189" s="15">
        <v>7362.23</v>
      </c>
      <c r="K189" s="14" t="str" cm="1">
        <f t="array" ref="K189">_xlfn.IFS(Table4[[#This Row],[Sales]]&gt;40000,"Best Sales",Table4[[#This Row],[Sales]]&gt;20000,"Average Sales",Table4[[#This Row],[Sales]]&gt;0,"Poor Sales")</f>
        <v>Average Sales</v>
      </c>
    </row>
    <row r="190" spans="1:11" x14ac:dyDescent="0.3">
      <c r="A190" s="6">
        <v>189</v>
      </c>
      <c r="B190" s="7">
        <v>45041</v>
      </c>
      <c r="C190" s="8" t="s">
        <v>18</v>
      </c>
      <c r="D190" s="8" t="s">
        <v>19</v>
      </c>
      <c r="E190" s="8" t="s">
        <v>17</v>
      </c>
      <c r="F190" s="8" t="s">
        <v>13</v>
      </c>
      <c r="G190" s="8" t="s">
        <v>21</v>
      </c>
      <c r="H190" s="9">
        <v>45371.4</v>
      </c>
      <c r="I190" s="8">
        <v>9</v>
      </c>
      <c r="J190" s="10">
        <v>10014.870000000001</v>
      </c>
      <c r="K190" s="14" t="str" cm="1">
        <f t="array" ref="K190">_xlfn.IFS(Table4[[#This Row],[Sales]]&gt;40000,"Best Sales",Table4[[#This Row],[Sales]]&gt;20000,"Average Sales",Table4[[#This Row],[Sales]]&gt;0,"Poor Sales")</f>
        <v>Best Sales</v>
      </c>
    </row>
    <row r="191" spans="1:11" x14ac:dyDescent="0.3">
      <c r="A191" s="11">
        <v>190</v>
      </c>
      <c r="B191" s="12">
        <v>45082</v>
      </c>
      <c r="C191" s="13" t="s">
        <v>38</v>
      </c>
      <c r="D191" s="13" t="s">
        <v>27</v>
      </c>
      <c r="E191" s="13" t="s">
        <v>12</v>
      </c>
      <c r="F191" s="13" t="s">
        <v>31</v>
      </c>
      <c r="G191" s="13" t="s">
        <v>32</v>
      </c>
      <c r="H191" s="14">
        <v>22118.26</v>
      </c>
      <c r="I191" s="13">
        <v>4</v>
      </c>
      <c r="J191" s="15">
        <v>2171.89</v>
      </c>
      <c r="K191" s="14" t="str" cm="1">
        <f t="array" ref="K191">_xlfn.IFS(Table4[[#This Row],[Sales]]&gt;40000,"Best Sales",Table4[[#This Row],[Sales]]&gt;20000,"Average Sales",Table4[[#This Row],[Sales]]&gt;0,"Poor Sales")</f>
        <v>Average Sales</v>
      </c>
    </row>
    <row r="192" spans="1:11" x14ac:dyDescent="0.3">
      <c r="A192" s="6">
        <v>191</v>
      </c>
      <c r="B192" s="7">
        <v>45248</v>
      </c>
      <c r="C192" s="8" t="s">
        <v>10</v>
      </c>
      <c r="D192" s="8" t="s">
        <v>11</v>
      </c>
      <c r="E192" s="8" t="s">
        <v>17</v>
      </c>
      <c r="F192" s="8" t="s">
        <v>13</v>
      </c>
      <c r="G192" s="8" t="s">
        <v>21</v>
      </c>
      <c r="H192" s="9">
        <v>37631.99</v>
      </c>
      <c r="I192" s="8">
        <v>10</v>
      </c>
      <c r="J192" s="10">
        <v>2815.66</v>
      </c>
      <c r="K192" s="14" t="str" cm="1">
        <f t="array" ref="K192">_xlfn.IFS(Table4[[#This Row],[Sales]]&gt;40000,"Best Sales",Table4[[#This Row],[Sales]]&gt;20000,"Average Sales",Table4[[#This Row],[Sales]]&gt;0,"Poor Sales")</f>
        <v>Average Sales</v>
      </c>
    </row>
    <row r="193" spans="1:11" x14ac:dyDescent="0.3">
      <c r="A193" s="11">
        <v>192</v>
      </c>
      <c r="B193" s="12">
        <v>45279</v>
      </c>
      <c r="C193" s="13" t="s">
        <v>15</v>
      </c>
      <c r="D193" s="13" t="s">
        <v>16</v>
      </c>
      <c r="E193" s="13" t="s">
        <v>20</v>
      </c>
      <c r="F193" s="13" t="s">
        <v>13</v>
      </c>
      <c r="G193" s="13" t="s">
        <v>34</v>
      </c>
      <c r="H193" s="14">
        <v>32613.74</v>
      </c>
      <c r="I193" s="13">
        <v>3</v>
      </c>
      <c r="J193" s="15">
        <v>2329.77</v>
      </c>
      <c r="K193" s="14" t="str" cm="1">
        <f t="array" ref="K193">_xlfn.IFS(Table4[[#This Row],[Sales]]&gt;40000,"Best Sales",Table4[[#This Row],[Sales]]&gt;20000,"Average Sales",Table4[[#This Row],[Sales]]&gt;0,"Poor Sales")</f>
        <v>Average Sales</v>
      </c>
    </row>
    <row r="194" spans="1:11" x14ac:dyDescent="0.3">
      <c r="A194" s="6">
        <v>193</v>
      </c>
      <c r="B194" s="7">
        <v>45031</v>
      </c>
      <c r="C194" s="8" t="s">
        <v>38</v>
      </c>
      <c r="D194" s="8" t="s">
        <v>27</v>
      </c>
      <c r="E194" s="8" t="s">
        <v>20</v>
      </c>
      <c r="F194" s="8" t="s">
        <v>31</v>
      </c>
      <c r="G194" s="8" t="s">
        <v>39</v>
      </c>
      <c r="H194" s="9">
        <v>19402.79</v>
      </c>
      <c r="I194" s="8">
        <v>5</v>
      </c>
      <c r="J194" s="10">
        <v>4070.53</v>
      </c>
      <c r="K194" s="14" t="str" cm="1">
        <f t="array" ref="K194">_xlfn.IFS(Table4[[#This Row],[Sales]]&gt;40000,"Best Sales",Table4[[#This Row],[Sales]]&gt;20000,"Average Sales",Table4[[#This Row],[Sales]]&gt;0,"Poor Sales")</f>
        <v>Poor Sales</v>
      </c>
    </row>
    <row r="195" spans="1:11" x14ac:dyDescent="0.3">
      <c r="A195" s="11">
        <v>194</v>
      </c>
      <c r="B195" s="12">
        <v>45226</v>
      </c>
      <c r="C195" s="13" t="s">
        <v>37</v>
      </c>
      <c r="D195" s="13" t="s">
        <v>27</v>
      </c>
      <c r="E195" s="13" t="s">
        <v>12</v>
      </c>
      <c r="F195" s="13" t="s">
        <v>13</v>
      </c>
      <c r="G195" s="13" t="s">
        <v>21</v>
      </c>
      <c r="H195" s="14">
        <v>38828.89</v>
      </c>
      <c r="I195" s="13">
        <v>1</v>
      </c>
      <c r="J195" s="15">
        <v>3558.41</v>
      </c>
      <c r="K195" s="14" t="str" cm="1">
        <f t="array" ref="K195">_xlfn.IFS(Table4[[#This Row],[Sales]]&gt;40000,"Best Sales",Table4[[#This Row],[Sales]]&gt;20000,"Average Sales",Table4[[#This Row],[Sales]]&gt;0,"Poor Sales")</f>
        <v>Average Sales</v>
      </c>
    </row>
    <row r="196" spans="1:11" x14ac:dyDescent="0.3">
      <c r="A196" s="6">
        <v>195</v>
      </c>
      <c r="B196" s="7">
        <v>45285</v>
      </c>
      <c r="C196" s="8" t="s">
        <v>10</v>
      </c>
      <c r="D196" s="8" t="s">
        <v>11</v>
      </c>
      <c r="E196" s="8" t="s">
        <v>17</v>
      </c>
      <c r="F196" s="8" t="s">
        <v>13</v>
      </c>
      <c r="G196" s="8" t="s">
        <v>34</v>
      </c>
      <c r="H196" s="9">
        <v>40947.69</v>
      </c>
      <c r="I196" s="8">
        <v>10</v>
      </c>
      <c r="J196" s="10">
        <v>3402.46</v>
      </c>
      <c r="K196" s="14" t="str" cm="1">
        <f t="array" ref="K196">_xlfn.IFS(Table4[[#This Row],[Sales]]&gt;40000,"Best Sales",Table4[[#This Row],[Sales]]&gt;20000,"Average Sales",Table4[[#This Row],[Sales]]&gt;0,"Poor Sales")</f>
        <v>Best Sales</v>
      </c>
    </row>
    <row r="197" spans="1:11" x14ac:dyDescent="0.3">
      <c r="A197" s="11">
        <v>196</v>
      </c>
      <c r="B197" s="12">
        <v>45132</v>
      </c>
      <c r="C197" s="13" t="s">
        <v>38</v>
      </c>
      <c r="D197" s="13" t="s">
        <v>27</v>
      </c>
      <c r="E197" s="13" t="s">
        <v>12</v>
      </c>
      <c r="F197" s="13" t="s">
        <v>13</v>
      </c>
      <c r="G197" s="13" t="s">
        <v>34</v>
      </c>
      <c r="H197" s="14">
        <v>42010.67</v>
      </c>
      <c r="I197" s="13">
        <v>2</v>
      </c>
      <c r="J197" s="15">
        <v>11879.89</v>
      </c>
      <c r="K197" s="14" t="str" cm="1">
        <f t="array" ref="K197">_xlfn.IFS(Table4[[#This Row],[Sales]]&gt;40000,"Best Sales",Table4[[#This Row],[Sales]]&gt;20000,"Average Sales",Table4[[#This Row],[Sales]]&gt;0,"Poor Sales")</f>
        <v>Best Sales</v>
      </c>
    </row>
    <row r="198" spans="1:11" x14ac:dyDescent="0.3">
      <c r="A198" s="6">
        <v>197</v>
      </c>
      <c r="B198" s="7">
        <v>44951</v>
      </c>
      <c r="C198" s="8" t="s">
        <v>10</v>
      </c>
      <c r="D198" s="8" t="s">
        <v>11</v>
      </c>
      <c r="E198" s="8" t="s">
        <v>17</v>
      </c>
      <c r="F198" s="8" t="s">
        <v>31</v>
      </c>
      <c r="G198" s="8" t="s">
        <v>33</v>
      </c>
      <c r="H198" s="9">
        <v>15486.53</v>
      </c>
      <c r="I198" s="8">
        <v>3</v>
      </c>
      <c r="J198" s="10">
        <v>3644.96</v>
      </c>
      <c r="K198" s="14" t="str" cm="1">
        <f t="array" ref="K198">_xlfn.IFS(Table4[[#This Row],[Sales]]&gt;40000,"Best Sales",Table4[[#This Row],[Sales]]&gt;20000,"Average Sales",Table4[[#This Row],[Sales]]&gt;0,"Poor Sales")</f>
        <v>Poor Sales</v>
      </c>
    </row>
    <row r="199" spans="1:11" x14ac:dyDescent="0.3">
      <c r="A199" s="11">
        <v>198</v>
      </c>
      <c r="B199" s="12">
        <v>44962</v>
      </c>
      <c r="C199" s="13" t="s">
        <v>35</v>
      </c>
      <c r="D199" s="13" t="s">
        <v>36</v>
      </c>
      <c r="E199" s="13" t="s">
        <v>20</v>
      </c>
      <c r="F199" s="13" t="s">
        <v>13</v>
      </c>
      <c r="G199" s="13" t="s">
        <v>34</v>
      </c>
      <c r="H199" s="14">
        <v>30608.400000000001</v>
      </c>
      <c r="I199" s="13">
        <v>1</v>
      </c>
      <c r="J199" s="15">
        <v>2635.57</v>
      </c>
      <c r="K199" s="14" t="str" cm="1">
        <f t="array" ref="K199">_xlfn.IFS(Table4[[#This Row],[Sales]]&gt;40000,"Best Sales",Table4[[#This Row],[Sales]]&gt;20000,"Average Sales",Table4[[#This Row],[Sales]]&gt;0,"Poor Sales")</f>
        <v>Average Sales</v>
      </c>
    </row>
    <row r="200" spans="1:11" x14ac:dyDescent="0.3">
      <c r="A200" s="6">
        <v>199</v>
      </c>
      <c r="B200" s="7">
        <v>45181</v>
      </c>
      <c r="C200" s="8" t="s">
        <v>18</v>
      </c>
      <c r="D200" s="8" t="s">
        <v>19</v>
      </c>
      <c r="E200" s="8" t="s">
        <v>20</v>
      </c>
      <c r="F200" s="8" t="s">
        <v>31</v>
      </c>
      <c r="G200" s="8" t="s">
        <v>33</v>
      </c>
      <c r="H200" s="9">
        <v>15000.25</v>
      </c>
      <c r="I200" s="8">
        <v>1</v>
      </c>
      <c r="J200" s="10">
        <v>3201.7</v>
      </c>
      <c r="K200" s="14" t="str" cm="1">
        <f t="array" ref="K200">_xlfn.IFS(Table4[[#This Row],[Sales]]&gt;40000,"Best Sales",Table4[[#This Row],[Sales]]&gt;20000,"Average Sales",Table4[[#This Row],[Sales]]&gt;0,"Poor Sales")</f>
        <v>Poor Sales</v>
      </c>
    </row>
    <row r="201" spans="1:11" x14ac:dyDescent="0.3">
      <c r="A201" s="11">
        <v>200</v>
      </c>
      <c r="B201" s="12">
        <v>45266</v>
      </c>
      <c r="C201" s="13" t="s">
        <v>15</v>
      </c>
      <c r="D201" s="13" t="s">
        <v>16</v>
      </c>
      <c r="E201" s="13" t="s">
        <v>12</v>
      </c>
      <c r="F201" s="13" t="s">
        <v>24</v>
      </c>
      <c r="G201" s="13" t="s">
        <v>25</v>
      </c>
      <c r="H201" s="14">
        <v>30584.37</v>
      </c>
      <c r="I201" s="13">
        <v>4</v>
      </c>
      <c r="J201" s="15">
        <v>5866.07</v>
      </c>
      <c r="K201" s="14" t="str" cm="1">
        <f t="array" ref="K201">_xlfn.IFS(Table4[[#This Row],[Sales]]&gt;40000,"Best Sales",Table4[[#This Row],[Sales]]&gt;20000,"Average Sales",Table4[[#This Row],[Sales]]&gt;0,"Poor Sales")</f>
        <v>Average Sales</v>
      </c>
    </row>
    <row r="202" spans="1:11" x14ac:dyDescent="0.3">
      <c r="A202" s="6">
        <v>201</v>
      </c>
      <c r="B202" s="7">
        <v>44995</v>
      </c>
      <c r="C202" s="8" t="s">
        <v>30</v>
      </c>
      <c r="D202" s="8" t="s">
        <v>16</v>
      </c>
      <c r="E202" s="8" t="s">
        <v>17</v>
      </c>
      <c r="F202" s="8" t="s">
        <v>24</v>
      </c>
      <c r="G202" s="8" t="s">
        <v>29</v>
      </c>
      <c r="H202" s="9">
        <v>2307.9</v>
      </c>
      <c r="I202" s="8">
        <v>2</v>
      </c>
      <c r="J202" s="10">
        <v>185.88</v>
      </c>
      <c r="K202" s="14" t="str" cm="1">
        <f t="array" ref="K202">_xlfn.IFS(Table4[[#This Row],[Sales]]&gt;40000,"Best Sales",Table4[[#This Row],[Sales]]&gt;20000,"Average Sales",Table4[[#This Row],[Sales]]&gt;0,"Poor Sales")</f>
        <v>Poor Sales</v>
      </c>
    </row>
    <row r="203" spans="1:11" x14ac:dyDescent="0.3">
      <c r="A203" s="11">
        <v>202</v>
      </c>
      <c r="B203" s="12">
        <v>45210</v>
      </c>
      <c r="C203" s="13" t="s">
        <v>15</v>
      </c>
      <c r="D203" s="13" t="s">
        <v>16</v>
      </c>
      <c r="E203" s="13" t="s">
        <v>12</v>
      </c>
      <c r="F203" s="13" t="s">
        <v>24</v>
      </c>
      <c r="G203" s="13" t="s">
        <v>28</v>
      </c>
      <c r="H203" s="14">
        <v>46291.49</v>
      </c>
      <c r="I203" s="13">
        <v>6</v>
      </c>
      <c r="J203" s="15">
        <v>5632.5</v>
      </c>
      <c r="K203" s="14" t="str" cm="1">
        <f t="array" ref="K203">_xlfn.IFS(Table4[[#This Row],[Sales]]&gt;40000,"Best Sales",Table4[[#This Row],[Sales]]&gt;20000,"Average Sales",Table4[[#This Row],[Sales]]&gt;0,"Poor Sales")</f>
        <v>Best Sales</v>
      </c>
    </row>
    <row r="204" spans="1:11" x14ac:dyDescent="0.3">
      <c r="A204" s="6">
        <v>203</v>
      </c>
      <c r="B204" s="7">
        <v>44974</v>
      </c>
      <c r="C204" s="8" t="s">
        <v>38</v>
      </c>
      <c r="D204" s="8" t="s">
        <v>27</v>
      </c>
      <c r="E204" s="8" t="s">
        <v>17</v>
      </c>
      <c r="F204" s="8" t="s">
        <v>13</v>
      </c>
      <c r="G204" s="8" t="s">
        <v>21</v>
      </c>
      <c r="H204" s="9">
        <v>14665.44</v>
      </c>
      <c r="I204" s="8">
        <v>7</v>
      </c>
      <c r="J204" s="10">
        <v>2033.06</v>
      </c>
      <c r="K204" s="14" t="str" cm="1">
        <f t="array" ref="K204">_xlfn.IFS(Table4[[#This Row],[Sales]]&gt;40000,"Best Sales",Table4[[#This Row],[Sales]]&gt;20000,"Average Sales",Table4[[#This Row],[Sales]]&gt;0,"Poor Sales")</f>
        <v>Poor Sales</v>
      </c>
    </row>
    <row r="205" spans="1:11" x14ac:dyDescent="0.3">
      <c r="A205" s="11">
        <v>204</v>
      </c>
      <c r="B205" s="12">
        <v>44982</v>
      </c>
      <c r="C205" s="13" t="s">
        <v>18</v>
      </c>
      <c r="D205" s="13" t="s">
        <v>19</v>
      </c>
      <c r="E205" s="13" t="s">
        <v>20</v>
      </c>
      <c r="F205" s="13" t="s">
        <v>24</v>
      </c>
      <c r="G205" s="13" t="s">
        <v>25</v>
      </c>
      <c r="H205" s="14">
        <v>29742</v>
      </c>
      <c r="I205" s="13">
        <v>1</v>
      </c>
      <c r="J205" s="15">
        <v>5975.9</v>
      </c>
      <c r="K205" s="14" t="str" cm="1">
        <f t="array" ref="K205">_xlfn.IFS(Table4[[#This Row],[Sales]]&gt;40000,"Best Sales",Table4[[#This Row],[Sales]]&gt;20000,"Average Sales",Table4[[#This Row],[Sales]]&gt;0,"Poor Sales")</f>
        <v>Average Sales</v>
      </c>
    </row>
    <row r="206" spans="1:11" x14ac:dyDescent="0.3">
      <c r="A206" s="6">
        <v>205</v>
      </c>
      <c r="B206" s="7">
        <v>44955</v>
      </c>
      <c r="C206" s="8" t="s">
        <v>15</v>
      </c>
      <c r="D206" s="8" t="s">
        <v>16</v>
      </c>
      <c r="E206" s="8" t="s">
        <v>20</v>
      </c>
      <c r="F206" s="8" t="s">
        <v>13</v>
      </c>
      <c r="G206" s="8" t="s">
        <v>34</v>
      </c>
      <c r="H206" s="9">
        <v>35349.51</v>
      </c>
      <c r="I206" s="8">
        <v>4</v>
      </c>
      <c r="J206" s="10">
        <v>10510.77</v>
      </c>
      <c r="K206" s="14" t="str" cm="1">
        <f t="array" ref="K206">_xlfn.IFS(Table4[[#This Row],[Sales]]&gt;40000,"Best Sales",Table4[[#This Row],[Sales]]&gt;20000,"Average Sales",Table4[[#This Row],[Sales]]&gt;0,"Poor Sales")</f>
        <v>Average Sales</v>
      </c>
    </row>
    <row r="207" spans="1:11" x14ac:dyDescent="0.3">
      <c r="A207" s="11">
        <v>206</v>
      </c>
      <c r="B207" s="12">
        <v>45253</v>
      </c>
      <c r="C207" s="13" t="s">
        <v>26</v>
      </c>
      <c r="D207" s="13" t="s">
        <v>27</v>
      </c>
      <c r="E207" s="13" t="s">
        <v>12</v>
      </c>
      <c r="F207" s="13" t="s">
        <v>13</v>
      </c>
      <c r="G207" s="13" t="s">
        <v>14</v>
      </c>
      <c r="H207" s="14">
        <v>25985.13</v>
      </c>
      <c r="I207" s="13">
        <v>6</v>
      </c>
      <c r="J207" s="15">
        <v>2350.9299999999998</v>
      </c>
      <c r="K207" s="14" t="str" cm="1">
        <f t="array" ref="K207">_xlfn.IFS(Table4[[#This Row],[Sales]]&gt;40000,"Best Sales",Table4[[#This Row],[Sales]]&gt;20000,"Average Sales",Table4[[#This Row],[Sales]]&gt;0,"Poor Sales")</f>
        <v>Average Sales</v>
      </c>
    </row>
    <row r="208" spans="1:11" x14ac:dyDescent="0.3">
      <c r="A208" s="6">
        <v>207</v>
      </c>
      <c r="B208" s="7">
        <v>45156</v>
      </c>
      <c r="C208" s="8" t="s">
        <v>30</v>
      </c>
      <c r="D208" s="8" t="s">
        <v>16</v>
      </c>
      <c r="E208" s="8" t="s">
        <v>17</v>
      </c>
      <c r="F208" s="8" t="s">
        <v>24</v>
      </c>
      <c r="G208" s="8" t="s">
        <v>25</v>
      </c>
      <c r="H208" s="9">
        <v>42832.639999999999</v>
      </c>
      <c r="I208" s="8">
        <v>7</v>
      </c>
      <c r="J208" s="10">
        <v>9063.49</v>
      </c>
      <c r="K208" s="14" t="str" cm="1">
        <f t="array" ref="K208">_xlfn.IFS(Table4[[#This Row],[Sales]]&gt;40000,"Best Sales",Table4[[#This Row],[Sales]]&gt;20000,"Average Sales",Table4[[#This Row],[Sales]]&gt;0,"Poor Sales")</f>
        <v>Best Sales</v>
      </c>
    </row>
    <row r="209" spans="1:11" x14ac:dyDescent="0.3">
      <c r="A209" s="11">
        <v>208</v>
      </c>
      <c r="B209" s="12">
        <v>45079</v>
      </c>
      <c r="C209" s="13" t="s">
        <v>37</v>
      </c>
      <c r="D209" s="13" t="s">
        <v>27</v>
      </c>
      <c r="E209" s="13" t="s">
        <v>12</v>
      </c>
      <c r="F209" s="13" t="s">
        <v>31</v>
      </c>
      <c r="G209" s="13" t="s">
        <v>32</v>
      </c>
      <c r="H209" s="14">
        <v>22629.8</v>
      </c>
      <c r="I209" s="13">
        <v>9</v>
      </c>
      <c r="J209" s="15">
        <v>6097.6</v>
      </c>
      <c r="K209" s="14" t="str" cm="1">
        <f t="array" ref="K209">_xlfn.IFS(Table4[[#This Row],[Sales]]&gt;40000,"Best Sales",Table4[[#This Row],[Sales]]&gt;20000,"Average Sales",Table4[[#This Row],[Sales]]&gt;0,"Poor Sales")</f>
        <v>Average Sales</v>
      </c>
    </row>
    <row r="210" spans="1:11" x14ac:dyDescent="0.3">
      <c r="A210" s="6">
        <v>209</v>
      </c>
      <c r="B210" s="7">
        <v>45030</v>
      </c>
      <c r="C210" s="8" t="s">
        <v>22</v>
      </c>
      <c r="D210" s="8" t="s">
        <v>22</v>
      </c>
      <c r="E210" s="8" t="s">
        <v>17</v>
      </c>
      <c r="F210" s="8" t="s">
        <v>13</v>
      </c>
      <c r="G210" s="8" t="s">
        <v>34</v>
      </c>
      <c r="H210" s="9">
        <v>13679.99</v>
      </c>
      <c r="I210" s="8">
        <v>6</v>
      </c>
      <c r="J210" s="10">
        <v>3823.09</v>
      </c>
      <c r="K210" s="14" t="str" cm="1">
        <f t="array" ref="K210">_xlfn.IFS(Table4[[#This Row],[Sales]]&gt;40000,"Best Sales",Table4[[#This Row],[Sales]]&gt;20000,"Average Sales",Table4[[#This Row],[Sales]]&gt;0,"Poor Sales")</f>
        <v>Poor Sales</v>
      </c>
    </row>
    <row r="211" spans="1:11" x14ac:dyDescent="0.3">
      <c r="A211" s="11">
        <v>210</v>
      </c>
      <c r="B211" s="12">
        <v>45183</v>
      </c>
      <c r="C211" s="13" t="s">
        <v>15</v>
      </c>
      <c r="D211" s="13" t="s">
        <v>16</v>
      </c>
      <c r="E211" s="13" t="s">
        <v>20</v>
      </c>
      <c r="F211" s="13" t="s">
        <v>24</v>
      </c>
      <c r="G211" s="13" t="s">
        <v>28</v>
      </c>
      <c r="H211" s="14">
        <v>36043.949999999997</v>
      </c>
      <c r="I211" s="13">
        <v>8</v>
      </c>
      <c r="J211" s="15">
        <v>5946.66</v>
      </c>
      <c r="K211" s="14" t="str" cm="1">
        <f t="array" ref="K211">_xlfn.IFS(Table4[[#This Row],[Sales]]&gt;40000,"Best Sales",Table4[[#This Row],[Sales]]&gt;20000,"Average Sales",Table4[[#This Row],[Sales]]&gt;0,"Poor Sales")</f>
        <v>Average Sales</v>
      </c>
    </row>
    <row r="212" spans="1:11" x14ac:dyDescent="0.3">
      <c r="A212" s="6">
        <v>211</v>
      </c>
      <c r="B212" s="7">
        <v>45220</v>
      </c>
      <c r="C212" s="8" t="s">
        <v>18</v>
      </c>
      <c r="D212" s="8" t="s">
        <v>19</v>
      </c>
      <c r="E212" s="8" t="s">
        <v>20</v>
      </c>
      <c r="F212" s="8" t="s">
        <v>31</v>
      </c>
      <c r="G212" s="8" t="s">
        <v>33</v>
      </c>
      <c r="H212" s="9">
        <v>8717.0400000000009</v>
      </c>
      <c r="I212" s="8">
        <v>7</v>
      </c>
      <c r="J212" s="10">
        <v>550.32000000000005</v>
      </c>
      <c r="K212" s="14" t="str" cm="1">
        <f t="array" ref="K212">_xlfn.IFS(Table4[[#This Row],[Sales]]&gt;40000,"Best Sales",Table4[[#This Row],[Sales]]&gt;20000,"Average Sales",Table4[[#This Row],[Sales]]&gt;0,"Poor Sales")</f>
        <v>Poor Sales</v>
      </c>
    </row>
    <row r="213" spans="1:11" x14ac:dyDescent="0.3">
      <c r="A213" s="11">
        <v>212</v>
      </c>
      <c r="B213" s="12">
        <v>45238</v>
      </c>
      <c r="C213" s="13" t="s">
        <v>15</v>
      </c>
      <c r="D213" s="13" t="s">
        <v>16</v>
      </c>
      <c r="E213" s="13" t="s">
        <v>12</v>
      </c>
      <c r="F213" s="13" t="s">
        <v>24</v>
      </c>
      <c r="G213" s="13" t="s">
        <v>28</v>
      </c>
      <c r="H213" s="14">
        <v>49857.23</v>
      </c>
      <c r="I213" s="13">
        <v>1</v>
      </c>
      <c r="J213" s="15">
        <v>9642.2000000000007</v>
      </c>
      <c r="K213" s="14" t="str" cm="1">
        <f t="array" ref="K213">_xlfn.IFS(Table4[[#This Row],[Sales]]&gt;40000,"Best Sales",Table4[[#This Row],[Sales]]&gt;20000,"Average Sales",Table4[[#This Row],[Sales]]&gt;0,"Poor Sales")</f>
        <v>Best Sales</v>
      </c>
    </row>
    <row r="214" spans="1:11" x14ac:dyDescent="0.3">
      <c r="A214" s="6">
        <v>213</v>
      </c>
      <c r="B214" s="7">
        <v>45287</v>
      </c>
      <c r="C214" s="8" t="s">
        <v>30</v>
      </c>
      <c r="D214" s="8" t="s">
        <v>16</v>
      </c>
      <c r="E214" s="8" t="s">
        <v>17</v>
      </c>
      <c r="F214" s="8" t="s">
        <v>13</v>
      </c>
      <c r="G214" s="8" t="s">
        <v>14</v>
      </c>
      <c r="H214" s="9">
        <v>11971.17</v>
      </c>
      <c r="I214" s="8">
        <v>4</v>
      </c>
      <c r="J214" s="10">
        <v>2338.79</v>
      </c>
      <c r="K214" s="14" t="str" cm="1">
        <f t="array" ref="K214">_xlfn.IFS(Table4[[#This Row],[Sales]]&gt;40000,"Best Sales",Table4[[#This Row],[Sales]]&gt;20000,"Average Sales",Table4[[#This Row],[Sales]]&gt;0,"Poor Sales")</f>
        <v>Poor Sales</v>
      </c>
    </row>
    <row r="215" spans="1:11" x14ac:dyDescent="0.3">
      <c r="A215" s="11">
        <v>214</v>
      </c>
      <c r="B215" s="12">
        <v>45252</v>
      </c>
      <c r="C215" s="13" t="s">
        <v>10</v>
      </c>
      <c r="D215" s="13" t="s">
        <v>11</v>
      </c>
      <c r="E215" s="13" t="s">
        <v>12</v>
      </c>
      <c r="F215" s="13" t="s">
        <v>13</v>
      </c>
      <c r="G215" s="13" t="s">
        <v>14</v>
      </c>
      <c r="H215" s="14">
        <v>35720.53</v>
      </c>
      <c r="I215" s="13">
        <v>2</v>
      </c>
      <c r="J215" s="15">
        <v>7171.98</v>
      </c>
      <c r="K215" s="14" t="str" cm="1">
        <f t="array" ref="K215">_xlfn.IFS(Table4[[#This Row],[Sales]]&gt;40000,"Best Sales",Table4[[#This Row],[Sales]]&gt;20000,"Average Sales",Table4[[#This Row],[Sales]]&gt;0,"Poor Sales")</f>
        <v>Average Sales</v>
      </c>
    </row>
    <row r="216" spans="1:11" x14ac:dyDescent="0.3">
      <c r="A216" s="6">
        <v>215</v>
      </c>
      <c r="B216" s="7">
        <v>45167</v>
      </c>
      <c r="C216" s="8" t="s">
        <v>10</v>
      </c>
      <c r="D216" s="8" t="s">
        <v>11</v>
      </c>
      <c r="E216" s="8" t="s">
        <v>17</v>
      </c>
      <c r="F216" s="8" t="s">
        <v>13</v>
      </c>
      <c r="G216" s="8" t="s">
        <v>21</v>
      </c>
      <c r="H216" s="9">
        <v>15091</v>
      </c>
      <c r="I216" s="8">
        <v>10</v>
      </c>
      <c r="J216" s="10">
        <v>4408.8599999999997</v>
      </c>
      <c r="K216" s="14" t="str" cm="1">
        <f t="array" ref="K216">_xlfn.IFS(Table4[[#This Row],[Sales]]&gt;40000,"Best Sales",Table4[[#This Row],[Sales]]&gt;20000,"Average Sales",Table4[[#This Row],[Sales]]&gt;0,"Poor Sales")</f>
        <v>Poor Sales</v>
      </c>
    </row>
    <row r="217" spans="1:11" x14ac:dyDescent="0.3">
      <c r="A217" s="11">
        <v>216</v>
      </c>
      <c r="B217" s="12">
        <v>45142</v>
      </c>
      <c r="C217" s="13" t="s">
        <v>38</v>
      </c>
      <c r="D217" s="13" t="s">
        <v>27</v>
      </c>
      <c r="E217" s="13" t="s">
        <v>20</v>
      </c>
      <c r="F217" s="13" t="s">
        <v>13</v>
      </c>
      <c r="G217" s="13" t="s">
        <v>21</v>
      </c>
      <c r="H217" s="14">
        <v>1464.91</v>
      </c>
      <c r="I217" s="13">
        <v>2</v>
      </c>
      <c r="J217" s="15">
        <v>166.33</v>
      </c>
      <c r="K217" s="14" t="str" cm="1">
        <f t="array" ref="K217">_xlfn.IFS(Table4[[#This Row],[Sales]]&gt;40000,"Best Sales",Table4[[#This Row],[Sales]]&gt;20000,"Average Sales",Table4[[#This Row],[Sales]]&gt;0,"Poor Sales")</f>
        <v>Poor Sales</v>
      </c>
    </row>
    <row r="218" spans="1:11" x14ac:dyDescent="0.3">
      <c r="A218" s="6">
        <v>217</v>
      </c>
      <c r="B218" s="7">
        <v>45057</v>
      </c>
      <c r="C218" s="8" t="s">
        <v>38</v>
      </c>
      <c r="D218" s="8" t="s">
        <v>27</v>
      </c>
      <c r="E218" s="8" t="s">
        <v>20</v>
      </c>
      <c r="F218" s="8" t="s">
        <v>13</v>
      </c>
      <c r="G218" s="8" t="s">
        <v>14</v>
      </c>
      <c r="H218" s="9">
        <v>20871</v>
      </c>
      <c r="I218" s="8">
        <v>6</v>
      </c>
      <c r="J218" s="10">
        <v>1123.25</v>
      </c>
      <c r="K218" s="14" t="str" cm="1">
        <f t="array" ref="K218">_xlfn.IFS(Table4[[#This Row],[Sales]]&gt;40000,"Best Sales",Table4[[#This Row],[Sales]]&gt;20000,"Average Sales",Table4[[#This Row],[Sales]]&gt;0,"Poor Sales")</f>
        <v>Average Sales</v>
      </c>
    </row>
    <row r="219" spans="1:11" x14ac:dyDescent="0.3">
      <c r="A219" s="11">
        <v>218</v>
      </c>
      <c r="B219" s="12">
        <v>45060</v>
      </c>
      <c r="C219" s="13" t="s">
        <v>10</v>
      </c>
      <c r="D219" s="13" t="s">
        <v>11</v>
      </c>
      <c r="E219" s="13" t="s">
        <v>12</v>
      </c>
      <c r="F219" s="13" t="s">
        <v>31</v>
      </c>
      <c r="G219" s="13" t="s">
        <v>39</v>
      </c>
      <c r="H219" s="14">
        <v>16475.830000000002</v>
      </c>
      <c r="I219" s="13">
        <v>3</v>
      </c>
      <c r="J219" s="15">
        <v>2544.4499999999998</v>
      </c>
      <c r="K219" s="14" t="str" cm="1">
        <f t="array" ref="K219">_xlfn.IFS(Table4[[#This Row],[Sales]]&gt;40000,"Best Sales",Table4[[#This Row],[Sales]]&gt;20000,"Average Sales",Table4[[#This Row],[Sales]]&gt;0,"Poor Sales")</f>
        <v>Poor Sales</v>
      </c>
    </row>
    <row r="220" spans="1:11" x14ac:dyDescent="0.3">
      <c r="A220" s="6">
        <v>219</v>
      </c>
      <c r="B220" s="7">
        <v>45166</v>
      </c>
      <c r="C220" s="8" t="s">
        <v>15</v>
      </c>
      <c r="D220" s="8" t="s">
        <v>16</v>
      </c>
      <c r="E220" s="8" t="s">
        <v>17</v>
      </c>
      <c r="F220" s="8" t="s">
        <v>13</v>
      </c>
      <c r="G220" s="8" t="s">
        <v>21</v>
      </c>
      <c r="H220" s="9">
        <v>40284</v>
      </c>
      <c r="I220" s="8">
        <v>5</v>
      </c>
      <c r="J220" s="10">
        <v>10032.85</v>
      </c>
      <c r="K220" s="14" t="str" cm="1">
        <f t="array" ref="K220">_xlfn.IFS(Table4[[#This Row],[Sales]]&gt;40000,"Best Sales",Table4[[#This Row],[Sales]]&gt;20000,"Average Sales",Table4[[#This Row],[Sales]]&gt;0,"Poor Sales")</f>
        <v>Best Sales</v>
      </c>
    </row>
    <row r="221" spans="1:11" x14ac:dyDescent="0.3">
      <c r="A221" s="11">
        <v>220</v>
      </c>
      <c r="B221" s="12">
        <v>45188</v>
      </c>
      <c r="C221" s="13" t="s">
        <v>35</v>
      </c>
      <c r="D221" s="13" t="s">
        <v>36</v>
      </c>
      <c r="E221" s="13" t="s">
        <v>12</v>
      </c>
      <c r="F221" s="13" t="s">
        <v>13</v>
      </c>
      <c r="G221" s="13" t="s">
        <v>14</v>
      </c>
      <c r="H221" s="14">
        <v>8686.2199999999993</v>
      </c>
      <c r="I221" s="13">
        <v>2</v>
      </c>
      <c r="J221" s="15">
        <v>929.05</v>
      </c>
      <c r="K221" s="14" t="str" cm="1">
        <f t="array" ref="K221">_xlfn.IFS(Table4[[#This Row],[Sales]]&gt;40000,"Best Sales",Table4[[#This Row],[Sales]]&gt;20000,"Average Sales",Table4[[#This Row],[Sales]]&gt;0,"Poor Sales")</f>
        <v>Poor Sales</v>
      </c>
    </row>
    <row r="222" spans="1:11" x14ac:dyDescent="0.3">
      <c r="A222" s="6">
        <v>221</v>
      </c>
      <c r="B222" s="7">
        <v>44991</v>
      </c>
      <c r="C222" s="8" t="s">
        <v>37</v>
      </c>
      <c r="D222" s="8" t="s">
        <v>27</v>
      </c>
      <c r="E222" s="8" t="s">
        <v>17</v>
      </c>
      <c r="F222" s="8" t="s">
        <v>24</v>
      </c>
      <c r="G222" s="8" t="s">
        <v>25</v>
      </c>
      <c r="H222" s="9">
        <v>6913.56</v>
      </c>
      <c r="I222" s="8">
        <v>3</v>
      </c>
      <c r="J222" s="10">
        <v>1983.12</v>
      </c>
      <c r="K222" s="14" t="str" cm="1">
        <f t="array" ref="K222">_xlfn.IFS(Table4[[#This Row],[Sales]]&gt;40000,"Best Sales",Table4[[#This Row],[Sales]]&gt;20000,"Average Sales",Table4[[#This Row],[Sales]]&gt;0,"Poor Sales")</f>
        <v>Poor Sales</v>
      </c>
    </row>
    <row r="223" spans="1:11" x14ac:dyDescent="0.3">
      <c r="A223" s="11">
        <v>222</v>
      </c>
      <c r="B223" s="12">
        <v>45022</v>
      </c>
      <c r="C223" s="13" t="s">
        <v>22</v>
      </c>
      <c r="D223" s="13" t="s">
        <v>22</v>
      </c>
      <c r="E223" s="13" t="s">
        <v>20</v>
      </c>
      <c r="F223" s="13" t="s">
        <v>24</v>
      </c>
      <c r="G223" s="13" t="s">
        <v>28</v>
      </c>
      <c r="H223" s="14">
        <v>37149.339999999997</v>
      </c>
      <c r="I223" s="13">
        <v>10</v>
      </c>
      <c r="J223" s="15">
        <v>10843.22</v>
      </c>
      <c r="K223" s="14" t="str" cm="1">
        <f t="array" ref="K223">_xlfn.IFS(Table4[[#This Row],[Sales]]&gt;40000,"Best Sales",Table4[[#This Row],[Sales]]&gt;20000,"Average Sales",Table4[[#This Row],[Sales]]&gt;0,"Poor Sales")</f>
        <v>Average Sales</v>
      </c>
    </row>
    <row r="224" spans="1:11" x14ac:dyDescent="0.3">
      <c r="A224" s="6">
        <v>223</v>
      </c>
      <c r="B224" s="7">
        <v>45146</v>
      </c>
      <c r="C224" s="8" t="s">
        <v>26</v>
      </c>
      <c r="D224" s="8" t="s">
        <v>27</v>
      </c>
      <c r="E224" s="8" t="s">
        <v>20</v>
      </c>
      <c r="F224" s="8" t="s">
        <v>13</v>
      </c>
      <c r="G224" s="8" t="s">
        <v>34</v>
      </c>
      <c r="H224" s="9">
        <v>16640.29</v>
      </c>
      <c r="I224" s="8">
        <v>3</v>
      </c>
      <c r="J224" s="10">
        <v>1393.49</v>
      </c>
      <c r="K224" s="14" t="str" cm="1">
        <f t="array" ref="K224">_xlfn.IFS(Table4[[#This Row],[Sales]]&gt;40000,"Best Sales",Table4[[#This Row],[Sales]]&gt;20000,"Average Sales",Table4[[#This Row],[Sales]]&gt;0,"Poor Sales")</f>
        <v>Poor Sales</v>
      </c>
    </row>
    <row r="225" spans="1:11" x14ac:dyDescent="0.3">
      <c r="A225" s="11">
        <v>224</v>
      </c>
      <c r="B225" s="12">
        <v>44939</v>
      </c>
      <c r="C225" s="13" t="s">
        <v>10</v>
      </c>
      <c r="D225" s="13" t="s">
        <v>11</v>
      </c>
      <c r="E225" s="13" t="s">
        <v>12</v>
      </c>
      <c r="F225" s="13" t="s">
        <v>24</v>
      </c>
      <c r="G225" s="13" t="s">
        <v>28</v>
      </c>
      <c r="H225" s="14">
        <v>21947.32</v>
      </c>
      <c r="I225" s="13">
        <v>3</v>
      </c>
      <c r="J225" s="15">
        <v>6382.79</v>
      </c>
      <c r="K225" s="14" t="str" cm="1">
        <f t="array" ref="K225">_xlfn.IFS(Table4[[#This Row],[Sales]]&gt;40000,"Best Sales",Table4[[#This Row],[Sales]]&gt;20000,"Average Sales",Table4[[#This Row],[Sales]]&gt;0,"Poor Sales")</f>
        <v>Average Sales</v>
      </c>
    </row>
    <row r="226" spans="1:11" x14ac:dyDescent="0.3">
      <c r="A226" s="6">
        <v>225</v>
      </c>
      <c r="B226" s="7">
        <v>44957</v>
      </c>
      <c r="C226" s="8" t="s">
        <v>10</v>
      </c>
      <c r="D226" s="8" t="s">
        <v>11</v>
      </c>
      <c r="E226" s="8" t="s">
        <v>17</v>
      </c>
      <c r="F226" s="8" t="s">
        <v>31</v>
      </c>
      <c r="G226" s="8" t="s">
        <v>39</v>
      </c>
      <c r="H226" s="9">
        <v>24075.200000000001</v>
      </c>
      <c r="I226" s="8">
        <v>10</v>
      </c>
      <c r="J226" s="10">
        <v>5340.35</v>
      </c>
      <c r="K226" s="14" t="str" cm="1">
        <f t="array" ref="K226">_xlfn.IFS(Table4[[#This Row],[Sales]]&gt;40000,"Best Sales",Table4[[#This Row],[Sales]]&gt;20000,"Average Sales",Table4[[#This Row],[Sales]]&gt;0,"Poor Sales")</f>
        <v>Average Sales</v>
      </c>
    </row>
    <row r="227" spans="1:11" x14ac:dyDescent="0.3">
      <c r="A227" s="11">
        <v>226</v>
      </c>
      <c r="B227" s="12">
        <v>44969</v>
      </c>
      <c r="C227" s="13" t="s">
        <v>26</v>
      </c>
      <c r="D227" s="13" t="s">
        <v>27</v>
      </c>
      <c r="E227" s="13" t="s">
        <v>12</v>
      </c>
      <c r="F227" s="13" t="s">
        <v>24</v>
      </c>
      <c r="G227" s="13" t="s">
        <v>25</v>
      </c>
      <c r="H227" s="14">
        <v>44542.65</v>
      </c>
      <c r="I227" s="13">
        <v>6</v>
      </c>
      <c r="J227" s="15">
        <v>12094.77</v>
      </c>
      <c r="K227" s="14" t="str" cm="1">
        <f t="array" ref="K227">_xlfn.IFS(Table4[[#This Row],[Sales]]&gt;40000,"Best Sales",Table4[[#This Row],[Sales]]&gt;20000,"Average Sales",Table4[[#This Row],[Sales]]&gt;0,"Poor Sales")</f>
        <v>Best Sales</v>
      </c>
    </row>
    <row r="228" spans="1:11" x14ac:dyDescent="0.3">
      <c r="A228" s="6">
        <v>227</v>
      </c>
      <c r="B228" s="7">
        <v>44927</v>
      </c>
      <c r="C228" s="8" t="s">
        <v>35</v>
      </c>
      <c r="D228" s="8" t="s">
        <v>36</v>
      </c>
      <c r="E228" s="8" t="s">
        <v>17</v>
      </c>
      <c r="F228" s="8" t="s">
        <v>31</v>
      </c>
      <c r="G228" s="8" t="s">
        <v>39</v>
      </c>
      <c r="H228" s="9">
        <v>42137.27</v>
      </c>
      <c r="I228" s="8">
        <v>5</v>
      </c>
      <c r="J228" s="10">
        <v>5097.54</v>
      </c>
      <c r="K228" s="14" t="str" cm="1">
        <f t="array" ref="K228">_xlfn.IFS(Table4[[#This Row],[Sales]]&gt;40000,"Best Sales",Table4[[#This Row],[Sales]]&gt;20000,"Average Sales",Table4[[#This Row],[Sales]]&gt;0,"Poor Sales")</f>
        <v>Best Sales</v>
      </c>
    </row>
    <row r="229" spans="1:11" x14ac:dyDescent="0.3">
      <c r="A229" s="11">
        <v>228</v>
      </c>
      <c r="B229" s="12">
        <v>45121</v>
      </c>
      <c r="C229" s="13" t="s">
        <v>30</v>
      </c>
      <c r="D229" s="13" t="s">
        <v>16</v>
      </c>
      <c r="E229" s="13" t="s">
        <v>20</v>
      </c>
      <c r="F229" s="13" t="s">
        <v>31</v>
      </c>
      <c r="G229" s="13" t="s">
        <v>33</v>
      </c>
      <c r="H229" s="14">
        <v>33630.86</v>
      </c>
      <c r="I229" s="13">
        <v>5</v>
      </c>
      <c r="J229" s="15">
        <v>2900.81</v>
      </c>
      <c r="K229" s="14" t="str" cm="1">
        <f t="array" ref="K229">_xlfn.IFS(Table4[[#This Row],[Sales]]&gt;40000,"Best Sales",Table4[[#This Row],[Sales]]&gt;20000,"Average Sales",Table4[[#This Row],[Sales]]&gt;0,"Poor Sales")</f>
        <v>Average Sales</v>
      </c>
    </row>
    <row r="230" spans="1:11" x14ac:dyDescent="0.3">
      <c r="A230" s="6">
        <v>229</v>
      </c>
      <c r="B230" s="7">
        <v>45263</v>
      </c>
      <c r="C230" s="8" t="s">
        <v>35</v>
      </c>
      <c r="D230" s="8" t="s">
        <v>36</v>
      </c>
      <c r="E230" s="8" t="s">
        <v>20</v>
      </c>
      <c r="F230" s="8" t="s">
        <v>24</v>
      </c>
      <c r="G230" s="8" t="s">
        <v>28</v>
      </c>
      <c r="H230" s="9">
        <v>1156.72</v>
      </c>
      <c r="I230" s="8">
        <v>2</v>
      </c>
      <c r="J230" s="10">
        <v>281.39</v>
      </c>
      <c r="K230" s="14" t="str" cm="1">
        <f t="array" ref="K230">_xlfn.IFS(Table4[[#This Row],[Sales]]&gt;40000,"Best Sales",Table4[[#This Row],[Sales]]&gt;20000,"Average Sales",Table4[[#This Row],[Sales]]&gt;0,"Poor Sales")</f>
        <v>Poor Sales</v>
      </c>
    </row>
    <row r="231" spans="1:11" x14ac:dyDescent="0.3">
      <c r="A231" s="11">
        <v>230</v>
      </c>
      <c r="B231" s="12">
        <v>45163</v>
      </c>
      <c r="C231" s="13" t="s">
        <v>26</v>
      </c>
      <c r="D231" s="13" t="s">
        <v>27</v>
      </c>
      <c r="E231" s="13" t="s">
        <v>12</v>
      </c>
      <c r="F231" s="13" t="s">
        <v>13</v>
      </c>
      <c r="G231" s="13" t="s">
        <v>21</v>
      </c>
      <c r="H231" s="14">
        <v>28988.87</v>
      </c>
      <c r="I231" s="13">
        <v>4</v>
      </c>
      <c r="J231" s="15">
        <v>8348.4500000000007</v>
      </c>
      <c r="K231" s="14" t="str" cm="1">
        <f t="array" ref="K231">_xlfn.IFS(Table4[[#This Row],[Sales]]&gt;40000,"Best Sales",Table4[[#This Row],[Sales]]&gt;20000,"Average Sales",Table4[[#This Row],[Sales]]&gt;0,"Poor Sales")</f>
        <v>Average Sales</v>
      </c>
    </row>
    <row r="232" spans="1:11" x14ac:dyDescent="0.3">
      <c r="A232" s="6">
        <v>231</v>
      </c>
      <c r="B232" s="7">
        <v>45227</v>
      </c>
      <c r="C232" s="8" t="s">
        <v>10</v>
      </c>
      <c r="D232" s="8" t="s">
        <v>11</v>
      </c>
      <c r="E232" s="8" t="s">
        <v>17</v>
      </c>
      <c r="F232" s="8" t="s">
        <v>24</v>
      </c>
      <c r="G232" s="8" t="s">
        <v>28</v>
      </c>
      <c r="H232" s="9">
        <v>40961.07</v>
      </c>
      <c r="I232" s="8">
        <v>7</v>
      </c>
      <c r="J232" s="10">
        <v>11511.53</v>
      </c>
      <c r="K232" s="14" t="str" cm="1">
        <f t="array" ref="K232">_xlfn.IFS(Table4[[#This Row],[Sales]]&gt;40000,"Best Sales",Table4[[#This Row],[Sales]]&gt;20000,"Average Sales",Table4[[#This Row],[Sales]]&gt;0,"Poor Sales")</f>
        <v>Best Sales</v>
      </c>
    </row>
    <row r="233" spans="1:11" x14ac:dyDescent="0.3">
      <c r="A233" s="11">
        <v>232</v>
      </c>
      <c r="B233" s="12">
        <v>45215</v>
      </c>
      <c r="C233" s="13" t="s">
        <v>10</v>
      </c>
      <c r="D233" s="13" t="s">
        <v>11</v>
      </c>
      <c r="E233" s="13" t="s">
        <v>12</v>
      </c>
      <c r="F233" s="13" t="s">
        <v>31</v>
      </c>
      <c r="G233" s="13" t="s">
        <v>32</v>
      </c>
      <c r="H233" s="14">
        <v>44103.15</v>
      </c>
      <c r="I233" s="13">
        <v>8</v>
      </c>
      <c r="J233" s="15">
        <v>7622.06</v>
      </c>
      <c r="K233" s="14" t="str" cm="1">
        <f t="array" ref="K233">_xlfn.IFS(Table4[[#This Row],[Sales]]&gt;40000,"Best Sales",Table4[[#This Row],[Sales]]&gt;20000,"Average Sales",Table4[[#This Row],[Sales]]&gt;0,"Poor Sales")</f>
        <v>Best Sales</v>
      </c>
    </row>
    <row r="234" spans="1:11" x14ac:dyDescent="0.3">
      <c r="A234" s="6">
        <v>233</v>
      </c>
      <c r="B234" s="7">
        <v>45205</v>
      </c>
      <c r="C234" s="8" t="s">
        <v>30</v>
      </c>
      <c r="D234" s="8" t="s">
        <v>16</v>
      </c>
      <c r="E234" s="8" t="s">
        <v>17</v>
      </c>
      <c r="F234" s="8" t="s">
        <v>24</v>
      </c>
      <c r="G234" s="8" t="s">
        <v>28</v>
      </c>
      <c r="H234" s="9">
        <v>40991.879999999997</v>
      </c>
      <c r="I234" s="8">
        <v>3</v>
      </c>
      <c r="J234" s="10">
        <v>10571.44</v>
      </c>
      <c r="K234" s="14" t="str" cm="1">
        <f t="array" ref="K234">_xlfn.IFS(Table4[[#This Row],[Sales]]&gt;40000,"Best Sales",Table4[[#This Row],[Sales]]&gt;20000,"Average Sales",Table4[[#This Row],[Sales]]&gt;0,"Poor Sales")</f>
        <v>Best Sales</v>
      </c>
    </row>
    <row r="235" spans="1:11" x14ac:dyDescent="0.3">
      <c r="A235" s="11">
        <v>234</v>
      </c>
      <c r="B235" s="12">
        <v>45094</v>
      </c>
      <c r="C235" s="13" t="s">
        <v>37</v>
      </c>
      <c r="D235" s="13" t="s">
        <v>27</v>
      </c>
      <c r="E235" s="13" t="s">
        <v>20</v>
      </c>
      <c r="F235" s="13" t="s">
        <v>31</v>
      </c>
      <c r="G235" s="13" t="s">
        <v>32</v>
      </c>
      <c r="H235" s="14">
        <v>22770.06</v>
      </c>
      <c r="I235" s="13">
        <v>9</v>
      </c>
      <c r="J235" s="15">
        <v>3327.09</v>
      </c>
      <c r="K235" s="14" t="str" cm="1">
        <f t="array" ref="K235">_xlfn.IFS(Table4[[#This Row],[Sales]]&gt;40000,"Best Sales",Table4[[#This Row],[Sales]]&gt;20000,"Average Sales",Table4[[#This Row],[Sales]]&gt;0,"Poor Sales")</f>
        <v>Average Sales</v>
      </c>
    </row>
    <row r="236" spans="1:11" x14ac:dyDescent="0.3">
      <c r="A236" s="6">
        <v>235</v>
      </c>
      <c r="B236" s="7">
        <v>45133</v>
      </c>
      <c r="C236" s="8" t="s">
        <v>26</v>
      </c>
      <c r="D236" s="8" t="s">
        <v>27</v>
      </c>
      <c r="E236" s="8" t="s">
        <v>20</v>
      </c>
      <c r="F236" s="8" t="s">
        <v>31</v>
      </c>
      <c r="G236" s="8" t="s">
        <v>33</v>
      </c>
      <c r="H236" s="9">
        <v>32866.050000000003</v>
      </c>
      <c r="I236" s="8">
        <v>5</v>
      </c>
      <c r="J236" s="10">
        <v>7169.07</v>
      </c>
      <c r="K236" s="14" t="str" cm="1">
        <f t="array" ref="K236">_xlfn.IFS(Table4[[#This Row],[Sales]]&gt;40000,"Best Sales",Table4[[#This Row],[Sales]]&gt;20000,"Average Sales",Table4[[#This Row],[Sales]]&gt;0,"Poor Sales")</f>
        <v>Average Sales</v>
      </c>
    </row>
    <row r="237" spans="1:11" x14ac:dyDescent="0.3">
      <c r="A237" s="11">
        <v>236</v>
      </c>
      <c r="B237" s="12">
        <v>45158</v>
      </c>
      <c r="C237" s="13" t="s">
        <v>37</v>
      </c>
      <c r="D237" s="13" t="s">
        <v>27</v>
      </c>
      <c r="E237" s="13" t="s">
        <v>12</v>
      </c>
      <c r="F237" s="13" t="s">
        <v>31</v>
      </c>
      <c r="G237" s="13" t="s">
        <v>32</v>
      </c>
      <c r="H237" s="14">
        <v>10663.17</v>
      </c>
      <c r="I237" s="13">
        <v>2</v>
      </c>
      <c r="J237" s="15">
        <v>2411.1799999999998</v>
      </c>
      <c r="K237" s="14" t="str" cm="1">
        <f t="array" ref="K237">_xlfn.IFS(Table4[[#This Row],[Sales]]&gt;40000,"Best Sales",Table4[[#This Row],[Sales]]&gt;20000,"Average Sales",Table4[[#This Row],[Sales]]&gt;0,"Poor Sales")</f>
        <v>Poor Sales</v>
      </c>
    </row>
    <row r="238" spans="1:11" x14ac:dyDescent="0.3">
      <c r="A238" s="6">
        <v>237</v>
      </c>
      <c r="B238" s="7">
        <v>45067</v>
      </c>
      <c r="C238" s="8" t="s">
        <v>35</v>
      </c>
      <c r="D238" s="8" t="s">
        <v>36</v>
      </c>
      <c r="E238" s="8" t="s">
        <v>17</v>
      </c>
      <c r="F238" s="8" t="s">
        <v>31</v>
      </c>
      <c r="G238" s="8" t="s">
        <v>39</v>
      </c>
      <c r="H238" s="9">
        <v>25820.27</v>
      </c>
      <c r="I238" s="8">
        <v>6</v>
      </c>
      <c r="J238" s="10">
        <v>1912.88</v>
      </c>
      <c r="K238" s="14" t="str" cm="1">
        <f t="array" ref="K238">_xlfn.IFS(Table4[[#This Row],[Sales]]&gt;40000,"Best Sales",Table4[[#This Row],[Sales]]&gt;20000,"Average Sales",Table4[[#This Row],[Sales]]&gt;0,"Poor Sales")</f>
        <v>Average Sales</v>
      </c>
    </row>
    <row r="239" spans="1:11" x14ac:dyDescent="0.3">
      <c r="A239" s="11">
        <v>238</v>
      </c>
      <c r="B239" s="12">
        <v>44941</v>
      </c>
      <c r="C239" s="13" t="s">
        <v>15</v>
      </c>
      <c r="D239" s="13" t="s">
        <v>16</v>
      </c>
      <c r="E239" s="13" t="s">
        <v>12</v>
      </c>
      <c r="F239" s="13" t="s">
        <v>31</v>
      </c>
      <c r="G239" s="13" t="s">
        <v>32</v>
      </c>
      <c r="H239" s="14">
        <v>18390.77</v>
      </c>
      <c r="I239" s="13">
        <v>10</v>
      </c>
      <c r="J239" s="15">
        <v>2737.63</v>
      </c>
      <c r="K239" s="14" t="str" cm="1">
        <f t="array" ref="K239">_xlfn.IFS(Table4[[#This Row],[Sales]]&gt;40000,"Best Sales",Table4[[#This Row],[Sales]]&gt;20000,"Average Sales",Table4[[#This Row],[Sales]]&gt;0,"Poor Sales")</f>
        <v>Poor Sales</v>
      </c>
    </row>
    <row r="240" spans="1:11" x14ac:dyDescent="0.3">
      <c r="A240" s="6">
        <v>239</v>
      </c>
      <c r="B240" s="7">
        <v>44947</v>
      </c>
      <c r="C240" s="8" t="s">
        <v>37</v>
      </c>
      <c r="D240" s="8" t="s">
        <v>27</v>
      </c>
      <c r="E240" s="8" t="s">
        <v>17</v>
      </c>
      <c r="F240" s="8" t="s">
        <v>24</v>
      </c>
      <c r="G240" s="8" t="s">
        <v>25</v>
      </c>
      <c r="H240" s="9">
        <v>9511</v>
      </c>
      <c r="I240" s="8">
        <v>2</v>
      </c>
      <c r="J240" s="10">
        <v>1162.99</v>
      </c>
      <c r="K240" s="14" t="str" cm="1">
        <f t="array" ref="K240">_xlfn.IFS(Table4[[#This Row],[Sales]]&gt;40000,"Best Sales",Table4[[#This Row],[Sales]]&gt;20000,"Average Sales",Table4[[#This Row],[Sales]]&gt;0,"Poor Sales")</f>
        <v>Poor Sales</v>
      </c>
    </row>
    <row r="241" spans="1:11" x14ac:dyDescent="0.3">
      <c r="A241" s="11">
        <v>240</v>
      </c>
      <c r="B241" s="12">
        <v>45001</v>
      </c>
      <c r="C241" s="13" t="s">
        <v>10</v>
      </c>
      <c r="D241" s="13" t="s">
        <v>11</v>
      </c>
      <c r="E241" s="13" t="s">
        <v>20</v>
      </c>
      <c r="F241" s="13" t="s">
        <v>13</v>
      </c>
      <c r="G241" s="13" t="s">
        <v>21</v>
      </c>
      <c r="H241" s="14">
        <v>36211.370000000003</v>
      </c>
      <c r="I241" s="13">
        <v>6</v>
      </c>
      <c r="J241" s="15">
        <v>7076.58</v>
      </c>
      <c r="K241" s="14" t="str" cm="1">
        <f t="array" ref="K241">_xlfn.IFS(Table4[[#This Row],[Sales]]&gt;40000,"Best Sales",Table4[[#This Row],[Sales]]&gt;20000,"Average Sales",Table4[[#This Row],[Sales]]&gt;0,"Poor Sales")</f>
        <v>Average Sales</v>
      </c>
    </row>
    <row r="242" spans="1:11" x14ac:dyDescent="0.3">
      <c r="A242" s="6">
        <v>241</v>
      </c>
      <c r="B242" s="7">
        <v>45034</v>
      </c>
      <c r="C242" s="8" t="s">
        <v>15</v>
      </c>
      <c r="D242" s="8" t="s">
        <v>16</v>
      </c>
      <c r="E242" s="8" t="s">
        <v>20</v>
      </c>
      <c r="F242" s="8" t="s">
        <v>13</v>
      </c>
      <c r="G242" s="8" t="s">
        <v>21</v>
      </c>
      <c r="H242" s="9">
        <v>38204.660000000003</v>
      </c>
      <c r="I242" s="8">
        <v>1</v>
      </c>
      <c r="J242" s="10">
        <v>10074.93</v>
      </c>
      <c r="K242" s="14" t="str" cm="1">
        <f t="array" ref="K242">_xlfn.IFS(Table4[[#This Row],[Sales]]&gt;40000,"Best Sales",Table4[[#This Row],[Sales]]&gt;20000,"Average Sales",Table4[[#This Row],[Sales]]&gt;0,"Poor Sales")</f>
        <v>Average Sales</v>
      </c>
    </row>
    <row r="243" spans="1:11" x14ac:dyDescent="0.3">
      <c r="A243" s="11">
        <v>242</v>
      </c>
      <c r="B243" s="12">
        <v>44930</v>
      </c>
      <c r="C243" s="13" t="s">
        <v>38</v>
      </c>
      <c r="D243" s="13" t="s">
        <v>27</v>
      </c>
      <c r="E243" s="13" t="s">
        <v>12</v>
      </c>
      <c r="F243" s="13" t="s">
        <v>24</v>
      </c>
      <c r="G243" s="13" t="s">
        <v>25</v>
      </c>
      <c r="H243" s="14">
        <v>40939.94</v>
      </c>
      <c r="I243" s="13">
        <v>7</v>
      </c>
      <c r="J243" s="15">
        <v>7280.08</v>
      </c>
      <c r="K243" s="14" t="str" cm="1">
        <f t="array" ref="K243">_xlfn.IFS(Table4[[#This Row],[Sales]]&gt;40000,"Best Sales",Table4[[#This Row],[Sales]]&gt;20000,"Average Sales",Table4[[#This Row],[Sales]]&gt;0,"Poor Sales")</f>
        <v>Best Sales</v>
      </c>
    </row>
    <row r="244" spans="1:11" x14ac:dyDescent="0.3">
      <c r="A244" s="6">
        <v>243</v>
      </c>
      <c r="B244" s="7">
        <v>45019</v>
      </c>
      <c r="C244" s="8" t="s">
        <v>22</v>
      </c>
      <c r="D244" s="8" t="s">
        <v>22</v>
      </c>
      <c r="E244" s="8" t="s">
        <v>17</v>
      </c>
      <c r="F244" s="8" t="s">
        <v>24</v>
      </c>
      <c r="G244" s="8" t="s">
        <v>29</v>
      </c>
      <c r="H244" s="9">
        <v>26046.11</v>
      </c>
      <c r="I244" s="8">
        <v>2</v>
      </c>
      <c r="J244" s="10">
        <v>3289.52</v>
      </c>
      <c r="K244" s="14" t="str" cm="1">
        <f t="array" ref="K244">_xlfn.IFS(Table4[[#This Row],[Sales]]&gt;40000,"Best Sales",Table4[[#This Row],[Sales]]&gt;20000,"Average Sales",Table4[[#This Row],[Sales]]&gt;0,"Poor Sales")</f>
        <v>Average Sales</v>
      </c>
    </row>
    <row r="245" spans="1:11" x14ac:dyDescent="0.3">
      <c r="A245" s="11">
        <v>244</v>
      </c>
      <c r="B245" s="12">
        <v>45000</v>
      </c>
      <c r="C245" s="13" t="s">
        <v>26</v>
      </c>
      <c r="D245" s="13" t="s">
        <v>27</v>
      </c>
      <c r="E245" s="13" t="s">
        <v>12</v>
      </c>
      <c r="F245" s="13" t="s">
        <v>31</v>
      </c>
      <c r="G245" s="13" t="s">
        <v>33</v>
      </c>
      <c r="H245" s="14">
        <v>40691.96</v>
      </c>
      <c r="I245" s="13">
        <v>4</v>
      </c>
      <c r="J245" s="15">
        <v>2624.84</v>
      </c>
      <c r="K245" s="14" t="str" cm="1">
        <f t="array" ref="K245">_xlfn.IFS(Table4[[#This Row],[Sales]]&gt;40000,"Best Sales",Table4[[#This Row],[Sales]]&gt;20000,"Average Sales",Table4[[#This Row],[Sales]]&gt;0,"Poor Sales")</f>
        <v>Best Sales</v>
      </c>
    </row>
    <row r="246" spans="1:11" x14ac:dyDescent="0.3">
      <c r="A246" s="6">
        <v>245</v>
      </c>
      <c r="B246" s="7">
        <v>45053</v>
      </c>
      <c r="C246" s="8" t="s">
        <v>22</v>
      </c>
      <c r="D246" s="8" t="s">
        <v>22</v>
      </c>
      <c r="E246" s="8" t="s">
        <v>17</v>
      </c>
      <c r="F246" s="8" t="s">
        <v>24</v>
      </c>
      <c r="G246" s="8" t="s">
        <v>29</v>
      </c>
      <c r="H246" s="9">
        <v>49598.16</v>
      </c>
      <c r="I246" s="8">
        <v>2</v>
      </c>
      <c r="J246" s="10">
        <v>8746.65</v>
      </c>
      <c r="K246" s="14" t="str" cm="1">
        <f t="array" ref="K246">_xlfn.IFS(Table4[[#This Row],[Sales]]&gt;40000,"Best Sales",Table4[[#This Row],[Sales]]&gt;20000,"Average Sales",Table4[[#This Row],[Sales]]&gt;0,"Poor Sales")</f>
        <v>Best Sales</v>
      </c>
    </row>
    <row r="247" spans="1:11" x14ac:dyDescent="0.3">
      <c r="A247" s="11">
        <v>246</v>
      </c>
      <c r="B247" s="12">
        <v>45088</v>
      </c>
      <c r="C247" s="13" t="s">
        <v>26</v>
      </c>
      <c r="D247" s="13" t="s">
        <v>27</v>
      </c>
      <c r="E247" s="13" t="s">
        <v>20</v>
      </c>
      <c r="F247" s="13" t="s">
        <v>24</v>
      </c>
      <c r="G247" s="13" t="s">
        <v>25</v>
      </c>
      <c r="H247" s="14">
        <v>13177.69</v>
      </c>
      <c r="I247" s="13">
        <v>2</v>
      </c>
      <c r="J247" s="15">
        <v>1536.55</v>
      </c>
      <c r="K247" s="14" t="str" cm="1">
        <f t="array" ref="K247">_xlfn.IFS(Table4[[#This Row],[Sales]]&gt;40000,"Best Sales",Table4[[#This Row],[Sales]]&gt;20000,"Average Sales",Table4[[#This Row],[Sales]]&gt;0,"Poor Sales")</f>
        <v>Poor Sales</v>
      </c>
    </row>
    <row r="248" spans="1:11" x14ac:dyDescent="0.3">
      <c r="A248" s="6">
        <v>247</v>
      </c>
      <c r="B248" s="7">
        <v>45204</v>
      </c>
      <c r="C248" s="8" t="s">
        <v>38</v>
      </c>
      <c r="D248" s="8" t="s">
        <v>27</v>
      </c>
      <c r="E248" s="8" t="s">
        <v>20</v>
      </c>
      <c r="F248" s="8" t="s">
        <v>13</v>
      </c>
      <c r="G248" s="8" t="s">
        <v>21</v>
      </c>
      <c r="H248" s="9">
        <v>25816.6</v>
      </c>
      <c r="I248" s="8">
        <v>1</v>
      </c>
      <c r="J248" s="10">
        <v>6376.67</v>
      </c>
      <c r="K248" s="14" t="str" cm="1">
        <f t="array" ref="K248">_xlfn.IFS(Table4[[#This Row],[Sales]]&gt;40000,"Best Sales",Table4[[#This Row],[Sales]]&gt;20000,"Average Sales",Table4[[#This Row],[Sales]]&gt;0,"Poor Sales")</f>
        <v>Average Sales</v>
      </c>
    </row>
    <row r="249" spans="1:11" x14ac:dyDescent="0.3">
      <c r="A249" s="11">
        <v>248</v>
      </c>
      <c r="B249" s="12">
        <v>44981</v>
      </c>
      <c r="C249" s="13" t="s">
        <v>26</v>
      </c>
      <c r="D249" s="13" t="s">
        <v>27</v>
      </c>
      <c r="E249" s="13" t="s">
        <v>12</v>
      </c>
      <c r="F249" s="13" t="s">
        <v>13</v>
      </c>
      <c r="G249" s="13" t="s">
        <v>34</v>
      </c>
      <c r="H249" s="14">
        <v>4142.42</v>
      </c>
      <c r="I249" s="13">
        <v>7</v>
      </c>
      <c r="J249" s="15">
        <v>987.96</v>
      </c>
      <c r="K249" s="14" t="str" cm="1">
        <f t="array" ref="K249">_xlfn.IFS(Table4[[#This Row],[Sales]]&gt;40000,"Best Sales",Table4[[#This Row],[Sales]]&gt;20000,"Average Sales",Table4[[#This Row],[Sales]]&gt;0,"Poor Sales")</f>
        <v>Poor Sales</v>
      </c>
    </row>
    <row r="250" spans="1:11" x14ac:dyDescent="0.3">
      <c r="A250" s="6">
        <v>249</v>
      </c>
      <c r="B250" s="7">
        <v>45149</v>
      </c>
      <c r="C250" s="8" t="s">
        <v>26</v>
      </c>
      <c r="D250" s="8" t="s">
        <v>27</v>
      </c>
      <c r="E250" s="8" t="s">
        <v>17</v>
      </c>
      <c r="F250" s="8" t="s">
        <v>13</v>
      </c>
      <c r="G250" s="8" t="s">
        <v>34</v>
      </c>
      <c r="H250" s="9">
        <v>48741.85</v>
      </c>
      <c r="I250" s="8">
        <v>2</v>
      </c>
      <c r="J250" s="10">
        <v>6991.38</v>
      </c>
      <c r="K250" s="14" t="str" cm="1">
        <f t="array" ref="K250">_xlfn.IFS(Table4[[#This Row],[Sales]]&gt;40000,"Best Sales",Table4[[#This Row],[Sales]]&gt;20000,"Average Sales",Table4[[#This Row],[Sales]]&gt;0,"Poor Sales")</f>
        <v>Best Sales</v>
      </c>
    </row>
    <row r="251" spans="1:11" x14ac:dyDescent="0.3">
      <c r="A251" s="11">
        <v>250</v>
      </c>
      <c r="B251" s="12">
        <v>45268</v>
      </c>
      <c r="C251" s="13" t="s">
        <v>30</v>
      </c>
      <c r="D251" s="13" t="s">
        <v>16</v>
      </c>
      <c r="E251" s="13" t="s">
        <v>12</v>
      </c>
      <c r="F251" s="13" t="s">
        <v>13</v>
      </c>
      <c r="G251" s="13" t="s">
        <v>34</v>
      </c>
      <c r="H251" s="14">
        <v>22157.78</v>
      </c>
      <c r="I251" s="13">
        <v>2</v>
      </c>
      <c r="J251" s="15">
        <v>4517.67</v>
      </c>
      <c r="K251" s="14" t="str" cm="1">
        <f t="array" ref="K251">_xlfn.IFS(Table4[[#This Row],[Sales]]&gt;40000,"Best Sales",Table4[[#This Row],[Sales]]&gt;20000,"Average Sales",Table4[[#This Row],[Sales]]&gt;0,"Poor Sales")</f>
        <v>Average Sales</v>
      </c>
    </row>
    <row r="252" spans="1:11" x14ac:dyDescent="0.3">
      <c r="A252" s="6">
        <v>251</v>
      </c>
      <c r="B252" s="7">
        <v>45094</v>
      </c>
      <c r="C252" s="8" t="s">
        <v>15</v>
      </c>
      <c r="D252" s="8" t="s">
        <v>16</v>
      </c>
      <c r="E252" s="8" t="s">
        <v>17</v>
      </c>
      <c r="F252" s="8" t="s">
        <v>24</v>
      </c>
      <c r="G252" s="8" t="s">
        <v>25</v>
      </c>
      <c r="H252" s="9">
        <v>17751.919999999998</v>
      </c>
      <c r="I252" s="8">
        <v>7</v>
      </c>
      <c r="J252" s="10">
        <v>4931.21</v>
      </c>
      <c r="K252" s="14" t="str" cm="1">
        <f t="array" ref="K252">_xlfn.IFS(Table4[[#This Row],[Sales]]&gt;40000,"Best Sales",Table4[[#This Row],[Sales]]&gt;20000,"Average Sales",Table4[[#This Row],[Sales]]&gt;0,"Poor Sales")</f>
        <v>Poor Sales</v>
      </c>
    </row>
    <row r="253" spans="1:11" x14ac:dyDescent="0.3">
      <c r="A253" s="11">
        <v>252</v>
      </c>
      <c r="B253" s="12">
        <v>45011</v>
      </c>
      <c r="C253" s="13" t="s">
        <v>38</v>
      </c>
      <c r="D253" s="13" t="s">
        <v>27</v>
      </c>
      <c r="E253" s="13" t="s">
        <v>20</v>
      </c>
      <c r="F253" s="13" t="s">
        <v>31</v>
      </c>
      <c r="G253" s="13" t="s">
        <v>39</v>
      </c>
      <c r="H253" s="14">
        <v>11067.21</v>
      </c>
      <c r="I253" s="13">
        <v>3</v>
      </c>
      <c r="J253" s="15">
        <v>2057.92</v>
      </c>
      <c r="K253" s="14" t="str" cm="1">
        <f t="array" ref="K253">_xlfn.IFS(Table4[[#This Row],[Sales]]&gt;40000,"Best Sales",Table4[[#This Row],[Sales]]&gt;20000,"Average Sales",Table4[[#This Row],[Sales]]&gt;0,"Poor Sales")</f>
        <v>Poor Sales</v>
      </c>
    </row>
    <row r="254" spans="1:11" x14ac:dyDescent="0.3">
      <c r="A254" s="6">
        <v>253</v>
      </c>
      <c r="B254" s="7">
        <v>45131</v>
      </c>
      <c r="C254" s="8" t="s">
        <v>38</v>
      </c>
      <c r="D254" s="8" t="s">
        <v>27</v>
      </c>
      <c r="E254" s="8" t="s">
        <v>20</v>
      </c>
      <c r="F254" s="8" t="s">
        <v>24</v>
      </c>
      <c r="G254" s="8" t="s">
        <v>29</v>
      </c>
      <c r="H254" s="9">
        <v>13954.05</v>
      </c>
      <c r="I254" s="8">
        <v>10</v>
      </c>
      <c r="J254" s="10">
        <v>3139.56</v>
      </c>
      <c r="K254" s="14" t="str" cm="1">
        <f t="array" ref="K254">_xlfn.IFS(Table4[[#This Row],[Sales]]&gt;40000,"Best Sales",Table4[[#This Row],[Sales]]&gt;20000,"Average Sales",Table4[[#This Row],[Sales]]&gt;0,"Poor Sales")</f>
        <v>Poor Sales</v>
      </c>
    </row>
    <row r="255" spans="1:11" x14ac:dyDescent="0.3">
      <c r="A255" s="11">
        <v>254</v>
      </c>
      <c r="B255" s="12">
        <v>44976</v>
      </c>
      <c r="C255" s="13" t="s">
        <v>22</v>
      </c>
      <c r="D255" s="13" t="s">
        <v>22</v>
      </c>
      <c r="E255" s="13" t="s">
        <v>12</v>
      </c>
      <c r="F255" s="13" t="s">
        <v>24</v>
      </c>
      <c r="G255" s="13" t="s">
        <v>25</v>
      </c>
      <c r="H255" s="14">
        <v>10782.97</v>
      </c>
      <c r="I255" s="13">
        <v>7</v>
      </c>
      <c r="J255" s="15">
        <v>772.84</v>
      </c>
      <c r="K255" s="14" t="str" cm="1">
        <f t="array" ref="K255">_xlfn.IFS(Table4[[#This Row],[Sales]]&gt;40000,"Best Sales",Table4[[#This Row],[Sales]]&gt;20000,"Average Sales",Table4[[#This Row],[Sales]]&gt;0,"Poor Sales")</f>
        <v>Poor Sales</v>
      </c>
    </row>
    <row r="256" spans="1:11" x14ac:dyDescent="0.3">
      <c r="A256" s="6">
        <v>255</v>
      </c>
      <c r="B256" s="7">
        <v>45247</v>
      </c>
      <c r="C256" s="8" t="s">
        <v>35</v>
      </c>
      <c r="D256" s="8" t="s">
        <v>36</v>
      </c>
      <c r="E256" s="8" t="s">
        <v>17</v>
      </c>
      <c r="F256" s="8" t="s">
        <v>31</v>
      </c>
      <c r="G256" s="8" t="s">
        <v>32</v>
      </c>
      <c r="H256" s="9">
        <v>49437.25</v>
      </c>
      <c r="I256" s="8">
        <v>8</v>
      </c>
      <c r="J256" s="10">
        <v>14199.96</v>
      </c>
      <c r="K256" s="14" t="str" cm="1">
        <f t="array" ref="K256">_xlfn.IFS(Table4[[#This Row],[Sales]]&gt;40000,"Best Sales",Table4[[#This Row],[Sales]]&gt;20000,"Average Sales",Table4[[#This Row],[Sales]]&gt;0,"Poor Sales")</f>
        <v>Best Sales</v>
      </c>
    </row>
    <row r="257" spans="1:11" x14ac:dyDescent="0.3">
      <c r="A257" s="11">
        <v>256</v>
      </c>
      <c r="B257" s="12">
        <v>45195</v>
      </c>
      <c r="C257" s="13" t="s">
        <v>35</v>
      </c>
      <c r="D257" s="13" t="s">
        <v>36</v>
      </c>
      <c r="E257" s="13" t="s">
        <v>12</v>
      </c>
      <c r="F257" s="13" t="s">
        <v>13</v>
      </c>
      <c r="G257" s="13" t="s">
        <v>21</v>
      </c>
      <c r="H257" s="14">
        <v>31032.49</v>
      </c>
      <c r="I257" s="13">
        <v>9</v>
      </c>
      <c r="J257" s="15">
        <v>7395</v>
      </c>
      <c r="K257" s="14" t="str" cm="1">
        <f t="array" ref="K257">_xlfn.IFS(Table4[[#This Row],[Sales]]&gt;40000,"Best Sales",Table4[[#This Row],[Sales]]&gt;20000,"Average Sales",Table4[[#This Row],[Sales]]&gt;0,"Poor Sales")</f>
        <v>Average Sales</v>
      </c>
    </row>
    <row r="258" spans="1:11" x14ac:dyDescent="0.3">
      <c r="A258" s="6">
        <v>257</v>
      </c>
      <c r="B258" s="7">
        <v>45158</v>
      </c>
      <c r="C258" s="8" t="s">
        <v>30</v>
      </c>
      <c r="D258" s="8" t="s">
        <v>16</v>
      </c>
      <c r="E258" s="8" t="s">
        <v>17</v>
      </c>
      <c r="F258" s="8" t="s">
        <v>24</v>
      </c>
      <c r="G258" s="8" t="s">
        <v>25</v>
      </c>
      <c r="H258" s="9">
        <v>27868.7</v>
      </c>
      <c r="I258" s="8">
        <v>2</v>
      </c>
      <c r="J258" s="10">
        <v>6973.6</v>
      </c>
      <c r="K258" s="14" t="str" cm="1">
        <f t="array" ref="K258">_xlfn.IFS(Table4[[#This Row],[Sales]]&gt;40000,"Best Sales",Table4[[#This Row],[Sales]]&gt;20000,"Average Sales",Table4[[#This Row],[Sales]]&gt;0,"Poor Sales")</f>
        <v>Average Sales</v>
      </c>
    </row>
    <row r="259" spans="1:11" x14ac:dyDescent="0.3">
      <c r="A259" s="11">
        <v>258</v>
      </c>
      <c r="B259" s="12">
        <v>45269</v>
      </c>
      <c r="C259" s="13" t="s">
        <v>10</v>
      </c>
      <c r="D259" s="13" t="s">
        <v>11</v>
      </c>
      <c r="E259" s="13" t="s">
        <v>20</v>
      </c>
      <c r="F259" s="13" t="s">
        <v>31</v>
      </c>
      <c r="G259" s="13" t="s">
        <v>39</v>
      </c>
      <c r="H259" s="14">
        <v>40634.300000000003</v>
      </c>
      <c r="I259" s="13">
        <v>10</v>
      </c>
      <c r="J259" s="15">
        <v>11614.53</v>
      </c>
      <c r="K259" s="14" t="str" cm="1">
        <f t="array" ref="K259">_xlfn.IFS(Table4[[#This Row],[Sales]]&gt;40000,"Best Sales",Table4[[#This Row],[Sales]]&gt;20000,"Average Sales",Table4[[#This Row],[Sales]]&gt;0,"Poor Sales")</f>
        <v>Best Sales</v>
      </c>
    </row>
    <row r="260" spans="1:11" x14ac:dyDescent="0.3">
      <c r="A260" s="6">
        <v>259</v>
      </c>
      <c r="B260" s="7">
        <v>45164</v>
      </c>
      <c r="C260" s="8" t="s">
        <v>26</v>
      </c>
      <c r="D260" s="8" t="s">
        <v>27</v>
      </c>
      <c r="E260" s="8" t="s">
        <v>20</v>
      </c>
      <c r="F260" s="8" t="s">
        <v>31</v>
      </c>
      <c r="G260" s="8" t="s">
        <v>32</v>
      </c>
      <c r="H260" s="9">
        <v>2252.35</v>
      </c>
      <c r="I260" s="8">
        <v>2</v>
      </c>
      <c r="J260" s="10">
        <v>469.57</v>
      </c>
      <c r="K260" s="14" t="str" cm="1">
        <f t="array" ref="K260">_xlfn.IFS(Table4[[#This Row],[Sales]]&gt;40000,"Best Sales",Table4[[#This Row],[Sales]]&gt;20000,"Average Sales",Table4[[#This Row],[Sales]]&gt;0,"Poor Sales")</f>
        <v>Poor Sales</v>
      </c>
    </row>
    <row r="261" spans="1:11" x14ac:dyDescent="0.3">
      <c r="A261" s="11">
        <v>260</v>
      </c>
      <c r="B261" s="12">
        <v>45289</v>
      </c>
      <c r="C261" s="13" t="s">
        <v>15</v>
      </c>
      <c r="D261" s="13" t="s">
        <v>16</v>
      </c>
      <c r="E261" s="13" t="s">
        <v>12</v>
      </c>
      <c r="F261" s="13" t="s">
        <v>24</v>
      </c>
      <c r="G261" s="13" t="s">
        <v>29</v>
      </c>
      <c r="H261" s="14">
        <v>24406.17</v>
      </c>
      <c r="I261" s="13">
        <v>2</v>
      </c>
      <c r="J261" s="15">
        <v>1809.18</v>
      </c>
      <c r="K261" s="14" t="str" cm="1">
        <f t="array" ref="K261">_xlfn.IFS(Table4[[#This Row],[Sales]]&gt;40000,"Best Sales",Table4[[#This Row],[Sales]]&gt;20000,"Average Sales",Table4[[#This Row],[Sales]]&gt;0,"Poor Sales")</f>
        <v>Average Sales</v>
      </c>
    </row>
    <row r="262" spans="1:11" x14ac:dyDescent="0.3">
      <c r="A262" s="6">
        <v>261</v>
      </c>
      <c r="B262" s="7">
        <v>45238</v>
      </c>
      <c r="C262" s="8" t="s">
        <v>22</v>
      </c>
      <c r="D262" s="8" t="s">
        <v>22</v>
      </c>
      <c r="E262" s="8" t="s">
        <v>17</v>
      </c>
      <c r="F262" s="8" t="s">
        <v>13</v>
      </c>
      <c r="G262" s="8" t="s">
        <v>34</v>
      </c>
      <c r="H262" s="9">
        <v>14529.22</v>
      </c>
      <c r="I262" s="8">
        <v>8</v>
      </c>
      <c r="J262" s="10">
        <v>3777.18</v>
      </c>
      <c r="K262" s="14" t="str" cm="1">
        <f t="array" ref="K262">_xlfn.IFS(Table4[[#This Row],[Sales]]&gt;40000,"Best Sales",Table4[[#This Row],[Sales]]&gt;20000,"Average Sales",Table4[[#This Row],[Sales]]&gt;0,"Poor Sales")</f>
        <v>Poor Sales</v>
      </c>
    </row>
    <row r="263" spans="1:11" x14ac:dyDescent="0.3">
      <c r="A263" s="11">
        <v>262</v>
      </c>
      <c r="B263" s="12">
        <v>45013</v>
      </c>
      <c r="C263" s="13" t="s">
        <v>37</v>
      </c>
      <c r="D263" s="13" t="s">
        <v>27</v>
      </c>
      <c r="E263" s="13" t="s">
        <v>12</v>
      </c>
      <c r="F263" s="13" t="s">
        <v>13</v>
      </c>
      <c r="G263" s="13" t="s">
        <v>14</v>
      </c>
      <c r="H263" s="14">
        <v>19364.93</v>
      </c>
      <c r="I263" s="13">
        <v>3</v>
      </c>
      <c r="J263" s="15">
        <v>5725.87</v>
      </c>
      <c r="K263" s="14" t="str" cm="1">
        <f t="array" ref="K263">_xlfn.IFS(Table4[[#This Row],[Sales]]&gt;40000,"Best Sales",Table4[[#This Row],[Sales]]&gt;20000,"Average Sales",Table4[[#This Row],[Sales]]&gt;0,"Poor Sales")</f>
        <v>Poor Sales</v>
      </c>
    </row>
    <row r="264" spans="1:11" x14ac:dyDescent="0.3">
      <c r="A264" s="6">
        <v>263</v>
      </c>
      <c r="B264" s="7">
        <v>45214</v>
      </c>
      <c r="C264" s="8" t="s">
        <v>30</v>
      </c>
      <c r="D264" s="8" t="s">
        <v>16</v>
      </c>
      <c r="E264" s="8" t="s">
        <v>17</v>
      </c>
      <c r="F264" s="8" t="s">
        <v>31</v>
      </c>
      <c r="G264" s="8" t="s">
        <v>32</v>
      </c>
      <c r="H264" s="9">
        <v>39741.019999999997</v>
      </c>
      <c r="I264" s="8">
        <v>6</v>
      </c>
      <c r="J264" s="10">
        <v>11691.37</v>
      </c>
      <c r="K264" s="14" t="str" cm="1">
        <f t="array" ref="K264">_xlfn.IFS(Table4[[#This Row],[Sales]]&gt;40000,"Best Sales",Table4[[#This Row],[Sales]]&gt;20000,"Average Sales",Table4[[#This Row],[Sales]]&gt;0,"Poor Sales")</f>
        <v>Average Sales</v>
      </c>
    </row>
    <row r="265" spans="1:11" x14ac:dyDescent="0.3">
      <c r="A265" s="11">
        <v>264</v>
      </c>
      <c r="B265" s="12">
        <v>45114</v>
      </c>
      <c r="C265" s="13" t="s">
        <v>22</v>
      </c>
      <c r="D265" s="13" t="s">
        <v>22</v>
      </c>
      <c r="E265" s="13" t="s">
        <v>20</v>
      </c>
      <c r="F265" s="13" t="s">
        <v>24</v>
      </c>
      <c r="G265" s="13" t="s">
        <v>29</v>
      </c>
      <c r="H265" s="14">
        <v>28526.5</v>
      </c>
      <c r="I265" s="13">
        <v>9</v>
      </c>
      <c r="J265" s="15">
        <v>2168.42</v>
      </c>
      <c r="K265" s="14" t="str" cm="1">
        <f t="array" ref="K265">_xlfn.IFS(Table4[[#This Row],[Sales]]&gt;40000,"Best Sales",Table4[[#This Row],[Sales]]&gt;20000,"Average Sales",Table4[[#This Row],[Sales]]&gt;0,"Poor Sales")</f>
        <v>Average Sales</v>
      </c>
    </row>
    <row r="266" spans="1:11" x14ac:dyDescent="0.3">
      <c r="A266" s="6">
        <v>265</v>
      </c>
      <c r="B266" s="7">
        <v>45156</v>
      </c>
      <c r="C266" s="8" t="s">
        <v>26</v>
      </c>
      <c r="D266" s="8" t="s">
        <v>27</v>
      </c>
      <c r="E266" s="8" t="s">
        <v>20</v>
      </c>
      <c r="F266" s="8" t="s">
        <v>24</v>
      </c>
      <c r="G266" s="8" t="s">
        <v>28</v>
      </c>
      <c r="H266" s="9">
        <v>23711.97</v>
      </c>
      <c r="I266" s="8">
        <v>10</v>
      </c>
      <c r="J266" s="10">
        <v>3673.28</v>
      </c>
      <c r="K266" s="14" t="str" cm="1">
        <f t="array" ref="K266">_xlfn.IFS(Table4[[#This Row],[Sales]]&gt;40000,"Best Sales",Table4[[#This Row],[Sales]]&gt;20000,"Average Sales",Table4[[#This Row],[Sales]]&gt;0,"Poor Sales")</f>
        <v>Average Sales</v>
      </c>
    </row>
    <row r="267" spans="1:11" x14ac:dyDescent="0.3">
      <c r="A267" s="11">
        <v>266</v>
      </c>
      <c r="B267" s="12">
        <v>45127</v>
      </c>
      <c r="C267" s="13" t="s">
        <v>26</v>
      </c>
      <c r="D267" s="13" t="s">
        <v>27</v>
      </c>
      <c r="E267" s="13" t="s">
        <v>12</v>
      </c>
      <c r="F267" s="13" t="s">
        <v>31</v>
      </c>
      <c r="G267" s="13" t="s">
        <v>39</v>
      </c>
      <c r="H267" s="14">
        <v>28029.09</v>
      </c>
      <c r="I267" s="13">
        <v>2</v>
      </c>
      <c r="J267" s="15">
        <v>5086.72</v>
      </c>
      <c r="K267" s="14" t="str" cm="1">
        <f t="array" ref="K267">_xlfn.IFS(Table4[[#This Row],[Sales]]&gt;40000,"Best Sales",Table4[[#This Row],[Sales]]&gt;20000,"Average Sales",Table4[[#This Row],[Sales]]&gt;0,"Poor Sales")</f>
        <v>Average Sales</v>
      </c>
    </row>
    <row r="268" spans="1:11" x14ac:dyDescent="0.3">
      <c r="A268" s="6">
        <v>267</v>
      </c>
      <c r="B268" s="7">
        <v>45268</v>
      </c>
      <c r="C268" s="8" t="s">
        <v>37</v>
      </c>
      <c r="D268" s="8" t="s">
        <v>27</v>
      </c>
      <c r="E268" s="8" t="s">
        <v>17</v>
      </c>
      <c r="F268" s="8" t="s">
        <v>31</v>
      </c>
      <c r="G268" s="8" t="s">
        <v>39</v>
      </c>
      <c r="H268" s="9">
        <v>5734.42</v>
      </c>
      <c r="I268" s="8">
        <v>4</v>
      </c>
      <c r="J268" s="10">
        <v>1489.22</v>
      </c>
      <c r="K268" s="14" t="str" cm="1">
        <f t="array" ref="K268">_xlfn.IFS(Table4[[#This Row],[Sales]]&gt;40000,"Best Sales",Table4[[#This Row],[Sales]]&gt;20000,"Average Sales",Table4[[#This Row],[Sales]]&gt;0,"Poor Sales")</f>
        <v>Poor Sales</v>
      </c>
    </row>
    <row r="269" spans="1:11" x14ac:dyDescent="0.3">
      <c r="A269" s="11">
        <v>268</v>
      </c>
      <c r="B269" s="12">
        <v>45136</v>
      </c>
      <c r="C269" s="13" t="s">
        <v>30</v>
      </c>
      <c r="D269" s="13" t="s">
        <v>16</v>
      </c>
      <c r="E269" s="13" t="s">
        <v>12</v>
      </c>
      <c r="F269" s="13" t="s">
        <v>31</v>
      </c>
      <c r="G269" s="13" t="s">
        <v>32</v>
      </c>
      <c r="H269" s="14">
        <v>39653.46</v>
      </c>
      <c r="I269" s="13">
        <v>5</v>
      </c>
      <c r="J269" s="15">
        <v>11436.72</v>
      </c>
      <c r="K269" s="14" t="str" cm="1">
        <f t="array" ref="K269">_xlfn.IFS(Table4[[#This Row],[Sales]]&gt;40000,"Best Sales",Table4[[#This Row],[Sales]]&gt;20000,"Average Sales",Table4[[#This Row],[Sales]]&gt;0,"Poor Sales")</f>
        <v>Average Sales</v>
      </c>
    </row>
    <row r="270" spans="1:11" x14ac:dyDescent="0.3">
      <c r="A270" s="6">
        <v>269</v>
      </c>
      <c r="B270" s="7">
        <v>45100</v>
      </c>
      <c r="C270" s="8" t="s">
        <v>30</v>
      </c>
      <c r="D270" s="8" t="s">
        <v>16</v>
      </c>
      <c r="E270" s="8" t="s">
        <v>17</v>
      </c>
      <c r="F270" s="8" t="s">
        <v>24</v>
      </c>
      <c r="G270" s="8" t="s">
        <v>28</v>
      </c>
      <c r="H270" s="9">
        <v>31139.39</v>
      </c>
      <c r="I270" s="8">
        <v>5</v>
      </c>
      <c r="J270" s="10">
        <v>5027.6499999999996</v>
      </c>
      <c r="K270" s="14" t="str" cm="1">
        <f t="array" ref="K270">_xlfn.IFS(Table4[[#This Row],[Sales]]&gt;40000,"Best Sales",Table4[[#This Row],[Sales]]&gt;20000,"Average Sales",Table4[[#This Row],[Sales]]&gt;0,"Poor Sales")</f>
        <v>Average Sales</v>
      </c>
    </row>
    <row r="271" spans="1:11" x14ac:dyDescent="0.3">
      <c r="A271" s="11">
        <v>270</v>
      </c>
      <c r="B271" s="12">
        <v>44981</v>
      </c>
      <c r="C271" s="13" t="s">
        <v>30</v>
      </c>
      <c r="D271" s="13" t="s">
        <v>16</v>
      </c>
      <c r="E271" s="13" t="s">
        <v>20</v>
      </c>
      <c r="F271" s="13" t="s">
        <v>24</v>
      </c>
      <c r="G271" s="13" t="s">
        <v>28</v>
      </c>
      <c r="H271" s="14">
        <v>22141.33</v>
      </c>
      <c r="I271" s="13">
        <v>7</v>
      </c>
      <c r="J271" s="15">
        <v>4473.1400000000003</v>
      </c>
      <c r="K271" s="14" t="str" cm="1">
        <f t="array" ref="K271">_xlfn.IFS(Table4[[#This Row],[Sales]]&gt;40000,"Best Sales",Table4[[#This Row],[Sales]]&gt;20000,"Average Sales",Table4[[#This Row],[Sales]]&gt;0,"Poor Sales")</f>
        <v>Average Sales</v>
      </c>
    </row>
    <row r="272" spans="1:11" x14ac:dyDescent="0.3">
      <c r="A272" s="6">
        <v>271</v>
      </c>
      <c r="B272" s="7">
        <v>45238</v>
      </c>
      <c r="C272" s="8" t="s">
        <v>15</v>
      </c>
      <c r="D272" s="8" t="s">
        <v>16</v>
      </c>
      <c r="E272" s="8" t="s">
        <v>20</v>
      </c>
      <c r="F272" s="8" t="s">
        <v>13</v>
      </c>
      <c r="G272" s="8" t="s">
        <v>34</v>
      </c>
      <c r="H272" s="9">
        <v>44279.01</v>
      </c>
      <c r="I272" s="8">
        <v>7</v>
      </c>
      <c r="J272" s="10">
        <v>6441.93</v>
      </c>
      <c r="K272" s="14" t="str" cm="1">
        <f t="array" ref="K272">_xlfn.IFS(Table4[[#This Row],[Sales]]&gt;40000,"Best Sales",Table4[[#This Row],[Sales]]&gt;20000,"Average Sales",Table4[[#This Row],[Sales]]&gt;0,"Poor Sales")</f>
        <v>Best Sales</v>
      </c>
    </row>
    <row r="273" spans="1:11" x14ac:dyDescent="0.3">
      <c r="A273" s="11">
        <v>272</v>
      </c>
      <c r="B273" s="12">
        <v>44927</v>
      </c>
      <c r="C273" s="13" t="s">
        <v>35</v>
      </c>
      <c r="D273" s="13" t="s">
        <v>36</v>
      </c>
      <c r="E273" s="13" t="s">
        <v>12</v>
      </c>
      <c r="F273" s="13" t="s">
        <v>24</v>
      </c>
      <c r="G273" s="13" t="s">
        <v>25</v>
      </c>
      <c r="H273" s="14">
        <v>34850.58</v>
      </c>
      <c r="I273" s="13">
        <v>6</v>
      </c>
      <c r="J273" s="15">
        <v>7187.87</v>
      </c>
      <c r="K273" s="14" t="str" cm="1">
        <f t="array" ref="K273">_xlfn.IFS(Table4[[#This Row],[Sales]]&gt;40000,"Best Sales",Table4[[#This Row],[Sales]]&gt;20000,"Average Sales",Table4[[#This Row],[Sales]]&gt;0,"Poor Sales")</f>
        <v>Average Sales</v>
      </c>
    </row>
    <row r="274" spans="1:11" x14ac:dyDescent="0.3">
      <c r="A274" s="6">
        <v>273</v>
      </c>
      <c r="B274" s="7">
        <v>45155</v>
      </c>
      <c r="C274" s="8" t="s">
        <v>22</v>
      </c>
      <c r="D274" s="8" t="s">
        <v>22</v>
      </c>
      <c r="E274" s="8" t="s">
        <v>17</v>
      </c>
      <c r="F274" s="8" t="s">
        <v>31</v>
      </c>
      <c r="G274" s="8" t="s">
        <v>33</v>
      </c>
      <c r="H274" s="9">
        <v>5858.59</v>
      </c>
      <c r="I274" s="8">
        <v>3</v>
      </c>
      <c r="J274" s="10">
        <v>796.7</v>
      </c>
      <c r="K274" s="14" t="str" cm="1">
        <f t="array" ref="K274">_xlfn.IFS(Table4[[#This Row],[Sales]]&gt;40000,"Best Sales",Table4[[#This Row],[Sales]]&gt;20000,"Average Sales",Table4[[#This Row],[Sales]]&gt;0,"Poor Sales")</f>
        <v>Poor Sales</v>
      </c>
    </row>
    <row r="275" spans="1:11" x14ac:dyDescent="0.3">
      <c r="A275" s="11">
        <v>274</v>
      </c>
      <c r="B275" s="12">
        <v>45162</v>
      </c>
      <c r="C275" s="13" t="s">
        <v>38</v>
      </c>
      <c r="D275" s="13" t="s">
        <v>27</v>
      </c>
      <c r="E275" s="13" t="s">
        <v>12</v>
      </c>
      <c r="F275" s="13" t="s">
        <v>31</v>
      </c>
      <c r="G275" s="13" t="s">
        <v>39</v>
      </c>
      <c r="H275" s="14">
        <v>48376.78</v>
      </c>
      <c r="I275" s="13">
        <v>2</v>
      </c>
      <c r="J275" s="15">
        <v>6380.96</v>
      </c>
      <c r="K275" s="14" t="str" cm="1">
        <f t="array" ref="K275">_xlfn.IFS(Table4[[#This Row],[Sales]]&gt;40000,"Best Sales",Table4[[#This Row],[Sales]]&gt;20000,"Average Sales",Table4[[#This Row],[Sales]]&gt;0,"Poor Sales")</f>
        <v>Best Sales</v>
      </c>
    </row>
    <row r="276" spans="1:11" x14ac:dyDescent="0.3">
      <c r="A276" s="6">
        <v>275</v>
      </c>
      <c r="B276" s="7">
        <v>45003</v>
      </c>
      <c r="C276" s="8" t="s">
        <v>37</v>
      </c>
      <c r="D276" s="8" t="s">
        <v>27</v>
      </c>
      <c r="E276" s="8" t="s">
        <v>17</v>
      </c>
      <c r="F276" s="8" t="s">
        <v>31</v>
      </c>
      <c r="G276" s="8" t="s">
        <v>39</v>
      </c>
      <c r="H276" s="9">
        <v>45474.51</v>
      </c>
      <c r="I276" s="8">
        <v>5</v>
      </c>
      <c r="J276" s="10">
        <v>10209.879999999999</v>
      </c>
      <c r="K276" s="14" t="str" cm="1">
        <f t="array" ref="K276">_xlfn.IFS(Table4[[#This Row],[Sales]]&gt;40000,"Best Sales",Table4[[#This Row],[Sales]]&gt;20000,"Average Sales",Table4[[#This Row],[Sales]]&gt;0,"Poor Sales")</f>
        <v>Best Sales</v>
      </c>
    </row>
    <row r="277" spans="1:11" x14ac:dyDescent="0.3">
      <c r="A277" s="11">
        <v>276</v>
      </c>
      <c r="B277" s="12">
        <v>45184</v>
      </c>
      <c r="C277" s="13" t="s">
        <v>38</v>
      </c>
      <c r="D277" s="13" t="s">
        <v>27</v>
      </c>
      <c r="E277" s="13" t="s">
        <v>20</v>
      </c>
      <c r="F277" s="13" t="s">
        <v>31</v>
      </c>
      <c r="G277" s="13" t="s">
        <v>32</v>
      </c>
      <c r="H277" s="14">
        <v>38210.57</v>
      </c>
      <c r="I277" s="13">
        <v>1</v>
      </c>
      <c r="J277" s="15">
        <v>8172.28</v>
      </c>
      <c r="K277" s="14" t="str" cm="1">
        <f t="array" ref="K277">_xlfn.IFS(Table4[[#This Row],[Sales]]&gt;40000,"Best Sales",Table4[[#This Row],[Sales]]&gt;20000,"Average Sales",Table4[[#This Row],[Sales]]&gt;0,"Poor Sales")</f>
        <v>Average Sales</v>
      </c>
    </row>
    <row r="278" spans="1:11" x14ac:dyDescent="0.3">
      <c r="A278" s="6">
        <v>277</v>
      </c>
      <c r="B278" s="7">
        <v>45064</v>
      </c>
      <c r="C278" s="8" t="s">
        <v>35</v>
      </c>
      <c r="D278" s="8" t="s">
        <v>36</v>
      </c>
      <c r="E278" s="8" t="s">
        <v>20</v>
      </c>
      <c r="F278" s="8" t="s">
        <v>24</v>
      </c>
      <c r="G278" s="8" t="s">
        <v>28</v>
      </c>
      <c r="H278" s="9">
        <v>2743.4</v>
      </c>
      <c r="I278" s="8">
        <v>2</v>
      </c>
      <c r="J278" s="10">
        <v>324.44</v>
      </c>
      <c r="K278" s="14" t="str" cm="1">
        <f t="array" ref="K278">_xlfn.IFS(Table4[[#This Row],[Sales]]&gt;40000,"Best Sales",Table4[[#This Row],[Sales]]&gt;20000,"Average Sales",Table4[[#This Row],[Sales]]&gt;0,"Poor Sales")</f>
        <v>Poor Sales</v>
      </c>
    </row>
    <row r="279" spans="1:11" x14ac:dyDescent="0.3">
      <c r="A279" s="11">
        <v>278</v>
      </c>
      <c r="B279" s="12">
        <v>45010</v>
      </c>
      <c r="C279" s="13" t="s">
        <v>15</v>
      </c>
      <c r="D279" s="13" t="s">
        <v>16</v>
      </c>
      <c r="E279" s="13" t="s">
        <v>12</v>
      </c>
      <c r="F279" s="13" t="s">
        <v>31</v>
      </c>
      <c r="G279" s="13" t="s">
        <v>32</v>
      </c>
      <c r="H279" s="14">
        <v>17723.98</v>
      </c>
      <c r="I279" s="13">
        <v>3</v>
      </c>
      <c r="J279" s="15">
        <v>3188.41</v>
      </c>
      <c r="K279" s="14" t="str" cm="1">
        <f t="array" ref="K279">_xlfn.IFS(Table4[[#This Row],[Sales]]&gt;40000,"Best Sales",Table4[[#This Row],[Sales]]&gt;20000,"Average Sales",Table4[[#This Row],[Sales]]&gt;0,"Poor Sales")</f>
        <v>Poor Sales</v>
      </c>
    </row>
    <row r="280" spans="1:11" x14ac:dyDescent="0.3">
      <c r="A280" s="6">
        <v>279</v>
      </c>
      <c r="B280" s="7">
        <v>44973</v>
      </c>
      <c r="C280" s="8" t="s">
        <v>15</v>
      </c>
      <c r="D280" s="8" t="s">
        <v>16</v>
      </c>
      <c r="E280" s="8" t="s">
        <v>17</v>
      </c>
      <c r="F280" s="8" t="s">
        <v>13</v>
      </c>
      <c r="G280" s="8" t="s">
        <v>21</v>
      </c>
      <c r="H280" s="9">
        <v>37126.15</v>
      </c>
      <c r="I280" s="8">
        <v>7</v>
      </c>
      <c r="J280" s="10">
        <v>7778.08</v>
      </c>
      <c r="K280" s="14" t="str" cm="1">
        <f t="array" ref="K280">_xlfn.IFS(Table4[[#This Row],[Sales]]&gt;40000,"Best Sales",Table4[[#This Row],[Sales]]&gt;20000,"Average Sales",Table4[[#This Row],[Sales]]&gt;0,"Poor Sales")</f>
        <v>Average Sales</v>
      </c>
    </row>
    <row r="281" spans="1:11" x14ac:dyDescent="0.3">
      <c r="A281" s="11">
        <v>280</v>
      </c>
      <c r="B281" s="12">
        <v>45043</v>
      </c>
      <c r="C281" s="13" t="s">
        <v>10</v>
      </c>
      <c r="D281" s="13" t="s">
        <v>11</v>
      </c>
      <c r="E281" s="13" t="s">
        <v>12</v>
      </c>
      <c r="F281" s="13" t="s">
        <v>13</v>
      </c>
      <c r="G281" s="13" t="s">
        <v>14</v>
      </c>
      <c r="H281" s="14">
        <v>33645.160000000003</v>
      </c>
      <c r="I281" s="13">
        <v>9</v>
      </c>
      <c r="J281" s="15">
        <v>3910.56</v>
      </c>
      <c r="K281" s="14" t="str" cm="1">
        <f t="array" ref="K281">_xlfn.IFS(Table4[[#This Row],[Sales]]&gt;40000,"Best Sales",Table4[[#This Row],[Sales]]&gt;20000,"Average Sales",Table4[[#This Row],[Sales]]&gt;0,"Poor Sales")</f>
        <v>Average Sales</v>
      </c>
    </row>
    <row r="282" spans="1:11" x14ac:dyDescent="0.3">
      <c r="A282" s="6">
        <v>281</v>
      </c>
      <c r="B282" s="7">
        <v>44956</v>
      </c>
      <c r="C282" s="8" t="s">
        <v>35</v>
      </c>
      <c r="D282" s="8" t="s">
        <v>36</v>
      </c>
      <c r="E282" s="8" t="s">
        <v>17</v>
      </c>
      <c r="F282" s="8" t="s">
        <v>24</v>
      </c>
      <c r="G282" s="8" t="s">
        <v>25</v>
      </c>
      <c r="H282" s="9">
        <v>16719.09</v>
      </c>
      <c r="I282" s="8">
        <v>4</v>
      </c>
      <c r="J282" s="10">
        <v>1211.3699999999999</v>
      </c>
      <c r="K282" s="14" t="str" cm="1">
        <f t="array" ref="K282">_xlfn.IFS(Table4[[#This Row],[Sales]]&gt;40000,"Best Sales",Table4[[#This Row],[Sales]]&gt;20000,"Average Sales",Table4[[#This Row],[Sales]]&gt;0,"Poor Sales")</f>
        <v>Poor Sales</v>
      </c>
    </row>
    <row r="283" spans="1:11" x14ac:dyDescent="0.3">
      <c r="A283" s="11">
        <v>282</v>
      </c>
      <c r="B283" s="12">
        <v>45046</v>
      </c>
      <c r="C283" s="13" t="s">
        <v>10</v>
      </c>
      <c r="D283" s="13" t="s">
        <v>11</v>
      </c>
      <c r="E283" s="13" t="s">
        <v>20</v>
      </c>
      <c r="F283" s="13" t="s">
        <v>31</v>
      </c>
      <c r="G283" s="13" t="s">
        <v>32</v>
      </c>
      <c r="H283" s="14">
        <v>25813.7</v>
      </c>
      <c r="I283" s="13">
        <v>4</v>
      </c>
      <c r="J283" s="15">
        <v>5481.41</v>
      </c>
      <c r="K283" s="14" t="str" cm="1">
        <f t="array" ref="K283">_xlfn.IFS(Table4[[#This Row],[Sales]]&gt;40000,"Best Sales",Table4[[#This Row],[Sales]]&gt;20000,"Average Sales",Table4[[#This Row],[Sales]]&gt;0,"Poor Sales")</f>
        <v>Average Sales</v>
      </c>
    </row>
    <row r="284" spans="1:11" x14ac:dyDescent="0.3">
      <c r="A284" s="6">
        <v>283</v>
      </c>
      <c r="B284" s="7">
        <v>45087</v>
      </c>
      <c r="C284" s="8" t="s">
        <v>37</v>
      </c>
      <c r="D284" s="8" t="s">
        <v>27</v>
      </c>
      <c r="E284" s="8" t="s">
        <v>20</v>
      </c>
      <c r="F284" s="8" t="s">
        <v>13</v>
      </c>
      <c r="G284" s="8" t="s">
        <v>21</v>
      </c>
      <c r="H284" s="9">
        <v>4086.81</v>
      </c>
      <c r="I284" s="8">
        <v>4</v>
      </c>
      <c r="J284" s="10">
        <v>760.68</v>
      </c>
      <c r="K284" s="14" t="str" cm="1">
        <f t="array" ref="K284">_xlfn.IFS(Table4[[#This Row],[Sales]]&gt;40000,"Best Sales",Table4[[#This Row],[Sales]]&gt;20000,"Average Sales",Table4[[#This Row],[Sales]]&gt;0,"Poor Sales")</f>
        <v>Poor Sales</v>
      </c>
    </row>
    <row r="285" spans="1:11" x14ac:dyDescent="0.3">
      <c r="A285" s="11">
        <v>284</v>
      </c>
      <c r="B285" s="12">
        <v>45145</v>
      </c>
      <c r="C285" s="13" t="s">
        <v>38</v>
      </c>
      <c r="D285" s="13" t="s">
        <v>27</v>
      </c>
      <c r="E285" s="13" t="s">
        <v>12</v>
      </c>
      <c r="F285" s="13" t="s">
        <v>13</v>
      </c>
      <c r="G285" s="13" t="s">
        <v>21</v>
      </c>
      <c r="H285" s="14">
        <v>18521.38</v>
      </c>
      <c r="I285" s="13">
        <v>1</v>
      </c>
      <c r="J285" s="15">
        <v>1946.16</v>
      </c>
      <c r="K285" s="14" t="str" cm="1">
        <f t="array" ref="K285">_xlfn.IFS(Table4[[#This Row],[Sales]]&gt;40000,"Best Sales",Table4[[#This Row],[Sales]]&gt;20000,"Average Sales",Table4[[#This Row],[Sales]]&gt;0,"Poor Sales")</f>
        <v>Poor Sales</v>
      </c>
    </row>
    <row r="286" spans="1:11" x14ac:dyDescent="0.3">
      <c r="A286" s="6">
        <v>285</v>
      </c>
      <c r="B286" s="7">
        <v>45165</v>
      </c>
      <c r="C286" s="8" t="s">
        <v>37</v>
      </c>
      <c r="D286" s="8" t="s">
        <v>27</v>
      </c>
      <c r="E286" s="8" t="s">
        <v>17</v>
      </c>
      <c r="F286" s="8" t="s">
        <v>24</v>
      </c>
      <c r="G286" s="8" t="s">
        <v>29</v>
      </c>
      <c r="H286" s="9">
        <v>35464.68</v>
      </c>
      <c r="I286" s="8">
        <v>3</v>
      </c>
      <c r="J286" s="10">
        <v>4946.6099999999997</v>
      </c>
      <c r="K286" s="14" t="str" cm="1">
        <f t="array" ref="K286">_xlfn.IFS(Table4[[#This Row],[Sales]]&gt;40000,"Best Sales",Table4[[#This Row],[Sales]]&gt;20000,"Average Sales",Table4[[#This Row],[Sales]]&gt;0,"Poor Sales")</f>
        <v>Average Sales</v>
      </c>
    </row>
    <row r="287" spans="1:11" x14ac:dyDescent="0.3">
      <c r="A287" s="11">
        <v>286</v>
      </c>
      <c r="B287" s="12">
        <v>45228</v>
      </c>
      <c r="C287" s="13" t="s">
        <v>35</v>
      </c>
      <c r="D287" s="13" t="s">
        <v>36</v>
      </c>
      <c r="E287" s="13" t="s">
        <v>12</v>
      </c>
      <c r="F287" s="13" t="s">
        <v>13</v>
      </c>
      <c r="G287" s="13" t="s">
        <v>34</v>
      </c>
      <c r="H287" s="14">
        <v>49796.639999999999</v>
      </c>
      <c r="I287" s="13">
        <v>9</v>
      </c>
      <c r="J287" s="15">
        <v>11826.36</v>
      </c>
      <c r="K287" s="14" t="str" cm="1">
        <f t="array" ref="K287">_xlfn.IFS(Table4[[#This Row],[Sales]]&gt;40000,"Best Sales",Table4[[#This Row],[Sales]]&gt;20000,"Average Sales",Table4[[#This Row],[Sales]]&gt;0,"Poor Sales")</f>
        <v>Best Sales</v>
      </c>
    </row>
    <row r="288" spans="1:11" x14ac:dyDescent="0.3">
      <c r="A288" s="6">
        <v>287</v>
      </c>
      <c r="B288" s="7">
        <v>45075</v>
      </c>
      <c r="C288" s="8" t="s">
        <v>26</v>
      </c>
      <c r="D288" s="8" t="s">
        <v>27</v>
      </c>
      <c r="E288" s="8" t="s">
        <v>17</v>
      </c>
      <c r="F288" s="8" t="s">
        <v>24</v>
      </c>
      <c r="G288" s="8" t="s">
        <v>25</v>
      </c>
      <c r="H288" s="9">
        <v>6484.96</v>
      </c>
      <c r="I288" s="8">
        <v>3</v>
      </c>
      <c r="J288" s="10">
        <v>1208.78</v>
      </c>
      <c r="K288" s="14" t="str" cm="1">
        <f t="array" ref="K288">_xlfn.IFS(Table4[[#This Row],[Sales]]&gt;40000,"Best Sales",Table4[[#This Row],[Sales]]&gt;20000,"Average Sales",Table4[[#This Row],[Sales]]&gt;0,"Poor Sales")</f>
        <v>Poor Sales</v>
      </c>
    </row>
    <row r="289" spans="1:11" x14ac:dyDescent="0.3">
      <c r="A289" s="11">
        <v>288</v>
      </c>
      <c r="B289" s="12">
        <v>45197</v>
      </c>
      <c r="C289" s="13" t="s">
        <v>35</v>
      </c>
      <c r="D289" s="13" t="s">
        <v>36</v>
      </c>
      <c r="E289" s="13" t="s">
        <v>20</v>
      </c>
      <c r="F289" s="13" t="s">
        <v>13</v>
      </c>
      <c r="G289" s="13" t="s">
        <v>21</v>
      </c>
      <c r="H289" s="14">
        <v>33163.33</v>
      </c>
      <c r="I289" s="13">
        <v>10</v>
      </c>
      <c r="J289" s="15">
        <v>7488.7</v>
      </c>
      <c r="K289" s="14" t="str" cm="1">
        <f t="array" ref="K289">_xlfn.IFS(Table4[[#This Row],[Sales]]&gt;40000,"Best Sales",Table4[[#This Row],[Sales]]&gt;20000,"Average Sales",Table4[[#This Row],[Sales]]&gt;0,"Poor Sales")</f>
        <v>Average Sales</v>
      </c>
    </row>
    <row r="290" spans="1:11" x14ac:dyDescent="0.3">
      <c r="A290" s="6">
        <v>289</v>
      </c>
      <c r="B290" s="7">
        <v>44994</v>
      </c>
      <c r="C290" s="8" t="s">
        <v>10</v>
      </c>
      <c r="D290" s="8" t="s">
        <v>11</v>
      </c>
      <c r="E290" s="8" t="s">
        <v>20</v>
      </c>
      <c r="F290" s="8" t="s">
        <v>31</v>
      </c>
      <c r="G290" s="8" t="s">
        <v>39</v>
      </c>
      <c r="H290" s="9">
        <v>13149.05</v>
      </c>
      <c r="I290" s="8">
        <v>7</v>
      </c>
      <c r="J290" s="10">
        <v>3576.49</v>
      </c>
      <c r="K290" s="14" t="str" cm="1">
        <f t="array" ref="K290">_xlfn.IFS(Table4[[#This Row],[Sales]]&gt;40000,"Best Sales",Table4[[#This Row],[Sales]]&gt;20000,"Average Sales",Table4[[#This Row],[Sales]]&gt;0,"Poor Sales")</f>
        <v>Poor Sales</v>
      </c>
    </row>
    <row r="291" spans="1:11" x14ac:dyDescent="0.3">
      <c r="A291" s="11">
        <v>290</v>
      </c>
      <c r="B291" s="12">
        <v>44958</v>
      </c>
      <c r="C291" s="13" t="s">
        <v>22</v>
      </c>
      <c r="D291" s="13" t="s">
        <v>22</v>
      </c>
      <c r="E291" s="13" t="s">
        <v>12</v>
      </c>
      <c r="F291" s="13" t="s">
        <v>31</v>
      </c>
      <c r="G291" s="13" t="s">
        <v>32</v>
      </c>
      <c r="H291" s="14">
        <v>34621.160000000003</v>
      </c>
      <c r="I291" s="13">
        <v>3</v>
      </c>
      <c r="J291" s="15">
        <v>7130.72</v>
      </c>
      <c r="K291" s="14" t="str" cm="1">
        <f t="array" ref="K291">_xlfn.IFS(Table4[[#This Row],[Sales]]&gt;40000,"Best Sales",Table4[[#This Row],[Sales]]&gt;20000,"Average Sales",Table4[[#This Row],[Sales]]&gt;0,"Poor Sales")</f>
        <v>Average Sales</v>
      </c>
    </row>
    <row r="292" spans="1:11" x14ac:dyDescent="0.3">
      <c r="A292" s="6">
        <v>291</v>
      </c>
      <c r="B292" s="7">
        <v>45221</v>
      </c>
      <c r="C292" s="8" t="s">
        <v>10</v>
      </c>
      <c r="D292" s="8" t="s">
        <v>11</v>
      </c>
      <c r="E292" s="8" t="s">
        <v>17</v>
      </c>
      <c r="F292" s="8" t="s">
        <v>24</v>
      </c>
      <c r="G292" s="8" t="s">
        <v>29</v>
      </c>
      <c r="H292" s="9">
        <v>11966.24</v>
      </c>
      <c r="I292" s="8">
        <v>5</v>
      </c>
      <c r="J292" s="10">
        <v>2420.86</v>
      </c>
      <c r="K292" s="14" t="str" cm="1">
        <f t="array" ref="K292">_xlfn.IFS(Table4[[#This Row],[Sales]]&gt;40000,"Best Sales",Table4[[#This Row],[Sales]]&gt;20000,"Average Sales",Table4[[#This Row],[Sales]]&gt;0,"Poor Sales")</f>
        <v>Poor Sales</v>
      </c>
    </row>
    <row r="293" spans="1:11" x14ac:dyDescent="0.3">
      <c r="A293" s="11">
        <v>292</v>
      </c>
      <c r="B293" s="12">
        <v>44960</v>
      </c>
      <c r="C293" s="13" t="s">
        <v>37</v>
      </c>
      <c r="D293" s="13" t="s">
        <v>27</v>
      </c>
      <c r="E293" s="13" t="s">
        <v>12</v>
      </c>
      <c r="F293" s="13" t="s">
        <v>13</v>
      </c>
      <c r="G293" s="13" t="s">
        <v>34</v>
      </c>
      <c r="H293" s="14">
        <v>20790.45</v>
      </c>
      <c r="I293" s="13">
        <v>10</v>
      </c>
      <c r="J293" s="15">
        <v>2754</v>
      </c>
      <c r="K293" s="14" t="str" cm="1">
        <f t="array" ref="K293">_xlfn.IFS(Table4[[#This Row],[Sales]]&gt;40000,"Best Sales",Table4[[#This Row],[Sales]]&gt;20000,"Average Sales",Table4[[#This Row],[Sales]]&gt;0,"Poor Sales")</f>
        <v>Average Sales</v>
      </c>
    </row>
    <row r="294" spans="1:11" x14ac:dyDescent="0.3">
      <c r="A294" s="6">
        <v>293</v>
      </c>
      <c r="B294" s="7">
        <v>44982</v>
      </c>
      <c r="C294" s="8" t="s">
        <v>22</v>
      </c>
      <c r="D294" s="8" t="s">
        <v>22</v>
      </c>
      <c r="E294" s="8" t="s">
        <v>17</v>
      </c>
      <c r="F294" s="8" t="s">
        <v>13</v>
      </c>
      <c r="G294" s="8" t="s">
        <v>34</v>
      </c>
      <c r="H294" s="9">
        <v>20312.77</v>
      </c>
      <c r="I294" s="8">
        <v>5</v>
      </c>
      <c r="J294" s="10">
        <v>5618.1</v>
      </c>
      <c r="K294" s="14" t="str" cm="1">
        <f t="array" ref="K294">_xlfn.IFS(Table4[[#This Row],[Sales]]&gt;40000,"Best Sales",Table4[[#This Row],[Sales]]&gt;20000,"Average Sales",Table4[[#This Row],[Sales]]&gt;0,"Poor Sales")</f>
        <v>Average Sales</v>
      </c>
    </row>
    <row r="295" spans="1:11" x14ac:dyDescent="0.3">
      <c r="A295" s="11">
        <v>294</v>
      </c>
      <c r="B295" s="12">
        <v>44982</v>
      </c>
      <c r="C295" s="13" t="s">
        <v>15</v>
      </c>
      <c r="D295" s="13" t="s">
        <v>16</v>
      </c>
      <c r="E295" s="13" t="s">
        <v>20</v>
      </c>
      <c r="F295" s="13" t="s">
        <v>24</v>
      </c>
      <c r="G295" s="13" t="s">
        <v>25</v>
      </c>
      <c r="H295" s="14">
        <v>39381.9</v>
      </c>
      <c r="I295" s="13">
        <v>10</v>
      </c>
      <c r="J295" s="15">
        <v>7457.7</v>
      </c>
      <c r="K295" s="14" t="str" cm="1">
        <f t="array" ref="K295">_xlfn.IFS(Table4[[#This Row],[Sales]]&gt;40000,"Best Sales",Table4[[#This Row],[Sales]]&gt;20000,"Average Sales",Table4[[#This Row],[Sales]]&gt;0,"Poor Sales")</f>
        <v>Average Sales</v>
      </c>
    </row>
    <row r="296" spans="1:11" x14ac:dyDescent="0.3">
      <c r="A296" s="6">
        <v>295</v>
      </c>
      <c r="B296" s="7">
        <v>45286</v>
      </c>
      <c r="C296" s="8" t="s">
        <v>15</v>
      </c>
      <c r="D296" s="8" t="s">
        <v>16</v>
      </c>
      <c r="E296" s="8" t="s">
        <v>20</v>
      </c>
      <c r="F296" s="8" t="s">
        <v>24</v>
      </c>
      <c r="G296" s="8" t="s">
        <v>25</v>
      </c>
      <c r="H296" s="9">
        <v>32040.32</v>
      </c>
      <c r="I296" s="8">
        <v>10</v>
      </c>
      <c r="J296" s="10">
        <v>7617.08</v>
      </c>
      <c r="K296" s="14" t="str" cm="1">
        <f t="array" ref="K296">_xlfn.IFS(Table4[[#This Row],[Sales]]&gt;40000,"Best Sales",Table4[[#This Row],[Sales]]&gt;20000,"Average Sales",Table4[[#This Row],[Sales]]&gt;0,"Poor Sales")</f>
        <v>Average Sales</v>
      </c>
    </row>
    <row r="297" spans="1:11" x14ac:dyDescent="0.3">
      <c r="A297" s="11">
        <v>296</v>
      </c>
      <c r="B297" s="12">
        <v>45200</v>
      </c>
      <c r="C297" s="13" t="s">
        <v>30</v>
      </c>
      <c r="D297" s="13" t="s">
        <v>16</v>
      </c>
      <c r="E297" s="13" t="s">
        <v>12</v>
      </c>
      <c r="F297" s="13" t="s">
        <v>24</v>
      </c>
      <c r="G297" s="13" t="s">
        <v>25</v>
      </c>
      <c r="H297" s="14">
        <v>9943.7099999999991</v>
      </c>
      <c r="I297" s="13">
        <v>2</v>
      </c>
      <c r="J297" s="15">
        <v>1663.61</v>
      </c>
      <c r="K297" s="14" t="str" cm="1">
        <f t="array" ref="K297">_xlfn.IFS(Table4[[#This Row],[Sales]]&gt;40000,"Best Sales",Table4[[#This Row],[Sales]]&gt;20000,"Average Sales",Table4[[#This Row],[Sales]]&gt;0,"Poor Sales")</f>
        <v>Poor Sales</v>
      </c>
    </row>
    <row r="298" spans="1:11" x14ac:dyDescent="0.3">
      <c r="A298" s="6">
        <v>297</v>
      </c>
      <c r="B298" s="7">
        <v>45141</v>
      </c>
      <c r="C298" s="8" t="s">
        <v>35</v>
      </c>
      <c r="D298" s="8" t="s">
        <v>36</v>
      </c>
      <c r="E298" s="8" t="s">
        <v>17</v>
      </c>
      <c r="F298" s="8" t="s">
        <v>24</v>
      </c>
      <c r="G298" s="8" t="s">
        <v>28</v>
      </c>
      <c r="H298" s="9">
        <v>44799.3</v>
      </c>
      <c r="I298" s="8">
        <v>10</v>
      </c>
      <c r="J298" s="10">
        <v>5560.78</v>
      </c>
      <c r="K298" s="14" t="str" cm="1">
        <f t="array" ref="K298">_xlfn.IFS(Table4[[#This Row],[Sales]]&gt;40000,"Best Sales",Table4[[#This Row],[Sales]]&gt;20000,"Average Sales",Table4[[#This Row],[Sales]]&gt;0,"Poor Sales")</f>
        <v>Best Sales</v>
      </c>
    </row>
    <row r="299" spans="1:11" x14ac:dyDescent="0.3">
      <c r="A299" s="11">
        <v>298</v>
      </c>
      <c r="B299" s="12">
        <v>45109</v>
      </c>
      <c r="C299" s="13" t="s">
        <v>26</v>
      </c>
      <c r="D299" s="13" t="s">
        <v>27</v>
      </c>
      <c r="E299" s="13" t="s">
        <v>12</v>
      </c>
      <c r="F299" s="13" t="s">
        <v>24</v>
      </c>
      <c r="G299" s="13" t="s">
        <v>28</v>
      </c>
      <c r="H299" s="14">
        <v>30482.42</v>
      </c>
      <c r="I299" s="13">
        <v>8</v>
      </c>
      <c r="J299" s="15">
        <v>4421.99</v>
      </c>
      <c r="K299" s="14" t="str" cm="1">
        <f t="array" ref="K299">_xlfn.IFS(Table4[[#This Row],[Sales]]&gt;40000,"Best Sales",Table4[[#This Row],[Sales]]&gt;20000,"Average Sales",Table4[[#This Row],[Sales]]&gt;0,"Poor Sales")</f>
        <v>Average Sales</v>
      </c>
    </row>
    <row r="300" spans="1:11" x14ac:dyDescent="0.3">
      <c r="A300" s="6">
        <v>299</v>
      </c>
      <c r="B300" s="7">
        <v>45065</v>
      </c>
      <c r="C300" s="8" t="s">
        <v>37</v>
      </c>
      <c r="D300" s="8" t="s">
        <v>27</v>
      </c>
      <c r="E300" s="8" t="s">
        <v>17</v>
      </c>
      <c r="F300" s="8" t="s">
        <v>31</v>
      </c>
      <c r="G300" s="8" t="s">
        <v>39</v>
      </c>
      <c r="H300" s="9">
        <v>46018.66</v>
      </c>
      <c r="I300" s="8">
        <v>4</v>
      </c>
      <c r="J300" s="10">
        <v>11286.35</v>
      </c>
      <c r="K300" s="14" t="str" cm="1">
        <f t="array" ref="K300">_xlfn.IFS(Table4[[#This Row],[Sales]]&gt;40000,"Best Sales",Table4[[#This Row],[Sales]]&gt;20000,"Average Sales",Table4[[#This Row],[Sales]]&gt;0,"Poor Sales")</f>
        <v>Best Sales</v>
      </c>
    </row>
    <row r="301" spans="1:11" x14ac:dyDescent="0.3">
      <c r="A301" s="11">
        <v>300</v>
      </c>
      <c r="B301" s="12">
        <v>44947</v>
      </c>
      <c r="C301" s="13" t="s">
        <v>30</v>
      </c>
      <c r="D301" s="13" t="s">
        <v>16</v>
      </c>
      <c r="E301" s="13" t="s">
        <v>20</v>
      </c>
      <c r="F301" s="13" t="s">
        <v>13</v>
      </c>
      <c r="G301" s="13" t="s">
        <v>21</v>
      </c>
      <c r="H301" s="14">
        <v>45604.85</v>
      </c>
      <c r="I301" s="13">
        <v>4</v>
      </c>
      <c r="J301" s="15">
        <v>10780.42</v>
      </c>
      <c r="K301" s="14" t="str" cm="1">
        <f t="array" ref="K301">_xlfn.IFS(Table4[[#This Row],[Sales]]&gt;40000,"Best Sales",Table4[[#This Row],[Sales]]&gt;20000,"Average Sales",Table4[[#This Row],[Sales]]&gt;0,"Poor Sales")</f>
        <v>Best Sales</v>
      </c>
    </row>
    <row r="302" spans="1:11" x14ac:dyDescent="0.3">
      <c r="A302" s="6">
        <v>301</v>
      </c>
      <c r="B302" s="7">
        <v>45205</v>
      </c>
      <c r="C302" s="8" t="s">
        <v>10</v>
      </c>
      <c r="D302" s="8" t="s">
        <v>11</v>
      </c>
      <c r="E302" s="8" t="s">
        <v>20</v>
      </c>
      <c r="F302" s="8" t="s">
        <v>24</v>
      </c>
      <c r="G302" s="8" t="s">
        <v>29</v>
      </c>
      <c r="H302" s="9">
        <v>10568</v>
      </c>
      <c r="I302" s="8">
        <v>9</v>
      </c>
      <c r="J302" s="10">
        <v>1896.29</v>
      </c>
      <c r="K302" s="14" t="str" cm="1">
        <f t="array" ref="K302">_xlfn.IFS(Table4[[#This Row],[Sales]]&gt;40000,"Best Sales",Table4[[#This Row],[Sales]]&gt;20000,"Average Sales",Table4[[#This Row],[Sales]]&gt;0,"Poor Sales")</f>
        <v>Poor Sales</v>
      </c>
    </row>
    <row r="303" spans="1:11" x14ac:dyDescent="0.3">
      <c r="A303" s="11">
        <v>302</v>
      </c>
      <c r="B303" s="12">
        <v>45020</v>
      </c>
      <c r="C303" s="13" t="s">
        <v>30</v>
      </c>
      <c r="D303" s="13" t="s">
        <v>16</v>
      </c>
      <c r="E303" s="13" t="s">
        <v>12</v>
      </c>
      <c r="F303" s="13" t="s">
        <v>24</v>
      </c>
      <c r="G303" s="13" t="s">
        <v>29</v>
      </c>
      <c r="H303" s="14">
        <v>36013.07</v>
      </c>
      <c r="I303" s="13">
        <v>7</v>
      </c>
      <c r="J303" s="15">
        <v>2887.26</v>
      </c>
      <c r="K303" s="14" t="str" cm="1">
        <f t="array" ref="K303">_xlfn.IFS(Table4[[#This Row],[Sales]]&gt;40000,"Best Sales",Table4[[#This Row],[Sales]]&gt;20000,"Average Sales",Table4[[#This Row],[Sales]]&gt;0,"Poor Sales")</f>
        <v>Average Sales</v>
      </c>
    </row>
    <row r="304" spans="1:11" x14ac:dyDescent="0.3">
      <c r="A304" s="6">
        <v>303</v>
      </c>
      <c r="B304" s="7">
        <v>44950</v>
      </c>
      <c r="C304" s="8" t="s">
        <v>22</v>
      </c>
      <c r="D304" s="8" t="s">
        <v>22</v>
      </c>
      <c r="E304" s="8" t="s">
        <v>17</v>
      </c>
      <c r="F304" s="8" t="s">
        <v>24</v>
      </c>
      <c r="G304" s="8" t="s">
        <v>28</v>
      </c>
      <c r="H304" s="9">
        <v>8545.89</v>
      </c>
      <c r="I304" s="8">
        <v>8</v>
      </c>
      <c r="J304" s="10">
        <v>998.97</v>
      </c>
      <c r="K304" s="14" t="str" cm="1">
        <f t="array" ref="K304">_xlfn.IFS(Table4[[#This Row],[Sales]]&gt;40000,"Best Sales",Table4[[#This Row],[Sales]]&gt;20000,"Average Sales",Table4[[#This Row],[Sales]]&gt;0,"Poor Sales")</f>
        <v>Poor Sales</v>
      </c>
    </row>
    <row r="305" spans="1:11" x14ac:dyDescent="0.3">
      <c r="A305" s="11">
        <v>304</v>
      </c>
      <c r="B305" s="12">
        <v>44976</v>
      </c>
      <c r="C305" s="13" t="s">
        <v>22</v>
      </c>
      <c r="D305" s="13" t="s">
        <v>22</v>
      </c>
      <c r="E305" s="13" t="s">
        <v>12</v>
      </c>
      <c r="F305" s="13" t="s">
        <v>24</v>
      </c>
      <c r="G305" s="13" t="s">
        <v>29</v>
      </c>
      <c r="H305" s="14">
        <v>46736.67</v>
      </c>
      <c r="I305" s="13">
        <v>5</v>
      </c>
      <c r="J305" s="15">
        <v>4010.98</v>
      </c>
      <c r="K305" s="14" t="str" cm="1">
        <f t="array" ref="K305">_xlfn.IFS(Table4[[#This Row],[Sales]]&gt;40000,"Best Sales",Table4[[#This Row],[Sales]]&gt;20000,"Average Sales",Table4[[#This Row],[Sales]]&gt;0,"Poor Sales")</f>
        <v>Best Sales</v>
      </c>
    </row>
    <row r="306" spans="1:11" x14ac:dyDescent="0.3">
      <c r="A306" s="6">
        <v>305</v>
      </c>
      <c r="B306" s="7">
        <v>45221</v>
      </c>
      <c r="C306" s="8" t="s">
        <v>38</v>
      </c>
      <c r="D306" s="8" t="s">
        <v>27</v>
      </c>
      <c r="E306" s="8" t="s">
        <v>17</v>
      </c>
      <c r="F306" s="8" t="s">
        <v>31</v>
      </c>
      <c r="G306" s="8" t="s">
        <v>39</v>
      </c>
      <c r="H306" s="9">
        <v>42026.12</v>
      </c>
      <c r="I306" s="8">
        <v>5</v>
      </c>
      <c r="J306" s="10">
        <v>7474.37</v>
      </c>
      <c r="K306" s="14" t="str" cm="1">
        <f t="array" ref="K306">_xlfn.IFS(Table4[[#This Row],[Sales]]&gt;40000,"Best Sales",Table4[[#This Row],[Sales]]&gt;20000,"Average Sales",Table4[[#This Row],[Sales]]&gt;0,"Poor Sales")</f>
        <v>Best Sales</v>
      </c>
    </row>
    <row r="307" spans="1:11" x14ac:dyDescent="0.3">
      <c r="A307" s="11">
        <v>306</v>
      </c>
      <c r="B307" s="12">
        <v>45115</v>
      </c>
      <c r="C307" s="13" t="s">
        <v>26</v>
      </c>
      <c r="D307" s="13" t="s">
        <v>27</v>
      </c>
      <c r="E307" s="13" t="s">
        <v>20</v>
      </c>
      <c r="F307" s="13" t="s">
        <v>31</v>
      </c>
      <c r="G307" s="13" t="s">
        <v>32</v>
      </c>
      <c r="H307" s="14">
        <v>31540.15</v>
      </c>
      <c r="I307" s="13">
        <v>8</v>
      </c>
      <c r="J307" s="15">
        <v>4128.9799999999996</v>
      </c>
      <c r="K307" s="14" t="str" cm="1">
        <f t="array" ref="K307">_xlfn.IFS(Table4[[#This Row],[Sales]]&gt;40000,"Best Sales",Table4[[#This Row],[Sales]]&gt;20000,"Average Sales",Table4[[#This Row],[Sales]]&gt;0,"Poor Sales")</f>
        <v>Average Sales</v>
      </c>
    </row>
    <row r="308" spans="1:11" x14ac:dyDescent="0.3">
      <c r="A308" s="6">
        <v>307</v>
      </c>
      <c r="B308" s="7">
        <v>45135</v>
      </c>
      <c r="C308" s="8" t="s">
        <v>18</v>
      </c>
      <c r="D308" s="8" t="s">
        <v>19</v>
      </c>
      <c r="E308" s="8" t="s">
        <v>20</v>
      </c>
      <c r="F308" s="8" t="s">
        <v>24</v>
      </c>
      <c r="G308" s="8" t="s">
        <v>25</v>
      </c>
      <c r="H308" s="9">
        <v>29281.72</v>
      </c>
      <c r="I308" s="8">
        <v>10</v>
      </c>
      <c r="J308" s="10">
        <v>2759</v>
      </c>
      <c r="K308" s="14" t="str" cm="1">
        <f t="array" ref="K308">_xlfn.IFS(Table4[[#This Row],[Sales]]&gt;40000,"Best Sales",Table4[[#This Row],[Sales]]&gt;20000,"Average Sales",Table4[[#This Row],[Sales]]&gt;0,"Poor Sales")</f>
        <v>Average Sales</v>
      </c>
    </row>
    <row r="309" spans="1:11" x14ac:dyDescent="0.3">
      <c r="A309" s="11">
        <v>308</v>
      </c>
      <c r="B309" s="12">
        <v>44974</v>
      </c>
      <c r="C309" s="13" t="s">
        <v>38</v>
      </c>
      <c r="D309" s="13" t="s">
        <v>27</v>
      </c>
      <c r="E309" s="13" t="s">
        <v>12</v>
      </c>
      <c r="F309" s="13" t="s">
        <v>31</v>
      </c>
      <c r="G309" s="13" t="s">
        <v>33</v>
      </c>
      <c r="H309" s="14">
        <v>23981.49</v>
      </c>
      <c r="I309" s="13">
        <v>2</v>
      </c>
      <c r="J309" s="15">
        <v>5193.12</v>
      </c>
      <c r="K309" s="14" t="str" cm="1">
        <f t="array" ref="K309">_xlfn.IFS(Table4[[#This Row],[Sales]]&gt;40000,"Best Sales",Table4[[#This Row],[Sales]]&gt;20000,"Average Sales",Table4[[#This Row],[Sales]]&gt;0,"Poor Sales")</f>
        <v>Average Sales</v>
      </c>
    </row>
    <row r="310" spans="1:11" x14ac:dyDescent="0.3">
      <c r="A310" s="6">
        <v>309</v>
      </c>
      <c r="B310" s="7">
        <v>45086</v>
      </c>
      <c r="C310" s="8" t="s">
        <v>37</v>
      </c>
      <c r="D310" s="8" t="s">
        <v>27</v>
      </c>
      <c r="E310" s="8" t="s">
        <v>17</v>
      </c>
      <c r="F310" s="8" t="s">
        <v>24</v>
      </c>
      <c r="G310" s="8" t="s">
        <v>25</v>
      </c>
      <c r="H310" s="9">
        <v>11039.74</v>
      </c>
      <c r="I310" s="8">
        <v>6</v>
      </c>
      <c r="J310" s="10">
        <v>642.16999999999996</v>
      </c>
      <c r="K310" s="14" t="str" cm="1">
        <f t="array" ref="K310">_xlfn.IFS(Table4[[#This Row],[Sales]]&gt;40000,"Best Sales",Table4[[#This Row],[Sales]]&gt;20000,"Average Sales",Table4[[#This Row],[Sales]]&gt;0,"Poor Sales")</f>
        <v>Poor Sales</v>
      </c>
    </row>
    <row r="311" spans="1:11" x14ac:dyDescent="0.3">
      <c r="A311" s="11">
        <v>310</v>
      </c>
      <c r="B311" s="12">
        <v>44967</v>
      </c>
      <c r="C311" s="13" t="s">
        <v>35</v>
      </c>
      <c r="D311" s="13" t="s">
        <v>36</v>
      </c>
      <c r="E311" s="13" t="s">
        <v>12</v>
      </c>
      <c r="F311" s="13" t="s">
        <v>13</v>
      </c>
      <c r="G311" s="13" t="s">
        <v>21</v>
      </c>
      <c r="H311" s="14">
        <v>24072.58</v>
      </c>
      <c r="I311" s="13">
        <v>2</v>
      </c>
      <c r="J311" s="15">
        <v>4237.45</v>
      </c>
      <c r="K311" s="14" t="str" cm="1">
        <f t="array" ref="K311">_xlfn.IFS(Table4[[#This Row],[Sales]]&gt;40000,"Best Sales",Table4[[#This Row],[Sales]]&gt;20000,"Average Sales",Table4[[#This Row],[Sales]]&gt;0,"Poor Sales")</f>
        <v>Average Sales</v>
      </c>
    </row>
    <row r="312" spans="1:11" x14ac:dyDescent="0.3">
      <c r="A312" s="6">
        <v>311</v>
      </c>
      <c r="B312" s="7">
        <v>44969</v>
      </c>
      <c r="C312" s="8" t="s">
        <v>15</v>
      </c>
      <c r="D312" s="8" t="s">
        <v>16</v>
      </c>
      <c r="E312" s="8" t="s">
        <v>17</v>
      </c>
      <c r="F312" s="8" t="s">
        <v>31</v>
      </c>
      <c r="G312" s="8" t="s">
        <v>39</v>
      </c>
      <c r="H312" s="9">
        <v>48043.43</v>
      </c>
      <c r="I312" s="8">
        <v>6</v>
      </c>
      <c r="J312" s="10">
        <v>6191.26</v>
      </c>
      <c r="K312" s="14" t="str" cm="1">
        <f t="array" ref="K312">_xlfn.IFS(Table4[[#This Row],[Sales]]&gt;40000,"Best Sales",Table4[[#This Row],[Sales]]&gt;20000,"Average Sales",Table4[[#This Row],[Sales]]&gt;0,"Poor Sales")</f>
        <v>Best Sales</v>
      </c>
    </row>
    <row r="313" spans="1:11" x14ac:dyDescent="0.3">
      <c r="A313" s="11">
        <v>312</v>
      </c>
      <c r="B313" s="12">
        <v>44999</v>
      </c>
      <c r="C313" s="13" t="s">
        <v>38</v>
      </c>
      <c r="D313" s="13" t="s">
        <v>27</v>
      </c>
      <c r="E313" s="13" t="s">
        <v>20</v>
      </c>
      <c r="F313" s="13" t="s">
        <v>24</v>
      </c>
      <c r="G313" s="13" t="s">
        <v>25</v>
      </c>
      <c r="H313" s="14">
        <v>45172.53</v>
      </c>
      <c r="I313" s="13">
        <v>6</v>
      </c>
      <c r="J313" s="15">
        <v>3057.46</v>
      </c>
      <c r="K313" s="14" t="str" cm="1">
        <f t="array" ref="K313">_xlfn.IFS(Table4[[#This Row],[Sales]]&gt;40000,"Best Sales",Table4[[#This Row],[Sales]]&gt;20000,"Average Sales",Table4[[#This Row],[Sales]]&gt;0,"Poor Sales")</f>
        <v>Best Sales</v>
      </c>
    </row>
    <row r="314" spans="1:11" x14ac:dyDescent="0.3">
      <c r="A314" s="6">
        <v>313</v>
      </c>
      <c r="B314" s="7">
        <v>45150</v>
      </c>
      <c r="C314" s="8" t="s">
        <v>26</v>
      </c>
      <c r="D314" s="8" t="s">
        <v>27</v>
      </c>
      <c r="E314" s="8" t="s">
        <v>20</v>
      </c>
      <c r="F314" s="8" t="s">
        <v>31</v>
      </c>
      <c r="G314" s="8" t="s">
        <v>33</v>
      </c>
      <c r="H314" s="9">
        <v>36425.279999999999</v>
      </c>
      <c r="I314" s="8">
        <v>2</v>
      </c>
      <c r="J314" s="10">
        <v>2652.3</v>
      </c>
      <c r="K314" s="14" t="str" cm="1">
        <f t="array" ref="K314">_xlfn.IFS(Table4[[#This Row],[Sales]]&gt;40000,"Best Sales",Table4[[#This Row],[Sales]]&gt;20000,"Average Sales",Table4[[#This Row],[Sales]]&gt;0,"Poor Sales")</f>
        <v>Average Sales</v>
      </c>
    </row>
    <row r="315" spans="1:11" x14ac:dyDescent="0.3">
      <c r="A315" s="11">
        <v>314</v>
      </c>
      <c r="B315" s="12">
        <v>45204</v>
      </c>
      <c r="C315" s="13" t="s">
        <v>38</v>
      </c>
      <c r="D315" s="13" t="s">
        <v>27</v>
      </c>
      <c r="E315" s="13" t="s">
        <v>12</v>
      </c>
      <c r="F315" s="13" t="s">
        <v>24</v>
      </c>
      <c r="G315" s="13" t="s">
        <v>29</v>
      </c>
      <c r="H315" s="14">
        <v>34225.440000000002</v>
      </c>
      <c r="I315" s="13">
        <v>5</v>
      </c>
      <c r="J315" s="15">
        <v>7171.55</v>
      </c>
      <c r="K315" s="14" t="str" cm="1">
        <f t="array" ref="K315">_xlfn.IFS(Table4[[#This Row],[Sales]]&gt;40000,"Best Sales",Table4[[#This Row],[Sales]]&gt;20000,"Average Sales",Table4[[#This Row],[Sales]]&gt;0,"Poor Sales")</f>
        <v>Average Sales</v>
      </c>
    </row>
    <row r="316" spans="1:11" x14ac:dyDescent="0.3">
      <c r="A316" s="6">
        <v>315</v>
      </c>
      <c r="B316" s="7">
        <v>45240</v>
      </c>
      <c r="C316" s="8" t="s">
        <v>37</v>
      </c>
      <c r="D316" s="8" t="s">
        <v>27</v>
      </c>
      <c r="E316" s="8" t="s">
        <v>17</v>
      </c>
      <c r="F316" s="8" t="s">
        <v>13</v>
      </c>
      <c r="G316" s="8" t="s">
        <v>14</v>
      </c>
      <c r="H316" s="9">
        <v>47580.01</v>
      </c>
      <c r="I316" s="8">
        <v>1</v>
      </c>
      <c r="J316" s="10">
        <v>13586.56</v>
      </c>
      <c r="K316" s="14" t="str" cm="1">
        <f t="array" ref="K316">_xlfn.IFS(Table4[[#This Row],[Sales]]&gt;40000,"Best Sales",Table4[[#This Row],[Sales]]&gt;20000,"Average Sales",Table4[[#This Row],[Sales]]&gt;0,"Poor Sales")</f>
        <v>Best Sales</v>
      </c>
    </row>
    <row r="317" spans="1:11" x14ac:dyDescent="0.3">
      <c r="A317" s="11">
        <v>316</v>
      </c>
      <c r="B317" s="12">
        <v>44975</v>
      </c>
      <c r="C317" s="13" t="s">
        <v>38</v>
      </c>
      <c r="D317" s="13" t="s">
        <v>27</v>
      </c>
      <c r="E317" s="13" t="s">
        <v>12</v>
      </c>
      <c r="F317" s="13" t="s">
        <v>13</v>
      </c>
      <c r="G317" s="13" t="s">
        <v>14</v>
      </c>
      <c r="H317" s="14">
        <v>17212.37</v>
      </c>
      <c r="I317" s="13">
        <v>6</v>
      </c>
      <c r="J317" s="15">
        <v>4577.87</v>
      </c>
      <c r="K317" s="14" t="str" cm="1">
        <f t="array" ref="K317">_xlfn.IFS(Table4[[#This Row],[Sales]]&gt;40000,"Best Sales",Table4[[#This Row],[Sales]]&gt;20000,"Average Sales",Table4[[#This Row],[Sales]]&gt;0,"Poor Sales")</f>
        <v>Poor Sales</v>
      </c>
    </row>
    <row r="318" spans="1:11" x14ac:dyDescent="0.3">
      <c r="A318" s="6">
        <v>317</v>
      </c>
      <c r="B318" s="7">
        <v>44949</v>
      </c>
      <c r="C318" s="8" t="s">
        <v>18</v>
      </c>
      <c r="D318" s="8" t="s">
        <v>19</v>
      </c>
      <c r="E318" s="8" t="s">
        <v>17</v>
      </c>
      <c r="F318" s="8" t="s">
        <v>13</v>
      </c>
      <c r="G318" s="8" t="s">
        <v>21</v>
      </c>
      <c r="H318" s="9">
        <v>48075.95</v>
      </c>
      <c r="I318" s="8">
        <v>7</v>
      </c>
      <c r="J318" s="10">
        <v>4672.51</v>
      </c>
      <c r="K318" s="14" t="str" cm="1">
        <f t="array" ref="K318">_xlfn.IFS(Table4[[#This Row],[Sales]]&gt;40000,"Best Sales",Table4[[#This Row],[Sales]]&gt;20000,"Average Sales",Table4[[#This Row],[Sales]]&gt;0,"Poor Sales")</f>
        <v>Best Sales</v>
      </c>
    </row>
    <row r="319" spans="1:11" x14ac:dyDescent="0.3">
      <c r="A319" s="11">
        <v>318</v>
      </c>
      <c r="B319" s="12">
        <v>45003</v>
      </c>
      <c r="C319" s="13" t="s">
        <v>30</v>
      </c>
      <c r="D319" s="13" t="s">
        <v>16</v>
      </c>
      <c r="E319" s="13" t="s">
        <v>20</v>
      </c>
      <c r="F319" s="13" t="s">
        <v>24</v>
      </c>
      <c r="G319" s="13" t="s">
        <v>28</v>
      </c>
      <c r="H319" s="14">
        <v>9681.73</v>
      </c>
      <c r="I319" s="13">
        <v>10</v>
      </c>
      <c r="J319" s="15">
        <v>628.19000000000005</v>
      </c>
      <c r="K319" s="14" t="str" cm="1">
        <f t="array" ref="K319">_xlfn.IFS(Table4[[#This Row],[Sales]]&gt;40000,"Best Sales",Table4[[#This Row],[Sales]]&gt;20000,"Average Sales",Table4[[#This Row],[Sales]]&gt;0,"Poor Sales")</f>
        <v>Poor Sales</v>
      </c>
    </row>
    <row r="320" spans="1:11" x14ac:dyDescent="0.3">
      <c r="A320" s="6">
        <v>319</v>
      </c>
      <c r="B320" s="7">
        <v>45245</v>
      </c>
      <c r="C320" s="8" t="s">
        <v>30</v>
      </c>
      <c r="D320" s="8" t="s">
        <v>16</v>
      </c>
      <c r="E320" s="8" t="s">
        <v>20</v>
      </c>
      <c r="F320" s="8" t="s">
        <v>31</v>
      </c>
      <c r="G320" s="8" t="s">
        <v>32</v>
      </c>
      <c r="H320" s="9">
        <v>31708.44</v>
      </c>
      <c r="I320" s="8">
        <v>4</v>
      </c>
      <c r="J320" s="10">
        <v>1986.92</v>
      </c>
      <c r="K320" s="14" t="str" cm="1">
        <f t="array" ref="K320">_xlfn.IFS(Table4[[#This Row],[Sales]]&gt;40000,"Best Sales",Table4[[#This Row],[Sales]]&gt;20000,"Average Sales",Table4[[#This Row],[Sales]]&gt;0,"Poor Sales")</f>
        <v>Average Sales</v>
      </c>
    </row>
    <row r="321" spans="1:11" x14ac:dyDescent="0.3">
      <c r="A321" s="11">
        <v>320</v>
      </c>
      <c r="B321" s="12">
        <v>45008</v>
      </c>
      <c r="C321" s="13" t="s">
        <v>30</v>
      </c>
      <c r="D321" s="13" t="s">
        <v>16</v>
      </c>
      <c r="E321" s="13" t="s">
        <v>12</v>
      </c>
      <c r="F321" s="13" t="s">
        <v>24</v>
      </c>
      <c r="G321" s="13" t="s">
        <v>29</v>
      </c>
      <c r="H321" s="14">
        <v>23576.81</v>
      </c>
      <c r="I321" s="13">
        <v>5</v>
      </c>
      <c r="J321" s="15">
        <v>5469.68</v>
      </c>
      <c r="K321" s="14" t="str" cm="1">
        <f t="array" ref="K321">_xlfn.IFS(Table4[[#This Row],[Sales]]&gt;40000,"Best Sales",Table4[[#This Row],[Sales]]&gt;20000,"Average Sales",Table4[[#This Row],[Sales]]&gt;0,"Poor Sales")</f>
        <v>Average Sales</v>
      </c>
    </row>
    <row r="322" spans="1:11" x14ac:dyDescent="0.3">
      <c r="A322" s="6">
        <v>321</v>
      </c>
      <c r="B322" s="7">
        <v>45048</v>
      </c>
      <c r="C322" s="8" t="s">
        <v>35</v>
      </c>
      <c r="D322" s="8" t="s">
        <v>36</v>
      </c>
      <c r="E322" s="8" t="s">
        <v>17</v>
      </c>
      <c r="F322" s="8" t="s">
        <v>31</v>
      </c>
      <c r="G322" s="8" t="s">
        <v>39</v>
      </c>
      <c r="H322" s="9">
        <v>46941.22</v>
      </c>
      <c r="I322" s="8">
        <v>3</v>
      </c>
      <c r="J322" s="10">
        <v>11351.59</v>
      </c>
      <c r="K322" s="14" t="str" cm="1">
        <f t="array" ref="K322">_xlfn.IFS(Table4[[#This Row],[Sales]]&gt;40000,"Best Sales",Table4[[#This Row],[Sales]]&gt;20000,"Average Sales",Table4[[#This Row],[Sales]]&gt;0,"Poor Sales")</f>
        <v>Best Sales</v>
      </c>
    </row>
    <row r="323" spans="1:11" x14ac:dyDescent="0.3">
      <c r="A323" s="11">
        <v>322</v>
      </c>
      <c r="B323" s="12">
        <v>45021</v>
      </c>
      <c r="C323" s="13" t="s">
        <v>30</v>
      </c>
      <c r="D323" s="13" t="s">
        <v>16</v>
      </c>
      <c r="E323" s="13" t="s">
        <v>12</v>
      </c>
      <c r="F323" s="13" t="s">
        <v>31</v>
      </c>
      <c r="G323" s="13" t="s">
        <v>33</v>
      </c>
      <c r="H323" s="14">
        <v>30511.77</v>
      </c>
      <c r="I323" s="13">
        <v>4</v>
      </c>
      <c r="J323" s="15">
        <v>2577.4699999999998</v>
      </c>
      <c r="K323" s="14" t="str" cm="1">
        <f t="array" ref="K323">_xlfn.IFS(Table4[[#This Row],[Sales]]&gt;40000,"Best Sales",Table4[[#This Row],[Sales]]&gt;20000,"Average Sales",Table4[[#This Row],[Sales]]&gt;0,"Poor Sales")</f>
        <v>Average Sales</v>
      </c>
    </row>
    <row r="324" spans="1:11" x14ac:dyDescent="0.3">
      <c r="A324" s="6">
        <v>323</v>
      </c>
      <c r="B324" s="7">
        <v>45225</v>
      </c>
      <c r="C324" s="8" t="s">
        <v>38</v>
      </c>
      <c r="D324" s="8" t="s">
        <v>27</v>
      </c>
      <c r="E324" s="8" t="s">
        <v>17</v>
      </c>
      <c r="F324" s="8" t="s">
        <v>13</v>
      </c>
      <c r="G324" s="8" t="s">
        <v>21</v>
      </c>
      <c r="H324" s="9">
        <v>1705.27</v>
      </c>
      <c r="I324" s="8">
        <v>2</v>
      </c>
      <c r="J324" s="10">
        <v>258.72000000000003</v>
      </c>
      <c r="K324" s="14" t="str" cm="1">
        <f t="array" ref="K324">_xlfn.IFS(Table4[[#This Row],[Sales]]&gt;40000,"Best Sales",Table4[[#This Row],[Sales]]&gt;20000,"Average Sales",Table4[[#This Row],[Sales]]&gt;0,"Poor Sales")</f>
        <v>Poor Sales</v>
      </c>
    </row>
    <row r="325" spans="1:11" x14ac:dyDescent="0.3">
      <c r="A325" s="11">
        <v>324</v>
      </c>
      <c r="B325" s="12">
        <v>45196</v>
      </c>
      <c r="C325" s="13" t="s">
        <v>22</v>
      </c>
      <c r="D325" s="13" t="s">
        <v>22</v>
      </c>
      <c r="E325" s="13" t="s">
        <v>20</v>
      </c>
      <c r="F325" s="13" t="s">
        <v>13</v>
      </c>
      <c r="G325" s="13" t="s">
        <v>14</v>
      </c>
      <c r="H325" s="14">
        <v>40330.29</v>
      </c>
      <c r="I325" s="13">
        <v>9</v>
      </c>
      <c r="J325" s="15">
        <v>9484.9599999999991</v>
      </c>
      <c r="K325" s="14" t="str" cm="1">
        <f t="array" ref="K325">_xlfn.IFS(Table4[[#This Row],[Sales]]&gt;40000,"Best Sales",Table4[[#This Row],[Sales]]&gt;20000,"Average Sales",Table4[[#This Row],[Sales]]&gt;0,"Poor Sales")</f>
        <v>Best Sales</v>
      </c>
    </row>
    <row r="326" spans="1:11" x14ac:dyDescent="0.3">
      <c r="A326" s="6">
        <v>325</v>
      </c>
      <c r="B326" s="7">
        <v>44947</v>
      </c>
      <c r="C326" s="8" t="s">
        <v>18</v>
      </c>
      <c r="D326" s="8" t="s">
        <v>19</v>
      </c>
      <c r="E326" s="8" t="s">
        <v>20</v>
      </c>
      <c r="F326" s="8" t="s">
        <v>24</v>
      </c>
      <c r="G326" s="8" t="s">
        <v>29</v>
      </c>
      <c r="H326" s="9">
        <v>22523.13</v>
      </c>
      <c r="I326" s="8">
        <v>3</v>
      </c>
      <c r="J326" s="10">
        <v>5559.51</v>
      </c>
      <c r="K326" s="14" t="str" cm="1">
        <f t="array" ref="K326">_xlfn.IFS(Table4[[#This Row],[Sales]]&gt;40000,"Best Sales",Table4[[#This Row],[Sales]]&gt;20000,"Average Sales",Table4[[#This Row],[Sales]]&gt;0,"Poor Sales")</f>
        <v>Average Sales</v>
      </c>
    </row>
    <row r="327" spans="1:11" x14ac:dyDescent="0.3">
      <c r="A327" s="11">
        <v>326</v>
      </c>
      <c r="B327" s="12">
        <v>45181</v>
      </c>
      <c r="C327" s="13" t="s">
        <v>30</v>
      </c>
      <c r="D327" s="13" t="s">
        <v>16</v>
      </c>
      <c r="E327" s="13" t="s">
        <v>12</v>
      </c>
      <c r="F327" s="13" t="s">
        <v>31</v>
      </c>
      <c r="G327" s="13" t="s">
        <v>32</v>
      </c>
      <c r="H327" s="14">
        <v>9721.76</v>
      </c>
      <c r="I327" s="13">
        <v>1</v>
      </c>
      <c r="J327" s="15">
        <v>2426.7199999999998</v>
      </c>
      <c r="K327" s="14" t="str" cm="1">
        <f t="array" ref="K327">_xlfn.IFS(Table4[[#This Row],[Sales]]&gt;40000,"Best Sales",Table4[[#This Row],[Sales]]&gt;20000,"Average Sales",Table4[[#This Row],[Sales]]&gt;0,"Poor Sales")</f>
        <v>Poor Sales</v>
      </c>
    </row>
    <row r="328" spans="1:11" x14ac:dyDescent="0.3">
      <c r="A328" s="6">
        <v>327</v>
      </c>
      <c r="B328" s="7">
        <v>45158</v>
      </c>
      <c r="C328" s="8" t="s">
        <v>37</v>
      </c>
      <c r="D328" s="8" t="s">
        <v>27</v>
      </c>
      <c r="E328" s="8" t="s">
        <v>17</v>
      </c>
      <c r="F328" s="8" t="s">
        <v>31</v>
      </c>
      <c r="G328" s="8" t="s">
        <v>39</v>
      </c>
      <c r="H328" s="9">
        <v>13433.44</v>
      </c>
      <c r="I328" s="8">
        <v>10</v>
      </c>
      <c r="J328" s="10">
        <v>3809.36</v>
      </c>
      <c r="K328" s="14" t="str" cm="1">
        <f t="array" ref="K328">_xlfn.IFS(Table4[[#This Row],[Sales]]&gt;40000,"Best Sales",Table4[[#This Row],[Sales]]&gt;20000,"Average Sales",Table4[[#This Row],[Sales]]&gt;0,"Poor Sales")</f>
        <v>Poor Sales</v>
      </c>
    </row>
    <row r="329" spans="1:11" x14ac:dyDescent="0.3">
      <c r="A329" s="11">
        <v>328</v>
      </c>
      <c r="B329" s="12">
        <v>44960</v>
      </c>
      <c r="C329" s="13" t="s">
        <v>15</v>
      </c>
      <c r="D329" s="13" t="s">
        <v>16</v>
      </c>
      <c r="E329" s="13" t="s">
        <v>12</v>
      </c>
      <c r="F329" s="13" t="s">
        <v>24</v>
      </c>
      <c r="G329" s="13" t="s">
        <v>28</v>
      </c>
      <c r="H329" s="14">
        <v>42800.72</v>
      </c>
      <c r="I329" s="13">
        <v>2</v>
      </c>
      <c r="J329" s="15">
        <v>3432.12</v>
      </c>
      <c r="K329" s="14" t="str" cm="1">
        <f t="array" ref="K329">_xlfn.IFS(Table4[[#This Row],[Sales]]&gt;40000,"Best Sales",Table4[[#This Row],[Sales]]&gt;20000,"Average Sales",Table4[[#This Row],[Sales]]&gt;0,"Poor Sales")</f>
        <v>Best Sales</v>
      </c>
    </row>
    <row r="330" spans="1:11" x14ac:dyDescent="0.3">
      <c r="A330" s="6">
        <v>329</v>
      </c>
      <c r="B330" s="7">
        <v>45245</v>
      </c>
      <c r="C330" s="8" t="s">
        <v>37</v>
      </c>
      <c r="D330" s="8" t="s">
        <v>27</v>
      </c>
      <c r="E330" s="8" t="s">
        <v>17</v>
      </c>
      <c r="F330" s="8" t="s">
        <v>24</v>
      </c>
      <c r="G330" s="8" t="s">
        <v>25</v>
      </c>
      <c r="H330" s="9">
        <v>11997.4</v>
      </c>
      <c r="I330" s="8">
        <v>9</v>
      </c>
      <c r="J330" s="10">
        <v>2230.12</v>
      </c>
      <c r="K330" s="14" t="str" cm="1">
        <f t="array" ref="K330">_xlfn.IFS(Table4[[#This Row],[Sales]]&gt;40000,"Best Sales",Table4[[#This Row],[Sales]]&gt;20000,"Average Sales",Table4[[#This Row],[Sales]]&gt;0,"Poor Sales")</f>
        <v>Poor Sales</v>
      </c>
    </row>
    <row r="331" spans="1:11" x14ac:dyDescent="0.3">
      <c r="A331" s="11">
        <v>330</v>
      </c>
      <c r="B331" s="12">
        <v>45173</v>
      </c>
      <c r="C331" s="13" t="s">
        <v>15</v>
      </c>
      <c r="D331" s="13" t="s">
        <v>16</v>
      </c>
      <c r="E331" s="13" t="s">
        <v>20</v>
      </c>
      <c r="F331" s="13" t="s">
        <v>31</v>
      </c>
      <c r="G331" s="13" t="s">
        <v>33</v>
      </c>
      <c r="H331" s="14">
        <v>16524.43</v>
      </c>
      <c r="I331" s="13">
        <v>5</v>
      </c>
      <c r="J331" s="15">
        <v>3288.46</v>
      </c>
      <c r="K331" s="14" t="str" cm="1">
        <f t="array" ref="K331">_xlfn.IFS(Table4[[#This Row],[Sales]]&gt;40000,"Best Sales",Table4[[#This Row],[Sales]]&gt;20000,"Average Sales",Table4[[#This Row],[Sales]]&gt;0,"Poor Sales")</f>
        <v>Poor Sales</v>
      </c>
    </row>
    <row r="332" spans="1:11" x14ac:dyDescent="0.3">
      <c r="A332" s="6">
        <v>331</v>
      </c>
      <c r="B332" s="7">
        <v>45270</v>
      </c>
      <c r="C332" s="8" t="s">
        <v>15</v>
      </c>
      <c r="D332" s="8" t="s">
        <v>16</v>
      </c>
      <c r="E332" s="8" t="s">
        <v>20</v>
      </c>
      <c r="F332" s="8" t="s">
        <v>31</v>
      </c>
      <c r="G332" s="8" t="s">
        <v>39</v>
      </c>
      <c r="H332" s="9">
        <v>10353.51</v>
      </c>
      <c r="I332" s="8">
        <v>9</v>
      </c>
      <c r="J332" s="10">
        <v>1656.01</v>
      </c>
      <c r="K332" s="14" t="str" cm="1">
        <f t="array" ref="K332">_xlfn.IFS(Table4[[#This Row],[Sales]]&gt;40000,"Best Sales",Table4[[#This Row],[Sales]]&gt;20000,"Average Sales",Table4[[#This Row],[Sales]]&gt;0,"Poor Sales")</f>
        <v>Poor Sales</v>
      </c>
    </row>
    <row r="333" spans="1:11" x14ac:dyDescent="0.3">
      <c r="A333" s="11">
        <v>332</v>
      </c>
      <c r="B333" s="12">
        <v>45126</v>
      </c>
      <c r="C333" s="13" t="s">
        <v>10</v>
      </c>
      <c r="D333" s="13" t="s">
        <v>11</v>
      </c>
      <c r="E333" s="13" t="s">
        <v>12</v>
      </c>
      <c r="F333" s="13" t="s">
        <v>24</v>
      </c>
      <c r="G333" s="13" t="s">
        <v>29</v>
      </c>
      <c r="H333" s="14">
        <v>49849.49</v>
      </c>
      <c r="I333" s="13">
        <v>2</v>
      </c>
      <c r="J333" s="15">
        <v>14334.62</v>
      </c>
      <c r="K333" s="14" t="str" cm="1">
        <f t="array" ref="K333">_xlfn.IFS(Table4[[#This Row],[Sales]]&gt;40000,"Best Sales",Table4[[#This Row],[Sales]]&gt;20000,"Average Sales",Table4[[#This Row],[Sales]]&gt;0,"Poor Sales")</f>
        <v>Best Sales</v>
      </c>
    </row>
    <row r="334" spans="1:11" x14ac:dyDescent="0.3">
      <c r="A334" s="6">
        <v>333</v>
      </c>
      <c r="B334" s="7">
        <v>45150</v>
      </c>
      <c r="C334" s="8" t="s">
        <v>26</v>
      </c>
      <c r="D334" s="8" t="s">
        <v>27</v>
      </c>
      <c r="E334" s="8" t="s">
        <v>17</v>
      </c>
      <c r="F334" s="8" t="s">
        <v>31</v>
      </c>
      <c r="G334" s="8" t="s">
        <v>33</v>
      </c>
      <c r="H334" s="9">
        <v>40482.129999999997</v>
      </c>
      <c r="I334" s="8">
        <v>4</v>
      </c>
      <c r="J334" s="10">
        <v>9904.9599999999991</v>
      </c>
      <c r="K334" s="14" t="str" cm="1">
        <f t="array" ref="K334">_xlfn.IFS(Table4[[#This Row],[Sales]]&gt;40000,"Best Sales",Table4[[#This Row],[Sales]]&gt;20000,"Average Sales",Table4[[#This Row],[Sales]]&gt;0,"Poor Sales")</f>
        <v>Best Sales</v>
      </c>
    </row>
    <row r="335" spans="1:11" x14ac:dyDescent="0.3">
      <c r="A335" s="11">
        <v>334</v>
      </c>
      <c r="B335" s="12">
        <v>45062</v>
      </c>
      <c r="C335" s="13" t="s">
        <v>18</v>
      </c>
      <c r="D335" s="13" t="s">
        <v>19</v>
      </c>
      <c r="E335" s="13" t="s">
        <v>12</v>
      </c>
      <c r="F335" s="13" t="s">
        <v>24</v>
      </c>
      <c r="G335" s="13" t="s">
        <v>29</v>
      </c>
      <c r="H335" s="14">
        <v>24555.21</v>
      </c>
      <c r="I335" s="13">
        <v>7</v>
      </c>
      <c r="J335" s="15">
        <v>6048.99</v>
      </c>
      <c r="K335" s="14" t="str" cm="1">
        <f t="array" ref="K335">_xlfn.IFS(Table4[[#This Row],[Sales]]&gt;40000,"Best Sales",Table4[[#This Row],[Sales]]&gt;20000,"Average Sales",Table4[[#This Row],[Sales]]&gt;0,"Poor Sales")</f>
        <v>Average Sales</v>
      </c>
    </row>
    <row r="336" spans="1:11" x14ac:dyDescent="0.3">
      <c r="A336" s="6">
        <v>335</v>
      </c>
      <c r="B336" s="7">
        <v>45124</v>
      </c>
      <c r="C336" s="8" t="s">
        <v>26</v>
      </c>
      <c r="D336" s="8" t="s">
        <v>27</v>
      </c>
      <c r="E336" s="8" t="s">
        <v>17</v>
      </c>
      <c r="F336" s="8" t="s">
        <v>31</v>
      </c>
      <c r="G336" s="8" t="s">
        <v>39</v>
      </c>
      <c r="H336" s="9">
        <v>12319.01</v>
      </c>
      <c r="I336" s="8">
        <v>8</v>
      </c>
      <c r="J336" s="10">
        <v>2389.34</v>
      </c>
      <c r="K336" s="14" t="str" cm="1">
        <f t="array" ref="K336">_xlfn.IFS(Table4[[#This Row],[Sales]]&gt;40000,"Best Sales",Table4[[#This Row],[Sales]]&gt;20000,"Average Sales",Table4[[#This Row],[Sales]]&gt;0,"Poor Sales")</f>
        <v>Poor Sales</v>
      </c>
    </row>
    <row r="337" spans="1:11" x14ac:dyDescent="0.3">
      <c r="A337" s="11">
        <v>336</v>
      </c>
      <c r="B337" s="12">
        <v>44980</v>
      </c>
      <c r="C337" s="13" t="s">
        <v>26</v>
      </c>
      <c r="D337" s="13" t="s">
        <v>27</v>
      </c>
      <c r="E337" s="13" t="s">
        <v>20</v>
      </c>
      <c r="F337" s="13" t="s">
        <v>31</v>
      </c>
      <c r="G337" s="13" t="s">
        <v>33</v>
      </c>
      <c r="H337" s="14">
        <v>13647.29</v>
      </c>
      <c r="I337" s="13">
        <v>1</v>
      </c>
      <c r="J337" s="15">
        <v>1756.26</v>
      </c>
      <c r="K337" s="14" t="str" cm="1">
        <f t="array" ref="K337">_xlfn.IFS(Table4[[#This Row],[Sales]]&gt;40000,"Best Sales",Table4[[#This Row],[Sales]]&gt;20000,"Average Sales",Table4[[#This Row],[Sales]]&gt;0,"Poor Sales")</f>
        <v>Poor Sales</v>
      </c>
    </row>
    <row r="338" spans="1:11" x14ac:dyDescent="0.3">
      <c r="A338" s="6">
        <v>337</v>
      </c>
      <c r="B338" s="7">
        <v>44931</v>
      </c>
      <c r="C338" s="8" t="s">
        <v>26</v>
      </c>
      <c r="D338" s="8" t="s">
        <v>27</v>
      </c>
      <c r="E338" s="8" t="s">
        <v>20</v>
      </c>
      <c r="F338" s="8" t="s">
        <v>24</v>
      </c>
      <c r="G338" s="8" t="s">
        <v>29</v>
      </c>
      <c r="H338" s="9">
        <v>47809.440000000002</v>
      </c>
      <c r="I338" s="8">
        <v>8</v>
      </c>
      <c r="J338" s="10">
        <v>3486.63</v>
      </c>
      <c r="K338" s="14" t="str" cm="1">
        <f t="array" ref="K338">_xlfn.IFS(Table4[[#This Row],[Sales]]&gt;40000,"Best Sales",Table4[[#This Row],[Sales]]&gt;20000,"Average Sales",Table4[[#This Row],[Sales]]&gt;0,"Poor Sales")</f>
        <v>Best Sales</v>
      </c>
    </row>
    <row r="339" spans="1:11" x14ac:dyDescent="0.3">
      <c r="A339" s="11">
        <v>338</v>
      </c>
      <c r="B339" s="12">
        <v>45139</v>
      </c>
      <c r="C339" s="13" t="s">
        <v>22</v>
      </c>
      <c r="D339" s="13" t="s">
        <v>22</v>
      </c>
      <c r="E339" s="13" t="s">
        <v>12</v>
      </c>
      <c r="F339" s="13" t="s">
        <v>13</v>
      </c>
      <c r="G339" s="13" t="s">
        <v>21</v>
      </c>
      <c r="H339" s="14">
        <v>13063.77</v>
      </c>
      <c r="I339" s="13">
        <v>7</v>
      </c>
      <c r="J339" s="15">
        <v>919.67</v>
      </c>
      <c r="K339" s="14" t="str" cm="1">
        <f t="array" ref="K339">_xlfn.IFS(Table4[[#This Row],[Sales]]&gt;40000,"Best Sales",Table4[[#This Row],[Sales]]&gt;20000,"Average Sales",Table4[[#This Row],[Sales]]&gt;0,"Poor Sales")</f>
        <v>Poor Sales</v>
      </c>
    </row>
    <row r="340" spans="1:11" x14ac:dyDescent="0.3">
      <c r="A340" s="6">
        <v>339</v>
      </c>
      <c r="B340" s="7">
        <v>45269</v>
      </c>
      <c r="C340" s="8" t="s">
        <v>37</v>
      </c>
      <c r="D340" s="8" t="s">
        <v>27</v>
      </c>
      <c r="E340" s="8" t="s">
        <v>17</v>
      </c>
      <c r="F340" s="8" t="s">
        <v>13</v>
      </c>
      <c r="G340" s="8" t="s">
        <v>34</v>
      </c>
      <c r="H340" s="9">
        <v>19511.96</v>
      </c>
      <c r="I340" s="8">
        <v>9</v>
      </c>
      <c r="J340" s="10">
        <v>3592.28</v>
      </c>
      <c r="K340" s="14" t="str" cm="1">
        <f t="array" ref="K340">_xlfn.IFS(Table4[[#This Row],[Sales]]&gt;40000,"Best Sales",Table4[[#This Row],[Sales]]&gt;20000,"Average Sales",Table4[[#This Row],[Sales]]&gt;0,"Poor Sales")</f>
        <v>Poor Sales</v>
      </c>
    </row>
    <row r="341" spans="1:11" x14ac:dyDescent="0.3">
      <c r="A341" s="11">
        <v>340</v>
      </c>
      <c r="B341" s="12">
        <v>45197</v>
      </c>
      <c r="C341" s="13" t="s">
        <v>26</v>
      </c>
      <c r="D341" s="13" t="s">
        <v>27</v>
      </c>
      <c r="E341" s="13" t="s">
        <v>12</v>
      </c>
      <c r="F341" s="13" t="s">
        <v>13</v>
      </c>
      <c r="G341" s="13" t="s">
        <v>34</v>
      </c>
      <c r="H341" s="14">
        <v>3861.56</v>
      </c>
      <c r="I341" s="13">
        <v>3</v>
      </c>
      <c r="J341" s="15">
        <v>788.54</v>
      </c>
      <c r="K341" s="14" t="str" cm="1">
        <f t="array" ref="K341">_xlfn.IFS(Table4[[#This Row],[Sales]]&gt;40000,"Best Sales",Table4[[#This Row],[Sales]]&gt;20000,"Average Sales",Table4[[#This Row],[Sales]]&gt;0,"Poor Sales")</f>
        <v>Poor Sales</v>
      </c>
    </row>
    <row r="342" spans="1:11" x14ac:dyDescent="0.3">
      <c r="A342" s="6">
        <v>341</v>
      </c>
      <c r="B342" s="7">
        <v>45107</v>
      </c>
      <c r="C342" s="8" t="s">
        <v>15</v>
      </c>
      <c r="D342" s="8" t="s">
        <v>16</v>
      </c>
      <c r="E342" s="8" t="s">
        <v>17</v>
      </c>
      <c r="F342" s="8" t="s">
        <v>31</v>
      </c>
      <c r="G342" s="8" t="s">
        <v>39</v>
      </c>
      <c r="H342" s="9">
        <v>5630.69</v>
      </c>
      <c r="I342" s="8">
        <v>7</v>
      </c>
      <c r="J342" s="10">
        <v>337.23</v>
      </c>
      <c r="K342" s="14" t="str" cm="1">
        <f t="array" ref="K342">_xlfn.IFS(Table4[[#This Row],[Sales]]&gt;40000,"Best Sales",Table4[[#This Row],[Sales]]&gt;20000,"Average Sales",Table4[[#This Row],[Sales]]&gt;0,"Poor Sales")</f>
        <v>Poor Sales</v>
      </c>
    </row>
    <row r="343" spans="1:11" x14ac:dyDescent="0.3">
      <c r="A343" s="11">
        <v>342</v>
      </c>
      <c r="B343" s="12">
        <v>45286</v>
      </c>
      <c r="C343" s="13" t="s">
        <v>26</v>
      </c>
      <c r="D343" s="13" t="s">
        <v>27</v>
      </c>
      <c r="E343" s="13" t="s">
        <v>20</v>
      </c>
      <c r="F343" s="13" t="s">
        <v>31</v>
      </c>
      <c r="G343" s="13" t="s">
        <v>39</v>
      </c>
      <c r="H343" s="14">
        <v>12929.68</v>
      </c>
      <c r="I343" s="13">
        <v>1</v>
      </c>
      <c r="J343" s="15">
        <v>3699.71</v>
      </c>
      <c r="K343" s="14" t="str" cm="1">
        <f t="array" ref="K343">_xlfn.IFS(Table4[[#This Row],[Sales]]&gt;40000,"Best Sales",Table4[[#This Row],[Sales]]&gt;20000,"Average Sales",Table4[[#This Row],[Sales]]&gt;0,"Poor Sales")</f>
        <v>Poor Sales</v>
      </c>
    </row>
    <row r="344" spans="1:11" x14ac:dyDescent="0.3">
      <c r="A344" s="6">
        <v>343</v>
      </c>
      <c r="B344" s="7">
        <v>45136</v>
      </c>
      <c r="C344" s="8" t="s">
        <v>22</v>
      </c>
      <c r="D344" s="8" t="s">
        <v>22</v>
      </c>
      <c r="E344" s="8" t="s">
        <v>20</v>
      </c>
      <c r="F344" s="8" t="s">
        <v>13</v>
      </c>
      <c r="G344" s="8" t="s">
        <v>21</v>
      </c>
      <c r="H344" s="9">
        <v>2770.4</v>
      </c>
      <c r="I344" s="8">
        <v>7</v>
      </c>
      <c r="J344" s="10">
        <v>401.13</v>
      </c>
      <c r="K344" s="14" t="str" cm="1">
        <f t="array" ref="K344">_xlfn.IFS(Table4[[#This Row],[Sales]]&gt;40000,"Best Sales",Table4[[#This Row],[Sales]]&gt;20000,"Average Sales",Table4[[#This Row],[Sales]]&gt;0,"Poor Sales")</f>
        <v>Poor Sales</v>
      </c>
    </row>
    <row r="345" spans="1:11" x14ac:dyDescent="0.3">
      <c r="A345" s="11">
        <v>344</v>
      </c>
      <c r="B345" s="12">
        <v>45076</v>
      </c>
      <c r="C345" s="13" t="s">
        <v>38</v>
      </c>
      <c r="D345" s="13" t="s">
        <v>27</v>
      </c>
      <c r="E345" s="13" t="s">
        <v>12</v>
      </c>
      <c r="F345" s="13" t="s">
        <v>31</v>
      </c>
      <c r="G345" s="13" t="s">
        <v>32</v>
      </c>
      <c r="H345" s="14">
        <v>44238.62</v>
      </c>
      <c r="I345" s="13">
        <v>7</v>
      </c>
      <c r="J345" s="15">
        <v>10311.209999999999</v>
      </c>
      <c r="K345" s="14" t="str" cm="1">
        <f t="array" ref="K345">_xlfn.IFS(Table4[[#This Row],[Sales]]&gt;40000,"Best Sales",Table4[[#This Row],[Sales]]&gt;20000,"Average Sales",Table4[[#This Row],[Sales]]&gt;0,"Poor Sales")</f>
        <v>Best Sales</v>
      </c>
    </row>
    <row r="346" spans="1:11" x14ac:dyDescent="0.3">
      <c r="A346" s="6">
        <v>345</v>
      </c>
      <c r="B346" s="7">
        <v>45024</v>
      </c>
      <c r="C346" s="8" t="s">
        <v>18</v>
      </c>
      <c r="D346" s="8" t="s">
        <v>19</v>
      </c>
      <c r="E346" s="8" t="s">
        <v>17</v>
      </c>
      <c r="F346" s="8" t="s">
        <v>13</v>
      </c>
      <c r="G346" s="8" t="s">
        <v>34</v>
      </c>
      <c r="H346" s="9">
        <v>34979.96</v>
      </c>
      <c r="I346" s="8">
        <v>3</v>
      </c>
      <c r="J346" s="10">
        <v>6888.91</v>
      </c>
      <c r="K346" s="14" t="str" cm="1">
        <f t="array" ref="K346">_xlfn.IFS(Table4[[#This Row],[Sales]]&gt;40000,"Best Sales",Table4[[#This Row],[Sales]]&gt;20000,"Average Sales",Table4[[#This Row],[Sales]]&gt;0,"Poor Sales")</f>
        <v>Average Sales</v>
      </c>
    </row>
    <row r="347" spans="1:11" x14ac:dyDescent="0.3">
      <c r="A347" s="11">
        <v>346</v>
      </c>
      <c r="B347" s="12">
        <v>45085</v>
      </c>
      <c r="C347" s="13" t="s">
        <v>22</v>
      </c>
      <c r="D347" s="13" t="s">
        <v>22</v>
      </c>
      <c r="E347" s="13" t="s">
        <v>12</v>
      </c>
      <c r="F347" s="13" t="s">
        <v>31</v>
      </c>
      <c r="G347" s="13" t="s">
        <v>32</v>
      </c>
      <c r="H347" s="14">
        <v>48862.53</v>
      </c>
      <c r="I347" s="13">
        <v>4</v>
      </c>
      <c r="J347" s="15">
        <v>12427.15</v>
      </c>
      <c r="K347" s="14" t="str" cm="1">
        <f t="array" ref="K347">_xlfn.IFS(Table4[[#This Row],[Sales]]&gt;40000,"Best Sales",Table4[[#This Row],[Sales]]&gt;20000,"Average Sales",Table4[[#This Row],[Sales]]&gt;0,"Poor Sales")</f>
        <v>Best Sales</v>
      </c>
    </row>
    <row r="348" spans="1:11" x14ac:dyDescent="0.3">
      <c r="A348" s="6">
        <v>347</v>
      </c>
      <c r="B348" s="7">
        <v>45207</v>
      </c>
      <c r="C348" s="8" t="s">
        <v>37</v>
      </c>
      <c r="D348" s="8" t="s">
        <v>27</v>
      </c>
      <c r="E348" s="8" t="s">
        <v>17</v>
      </c>
      <c r="F348" s="8" t="s">
        <v>13</v>
      </c>
      <c r="G348" s="8" t="s">
        <v>21</v>
      </c>
      <c r="H348" s="9">
        <v>8542.52</v>
      </c>
      <c r="I348" s="8">
        <v>9</v>
      </c>
      <c r="J348" s="10">
        <v>1149.1300000000001</v>
      </c>
      <c r="K348" s="14" t="str" cm="1">
        <f t="array" ref="K348">_xlfn.IFS(Table4[[#This Row],[Sales]]&gt;40000,"Best Sales",Table4[[#This Row],[Sales]]&gt;20000,"Average Sales",Table4[[#This Row],[Sales]]&gt;0,"Poor Sales")</f>
        <v>Poor Sales</v>
      </c>
    </row>
    <row r="349" spans="1:11" x14ac:dyDescent="0.3">
      <c r="A349" s="11">
        <v>348</v>
      </c>
      <c r="B349" s="12">
        <v>45256</v>
      </c>
      <c r="C349" s="13" t="s">
        <v>10</v>
      </c>
      <c r="D349" s="13" t="s">
        <v>11</v>
      </c>
      <c r="E349" s="13" t="s">
        <v>20</v>
      </c>
      <c r="F349" s="13" t="s">
        <v>13</v>
      </c>
      <c r="G349" s="13" t="s">
        <v>14</v>
      </c>
      <c r="H349" s="14">
        <v>27306.13</v>
      </c>
      <c r="I349" s="13">
        <v>6</v>
      </c>
      <c r="J349" s="15">
        <v>6925.83</v>
      </c>
      <c r="K349" s="14" t="str" cm="1">
        <f t="array" ref="K349">_xlfn.IFS(Table4[[#This Row],[Sales]]&gt;40000,"Best Sales",Table4[[#This Row],[Sales]]&gt;20000,"Average Sales",Table4[[#This Row],[Sales]]&gt;0,"Poor Sales")</f>
        <v>Average Sales</v>
      </c>
    </row>
    <row r="350" spans="1:11" x14ac:dyDescent="0.3">
      <c r="A350" s="6">
        <v>349</v>
      </c>
      <c r="B350" s="7">
        <v>45192</v>
      </c>
      <c r="C350" s="8" t="s">
        <v>26</v>
      </c>
      <c r="D350" s="8" t="s">
        <v>27</v>
      </c>
      <c r="E350" s="8" t="s">
        <v>20</v>
      </c>
      <c r="F350" s="8" t="s">
        <v>13</v>
      </c>
      <c r="G350" s="8" t="s">
        <v>14</v>
      </c>
      <c r="H350" s="9">
        <v>6233.07</v>
      </c>
      <c r="I350" s="8">
        <v>2</v>
      </c>
      <c r="J350" s="10">
        <v>1160.33</v>
      </c>
      <c r="K350" s="14" t="str" cm="1">
        <f t="array" ref="K350">_xlfn.IFS(Table4[[#This Row],[Sales]]&gt;40000,"Best Sales",Table4[[#This Row],[Sales]]&gt;20000,"Average Sales",Table4[[#This Row],[Sales]]&gt;0,"Poor Sales")</f>
        <v>Poor Sales</v>
      </c>
    </row>
    <row r="351" spans="1:11" x14ac:dyDescent="0.3">
      <c r="A351" s="11">
        <v>350</v>
      </c>
      <c r="B351" s="12">
        <v>44946</v>
      </c>
      <c r="C351" s="13" t="s">
        <v>37</v>
      </c>
      <c r="D351" s="13" t="s">
        <v>27</v>
      </c>
      <c r="E351" s="13" t="s">
        <v>12</v>
      </c>
      <c r="F351" s="13" t="s">
        <v>24</v>
      </c>
      <c r="G351" s="13" t="s">
        <v>28</v>
      </c>
      <c r="H351" s="14">
        <v>16041.6</v>
      </c>
      <c r="I351" s="13">
        <v>4</v>
      </c>
      <c r="J351" s="15">
        <v>3108.36</v>
      </c>
      <c r="K351" s="14" t="str" cm="1">
        <f t="array" ref="K351">_xlfn.IFS(Table4[[#This Row],[Sales]]&gt;40000,"Best Sales",Table4[[#This Row],[Sales]]&gt;20000,"Average Sales",Table4[[#This Row],[Sales]]&gt;0,"Poor Sales")</f>
        <v>Poor Sales</v>
      </c>
    </row>
    <row r="352" spans="1:11" x14ac:dyDescent="0.3">
      <c r="A352" s="6">
        <v>351</v>
      </c>
      <c r="B352" s="7">
        <v>44960</v>
      </c>
      <c r="C352" s="8" t="s">
        <v>37</v>
      </c>
      <c r="D352" s="8" t="s">
        <v>27</v>
      </c>
      <c r="E352" s="8" t="s">
        <v>17</v>
      </c>
      <c r="F352" s="8" t="s">
        <v>13</v>
      </c>
      <c r="G352" s="8" t="s">
        <v>14</v>
      </c>
      <c r="H352" s="9">
        <v>32906.46</v>
      </c>
      <c r="I352" s="8">
        <v>10</v>
      </c>
      <c r="J352" s="10">
        <v>2385.66</v>
      </c>
      <c r="K352" s="14" t="str" cm="1">
        <f t="array" ref="K352">_xlfn.IFS(Table4[[#This Row],[Sales]]&gt;40000,"Best Sales",Table4[[#This Row],[Sales]]&gt;20000,"Average Sales",Table4[[#This Row],[Sales]]&gt;0,"Poor Sales")</f>
        <v>Average Sales</v>
      </c>
    </row>
    <row r="353" spans="1:11" x14ac:dyDescent="0.3">
      <c r="A353" s="11">
        <v>352</v>
      </c>
      <c r="B353" s="12">
        <v>44988</v>
      </c>
      <c r="C353" s="13" t="s">
        <v>22</v>
      </c>
      <c r="D353" s="13" t="s">
        <v>22</v>
      </c>
      <c r="E353" s="13" t="s">
        <v>12</v>
      </c>
      <c r="F353" s="13" t="s">
        <v>31</v>
      </c>
      <c r="G353" s="13" t="s">
        <v>39</v>
      </c>
      <c r="H353" s="14">
        <v>37239.54</v>
      </c>
      <c r="I353" s="13">
        <v>7</v>
      </c>
      <c r="J353" s="15">
        <v>2504.85</v>
      </c>
      <c r="K353" s="14" t="str" cm="1">
        <f t="array" ref="K353">_xlfn.IFS(Table4[[#This Row],[Sales]]&gt;40000,"Best Sales",Table4[[#This Row],[Sales]]&gt;20000,"Average Sales",Table4[[#This Row],[Sales]]&gt;0,"Poor Sales")</f>
        <v>Average Sales</v>
      </c>
    </row>
    <row r="354" spans="1:11" x14ac:dyDescent="0.3">
      <c r="A354" s="6">
        <v>353</v>
      </c>
      <c r="B354" s="7">
        <v>45202</v>
      </c>
      <c r="C354" s="8" t="s">
        <v>22</v>
      </c>
      <c r="D354" s="8" t="s">
        <v>22</v>
      </c>
      <c r="E354" s="8" t="s">
        <v>17</v>
      </c>
      <c r="F354" s="8" t="s">
        <v>31</v>
      </c>
      <c r="G354" s="8" t="s">
        <v>39</v>
      </c>
      <c r="H354" s="9">
        <v>4483.34</v>
      </c>
      <c r="I354" s="8">
        <v>9</v>
      </c>
      <c r="J354" s="10">
        <v>1083.8</v>
      </c>
      <c r="K354" s="14" t="str" cm="1">
        <f t="array" ref="K354">_xlfn.IFS(Table4[[#This Row],[Sales]]&gt;40000,"Best Sales",Table4[[#This Row],[Sales]]&gt;20000,"Average Sales",Table4[[#This Row],[Sales]]&gt;0,"Poor Sales")</f>
        <v>Poor Sales</v>
      </c>
    </row>
    <row r="355" spans="1:11" x14ac:dyDescent="0.3">
      <c r="A355" s="11">
        <v>354</v>
      </c>
      <c r="B355" s="12">
        <v>44965</v>
      </c>
      <c r="C355" s="13" t="s">
        <v>37</v>
      </c>
      <c r="D355" s="13" t="s">
        <v>27</v>
      </c>
      <c r="E355" s="13" t="s">
        <v>20</v>
      </c>
      <c r="F355" s="13" t="s">
        <v>31</v>
      </c>
      <c r="G355" s="13" t="s">
        <v>32</v>
      </c>
      <c r="H355" s="14">
        <v>48213.14</v>
      </c>
      <c r="I355" s="13">
        <v>6</v>
      </c>
      <c r="J355" s="15">
        <v>10326.15</v>
      </c>
      <c r="K355" s="14" t="str" cm="1">
        <f t="array" ref="K355">_xlfn.IFS(Table4[[#This Row],[Sales]]&gt;40000,"Best Sales",Table4[[#This Row],[Sales]]&gt;20000,"Average Sales",Table4[[#This Row],[Sales]]&gt;0,"Poor Sales")</f>
        <v>Best Sales</v>
      </c>
    </row>
    <row r="356" spans="1:11" x14ac:dyDescent="0.3">
      <c r="A356" s="6">
        <v>355</v>
      </c>
      <c r="B356" s="7">
        <v>45087</v>
      </c>
      <c r="C356" s="8" t="s">
        <v>22</v>
      </c>
      <c r="D356" s="8" t="s">
        <v>22</v>
      </c>
      <c r="E356" s="8" t="s">
        <v>20</v>
      </c>
      <c r="F356" s="8" t="s">
        <v>24</v>
      </c>
      <c r="G356" s="8" t="s">
        <v>29</v>
      </c>
      <c r="H356" s="9">
        <v>42851.99</v>
      </c>
      <c r="I356" s="8">
        <v>5</v>
      </c>
      <c r="J356" s="10">
        <v>9496.2099999999991</v>
      </c>
      <c r="K356" s="14" t="str" cm="1">
        <f t="array" ref="K356">_xlfn.IFS(Table4[[#This Row],[Sales]]&gt;40000,"Best Sales",Table4[[#This Row],[Sales]]&gt;20000,"Average Sales",Table4[[#This Row],[Sales]]&gt;0,"Poor Sales")</f>
        <v>Best Sales</v>
      </c>
    </row>
    <row r="357" spans="1:11" x14ac:dyDescent="0.3">
      <c r="A357" s="11">
        <v>356</v>
      </c>
      <c r="B357" s="12">
        <v>44987</v>
      </c>
      <c r="C357" s="13" t="s">
        <v>18</v>
      </c>
      <c r="D357" s="13" t="s">
        <v>19</v>
      </c>
      <c r="E357" s="13" t="s">
        <v>12</v>
      </c>
      <c r="F357" s="13" t="s">
        <v>24</v>
      </c>
      <c r="G357" s="13" t="s">
        <v>28</v>
      </c>
      <c r="H357" s="14">
        <v>1320.69</v>
      </c>
      <c r="I357" s="13">
        <v>2</v>
      </c>
      <c r="J357" s="15">
        <v>152.43</v>
      </c>
      <c r="K357" s="14" t="str" cm="1">
        <f t="array" ref="K357">_xlfn.IFS(Table4[[#This Row],[Sales]]&gt;40000,"Best Sales",Table4[[#This Row],[Sales]]&gt;20000,"Average Sales",Table4[[#This Row],[Sales]]&gt;0,"Poor Sales")</f>
        <v>Poor Sales</v>
      </c>
    </row>
    <row r="358" spans="1:11" x14ac:dyDescent="0.3">
      <c r="A358" s="6">
        <v>357</v>
      </c>
      <c r="B358" s="7">
        <v>45093</v>
      </c>
      <c r="C358" s="8" t="s">
        <v>38</v>
      </c>
      <c r="D358" s="8" t="s">
        <v>27</v>
      </c>
      <c r="E358" s="8" t="s">
        <v>17</v>
      </c>
      <c r="F358" s="8" t="s">
        <v>31</v>
      </c>
      <c r="G358" s="8" t="s">
        <v>33</v>
      </c>
      <c r="H358" s="9">
        <v>27600.51</v>
      </c>
      <c r="I358" s="8">
        <v>4</v>
      </c>
      <c r="J358" s="10">
        <v>6255.76</v>
      </c>
      <c r="K358" s="14" t="str" cm="1">
        <f t="array" ref="K358">_xlfn.IFS(Table4[[#This Row],[Sales]]&gt;40000,"Best Sales",Table4[[#This Row],[Sales]]&gt;20000,"Average Sales",Table4[[#This Row],[Sales]]&gt;0,"Poor Sales")</f>
        <v>Average Sales</v>
      </c>
    </row>
    <row r="359" spans="1:11" x14ac:dyDescent="0.3">
      <c r="A359" s="11">
        <v>358</v>
      </c>
      <c r="B359" s="12">
        <v>44942</v>
      </c>
      <c r="C359" s="13" t="s">
        <v>15</v>
      </c>
      <c r="D359" s="13" t="s">
        <v>16</v>
      </c>
      <c r="E359" s="13" t="s">
        <v>12</v>
      </c>
      <c r="F359" s="13" t="s">
        <v>13</v>
      </c>
      <c r="G359" s="13" t="s">
        <v>21</v>
      </c>
      <c r="H359" s="14">
        <v>36776.78</v>
      </c>
      <c r="I359" s="13">
        <v>10</v>
      </c>
      <c r="J359" s="15">
        <v>9228.1200000000008</v>
      </c>
      <c r="K359" s="14" t="str" cm="1">
        <f t="array" ref="K359">_xlfn.IFS(Table4[[#This Row],[Sales]]&gt;40000,"Best Sales",Table4[[#This Row],[Sales]]&gt;20000,"Average Sales",Table4[[#This Row],[Sales]]&gt;0,"Poor Sales")</f>
        <v>Average Sales</v>
      </c>
    </row>
    <row r="360" spans="1:11" x14ac:dyDescent="0.3">
      <c r="A360" s="6">
        <v>359</v>
      </c>
      <c r="B360" s="7">
        <v>45214</v>
      </c>
      <c r="C360" s="8" t="s">
        <v>30</v>
      </c>
      <c r="D360" s="8" t="s">
        <v>16</v>
      </c>
      <c r="E360" s="8" t="s">
        <v>17</v>
      </c>
      <c r="F360" s="8" t="s">
        <v>31</v>
      </c>
      <c r="G360" s="8" t="s">
        <v>33</v>
      </c>
      <c r="H360" s="9">
        <v>23572.9</v>
      </c>
      <c r="I360" s="8">
        <v>9</v>
      </c>
      <c r="J360" s="10">
        <v>2990.66</v>
      </c>
      <c r="K360" s="14" t="str" cm="1">
        <f t="array" ref="K360">_xlfn.IFS(Table4[[#This Row],[Sales]]&gt;40000,"Best Sales",Table4[[#This Row],[Sales]]&gt;20000,"Average Sales",Table4[[#This Row],[Sales]]&gt;0,"Poor Sales")</f>
        <v>Average Sales</v>
      </c>
    </row>
    <row r="361" spans="1:11" x14ac:dyDescent="0.3">
      <c r="A361" s="11">
        <v>360</v>
      </c>
      <c r="B361" s="12">
        <v>45259</v>
      </c>
      <c r="C361" s="13" t="s">
        <v>30</v>
      </c>
      <c r="D361" s="13" t="s">
        <v>16</v>
      </c>
      <c r="E361" s="13" t="s">
        <v>20</v>
      </c>
      <c r="F361" s="13" t="s">
        <v>13</v>
      </c>
      <c r="G361" s="13" t="s">
        <v>21</v>
      </c>
      <c r="H361" s="14">
        <v>47935.1</v>
      </c>
      <c r="I361" s="13">
        <v>5</v>
      </c>
      <c r="J361" s="15">
        <v>13700.82</v>
      </c>
      <c r="K361" s="14" t="str" cm="1">
        <f t="array" ref="K361">_xlfn.IFS(Table4[[#This Row],[Sales]]&gt;40000,"Best Sales",Table4[[#This Row],[Sales]]&gt;20000,"Average Sales",Table4[[#This Row],[Sales]]&gt;0,"Poor Sales")</f>
        <v>Best Sales</v>
      </c>
    </row>
    <row r="362" spans="1:11" x14ac:dyDescent="0.3">
      <c r="A362" s="6">
        <v>361</v>
      </c>
      <c r="B362" s="7">
        <v>45227</v>
      </c>
      <c r="C362" s="8" t="s">
        <v>35</v>
      </c>
      <c r="D362" s="8" t="s">
        <v>36</v>
      </c>
      <c r="E362" s="8" t="s">
        <v>20</v>
      </c>
      <c r="F362" s="8" t="s">
        <v>24</v>
      </c>
      <c r="G362" s="8" t="s">
        <v>25</v>
      </c>
      <c r="H362" s="9">
        <v>48787.24</v>
      </c>
      <c r="I362" s="8">
        <v>5</v>
      </c>
      <c r="J362" s="10">
        <v>4438.05</v>
      </c>
      <c r="K362" s="14" t="str" cm="1">
        <f t="array" ref="K362">_xlfn.IFS(Table4[[#This Row],[Sales]]&gt;40000,"Best Sales",Table4[[#This Row],[Sales]]&gt;20000,"Average Sales",Table4[[#This Row],[Sales]]&gt;0,"Poor Sales")</f>
        <v>Best Sales</v>
      </c>
    </row>
    <row r="363" spans="1:11" x14ac:dyDescent="0.3">
      <c r="A363" s="11">
        <v>362</v>
      </c>
      <c r="B363" s="12">
        <v>45215</v>
      </c>
      <c r="C363" s="13" t="s">
        <v>38</v>
      </c>
      <c r="D363" s="13" t="s">
        <v>27</v>
      </c>
      <c r="E363" s="13" t="s">
        <v>12</v>
      </c>
      <c r="F363" s="13" t="s">
        <v>24</v>
      </c>
      <c r="G363" s="13" t="s">
        <v>29</v>
      </c>
      <c r="H363" s="14">
        <v>40509.99</v>
      </c>
      <c r="I363" s="13">
        <v>10</v>
      </c>
      <c r="J363" s="15">
        <v>9829.24</v>
      </c>
      <c r="K363" s="14" t="str" cm="1">
        <f t="array" ref="K363">_xlfn.IFS(Table4[[#This Row],[Sales]]&gt;40000,"Best Sales",Table4[[#This Row],[Sales]]&gt;20000,"Average Sales",Table4[[#This Row],[Sales]]&gt;0,"Poor Sales")</f>
        <v>Best Sales</v>
      </c>
    </row>
    <row r="364" spans="1:11" x14ac:dyDescent="0.3">
      <c r="A364" s="6">
        <v>363</v>
      </c>
      <c r="B364" s="7">
        <v>45006</v>
      </c>
      <c r="C364" s="8" t="s">
        <v>22</v>
      </c>
      <c r="D364" s="8" t="s">
        <v>22</v>
      </c>
      <c r="E364" s="8" t="s">
        <v>17</v>
      </c>
      <c r="F364" s="8" t="s">
        <v>13</v>
      </c>
      <c r="G364" s="8" t="s">
        <v>34</v>
      </c>
      <c r="H364" s="9">
        <v>48237.08</v>
      </c>
      <c r="I364" s="8">
        <v>4</v>
      </c>
      <c r="J364" s="10">
        <v>9886.32</v>
      </c>
      <c r="K364" s="14" t="str" cm="1">
        <f t="array" ref="K364">_xlfn.IFS(Table4[[#This Row],[Sales]]&gt;40000,"Best Sales",Table4[[#This Row],[Sales]]&gt;20000,"Average Sales",Table4[[#This Row],[Sales]]&gt;0,"Poor Sales")</f>
        <v>Best Sales</v>
      </c>
    </row>
    <row r="365" spans="1:11" x14ac:dyDescent="0.3">
      <c r="A365" s="11">
        <v>364</v>
      </c>
      <c r="B365" s="12">
        <v>45208</v>
      </c>
      <c r="C365" s="13" t="s">
        <v>38</v>
      </c>
      <c r="D365" s="13" t="s">
        <v>27</v>
      </c>
      <c r="E365" s="13" t="s">
        <v>12</v>
      </c>
      <c r="F365" s="13" t="s">
        <v>31</v>
      </c>
      <c r="G365" s="13" t="s">
        <v>33</v>
      </c>
      <c r="H365" s="14">
        <v>8457.08</v>
      </c>
      <c r="I365" s="13">
        <v>3</v>
      </c>
      <c r="J365" s="15">
        <v>618.28</v>
      </c>
      <c r="K365" s="14" t="str" cm="1">
        <f t="array" ref="K365">_xlfn.IFS(Table4[[#This Row],[Sales]]&gt;40000,"Best Sales",Table4[[#This Row],[Sales]]&gt;20000,"Average Sales",Table4[[#This Row],[Sales]]&gt;0,"Poor Sales")</f>
        <v>Poor Sales</v>
      </c>
    </row>
    <row r="366" spans="1:11" x14ac:dyDescent="0.3">
      <c r="A366" s="6">
        <v>365</v>
      </c>
      <c r="B366" s="7">
        <v>45110</v>
      </c>
      <c r="C366" s="8" t="s">
        <v>30</v>
      </c>
      <c r="D366" s="8" t="s">
        <v>16</v>
      </c>
      <c r="E366" s="8" t="s">
        <v>17</v>
      </c>
      <c r="F366" s="8" t="s">
        <v>31</v>
      </c>
      <c r="G366" s="8" t="s">
        <v>33</v>
      </c>
      <c r="H366" s="9">
        <v>38741.599999999999</v>
      </c>
      <c r="I366" s="8">
        <v>2</v>
      </c>
      <c r="J366" s="10">
        <v>3876.42</v>
      </c>
      <c r="K366" s="14" t="str" cm="1">
        <f t="array" ref="K366">_xlfn.IFS(Table4[[#This Row],[Sales]]&gt;40000,"Best Sales",Table4[[#This Row],[Sales]]&gt;20000,"Average Sales",Table4[[#This Row],[Sales]]&gt;0,"Poor Sales")</f>
        <v>Average Sales</v>
      </c>
    </row>
    <row r="367" spans="1:11" x14ac:dyDescent="0.3">
      <c r="A367" s="11">
        <v>366</v>
      </c>
      <c r="B367" s="12">
        <v>45185</v>
      </c>
      <c r="C367" s="13" t="s">
        <v>26</v>
      </c>
      <c r="D367" s="13" t="s">
        <v>27</v>
      </c>
      <c r="E367" s="13" t="s">
        <v>20</v>
      </c>
      <c r="F367" s="13" t="s">
        <v>13</v>
      </c>
      <c r="G367" s="13" t="s">
        <v>34</v>
      </c>
      <c r="H367" s="14">
        <v>2389.33</v>
      </c>
      <c r="I367" s="13">
        <v>2</v>
      </c>
      <c r="J367" s="15">
        <v>314.41000000000003</v>
      </c>
      <c r="K367" s="14" t="str" cm="1">
        <f t="array" ref="K367">_xlfn.IFS(Table4[[#This Row],[Sales]]&gt;40000,"Best Sales",Table4[[#This Row],[Sales]]&gt;20000,"Average Sales",Table4[[#This Row],[Sales]]&gt;0,"Poor Sales")</f>
        <v>Poor Sales</v>
      </c>
    </row>
    <row r="368" spans="1:11" x14ac:dyDescent="0.3">
      <c r="A368" s="6">
        <v>367</v>
      </c>
      <c r="B368" s="7">
        <v>45271</v>
      </c>
      <c r="C368" s="8" t="s">
        <v>18</v>
      </c>
      <c r="D368" s="8" t="s">
        <v>19</v>
      </c>
      <c r="E368" s="8" t="s">
        <v>20</v>
      </c>
      <c r="F368" s="8" t="s">
        <v>13</v>
      </c>
      <c r="G368" s="8" t="s">
        <v>21</v>
      </c>
      <c r="H368" s="9">
        <v>49373.38</v>
      </c>
      <c r="I368" s="8">
        <v>5</v>
      </c>
      <c r="J368" s="10">
        <v>3614.64</v>
      </c>
      <c r="K368" s="14" t="str" cm="1">
        <f t="array" ref="K368">_xlfn.IFS(Table4[[#This Row],[Sales]]&gt;40000,"Best Sales",Table4[[#This Row],[Sales]]&gt;20000,"Average Sales",Table4[[#This Row],[Sales]]&gt;0,"Poor Sales")</f>
        <v>Best Sales</v>
      </c>
    </row>
    <row r="369" spans="1:11" x14ac:dyDescent="0.3">
      <c r="A369" s="11">
        <v>368</v>
      </c>
      <c r="B369" s="12">
        <v>45039</v>
      </c>
      <c r="C369" s="13" t="s">
        <v>37</v>
      </c>
      <c r="D369" s="13" t="s">
        <v>27</v>
      </c>
      <c r="E369" s="13" t="s">
        <v>12</v>
      </c>
      <c r="F369" s="13" t="s">
        <v>24</v>
      </c>
      <c r="G369" s="13" t="s">
        <v>28</v>
      </c>
      <c r="H369" s="14">
        <v>8784.44</v>
      </c>
      <c r="I369" s="13">
        <v>3</v>
      </c>
      <c r="J369" s="15">
        <v>2460.11</v>
      </c>
      <c r="K369" s="14" t="str" cm="1">
        <f t="array" ref="K369">_xlfn.IFS(Table4[[#This Row],[Sales]]&gt;40000,"Best Sales",Table4[[#This Row],[Sales]]&gt;20000,"Average Sales",Table4[[#This Row],[Sales]]&gt;0,"Poor Sales")</f>
        <v>Poor Sales</v>
      </c>
    </row>
    <row r="370" spans="1:11" x14ac:dyDescent="0.3">
      <c r="A370" s="6">
        <v>369</v>
      </c>
      <c r="B370" s="7">
        <v>45104</v>
      </c>
      <c r="C370" s="8" t="s">
        <v>22</v>
      </c>
      <c r="D370" s="8" t="s">
        <v>22</v>
      </c>
      <c r="E370" s="8" t="s">
        <v>17</v>
      </c>
      <c r="F370" s="8" t="s">
        <v>24</v>
      </c>
      <c r="G370" s="8" t="s">
        <v>25</v>
      </c>
      <c r="H370" s="9">
        <v>23978.25</v>
      </c>
      <c r="I370" s="8">
        <v>2</v>
      </c>
      <c r="J370" s="10">
        <v>4700.3500000000004</v>
      </c>
      <c r="K370" s="14" t="str" cm="1">
        <f t="array" ref="K370">_xlfn.IFS(Table4[[#This Row],[Sales]]&gt;40000,"Best Sales",Table4[[#This Row],[Sales]]&gt;20000,"Average Sales",Table4[[#This Row],[Sales]]&gt;0,"Poor Sales")</f>
        <v>Average Sales</v>
      </c>
    </row>
    <row r="371" spans="1:11" x14ac:dyDescent="0.3">
      <c r="A371" s="11">
        <v>370</v>
      </c>
      <c r="B371" s="12">
        <v>45221</v>
      </c>
      <c r="C371" s="13" t="s">
        <v>10</v>
      </c>
      <c r="D371" s="13" t="s">
        <v>11</v>
      </c>
      <c r="E371" s="13" t="s">
        <v>12</v>
      </c>
      <c r="F371" s="13" t="s">
        <v>31</v>
      </c>
      <c r="G371" s="13" t="s">
        <v>39</v>
      </c>
      <c r="H371" s="14">
        <v>45270.46</v>
      </c>
      <c r="I371" s="13">
        <v>3</v>
      </c>
      <c r="J371" s="15">
        <v>8514.58</v>
      </c>
      <c r="K371" s="14" t="str" cm="1">
        <f t="array" ref="K371">_xlfn.IFS(Table4[[#This Row],[Sales]]&gt;40000,"Best Sales",Table4[[#This Row],[Sales]]&gt;20000,"Average Sales",Table4[[#This Row],[Sales]]&gt;0,"Poor Sales")</f>
        <v>Best Sales</v>
      </c>
    </row>
    <row r="372" spans="1:11" x14ac:dyDescent="0.3">
      <c r="A372" s="6">
        <v>371</v>
      </c>
      <c r="B372" s="7">
        <v>45023</v>
      </c>
      <c r="C372" s="8" t="s">
        <v>35</v>
      </c>
      <c r="D372" s="8" t="s">
        <v>36</v>
      </c>
      <c r="E372" s="8" t="s">
        <v>17</v>
      </c>
      <c r="F372" s="8" t="s">
        <v>13</v>
      </c>
      <c r="G372" s="8" t="s">
        <v>21</v>
      </c>
      <c r="H372" s="9">
        <v>45850.91</v>
      </c>
      <c r="I372" s="8">
        <v>2</v>
      </c>
      <c r="J372" s="10">
        <v>6963.28</v>
      </c>
      <c r="K372" s="14" t="str" cm="1">
        <f t="array" ref="K372">_xlfn.IFS(Table4[[#This Row],[Sales]]&gt;40000,"Best Sales",Table4[[#This Row],[Sales]]&gt;20000,"Average Sales",Table4[[#This Row],[Sales]]&gt;0,"Poor Sales")</f>
        <v>Best Sales</v>
      </c>
    </row>
    <row r="373" spans="1:11" x14ac:dyDescent="0.3">
      <c r="A373" s="11">
        <v>372</v>
      </c>
      <c r="B373" s="12">
        <v>44927</v>
      </c>
      <c r="C373" s="13" t="s">
        <v>22</v>
      </c>
      <c r="D373" s="13" t="s">
        <v>22</v>
      </c>
      <c r="E373" s="13" t="s">
        <v>20</v>
      </c>
      <c r="F373" s="13" t="s">
        <v>13</v>
      </c>
      <c r="G373" s="13" t="s">
        <v>34</v>
      </c>
      <c r="H373" s="14">
        <v>49704.45</v>
      </c>
      <c r="I373" s="13">
        <v>1</v>
      </c>
      <c r="J373" s="15">
        <v>6338.36</v>
      </c>
      <c r="K373" s="14" t="str" cm="1">
        <f t="array" ref="K373">_xlfn.IFS(Table4[[#This Row],[Sales]]&gt;40000,"Best Sales",Table4[[#This Row],[Sales]]&gt;20000,"Average Sales",Table4[[#This Row],[Sales]]&gt;0,"Poor Sales")</f>
        <v>Best Sales</v>
      </c>
    </row>
    <row r="374" spans="1:11" x14ac:dyDescent="0.3">
      <c r="A374" s="6">
        <v>373</v>
      </c>
      <c r="B374" s="7">
        <v>45100</v>
      </c>
      <c r="C374" s="8" t="s">
        <v>10</v>
      </c>
      <c r="D374" s="8" t="s">
        <v>11</v>
      </c>
      <c r="E374" s="8" t="s">
        <v>20</v>
      </c>
      <c r="F374" s="8" t="s">
        <v>24</v>
      </c>
      <c r="G374" s="8" t="s">
        <v>29</v>
      </c>
      <c r="H374" s="9">
        <v>7689.17</v>
      </c>
      <c r="I374" s="8">
        <v>2</v>
      </c>
      <c r="J374" s="10">
        <v>2073.4699999999998</v>
      </c>
      <c r="K374" s="14" t="str" cm="1">
        <f t="array" ref="K374">_xlfn.IFS(Table4[[#This Row],[Sales]]&gt;40000,"Best Sales",Table4[[#This Row],[Sales]]&gt;20000,"Average Sales",Table4[[#This Row],[Sales]]&gt;0,"Poor Sales")</f>
        <v>Poor Sales</v>
      </c>
    </row>
    <row r="375" spans="1:11" x14ac:dyDescent="0.3">
      <c r="A375" s="11">
        <v>374</v>
      </c>
      <c r="B375" s="12">
        <v>45020</v>
      </c>
      <c r="C375" s="13" t="s">
        <v>37</v>
      </c>
      <c r="D375" s="13" t="s">
        <v>27</v>
      </c>
      <c r="E375" s="13" t="s">
        <v>12</v>
      </c>
      <c r="F375" s="13" t="s">
        <v>13</v>
      </c>
      <c r="G375" s="13" t="s">
        <v>21</v>
      </c>
      <c r="H375" s="14">
        <v>11067.26</v>
      </c>
      <c r="I375" s="13">
        <v>3</v>
      </c>
      <c r="J375" s="15">
        <v>2295.61</v>
      </c>
      <c r="K375" s="14" t="str" cm="1">
        <f t="array" ref="K375">_xlfn.IFS(Table4[[#This Row],[Sales]]&gt;40000,"Best Sales",Table4[[#This Row],[Sales]]&gt;20000,"Average Sales",Table4[[#This Row],[Sales]]&gt;0,"Poor Sales")</f>
        <v>Poor Sales</v>
      </c>
    </row>
    <row r="376" spans="1:11" x14ac:dyDescent="0.3">
      <c r="A376" s="6">
        <v>375</v>
      </c>
      <c r="B376" s="7">
        <v>45220</v>
      </c>
      <c r="C376" s="8" t="s">
        <v>18</v>
      </c>
      <c r="D376" s="8" t="s">
        <v>19</v>
      </c>
      <c r="E376" s="8" t="s">
        <v>17</v>
      </c>
      <c r="F376" s="8" t="s">
        <v>13</v>
      </c>
      <c r="G376" s="8" t="s">
        <v>21</v>
      </c>
      <c r="H376" s="9">
        <v>4039.27</v>
      </c>
      <c r="I376" s="8">
        <v>4</v>
      </c>
      <c r="J376" s="10">
        <v>706.06</v>
      </c>
      <c r="K376" s="14" t="str" cm="1">
        <f t="array" ref="K376">_xlfn.IFS(Table4[[#This Row],[Sales]]&gt;40000,"Best Sales",Table4[[#This Row],[Sales]]&gt;20000,"Average Sales",Table4[[#This Row],[Sales]]&gt;0,"Poor Sales")</f>
        <v>Poor Sales</v>
      </c>
    </row>
    <row r="377" spans="1:11" x14ac:dyDescent="0.3">
      <c r="A377" s="11">
        <v>376</v>
      </c>
      <c r="B377" s="12">
        <v>45084</v>
      </c>
      <c r="C377" s="13" t="s">
        <v>22</v>
      </c>
      <c r="D377" s="13" t="s">
        <v>22</v>
      </c>
      <c r="E377" s="13" t="s">
        <v>12</v>
      </c>
      <c r="F377" s="13" t="s">
        <v>13</v>
      </c>
      <c r="G377" s="13" t="s">
        <v>34</v>
      </c>
      <c r="H377" s="14">
        <v>21927.99</v>
      </c>
      <c r="I377" s="13">
        <v>1</v>
      </c>
      <c r="J377" s="15">
        <v>3544.98</v>
      </c>
      <c r="K377" s="14" t="str" cm="1">
        <f t="array" ref="K377">_xlfn.IFS(Table4[[#This Row],[Sales]]&gt;40000,"Best Sales",Table4[[#This Row],[Sales]]&gt;20000,"Average Sales",Table4[[#This Row],[Sales]]&gt;0,"Poor Sales")</f>
        <v>Average Sales</v>
      </c>
    </row>
    <row r="378" spans="1:11" x14ac:dyDescent="0.3">
      <c r="A378" s="6">
        <v>377</v>
      </c>
      <c r="B378" s="7">
        <v>45057</v>
      </c>
      <c r="C378" s="8" t="s">
        <v>30</v>
      </c>
      <c r="D378" s="8" t="s">
        <v>16</v>
      </c>
      <c r="E378" s="8" t="s">
        <v>17</v>
      </c>
      <c r="F378" s="8" t="s">
        <v>31</v>
      </c>
      <c r="G378" s="8" t="s">
        <v>32</v>
      </c>
      <c r="H378" s="9">
        <v>5975.75</v>
      </c>
      <c r="I378" s="8">
        <v>2</v>
      </c>
      <c r="J378" s="10">
        <v>329.14</v>
      </c>
      <c r="K378" s="14" t="str" cm="1">
        <f t="array" ref="K378">_xlfn.IFS(Table4[[#This Row],[Sales]]&gt;40000,"Best Sales",Table4[[#This Row],[Sales]]&gt;20000,"Average Sales",Table4[[#This Row],[Sales]]&gt;0,"Poor Sales")</f>
        <v>Poor Sales</v>
      </c>
    </row>
    <row r="379" spans="1:11" x14ac:dyDescent="0.3">
      <c r="A379" s="11">
        <v>378</v>
      </c>
      <c r="B379" s="12">
        <v>45191</v>
      </c>
      <c r="C379" s="13" t="s">
        <v>10</v>
      </c>
      <c r="D379" s="13" t="s">
        <v>11</v>
      </c>
      <c r="E379" s="13" t="s">
        <v>20</v>
      </c>
      <c r="F379" s="13" t="s">
        <v>31</v>
      </c>
      <c r="G379" s="13" t="s">
        <v>33</v>
      </c>
      <c r="H379" s="14">
        <v>20190.7</v>
      </c>
      <c r="I379" s="13">
        <v>3</v>
      </c>
      <c r="J379" s="15">
        <v>2927.7</v>
      </c>
      <c r="K379" s="14" t="str" cm="1">
        <f t="array" ref="K379">_xlfn.IFS(Table4[[#This Row],[Sales]]&gt;40000,"Best Sales",Table4[[#This Row],[Sales]]&gt;20000,"Average Sales",Table4[[#This Row],[Sales]]&gt;0,"Poor Sales")</f>
        <v>Average Sales</v>
      </c>
    </row>
    <row r="380" spans="1:11" x14ac:dyDescent="0.3">
      <c r="A380" s="6">
        <v>379</v>
      </c>
      <c r="B380" s="7">
        <v>44967</v>
      </c>
      <c r="C380" s="8" t="s">
        <v>22</v>
      </c>
      <c r="D380" s="8" t="s">
        <v>22</v>
      </c>
      <c r="E380" s="8" t="s">
        <v>20</v>
      </c>
      <c r="F380" s="8" t="s">
        <v>31</v>
      </c>
      <c r="G380" s="8" t="s">
        <v>33</v>
      </c>
      <c r="H380" s="9">
        <v>13485.54</v>
      </c>
      <c r="I380" s="8">
        <v>7</v>
      </c>
      <c r="J380" s="10">
        <v>3010.14</v>
      </c>
      <c r="K380" s="14" t="str" cm="1">
        <f t="array" ref="K380">_xlfn.IFS(Table4[[#This Row],[Sales]]&gt;40000,"Best Sales",Table4[[#This Row],[Sales]]&gt;20000,"Average Sales",Table4[[#This Row],[Sales]]&gt;0,"Poor Sales")</f>
        <v>Poor Sales</v>
      </c>
    </row>
    <row r="381" spans="1:11" x14ac:dyDescent="0.3">
      <c r="A381" s="11">
        <v>380</v>
      </c>
      <c r="B381" s="12">
        <v>45087</v>
      </c>
      <c r="C381" s="13" t="s">
        <v>15</v>
      </c>
      <c r="D381" s="13" t="s">
        <v>16</v>
      </c>
      <c r="E381" s="13" t="s">
        <v>12</v>
      </c>
      <c r="F381" s="13" t="s">
        <v>13</v>
      </c>
      <c r="G381" s="13" t="s">
        <v>34</v>
      </c>
      <c r="H381" s="14">
        <v>21403.96</v>
      </c>
      <c r="I381" s="13">
        <v>2</v>
      </c>
      <c r="J381" s="15">
        <v>5457.97</v>
      </c>
      <c r="K381" s="14" t="str" cm="1">
        <f t="array" ref="K381">_xlfn.IFS(Table4[[#This Row],[Sales]]&gt;40000,"Best Sales",Table4[[#This Row],[Sales]]&gt;20000,"Average Sales",Table4[[#This Row],[Sales]]&gt;0,"Poor Sales")</f>
        <v>Average Sales</v>
      </c>
    </row>
    <row r="382" spans="1:11" x14ac:dyDescent="0.3">
      <c r="A382" s="6">
        <v>381</v>
      </c>
      <c r="B382" s="7">
        <v>45216</v>
      </c>
      <c r="C382" s="8" t="s">
        <v>22</v>
      </c>
      <c r="D382" s="8" t="s">
        <v>22</v>
      </c>
      <c r="E382" s="8" t="s">
        <v>17</v>
      </c>
      <c r="F382" s="8" t="s">
        <v>13</v>
      </c>
      <c r="G382" s="8" t="s">
        <v>14</v>
      </c>
      <c r="H382" s="9">
        <v>28745.93</v>
      </c>
      <c r="I382" s="8">
        <v>8</v>
      </c>
      <c r="J382" s="10">
        <v>6468.31</v>
      </c>
      <c r="K382" s="14" t="str" cm="1">
        <f t="array" ref="K382">_xlfn.IFS(Table4[[#This Row],[Sales]]&gt;40000,"Best Sales",Table4[[#This Row],[Sales]]&gt;20000,"Average Sales",Table4[[#This Row],[Sales]]&gt;0,"Poor Sales")</f>
        <v>Average Sales</v>
      </c>
    </row>
    <row r="383" spans="1:11" x14ac:dyDescent="0.3">
      <c r="A383" s="11">
        <v>382</v>
      </c>
      <c r="B383" s="12">
        <v>45116</v>
      </c>
      <c r="C383" s="13" t="s">
        <v>30</v>
      </c>
      <c r="D383" s="13" t="s">
        <v>16</v>
      </c>
      <c r="E383" s="13" t="s">
        <v>12</v>
      </c>
      <c r="F383" s="13" t="s">
        <v>24</v>
      </c>
      <c r="G383" s="13" t="s">
        <v>29</v>
      </c>
      <c r="H383" s="14">
        <v>7482.71</v>
      </c>
      <c r="I383" s="13">
        <v>5</v>
      </c>
      <c r="J383" s="15">
        <v>437.89</v>
      </c>
      <c r="K383" s="14" t="str" cm="1">
        <f t="array" ref="K383">_xlfn.IFS(Table4[[#This Row],[Sales]]&gt;40000,"Best Sales",Table4[[#This Row],[Sales]]&gt;20000,"Average Sales",Table4[[#This Row],[Sales]]&gt;0,"Poor Sales")</f>
        <v>Poor Sales</v>
      </c>
    </row>
    <row r="384" spans="1:11" x14ac:dyDescent="0.3">
      <c r="A384" s="6">
        <v>383</v>
      </c>
      <c r="B384" s="7">
        <v>45266</v>
      </c>
      <c r="C384" s="8" t="s">
        <v>37</v>
      </c>
      <c r="D384" s="8" t="s">
        <v>27</v>
      </c>
      <c r="E384" s="8" t="s">
        <v>17</v>
      </c>
      <c r="F384" s="8" t="s">
        <v>24</v>
      </c>
      <c r="G384" s="8" t="s">
        <v>25</v>
      </c>
      <c r="H384" s="9">
        <v>46251.07</v>
      </c>
      <c r="I384" s="8">
        <v>7</v>
      </c>
      <c r="J384" s="10">
        <v>2777.42</v>
      </c>
      <c r="K384" s="14" t="str" cm="1">
        <f t="array" ref="K384">_xlfn.IFS(Table4[[#This Row],[Sales]]&gt;40000,"Best Sales",Table4[[#This Row],[Sales]]&gt;20000,"Average Sales",Table4[[#This Row],[Sales]]&gt;0,"Poor Sales")</f>
        <v>Best Sales</v>
      </c>
    </row>
    <row r="385" spans="1:11" x14ac:dyDescent="0.3">
      <c r="A385" s="11">
        <v>384</v>
      </c>
      <c r="B385" s="12">
        <v>45207</v>
      </c>
      <c r="C385" s="13" t="s">
        <v>22</v>
      </c>
      <c r="D385" s="13" t="s">
        <v>22</v>
      </c>
      <c r="E385" s="13" t="s">
        <v>20</v>
      </c>
      <c r="F385" s="13" t="s">
        <v>24</v>
      </c>
      <c r="G385" s="13" t="s">
        <v>28</v>
      </c>
      <c r="H385" s="14">
        <v>19948.55</v>
      </c>
      <c r="I385" s="13">
        <v>4</v>
      </c>
      <c r="J385" s="15">
        <v>1195.3</v>
      </c>
      <c r="K385" s="14" t="str" cm="1">
        <f t="array" ref="K385">_xlfn.IFS(Table4[[#This Row],[Sales]]&gt;40000,"Best Sales",Table4[[#This Row],[Sales]]&gt;20000,"Average Sales",Table4[[#This Row],[Sales]]&gt;0,"Poor Sales")</f>
        <v>Poor Sales</v>
      </c>
    </row>
    <row r="386" spans="1:11" x14ac:dyDescent="0.3">
      <c r="A386" s="6">
        <v>385</v>
      </c>
      <c r="B386" s="7">
        <v>45085</v>
      </c>
      <c r="C386" s="8" t="s">
        <v>15</v>
      </c>
      <c r="D386" s="8" t="s">
        <v>16</v>
      </c>
      <c r="E386" s="8" t="s">
        <v>20</v>
      </c>
      <c r="F386" s="8" t="s">
        <v>24</v>
      </c>
      <c r="G386" s="8" t="s">
        <v>29</v>
      </c>
      <c r="H386" s="9">
        <v>5721.76</v>
      </c>
      <c r="I386" s="8">
        <v>7</v>
      </c>
      <c r="J386" s="10">
        <v>1413.25</v>
      </c>
      <c r="K386" s="14" t="str" cm="1">
        <f t="array" ref="K386">_xlfn.IFS(Table4[[#This Row],[Sales]]&gt;40000,"Best Sales",Table4[[#This Row],[Sales]]&gt;20000,"Average Sales",Table4[[#This Row],[Sales]]&gt;0,"Poor Sales")</f>
        <v>Poor Sales</v>
      </c>
    </row>
    <row r="387" spans="1:11" x14ac:dyDescent="0.3">
      <c r="A387" s="11">
        <v>386</v>
      </c>
      <c r="B387" s="12">
        <v>45204</v>
      </c>
      <c r="C387" s="13" t="s">
        <v>30</v>
      </c>
      <c r="D387" s="13" t="s">
        <v>16</v>
      </c>
      <c r="E387" s="13" t="s">
        <v>12</v>
      </c>
      <c r="F387" s="13" t="s">
        <v>24</v>
      </c>
      <c r="G387" s="13" t="s">
        <v>29</v>
      </c>
      <c r="H387" s="14">
        <v>20443.47</v>
      </c>
      <c r="I387" s="13">
        <v>4</v>
      </c>
      <c r="J387" s="15">
        <v>3275.27</v>
      </c>
      <c r="K387" s="14" t="str" cm="1">
        <f t="array" ref="K387">_xlfn.IFS(Table4[[#This Row],[Sales]]&gt;40000,"Best Sales",Table4[[#This Row],[Sales]]&gt;20000,"Average Sales",Table4[[#This Row],[Sales]]&gt;0,"Poor Sales")</f>
        <v>Average Sales</v>
      </c>
    </row>
    <row r="388" spans="1:11" x14ac:dyDescent="0.3">
      <c r="A388" s="6">
        <v>387</v>
      </c>
      <c r="B388" s="7">
        <v>45088</v>
      </c>
      <c r="C388" s="8" t="s">
        <v>18</v>
      </c>
      <c r="D388" s="8" t="s">
        <v>19</v>
      </c>
      <c r="E388" s="8" t="s">
        <v>17</v>
      </c>
      <c r="F388" s="8" t="s">
        <v>31</v>
      </c>
      <c r="G388" s="8" t="s">
        <v>39</v>
      </c>
      <c r="H388" s="9">
        <v>33096.26</v>
      </c>
      <c r="I388" s="8">
        <v>6</v>
      </c>
      <c r="J388" s="10">
        <v>3046.86</v>
      </c>
      <c r="K388" s="14" t="str" cm="1">
        <f t="array" ref="K388">_xlfn.IFS(Table4[[#This Row],[Sales]]&gt;40000,"Best Sales",Table4[[#This Row],[Sales]]&gt;20000,"Average Sales",Table4[[#This Row],[Sales]]&gt;0,"Poor Sales")</f>
        <v>Average Sales</v>
      </c>
    </row>
    <row r="389" spans="1:11" x14ac:dyDescent="0.3">
      <c r="A389" s="11">
        <v>388</v>
      </c>
      <c r="B389" s="12">
        <v>45146</v>
      </c>
      <c r="C389" s="13" t="s">
        <v>26</v>
      </c>
      <c r="D389" s="13" t="s">
        <v>27</v>
      </c>
      <c r="E389" s="13" t="s">
        <v>12</v>
      </c>
      <c r="F389" s="13" t="s">
        <v>24</v>
      </c>
      <c r="G389" s="13" t="s">
        <v>25</v>
      </c>
      <c r="H389" s="14">
        <v>48615.63</v>
      </c>
      <c r="I389" s="13">
        <v>4</v>
      </c>
      <c r="J389" s="15">
        <v>12402.67</v>
      </c>
      <c r="K389" s="14" t="str" cm="1">
        <f t="array" ref="K389">_xlfn.IFS(Table4[[#This Row],[Sales]]&gt;40000,"Best Sales",Table4[[#This Row],[Sales]]&gt;20000,"Average Sales",Table4[[#This Row],[Sales]]&gt;0,"Poor Sales")</f>
        <v>Best Sales</v>
      </c>
    </row>
    <row r="390" spans="1:11" x14ac:dyDescent="0.3">
      <c r="A390" s="6">
        <v>389</v>
      </c>
      <c r="B390" s="7">
        <v>44976</v>
      </c>
      <c r="C390" s="8" t="s">
        <v>22</v>
      </c>
      <c r="D390" s="8" t="s">
        <v>22</v>
      </c>
      <c r="E390" s="8" t="s">
        <v>17</v>
      </c>
      <c r="F390" s="8" t="s">
        <v>13</v>
      </c>
      <c r="G390" s="8" t="s">
        <v>14</v>
      </c>
      <c r="H390" s="9">
        <v>41877.24</v>
      </c>
      <c r="I390" s="8">
        <v>6</v>
      </c>
      <c r="J390" s="10">
        <v>12432.71</v>
      </c>
      <c r="K390" s="14" t="str" cm="1">
        <f t="array" ref="K390">_xlfn.IFS(Table4[[#This Row],[Sales]]&gt;40000,"Best Sales",Table4[[#This Row],[Sales]]&gt;20000,"Average Sales",Table4[[#This Row],[Sales]]&gt;0,"Poor Sales")</f>
        <v>Best Sales</v>
      </c>
    </row>
    <row r="391" spans="1:11" x14ac:dyDescent="0.3">
      <c r="A391" s="11">
        <v>390</v>
      </c>
      <c r="B391" s="12">
        <v>45129</v>
      </c>
      <c r="C391" s="13" t="s">
        <v>22</v>
      </c>
      <c r="D391" s="13" t="s">
        <v>22</v>
      </c>
      <c r="E391" s="13" t="s">
        <v>20</v>
      </c>
      <c r="F391" s="13" t="s">
        <v>31</v>
      </c>
      <c r="G391" s="13" t="s">
        <v>33</v>
      </c>
      <c r="H391" s="14">
        <v>21423.18</v>
      </c>
      <c r="I391" s="13">
        <v>6</v>
      </c>
      <c r="J391" s="15">
        <v>2642.67</v>
      </c>
      <c r="K391" s="14" t="str" cm="1">
        <f t="array" ref="K391">_xlfn.IFS(Table4[[#This Row],[Sales]]&gt;40000,"Best Sales",Table4[[#This Row],[Sales]]&gt;20000,"Average Sales",Table4[[#This Row],[Sales]]&gt;0,"Poor Sales")</f>
        <v>Average Sales</v>
      </c>
    </row>
    <row r="392" spans="1:11" x14ac:dyDescent="0.3">
      <c r="A392" s="6">
        <v>391</v>
      </c>
      <c r="B392" s="7">
        <v>44942</v>
      </c>
      <c r="C392" s="8" t="s">
        <v>30</v>
      </c>
      <c r="D392" s="8" t="s">
        <v>16</v>
      </c>
      <c r="E392" s="8" t="s">
        <v>20</v>
      </c>
      <c r="F392" s="8" t="s">
        <v>13</v>
      </c>
      <c r="G392" s="8" t="s">
        <v>14</v>
      </c>
      <c r="H392" s="9">
        <v>12449.38</v>
      </c>
      <c r="I392" s="8">
        <v>7</v>
      </c>
      <c r="J392" s="10">
        <v>786.53</v>
      </c>
      <c r="K392" s="14" t="str" cm="1">
        <f t="array" ref="K392">_xlfn.IFS(Table4[[#This Row],[Sales]]&gt;40000,"Best Sales",Table4[[#This Row],[Sales]]&gt;20000,"Average Sales",Table4[[#This Row],[Sales]]&gt;0,"Poor Sales")</f>
        <v>Poor Sales</v>
      </c>
    </row>
    <row r="393" spans="1:11" x14ac:dyDescent="0.3">
      <c r="A393" s="11">
        <v>392</v>
      </c>
      <c r="B393" s="12">
        <v>45211</v>
      </c>
      <c r="C393" s="13" t="s">
        <v>15</v>
      </c>
      <c r="D393" s="13" t="s">
        <v>16</v>
      </c>
      <c r="E393" s="13" t="s">
        <v>12</v>
      </c>
      <c r="F393" s="13" t="s">
        <v>24</v>
      </c>
      <c r="G393" s="13" t="s">
        <v>25</v>
      </c>
      <c r="H393" s="14">
        <v>12941.19</v>
      </c>
      <c r="I393" s="13">
        <v>4</v>
      </c>
      <c r="J393" s="15">
        <v>1257.8900000000001</v>
      </c>
      <c r="K393" s="14" t="str" cm="1">
        <f t="array" ref="K393">_xlfn.IFS(Table4[[#This Row],[Sales]]&gt;40000,"Best Sales",Table4[[#This Row],[Sales]]&gt;20000,"Average Sales",Table4[[#This Row],[Sales]]&gt;0,"Poor Sales")</f>
        <v>Poor Sales</v>
      </c>
    </row>
    <row r="394" spans="1:11" x14ac:dyDescent="0.3">
      <c r="A394" s="6">
        <v>393</v>
      </c>
      <c r="B394" s="7">
        <v>45166</v>
      </c>
      <c r="C394" s="8" t="s">
        <v>30</v>
      </c>
      <c r="D394" s="8" t="s">
        <v>16</v>
      </c>
      <c r="E394" s="8" t="s">
        <v>17</v>
      </c>
      <c r="F394" s="8" t="s">
        <v>24</v>
      </c>
      <c r="G394" s="8" t="s">
        <v>28</v>
      </c>
      <c r="H394" s="9">
        <v>22201.1</v>
      </c>
      <c r="I394" s="8">
        <v>6</v>
      </c>
      <c r="J394" s="10">
        <v>4513.6000000000004</v>
      </c>
      <c r="K394" s="14" t="str" cm="1">
        <f t="array" ref="K394">_xlfn.IFS(Table4[[#This Row],[Sales]]&gt;40000,"Best Sales",Table4[[#This Row],[Sales]]&gt;20000,"Average Sales",Table4[[#This Row],[Sales]]&gt;0,"Poor Sales")</f>
        <v>Average Sales</v>
      </c>
    </row>
    <row r="395" spans="1:11" x14ac:dyDescent="0.3">
      <c r="A395" s="11">
        <v>394</v>
      </c>
      <c r="B395" s="12">
        <v>45112</v>
      </c>
      <c r="C395" s="13" t="s">
        <v>37</v>
      </c>
      <c r="D395" s="13" t="s">
        <v>27</v>
      </c>
      <c r="E395" s="13" t="s">
        <v>12</v>
      </c>
      <c r="F395" s="13" t="s">
        <v>13</v>
      </c>
      <c r="G395" s="13" t="s">
        <v>14</v>
      </c>
      <c r="H395" s="14">
        <v>32017.52</v>
      </c>
      <c r="I395" s="13">
        <v>9</v>
      </c>
      <c r="J395" s="15">
        <v>6657.95</v>
      </c>
      <c r="K395" s="14" t="str" cm="1">
        <f t="array" ref="K395">_xlfn.IFS(Table4[[#This Row],[Sales]]&gt;40000,"Best Sales",Table4[[#This Row],[Sales]]&gt;20000,"Average Sales",Table4[[#This Row],[Sales]]&gt;0,"Poor Sales")</f>
        <v>Average Sales</v>
      </c>
    </row>
    <row r="396" spans="1:11" x14ac:dyDescent="0.3">
      <c r="A396" s="6">
        <v>395</v>
      </c>
      <c r="B396" s="7">
        <v>45042</v>
      </c>
      <c r="C396" s="8" t="s">
        <v>30</v>
      </c>
      <c r="D396" s="8" t="s">
        <v>16</v>
      </c>
      <c r="E396" s="8" t="s">
        <v>17</v>
      </c>
      <c r="F396" s="8" t="s">
        <v>13</v>
      </c>
      <c r="G396" s="8" t="s">
        <v>34</v>
      </c>
      <c r="H396" s="9">
        <v>9140.99</v>
      </c>
      <c r="I396" s="8">
        <v>9</v>
      </c>
      <c r="J396" s="10">
        <v>1852.84</v>
      </c>
      <c r="K396" s="14" t="str" cm="1">
        <f t="array" ref="K396">_xlfn.IFS(Table4[[#This Row],[Sales]]&gt;40000,"Best Sales",Table4[[#This Row],[Sales]]&gt;20000,"Average Sales",Table4[[#This Row],[Sales]]&gt;0,"Poor Sales")</f>
        <v>Poor Sales</v>
      </c>
    </row>
    <row r="397" spans="1:11" x14ac:dyDescent="0.3">
      <c r="A397" s="11">
        <v>396</v>
      </c>
      <c r="B397" s="12">
        <v>44996</v>
      </c>
      <c r="C397" s="13" t="s">
        <v>10</v>
      </c>
      <c r="D397" s="13" t="s">
        <v>11</v>
      </c>
      <c r="E397" s="13" t="s">
        <v>20</v>
      </c>
      <c r="F397" s="13" t="s">
        <v>24</v>
      </c>
      <c r="G397" s="13" t="s">
        <v>28</v>
      </c>
      <c r="H397" s="14">
        <v>31801.74</v>
      </c>
      <c r="I397" s="13">
        <v>5</v>
      </c>
      <c r="J397" s="15">
        <v>4975.09</v>
      </c>
      <c r="K397" s="14" t="str" cm="1">
        <f t="array" ref="K397">_xlfn.IFS(Table4[[#This Row],[Sales]]&gt;40000,"Best Sales",Table4[[#This Row],[Sales]]&gt;20000,"Average Sales",Table4[[#This Row],[Sales]]&gt;0,"Poor Sales")</f>
        <v>Average Sales</v>
      </c>
    </row>
    <row r="398" spans="1:11" x14ac:dyDescent="0.3">
      <c r="A398" s="6">
        <v>397</v>
      </c>
      <c r="B398" s="7">
        <v>45180</v>
      </c>
      <c r="C398" s="8" t="s">
        <v>22</v>
      </c>
      <c r="D398" s="8" t="s">
        <v>22</v>
      </c>
      <c r="E398" s="8" t="s">
        <v>20</v>
      </c>
      <c r="F398" s="8" t="s">
        <v>13</v>
      </c>
      <c r="G398" s="8" t="s">
        <v>34</v>
      </c>
      <c r="H398" s="9">
        <v>18034.93</v>
      </c>
      <c r="I398" s="8">
        <v>1</v>
      </c>
      <c r="J398" s="10">
        <v>2248.6999999999998</v>
      </c>
      <c r="K398" s="14" t="str" cm="1">
        <f t="array" ref="K398">_xlfn.IFS(Table4[[#This Row],[Sales]]&gt;40000,"Best Sales",Table4[[#This Row],[Sales]]&gt;20000,"Average Sales",Table4[[#This Row],[Sales]]&gt;0,"Poor Sales")</f>
        <v>Poor Sales</v>
      </c>
    </row>
    <row r="399" spans="1:11" x14ac:dyDescent="0.3">
      <c r="A399" s="11">
        <v>398</v>
      </c>
      <c r="B399" s="12">
        <v>44941</v>
      </c>
      <c r="C399" s="13" t="s">
        <v>37</v>
      </c>
      <c r="D399" s="13" t="s">
        <v>27</v>
      </c>
      <c r="E399" s="13" t="s">
        <v>12</v>
      </c>
      <c r="F399" s="13" t="s">
        <v>13</v>
      </c>
      <c r="G399" s="13" t="s">
        <v>21</v>
      </c>
      <c r="H399" s="14">
        <v>29008.89</v>
      </c>
      <c r="I399" s="13">
        <v>3</v>
      </c>
      <c r="J399" s="15">
        <v>6564.12</v>
      </c>
      <c r="K399" s="14" t="str" cm="1">
        <f t="array" ref="K399">_xlfn.IFS(Table4[[#This Row],[Sales]]&gt;40000,"Best Sales",Table4[[#This Row],[Sales]]&gt;20000,"Average Sales",Table4[[#This Row],[Sales]]&gt;0,"Poor Sales")</f>
        <v>Average Sales</v>
      </c>
    </row>
    <row r="400" spans="1:11" x14ac:dyDescent="0.3">
      <c r="A400" s="6">
        <v>399</v>
      </c>
      <c r="B400" s="7">
        <v>45171</v>
      </c>
      <c r="C400" s="8" t="s">
        <v>22</v>
      </c>
      <c r="D400" s="8" t="s">
        <v>22</v>
      </c>
      <c r="E400" s="8" t="s">
        <v>17</v>
      </c>
      <c r="F400" s="8" t="s">
        <v>13</v>
      </c>
      <c r="G400" s="8" t="s">
        <v>34</v>
      </c>
      <c r="H400" s="9">
        <v>23170.27</v>
      </c>
      <c r="I400" s="8">
        <v>7</v>
      </c>
      <c r="J400" s="10">
        <v>3487.51</v>
      </c>
      <c r="K400" s="14" t="str" cm="1">
        <f t="array" ref="K400">_xlfn.IFS(Table4[[#This Row],[Sales]]&gt;40000,"Best Sales",Table4[[#This Row],[Sales]]&gt;20000,"Average Sales",Table4[[#This Row],[Sales]]&gt;0,"Poor Sales")</f>
        <v>Average Sales</v>
      </c>
    </row>
    <row r="401" spans="1:11" x14ac:dyDescent="0.3">
      <c r="A401" s="11">
        <v>400</v>
      </c>
      <c r="B401" s="12">
        <v>45225</v>
      </c>
      <c r="C401" s="13" t="s">
        <v>22</v>
      </c>
      <c r="D401" s="13" t="s">
        <v>22</v>
      </c>
      <c r="E401" s="13" t="s">
        <v>12</v>
      </c>
      <c r="F401" s="13" t="s">
        <v>13</v>
      </c>
      <c r="G401" s="13" t="s">
        <v>14</v>
      </c>
      <c r="H401" s="14">
        <v>17142.79</v>
      </c>
      <c r="I401" s="13">
        <v>5</v>
      </c>
      <c r="J401" s="15">
        <v>4739.3999999999996</v>
      </c>
      <c r="K401" s="14" t="str" cm="1">
        <f t="array" ref="K401">_xlfn.IFS(Table4[[#This Row],[Sales]]&gt;40000,"Best Sales",Table4[[#This Row],[Sales]]&gt;20000,"Average Sales",Table4[[#This Row],[Sales]]&gt;0,"Poor Sales")</f>
        <v>Poor Sales</v>
      </c>
    </row>
    <row r="402" spans="1:11" x14ac:dyDescent="0.3">
      <c r="A402" s="6">
        <v>401</v>
      </c>
      <c r="B402" s="7">
        <v>45188</v>
      </c>
      <c r="C402" s="8" t="s">
        <v>22</v>
      </c>
      <c r="D402" s="8" t="s">
        <v>22</v>
      </c>
      <c r="E402" s="8" t="s">
        <v>17</v>
      </c>
      <c r="F402" s="8" t="s">
        <v>13</v>
      </c>
      <c r="G402" s="8" t="s">
        <v>34</v>
      </c>
      <c r="H402" s="9">
        <v>2524.96</v>
      </c>
      <c r="I402" s="8">
        <v>4</v>
      </c>
      <c r="J402" s="10">
        <v>350.09</v>
      </c>
      <c r="K402" s="14" t="str" cm="1">
        <f t="array" ref="K402">_xlfn.IFS(Table4[[#This Row],[Sales]]&gt;40000,"Best Sales",Table4[[#This Row],[Sales]]&gt;20000,"Average Sales",Table4[[#This Row],[Sales]]&gt;0,"Poor Sales")</f>
        <v>Poor Sales</v>
      </c>
    </row>
    <row r="403" spans="1:11" x14ac:dyDescent="0.3">
      <c r="A403" s="11">
        <v>402</v>
      </c>
      <c r="B403" s="12">
        <v>45155</v>
      </c>
      <c r="C403" s="13" t="s">
        <v>18</v>
      </c>
      <c r="D403" s="13" t="s">
        <v>19</v>
      </c>
      <c r="E403" s="13" t="s">
        <v>20</v>
      </c>
      <c r="F403" s="13" t="s">
        <v>24</v>
      </c>
      <c r="G403" s="13" t="s">
        <v>28</v>
      </c>
      <c r="H403" s="14">
        <v>42834.37</v>
      </c>
      <c r="I403" s="13">
        <v>4</v>
      </c>
      <c r="J403" s="15">
        <v>4416.7700000000004</v>
      </c>
      <c r="K403" s="14" t="str" cm="1">
        <f t="array" ref="K403">_xlfn.IFS(Table4[[#This Row],[Sales]]&gt;40000,"Best Sales",Table4[[#This Row],[Sales]]&gt;20000,"Average Sales",Table4[[#This Row],[Sales]]&gt;0,"Poor Sales")</f>
        <v>Best Sales</v>
      </c>
    </row>
    <row r="404" spans="1:11" x14ac:dyDescent="0.3">
      <c r="A404" s="6">
        <v>403</v>
      </c>
      <c r="B404" s="7">
        <v>44974</v>
      </c>
      <c r="C404" s="8" t="s">
        <v>37</v>
      </c>
      <c r="D404" s="8" t="s">
        <v>27</v>
      </c>
      <c r="E404" s="8" t="s">
        <v>20</v>
      </c>
      <c r="F404" s="8" t="s">
        <v>24</v>
      </c>
      <c r="G404" s="8" t="s">
        <v>29</v>
      </c>
      <c r="H404" s="9">
        <v>42841.86</v>
      </c>
      <c r="I404" s="8">
        <v>5</v>
      </c>
      <c r="J404" s="10">
        <v>9517.9500000000007</v>
      </c>
      <c r="K404" s="14" t="str" cm="1">
        <f t="array" ref="K404">_xlfn.IFS(Table4[[#This Row],[Sales]]&gt;40000,"Best Sales",Table4[[#This Row],[Sales]]&gt;20000,"Average Sales",Table4[[#This Row],[Sales]]&gt;0,"Poor Sales")</f>
        <v>Best Sales</v>
      </c>
    </row>
    <row r="405" spans="1:11" x14ac:dyDescent="0.3">
      <c r="A405" s="11">
        <v>404</v>
      </c>
      <c r="B405" s="12">
        <v>45135</v>
      </c>
      <c r="C405" s="13" t="s">
        <v>37</v>
      </c>
      <c r="D405" s="13" t="s">
        <v>27</v>
      </c>
      <c r="E405" s="13" t="s">
        <v>12</v>
      </c>
      <c r="F405" s="13" t="s">
        <v>13</v>
      </c>
      <c r="G405" s="13" t="s">
        <v>34</v>
      </c>
      <c r="H405" s="14">
        <v>11685.69</v>
      </c>
      <c r="I405" s="13">
        <v>7</v>
      </c>
      <c r="J405" s="15">
        <v>1915.68</v>
      </c>
      <c r="K405" s="14" t="str" cm="1">
        <f t="array" ref="K405">_xlfn.IFS(Table4[[#This Row],[Sales]]&gt;40000,"Best Sales",Table4[[#This Row],[Sales]]&gt;20000,"Average Sales",Table4[[#This Row],[Sales]]&gt;0,"Poor Sales")</f>
        <v>Poor Sales</v>
      </c>
    </row>
    <row r="406" spans="1:11" x14ac:dyDescent="0.3">
      <c r="A406" s="6">
        <v>405</v>
      </c>
      <c r="B406" s="7">
        <v>45181</v>
      </c>
      <c r="C406" s="8" t="s">
        <v>18</v>
      </c>
      <c r="D406" s="8" t="s">
        <v>19</v>
      </c>
      <c r="E406" s="8" t="s">
        <v>17</v>
      </c>
      <c r="F406" s="8" t="s">
        <v>24</v>
      </c>
      <c r="G406" s="8" t="s">
        <v>25</v>
      </c>
      <c r="H406" s="9">
        <v>19564.080000000002</v>
      </c>
      <c r="I406" s="8">
        <v>4</v>
      </c>
      <c r="J406" s="10">
        <v>5174.68</v>
      </c>
      <c r="K406" s="14" t="str" cm="1">
        <f t="array" ref="K406">_xlfn.IFS(Table4[[#This Row],[Sales]]&gt;40000,"Best Sales",Table4[[#This Row],[Sales]]&gt;20000,"Average Sales",Table4[[#This Row],[Sales]]&gt;0,"Poor Sales")</f>
        <v>Poor Sales</v>
      </c>
    </row>
    <row r="407" spans="1:11" x14ac:dyDescent="0.3">
      <c r="A407" s="11">
        <v>406</v>
      </c>
      <c r="B407" s="12">
        <v>45190</v>
      </c>
      <c r="C407" s="13" t="s">
        <v>30</v>
      </c>
      <c r="D407" s="13" t="s">
        <v>16</v>
      </c>
      <c r="E407" s="13" t="s">
        <v>12</v>
      </c>
      <c r="F407" s="13" t="s">
        <v>13</v>
      </c>
      <c r="G407" s="13" t="s">
        <v>34</v>
      </c>
      <c r="H407" s="14">
        <v>19188.95</v>
      </c>
      <c r="I407" s="13">
        <v>8</v>
      </c>
      <c r="J407" s="15">
        <v>4252.95</v>
      </c>
      <c r="K407" s="14" t="str" cm="1">
        <f t="array" ref="K407">_xlfn.IFS(Table4[[#This Row],[Sales]]&gt;40000,"Best Sales",Table4[[#This Row],[Sales]]&gt;20000,"Average Sales",Table4[[#This Row],[Sales]]&gt;0,"Poor Sales")</f>
        <v>Poor Sales</v>
      </c>
    </row>
    <row r="408" spans="1:11" x14ac:dyDescent="0.3">
      <c r="A408" s="6">
        <v>407</v>
      </c>
      <c r="B408" s="7">
        <v>45030</v>
      </c>
      <c r="C408" s="8" t="s">
        <v>35</v>
      </c>
      <c r="D408" s="8" t="s">
        <v>36</v>
      </c>
      <c r="E408" s="8" t="s">
        <v>17</v>
      </c>
      <c r="F408" s="8" t="s">
        <v>13</v>
      </c>
      <c r="G408" s="8" t="s">
        <v>14</v>
      </c>
      <c r="H408" s="9">
        <v>48474.84</v>
      </c>
      <c r="I408" s="8">
        <v>10</v>
      </c>
      <c r="J408" s="10">
        <v>4164.55</v>
      </c>
      <c r="K408" s="14" t="str" cm="1">
        <f t="array" ref="K408">_xlfn.IFS(Table4[[#This Row],[Sales]]&gt;40000,"Best Sales",Table4[[#This Row],[Sales]]&gt;20000,"Average Sales",Table4[[#This Row],[Sales]]&gt;0,"Poor Sales")</f>
        <v>Best Sales</v>
      </c>
    </row>
    <row r="409" spans="1:11" x14ac:dyDescent="0.3">
      <c r="A409" s="11">
        <v>408</v>
      </c>
      <c r="B409" s="12">
        <v>44933</v>
      </c>
      <c r="C409" s="13" t="s">
        <v>35</v>
      </c>
      <c r="D409" s="13" t="s">
        <v>36</v>
      </c>
      <c r="E409" s="13" t="s">
        <v>20</v>
      </c>
      <c r="F409" s="13" t="s">
        <v>13</v>
      </c>
      <c r="G409" s="13" t="s">
        <v>21</v>
      </c>
      <c r="H409" s="14">
        <v>36147.51</v>
      </c>
      <c r="I409" s="13">
        <v>8</v>
      </c>
      <c r="J409" s="15">
        <v>7327.76</v>
      </c>
      <c r="K409" s="14" t="str" cm="1">
        <f t="array" ref="K409">_xlfn.IFS(Table4[[#This Row],[Sales]]&gt;40000,"Best Sales",Table4[[#This Row],[Sales]]&gt;20000,"Average Sales",Table4[[#This Row],[Sales]]&gt;0,"Poor Sales")</f>
        <v>Average Sales</v>
      </c>
    </row>
    <row r="410" spans="1:11" x14ac:dyDescent="0.3">
      <c r="A410" s="6">
        <v>409</v>
      </c>
      <c r="B410" s="7">
        <v>45154</v>
      </c>
      <c r="C410" s="8" t="s">
        <v>15</v>
      </c>
      <c r="D410" s="8" t="s">
        <v>16</v>
      </c>
      <c r="E410" s="8" t="s">
        <v>20</v>
      </c>
      <c r="F410" s="8" t="s">
        <v>13</v>
      </c>
      <c r="G410" s="8" t="s">
        <v>21</v>
      </c>
      <c r="H410" s="9">
        <v>15852.65</v>
      </c>
      <c r="I410" s="8">
        <v>5</v>
      </c>
      <c r="J410" s="10">
        <v>1225.72</v>
      </c>
      <c r="K410" s="14" t="str" cm="1">
        <f t="array" ref="K410">_xlfn.IFS(Table4[[#This Row],[Sales]]&gt;40000,"Best Sales",Table4[[#This Row],[Sales]]&gt;20000,"Average Sales",Table4[[#This Row],[Sales]]&gt;0,"Poor Sales")</f>
        <v>Poor Sales</v>
      </c>
    </row>
    <row r="411" spans="1:11" x14ac:dyDescent="0.3">
      <c r="A411" s="11">
        <v>410</v>
      </c>
      <c r="B411" s="12">
        <v>45231</v>
      </c>
      <c r="C411" s="13" t="s">
        <v>26</v>
      </c>
      <c r="D411" s="13" t="s">
        <v>27</v>
      </c>
      <c r="E411" s="13" t="s">
        <v>12</v>
      </c>
      <c r="F411" s="13" t="s">
        <v>31</v>
      </c>
      <c r="G411" s="13" t="s">
        <v>32</v>
      </c>
      <c r="H411" s="14">
        <v>39386.74</v>
      </c>
      <c r="I411" s="13">
        <v>8</v>
      </c>
      <c r="J411" s="15">
        <v>5212.04</v>
      </c>
      <c r="K411" s="14" t="str" cm="1">
        <f t="array" ref="K411">_xlfn.IFS(Table4[[#This Row],[Sales]]&gt;40000,"Best Sales",Table4[[#This Row],[Sales]]&gt;20000,"Average Sales",Table4[[#This Row],[Sales]]&gt;0,"Poor Sales")</f>
        <v>Average Sales</v>
      </c>
    </row>
    <row r="412" spans="1:11" x14ac:dyDescent="0.3">
      <c r="A412" s="6">
        <v>411</v>
      </c>
      <c r="B412" s="7">
        <v>45234</v>
      </c>
      <c r="C412" s="8" t="s">
        <v>35</v>
      </c>
      <c r="D412" s="8" t="s">
        <v>36</v>
      </c>
      <c r="E412" s="8" t="s">
        <v>17</v>
      </c>
      <c r="F412" s="8" t="s">
        <v>31</v>
      </c>
      <c r="G412" s="8" t="s">
        <v>33</v>
      </c>
      <c r="H412" s="9">
        <v>1072.04</v>
      </c>
      <c r="I412" s="8">
        <v>1</v>
      </c>
      <c r="J412" s="10">
        <v>258.16000000000003</v>
      </c>
      <c r="K412" s="14" t="str" cm="1">
        <f t="array" ref="K412">_xlfn.IFS(Table4[[#This Row],[Sales]]&gt;40000,"Best Sales",Table4[[#This Row],[Sales]]&gt;20000,"Average Sales",Table4[[#This Row],[Sales]]&gt;0,"Poor Sales")</f>
        <v>Poor Sales</v>
      </c>
    </row>
    <row r="413" spans="1:11" x14ac:dyDescent="0.3">
      <c r="A413" s="11">
        <v>412</v>
      </c>
      <c r="B413" s="12">
        <v>45107</v>
      </c>
      <c r="C413" s="13" t="s">
        <v>30</v>
      </c>
      <c r="D413" s="13" t="s">
        <v>16</v>
      </c>
      <c r="E413" s="13" t="s">
        <v>12</v>
      </c>
      <c r="F413" s="13" t="s">
        <v>13</v>
      </c>
      <c r="G413" s="13" t="s">
        <v>21</v>
      </c>
      <c r="H413" s="14">
        <v>34096.050000000003</v>
      </c>
      <c r="I413" s="13">
        <v>5</v>
      </c>
      <c r="J413" s="15">
        <v>8352.9</v>
      </c>
      <c r="K413" s="14" t="str" cm="1">
        <f t="array" ref="K413">_xlfn.IFS(Table4[[#This Row],[Sales]]&gt;40000,"Best Sales",Table4[[#This Row],[Sales]]&gt;20000,"Average Sales",Table4[[#This Row],[Sales]]&gt;0,"Poor Sales")</f>
        <v>Average Sales</v>
      </c>
    </row>
    <row r="414" spans="1:11" x14ac:dyDescent="0.3">
      <c r="A414" s="6">
        <v>413</v>
      </c>
      <c r="B414" s="7">
        <v>44985</v>
      </c>
      <c r="C414" s="8" t="s">
        <v>38</v>
      </c>
      <c r="D414" s="8" t="s">
        <v>27</v>
      </c>
      <c r="E414" s="8" t="s">
        <v>17</v>
      </c>
      <c r="F414" s="8" t="s">
        <v>24</v>
      </c>
      <c r="G414" s="8" t="s">
        <v>29</v>
      </c>
      <c r="H414" s="9">
        <v>21431.4</v>
      </c>
      <c r="I414" s="8">
        <v>6</v>
      </c>
      <c r="J414" s="10">
        <v>3110.02</v>
      </c>
      <c r="K414" s="14" t="str" cm="1">
        <f t="array" ref="K414">_xlfn.IFS(Table4[[#This Row],[Sales]]&gt;40000,"Best Sales",Table4[[#This Row],[Sales]]&gt;20000,"Average Sales",Table4[[#This Row],[Sales]]&gt;0,"Poor Sales")</f>
        <v>Average Sales</v>
      </c>
    </row>
    <row r="415" spans="1:11" x14ac:dyDescent="0.3">
      <c r="A415" s="11">
        <v>414</v>
      </c>
      <c r="B415" s="12">
        <v>45197</v>
      </c>
      <c r="C415" s="13" t="s">
        <v>22</v>
      </c>
      <c r="D415" s="13" t="s">
        <v>22</v>
      </c>
      <c r="E415" s="13" t="s">
        <v>20</v>
      </c>
      <c r="F415" s="13" t="s">
        <v>31</v>
      </c>
      <c r="G415" s="13" t="s">
        <v>33</v>
      </c>
      <c r="H415" s="14">
        <v>49809.53</v>
      </c>
      <c r="I415" s="13">
        <v>10</v>
      </c>
      <c r="J415" s="15">
        <v>12615.9</v>
      </c>
      <c r="K415" s="14" t="str" cm="1">
        <f t="array" ref="K415">_xlfn.IFS(Table4[[#This Row],[Sales]]&gt;40000,"Best Sales",Table4[[#This Row],[Sales]]&gt;20000,"Average Sales",Table4[[#This Row],[Sales]]&gt;0,"Poor Sales")</f>
        <v>Best Sales</v>
      </c>
    </row>
    <row r="416" spans="1:11" x14ac:dyDescent="0.3">
      <c r="A416" s="6">
        <v>415</v>
      </c>
      <c r="B416" s="7">
        <v>45168</v>
      </c>
      <c r="C416" s="8" t="s">
        <v>10</v>
      </c>
      <c r="D416" s="8" t="s">
        <v>11</v>
      </c>
      <c r="E416" s="8" t="s">
        <v>20</v>
      </c>
      <c r="F416" s="8" t="s">
        <v>13</v>
      </c>
      <c r="G416" s="8" t="s">
        <v>21</v>
      </c>
      <c r="H416" s="9">
        <v>37457.269999999997</v>
      </c>
      <c r="I416" s="8">
        <v>2</v>
      </c>
      <c r="J416" s="10">
        <v>2038.02</v>
      </c>
      <c r="K416" s="14" t="str" cm="1">
        <f t="array" ref="K416">_xlfn.IFS(Table4[[#This Row],[Sales]]&gt;40000,"Best Sales",Table4[[#This Row],[Sales]]&gt;20000,"Average Sales",Table4[[#This Row],[Sales]]&gt;0,"Poor Sales")</f>
        <v>Average Sales</v>
      </c>
    </row>
    <row r="417" spans="1:11" x14ac:dyDescent="0.3">
      <c r="A417" s="11">
        <v>416</v>
      </c>
      <c r="B417" s="12">
        <v>45265</v>
      </c>
      <c r="C417" s="13" t="s">
        <v>18</v>
      </c>
      <c r="D417" s="13" t="s">
        <v>19</v>
      </c>
      <c r="E417" s="13" t="s">
        <v>12</v>
      </c>
      <c r="F417" s="13" t="s">
        <v>24</v>
      </c>
      <c r="G417" s="13" t="s">
        <v>25</v>
      </c>
      <c r="H417" s="14">
        <v>9482.2900000000009</v>
      </c>
      <c r="I417" s="13">
        <v>8</v>
      </c>
      <c r="J417" s="15">
        <v>1193.25</v>
      </c>
      <c r="K417" s="14" t="str" cm="1">
        <f t="array" ref="K417">_xlfn.IFS(Table4[[#This Row],[Sales]]&gt;40000,"Best Sales",Table4[[#This Row],[Sales]]&gt;20000,"Average Sales",Table4[[#This Row],[Sales]]&gt;0,"Poor Sales")</f>
        <v>Poor Sales</v>
      </c>
    </row>
    <row r="418" spans="1:11" x14ac:dyDescent="0.3">
      <c r="A418" s="6">
        <v>417</v>
      </c>
      <c r="B418" s="7">
        <v>45099</v>
      </c>
      <c r="C418" s="8" t="s">
        <v>26</v>
      </c>
      <c r="D418" s="8" t="s">
        <v>27</v>
      </c>
      <c r="E418" s="8" t="s">
        <v>17</v>
      </c>
      <c r="F418" s="8" t="s">
        <v>24</v>
      </c>
      <c r="G418" s="8" t="s">
        <v>28</v>
      </c>
      <c r="H418" s="9">
        <v>35623</v>
      </c>
      <c r="I418" s="8">
        <v>7</v>
      </c>
      <c r="J418" s="10">
        <v>6475.03</v>
      </c>
      <c r="K418" s="14" t="str" cm="1">
        <f t="array" ref="K418">_xlfn.IFS(Table4[[#This Row],[Sales]]&gt;40000,"Best Sales",Table4[[#This Row],[Sales]]&gt;20000,"Average Sales",Table4[[#This Row],[Sales]]&gt;0,"Poor Sales")</f>
        <v>Average Sales</v>
      </c>
    </row>
    <row r="419" spans="1:11" x14ac:dyDescent="0.3">
      <c r="A419" s="11">
        <v>418</v>
      </c>
      <c r="B419" s="12">
        <v>44953</v>
      </c>
      <c r="C419" s="13" t="s">
        <v>22</v>
      </c>
      <c r="D419" s="13" t="s">
        <v>22</v>
      </c>
      <c r="E419" s="13" t="s">
        <v>12</v>
      </c>
      <c r="F419" s="13" t="s">
        <v>31</v>
      </c>
      <c r="G419" s="13" t="s">
        <v>39</v>
      </c>
      <c r="H419" s="14">
        <v>46161.55</v>
      </c>
      <c r="I419" s="13">
        <v>8</v>
      </c>
      <c r="J419" s="15">
        <v>11578.56</v>
      </c>
      <c r="K419" s="14" t="str" cm="1">
        <f t="array" ref="K419">_xlfn.IFS(Table4[[#This Row],[Sales]]&gt;40000,"Best Sales",Table4[[#This Row],[Sales]]&gt;20000,"Average Sales",Table4[[#This Row],[Sales]]&gt;0,"Poor Sales")</f>
        <v>Best Sales</v>
      </c>
    </row>
    <row r="420" spans="1:11" x14ac:dyDescent="0.3">
      <c r="A420" s="6">
        <v>419</v>
      </c>
      <c r="B420" s="7">
        <v>45039</v>
      </c>
      <c r="C420" s="8" t="s">
        <v>15</v>
      </c>
      <c r="D420" s="8" t="s">
        <v>16</v>
      </c>
      <c r="E420" s="8" t="s">
        <v>17</v>
      </c>
      <c r="F420" s="8" t="s">
        <v>24</v>
      </c>
      <c r="G420" s="8" t="s">
        <v>25</v>
      </c>
      <c r="H420" s="9">
        <v>14247.34</v>
      </c>
      <c r="I420" s="8">
        <v>8</v>
      </c>
      <c r="J420" s="10">
        <v>837.69</v>
      </c>
      <c r="K420" s="14" t="str" cm="1">
        <f t="array" ref="K420">_xlfn.IFS(Table4[[#This Row],[Sales]]&gt;40000,"Best Sales",Table4[[#This Row],[Sales]]&gt;20000,"Average Sales",Table4[[#This Row],[Sales]]&gt;0,"Poor Sales")</f>
        <v>Poor Sales</v>
      </c>
    </row>
    <row r="421" spans="1:11" x14ac:dyDescent="0.3">
      <c r="A421" s="11">
        <v>420</v>
      </c>
      <c r="B421" s="12">
        <v>45292</v>
      </c>
      <c r="C421" s="13" t="s">
        <v>22</v>
      </c>
      <c r="D421" s="13" t="s">
        <v>22</v>
      </c>
      <c r="E421" s="13" t="s">
        <v>20</v>
      </c>
      <c r="F421" s="13" t="s">
        <v>31</v>
      </c>
      <c r="G421" s="13" t="s">
        <v>33</v>
      </c>
      <c r="H421" s="14">
        <v>2003.36</v>
      </c>
      <c r="I421" s="13">
        <v>5</v>
      </c>
      <c r="J421" s="15">
        <v>300.98</v>
      </c>
      <c r="K421" s="14" t="str" cm="1">
        <f t="array" ref="K421">_xlfn.IFS(Table4[[#This Row],[Sales]]&gt;40000,"Best Sales",Table4[[#This Row],[Sales]]&gt;20000,"Average Sales",Table4[[#This Row],[Sales]]&gt;0,"Poor Sales")</f>
        <v>Poor Sales</v>
      </c>
    </row>
    <row r="422" spans="1:11" x14ac:dyDescent="0.3">
      <c r="A422" s="6">
        <v>421</v>
      </c>
      <c r="B422" s="7">
        <v>45029</v>
      </c>
      <c r="C422" s="8" t="s">
        <v>35</v>
      </c>
      <c r="D422" s="8" t="s">
        <v>36</v>
      </c>
      <c r="E422" s="8" t="s">
        <v>20</v>
      </c>
      <c r="F422" s="8" t="s">
        <v>13</v>
      </c>
      <c r="G422" s="8" t="s">
        <v>14</v>
      </c>
      <c r="H422" s="9">
        <v>25271.97</v>
      </c>
      <c r="I422" s="8">
        <v>5</v>
      </c>
      <c r="J422" s="10">
        <v>7144.62</v>
      </c>
      <c r="K422" s="14" t="str" cm="1">
        <f t="array" ref="K422">_xlfn.IFS(Table4[[#This Row],[Sales]]&gt;40000,"Best Sales",Table4[[#This Row],[Sales]]&gt;20000,"Average Sales",Table4[[#This Row],[Sales]]&gt;0,"Poor Sales")</f>
        <v>Average Sales</v>
      </c>
    </row>
    <row r="423" spans="1:11" x14ac:dyDescent="0.3">
      <c r="A423" s="11">
        <v>422</v>
      </c>
      <c r="B423" s="12">
        <v>44987</v>
      </c>
      <c r="C423" s="13" t="s">
        <v>35</v>
      </c>
      <c r="D423" s="13" t="s">
        <v>36</v>
      </c>
      <c r="E423" s="13" t="s">
        <v>12</v>
      </c>
      <c r="F423" s="13" t="s">
        <v>24</v>
      </c>
      <c r="G423" s="13" t="s">
        <v>25</v>
      </c>
      <c r="H423" s="14">
        <v>37101.279999999999</v>
      </c>
      <c r="I423" s="13">
        <v>10</v>
      </c>
      <c r="J423" s="15">
        <v>7469.11</v>
      </c>
      <c r="K423" s="14" t="str" cm="1">
        <f t="array" ref="K423">_xlfn.IFS(Table4[[#This Row],[Sales]]&gt;40000,"Best Sales",Table4[[#This Row],[Sales]]&gt;20000,"Average Sales",Table4[[#This Row],[Sales]]&gt;0,"Poor Sales")</f>
        <v>Average Sales</v>
      </c>
    </row>
    <row r="424" spans="1:11" x14ac:dyDescent="0.3">
      <c r="A424" s="6">
        <v>423</v>
      </c>
      <c r="B424" s="7">
        <v>44979</v>
      </c>
      <c r="C424" s="8" t="s">
        <v>37</v>
      </c>
      <c r="D424" s="8" t="s">
        <v>27</v>
      </c>
      <c r="E424" s="8" t="s">
        <v>17</v>
      </c>
      <c r="F424" s="8" t="s">
        <v>31</v>
      </c>
      <c r="G424" s="8" t="s">
        <v>33</v>
      </c>
      <c r="H424" s="9">
        <v>42041.48</v>
      </c>
      <c r="I424" s="8">
        <v>3</v>
      </c>
      <c r="J424" s="10">
        <v>3319.44</v>
      </c>
      <c r="K424" s="14" t="str" cm="1">
        <f t="array" ref="K424">_xlfn.IFS(Table4[[#This Row],[Sales]]&gt;40000,"Best Sales",Table4[[#This Row],[Sales]]&gt;20000,"Average Sales",Table4[[#This Row],[Sales]]&gt;0,"Poor Sales")</f>
        <v>Best Sales</v>
      </c>
    </row>
    <row r="425" spans="1:11" x14ac:dyDescent="0.3">
      <c r="A425" s="11">
        <v>424</v>
      </c>
      <c r="B425" s="12">
        <v>45179</v>
      </c>
      <c r="C425" s="13" t="s">
        <v>18</v>
      </c>
      <c r="D425" s="13" t="s">
        <v>19</v>
      </c>
      <c r="E425" s="13" t="s">
        <v>12</v>
      </c>
      <c r="F425" s="13" t="s">
        <v>24</v>
      </c>
      <c r="G425" s="13" t="s">
        <v>28</v>
      </c>
      <c r="H425" s="14">
        <v>20704.54</v>
      </c>
      <c r="I425" s="13">
        <v>3</v>
      </c>
      <c r="J425" s="15">
        <v>2503.7199999999998</v>
      </c>
      <c r="K425" s="14" t="str" cm="1">
        <f t="array" ref="K425">_xlfn.IFS(Table4[[#This Row],[Sales]]&gt;40000,"Best Sales",Table4[[#This Row],[Sales]]&gt;20000,"Average Sales",Table4[[#This Row],[Sales]]&gt;0,"Poor Sales")</f>
        <v>Average Sales</v>
      </c>
    </row>
    <row r="426" spans="1:11" x14ac:dyDescent="0.3">
      <c r="A426" s="6">
        <v>425</v>
      </c>
      <c r="B426" s="7">
        <v>45045</v>
      </c>
      <c r="C426" s="8" t="s">
        <v>30</v>
      </c>
      <c r="D426" s="8" t="s">
        <v>16</v>
      </c>
      <c r="E426" s="8" t="s">
        <v>17</v>
      </c>
      <c r="F426" s="8" t="s">
        <v>24</v>
      </c>
      <c r="G426" s="8" t="s">
        <v>25</v>
      </c>
      <c r="H426" s="9">
        <v>22455.3</v>
      </c>
      <c r="I426" s="8">
        <v>10</v>
      </c>
      <c r="J426" s="10">
        <v>3904.62</v>
      </c>
      <c r="K426" s="14" t="str" cm="1">
        <f t="array" ref="K426">_xlfn.IFS(Table4[[#This Row],[Sales]]&gt;40000,"Best Sales",Table4[[#This Row],[Sales]]&gt;20000,"Average Sales",Table4[[#This Row],[Sales]]&gt;0,"Poor Sales")</f>
        <v>Average Sales</v>
      </c>
    </row>
    <row r="427" spans="1:11" x14ac:dyDescent="0.3">
      <c r="A427" s="11">
        <v>426</v>
      </c>
      <c r="B427" s="12">
        <v>44991</v>
      </c>
      <c r="C427" s="13" t="s">
        <v>35</v>
      </c>
      <c r="D427" s="13" t="s">
        <v>36</v>
      </c>
      <c r="E427" s="13" t="s">
        <v>20</v>
      </c>
      <c r="F427" s="13" t="s">
        <v>31</v>
      </c>
      <c r="G427" s="13" t="s">
        <v>33</v>
      </c>
      <c r="H427" s="14">
        <v>6038.12</v>
      </c>
      <c r="I427" s="13">
        <v>3</v>
      </c>
      <c r="J427" s="15">
        <v>525.65</v>
      </c>
      <c r="K427" s="14" t="str" cm="1">
        <f t="array" ref="K427">_xlfn.IFS(Table4[[#This Row],[Sales]]&gt;40000,"Best Sales",Table4[[#This Row],[Sales]]&gt;20000,"Average Sales",Table4[[#This Row],[Sales]]&gt;0,"Poor Sales")</f>
        <v>Poor Sales</v>
      </c>
    </row>
    <row r="428" spans="1:11" x14ac:dyDescent="0.3">
      <c r="A428" s="6">
        <v>427</v>
      </c>
      <c r="B428" s="7">
        <v>45058</v>
      </c>
      <c r="C428" s="8" t="s">
        <v>35</v>
      </c>
      <c r="D428" s="8" t="s">
        <v>36</v>
      </c>
      <c r="E428" s="8" t="s">
        <v>20</v>
      </c>
      <c r="F428" s="8" t="s">
        <v>31</v>
      </c>
      <c r="G428" s="8" t="s">
        <v>33</v>
      </c>
      <c r="H428" s="9">
        <v>48326.83</v>
      </c>
      <c r="I428" s="8">
        <v>4</v>
      </c>
      <c r="J428" s="10">
        <v>3436.06</v>
      </c>
      <c r="K428" s="14" t="str" cm="1">
        <f t="array" ref="K428">_xlfn.IFS(Table4[[#This Row],[Sales]]&gt;40000,"Best Sales",Table4[[#This Row],[Sales]]&gt;20000,"Average Sales",Table4[[#This Row],[Sales]]&gt;0,"Poor Sales")</f>
        <v>Best Sales</v>
      </c>
    </row>
    <row r="429" spans="1:11" x14ac:dyDescent="0.3">
      <c r="A429" s="11">
        <v>428</v>
      </c>
      <c r="B429" s="12">
        <v>45284</v>
      </c>
      <c r="C429" s="13" t="s">
        <v>30</v>
      </c>
      <c r="D429" s="13" t="s">
        <v>16</v>
      </c>
      <c r="E429" s="13" t="s">
        <v>12</v>
      </c>
      <c r="F429" s="13" t="s">
        <v>24</v>
      </c>
      <c r="G429" s="13" t="s">
        <v>25</v>
      </c>
      <c r="H429" s="14">
        <v>9672.61</v>
      </c>
      <c r="I429" s="13">
        <v>2</v>
      </c>
      <c r="J429" s="15">
        <v>984.08</v>
      </c>
      <c r="K429" s="14" t="str" cm="1">
        <f t="array" ref="K429">_xlfn.IFS(Table4[[#This Row],[Sales]]&gt;40000,"Best Sales",Table4[[#This Row],[Sales]]&gt;20000,"Average Sales",Table4[[#This Row],[Sales]]&gt;0,"Poor Sales")</f>
        <v>Poor Sales</v>
      </c>
    </row>
    <row r="430" spans="1:11" x14ac:dyDescent="0.3">
      <c r="A430" s="6">
        <v>429</v>
      </c>
      <c r="B430" s="7">
        <v>45247</v>
      </c>
      <c r="C430" s="8" t="s">
        <v>10</v>
      </c>
      <c r="D430" s="8" t="s">
        <v>11</v>
      </c>
      <c r="E430" s="8" t="s">
        <v>17</v>
      </c>
      <c r="F430" s="8" t="s">
        <v>31</v>
      </c>
      <c r="G430" s="8" t="s">
        <v>39</v>
      </c>
      <c r="H430" s="9">
        <v>19904.45</v>
      </c>
      <c r="I430" s="8">
        <v>9</v>
      </c>
      <c r="J430" s="10">
        <v>5096.17</v>
      </c>
      <c r="K430" s="14" t="str" cm="1">
        <f t="array" ref="K430">_xlfn.IFS(Table4[[#This Row],[Sales]]&gt;40000,"Best Sales",Table4[[#This Row],[Sales]]&gt;20000,"Average Sales",Table4[[#This Row],[Sales]]&gt;0,"Poor Sales")</f>
        <v>Poor Sales</v>
      </c>
    </row>
    <row r="431" spans="1:11" x14ac:dyDescent="0.3">
      <c r="A431" s="11">
        <v>430</v>
      </c>
      <c r="B431" s="12">
        <v>45076</v>
      </c>
      <c r="C431" s="13" t="s">
        <v>15</v>
      </c>
      <c r="D431" s="13" t="s">
        <v>16</v>
      </c>
      <c r="E431" s="13" t="s">
        <v>12</v>
      </c>
      <c r="F431" s="13" t="s">
        <v>31</v>
      </c>
      <c r="G431" s="13" t="s">
        <v>39</v>
      </c>
      <c r="H431" s="14">
        <v>16944.29</v>
      </c>
      <c r="I431" s="13">
        <v>4</v>
      </c>
      <c r="J431" s="15">
        <v>3322.86</v>
      </c>
      <c r="K431" s="14" t="str" cm="1">
        <f t="array" ref="K431">_xlfn.IFS(Table4[[#This Row],[Sales]]&gt;40000,"Best Sales",Table4[[#This Row],[Sales]]&gt;20000,"Average Sales",Table4[[#This Row],[Sales]]&gt;0,"Poor Sales")</f>
        <v>Poor Sales</v>
      </c>
    </row>
    <row r="432" spans="1:11" x14ac:dyDescent="0.3">
      <c r="A432" s="6">
        <v>431</v>
      </c>
      <c r="B432" s="7">
        <v>44987</v>
      </c>
      <c r="C432" s="8" t="s">
        <v>26</v>
      </c>
      <c r="D432" s="8" t="s">
        <v>27</v>
      </c>
      <c r="E432" s="8" t="s">
        <v>17</v>
      </c>
      <c r="F432" s="8" t="s">
        <v>31</v>
      </c>
      <c r="G432" s="8" t="s">
        <v>33</v>
      </c>
      <c r="H432" s="9">
        <v>26079.08</v>
      </c>
      <c r="I432" s="8">
        <v>4</v>
      </c>
      <c r="J432" s="10">
        <v>4882.3900000000003</v>
      </c>
      <c r="K432" s="14" t="str" cm="1">
        <f t="array" ref="K432">_xlfn.IFS(Table4[[#This Row],[Sales]]&gt;40000,"Best Sales",Table4[[#This Row],[Sales]]&gt;20000,"Average Sales",Table4[[#This Row],[Sales]]&gt;0,"Poor Sales")</f>
        <v>Average Sales</v>
      </c>
    </row>
    <row r="433" spans="1:11" x14ac:dyDescent="0.3">
      <c r="A433" s="11">
        <v>432</v>
      </c>
      <c r="B433" s="12">
        <v>45119</v>
      </c>
      <c r="C433" s="13" t="s">
        <v>38</v>
      </c>
      <c r="D433" s="13" t="s">
        <v>27</v>
      </c>
      <c r="E433" s="13" t="s">
        <v>20</v>
      </c>
      <c r="F433" s="13" t="s">
        <v>13</v>
      </c>
      <c r="G433" s="13" t="s">
        <v>21</v>
      </c>
      <c r="H433" s="14">
        <v>7671.29</v>
      </c>
      <c r="I433" s="13">
        <v>2</v>
      </c>
      <c r="J433" s="15">
        <v>1004.67</v>
      </c>
      <c r="K433" s="14" t="str" cm="1">
        <f t="array" ref="K433">_xlfn.IFS(Table4[[#This Row],[Sales]]&gt;40000,"Best Sales",Table4[[#This Row],[Sales]]&gt;20000,"Average Sales",Table4[[#This Row],[Sales]]&gt;0,"Poor Sales")</f>
        <v>Poor Sales</v>
      </c>
    </row>
    <row r="434" spans="1:11" x14ac:dyDescent="0.3">
      <c r="A434" s="6">
        <v>433</v>
      </c>
      <c r="B434" s="7">
        <v>45015</v>
      </c>
      <c r="C434" s="8" t="s">
        <v>38</v>
      </c>
      <c r="D434" s="8" t="s">
        <v>27</v>
      </c>
      <c r="E434" s="8" t="s">
        <v>20</v>
      </c>
      <c r="F434" s="8" t="s">
        <v>13</v>
      </c>
      <c r="G434" s="8" t="s">
        <v>34</v>
      </c>
      <c r="H434" s="9">
        <v>1166.95</v>
      </c>
      <c r="I434" s="8">
        <v>8</v>
      </c>
      <c r="J434" s="10">
        <v>238.76</v>
      </c>
      <c r="K434" s="14" t="str" cm="1">
        <f t="array" ref="K434">_xlfn.IFS(Table4[[#This Row],[Sales]]&gt;40000,"Best Sales",Table4[[#This Row],[Sales]]&gt;20000,"Average Sales",Table4[[#This Row],[Sales]]&gt;0,"Poor Sales")</f>
        <v>Poor Sales</v>
      </c>
    </row>
    <row r="435" spans="1:11" x14ac:dyDescent="0.3">
      <c r="A435" s="11">
        <v>434</v>
      </c>
      <c r="B435" s="12">
        <v>45026</v>
      </c>
      <c r="C435" s="13" t="s">
        <v>10</v>
      </c>
      <c r="D435" s="13" t="s">
        <v>11</v>
      </c>
      <c r="E435" s="13" t="s">
        <v>12</v>
      </c>
      <c r="F435" s="13" t="s">
        <v>24</v>
      </c>
      <c r="G435" s="13" t="s">
        <v>29</v>
      </c>
      <c r="H435" s="14">
        <v>35047.11</v>
      </c>
      <c r="I435" s="13">
        <v>5</v>
      </c>
      <c r="J435" s="15">
        <v>8499.74</v>
      </c>
      <c r="K435" s="14" t="str" cm="1">
        <f t="array" ref="K435">_xlfn.IFS(Table4[[#This Row],[Sales]]&gt;40000,"Best Sales",Table4[[#This Row],[Sales]]&gt;20000,"Average Sales",Table4[[#This Row],[Sales]]&gt;0,"Poor Sales")</f>
        <v>Average Sales</v>
      </c>
    </row>
    <row r="436" spans="1:11" x14ac:dyDescent="0.3">
      <c r="A436" s="6">
        <v>435</v>
      </c>
      <c r="B436" s="7">
        <v>45076</v>
      </c>
      <c r="C436" s="8" t="s">
        <v>30</v>
      </c>
      <c r="D436" s="8" t="s">
        <v>16</v>
      </c>
      <c r="E436" s="8" t="s">
        <v>17</v>
      </c>
      <c r="F436" s="8" t="s">
        <v>24</v>
      </c>
      <c r="G436" s="8" t="s">
        <v>25</v>
      </c>
      <c r="H436" s="9">
        <v>40670.42</v>
      </c>
      <c r="I436" s="8">
        <v>2</v>
      </c>
      <c r="J436" s="10">
        <v>2326.37</v>
      </c>
      <c r="K436" s="14" t="str" cm="1">
        <f t="array" ref="K436">_xlfn.IFS(Table4[[#This Row],[Sales]]&gt;40000,"Best Sales",Table4[[#This Row],[Sales]]&gt;20000,"Average Sales",Table4[[#This Row],[Sales]]&gt;0,"Poor Sales")</f>
        <v>Best Sales</v>
      </c>
    </row>
    <row r="437" spans="1:11" x14ac:dyDescent="0.3">
      <c r="A437" s="11">
        <v>436</v>
      </c>
      <c r="B437" s="12">
        <v>45269</v>
      </c>
      <c r="C437" s="13" t="s">
        <v>22</v>
      </c>
      <c r="D437" s="13" t="s">
        <v>22</v>
      </c>
      <c r="E437" s="13" t="s">
        <v>12</v>
      </c>
      <c r="F437" s="13" t="s">
        <v>24</v>
      </c>
      <c r="G437" s="13" t="s">
        <v>29</v>
      </c>
      <c r="H437" s="14">
        <v>24434.99</v>
      </c>
      <c r="I437" s="13">
        <v>6</v>
      </c>
      <c r="J437" s="15">
        <v>4352.29</v>
      </c>
      <c r="K437" s="14" t="str" cm="1">
        <f t="array" ref="K437">_xlfn.IFS(Table4[[#This Row],[Sales]]&gt;40000,"Best Sales",Table4[[#This Row],[Sales]]&gt;20000,"Average Sales",Table4[[#This Row],[Sales]]&gt;0,"Poor Sales")</f>
        <v>Average Sales</v>
      </c>
    </row>
    <row r="438" spans="1:11" x14ac:dyDescent="0.3">
      <c r="A438" s="6">
        <v>437</v>
      </c>
      <c r="B438" s="7">
        <v>45292</v>
      </c>
      <c r="C438" s="8" t="s">
        <v>35</v>
      </c>
      <c r="D438" s="8" t="s">
        <v>36</v>
      </c>
      <c r="E438" s="8" t="s">
        <v>17</v>
      </c>
      <c r="F438" s="8" t="s">
        <v>24</v>
      </c>
      <c r="G438" s="8" t="s">
        <v>25</v>
      </c>
      <c r="H438" s="9">
        <v>46015.08</v>
      </c>
      <c r="I438" s="8">
        <v>6</v>
      </c>
      <c r="J438" s="10">
        <v>11461.24</v>
      </c>
      <c r="K438" s="14" t="str" cm="1">
        <f t="array" ref="K438">_xlfn.IFS(Table4[[#This Row],[Sales]]&gt;40000,"Best Sales",Table4[[#This Row],[Sales]]&gt;20000,"Average Sales",Table4[[#This Row],[Sales]]&gt;0,"Poor Sales")</f>
        <v>Best Sales</v>
      </c>
    </row>
    <row r="439" spans="1:11" x14ac:dyDescent="0.3">
      <c r="A439" s="11">
        <v>438</v>
      </c>
      <c r="B439" s="12">
        <v>45219</v>
      </c>
      <c r="C439" s="13" t="s">
        <v>35</v>
      </c>
      <c r="D439" s="13" t="s">
        <v>36</v>
      </c>
      <c r="E439" s="13" t="s">
        <v>20</v>
      </c>
      <c r="F439" s="13" t="s">
        <v>31</v>
      </c>
      <c r="G439" s="13" t="s">
        <v>33</v>
      </c>
      <c r="H439" s="14">
        <v>1292.73</v>
      </c>
      <c r="I439" s="13">
        <v>7</v>
      </c>
      <c r="J439" s="15">
        <v>383.69</v>
      </c>
      <c r="K439" s="14" t="str" cm="1">
        <f t="array" ref="K439">_xlfn.IFS(Table4[[#This Row],[Sales]]&gt;40000,"Best Sales",Table4[[#This Row],[Sales]]&gt;20000,"Average Sales",Table4[[#This Row],[Sales]]&gt;0,"Poor Sales")</f>
        <v>Poor Sales</v>
      </c>
    </row>
    <row r="440" spans="1:11" x14ac:dyDescent="0.3">
      <c r="A440" s="6">
        <v>439</v>
      </c>
      <c r="B440" s="7">
        <v>45081</v>
      </c>
      <c r="C440" s="8" t="s">
        <v>30</v>
      </c>
      <c r="D440" s="8" t="s">
        <v>16</v>
      </c>
      <c r="E440" s="8" t="s">
        <v>20</v>
      </c>
      <c r="F440" s="8" t="s">
        <v>24</v>
      </c>
      <c r="G440" s="8" t="s">
        <v>29</v>
      </c>
      <c r="H440" s="9">
        <v>9874.76</v>
      </c>
      <c r="I440" s="8">
        <v>3</v>
      </c>
      <c r="J440" s="10">
        <v>1358.17</v>
      </c>
      <c r="K440" s="14" t="str" cm="1">
        <f t="array" ref="K440">_xlfn.IFS(Table4[[#This Row],[Sales]]&gt;40000,"Best Sales",Table4[[#This Row],[Sales]]&gt;20000,"Average Sales",Table4[[#This Row],[Sales]]&gt;0,"Poor Sales")</f>
        <v>Poor Sales</v>
      </c>
    </row>
    <row r="441" spans="1:11" x14ac:dyDescent="0.3">
      <c r="A441" s="11">
        <v>440</v>
      </c>
      <c r="B441" s="12">
        <v>45137</v>
      </c>
      <c r="C441" s="13" t="s">
        <v>22</v>
      </c>
      <c r="D441" s="13" t="s">
        <v>22</v>
      </c>
      <c r="E441" s="13" t="s">
        <v>12</v>
      </c>
      <c r="F441" s="13" t="s">
        <v>24</v>
      </c>
      <c r="G441" s="13" t="s">
        <v>29</v>
      </c>
      <c r="H441" s="14">
        <v>15146.54</v>
      </c>
      <c r="I441" s="13">
        <v>2</v>
      </c>
      <c r="J441" s="15">
        <v>2336.02</v>
      </c>
      <c r="K441" s="14" t="str" cm="1">
        <f t="array" ref="K441">_xlfn.IFS(Table4[[#This Row],[Sales]]&gt;40000,"Best Sales",Table4[[#This Row],[Sales]]&gt;20000,"Average Sales",Table4[[#This Row],[Sales]]&gt;0,"Poor Sales")</f>
        <v>Poor Sales</v>
      </c>
    </row>
    <row r="442" spans="1:11" x14ac:dyDescent="0.3">
      <c r="A442" s="6">
        <v>441</v>
      </c>
      <c r="B442" s="7">
        <v>44959</v>
      </c>
      <c r="C442" s="8" t="s">
        <v>38</v>
      </c>
      <c r="D442" s="8" t="s">
        <v>27</v>
      </c>
      <c r="E442" s="8" t="s">
        <v>17</v>
      </c>
      <c r="F442" s="8" t="s">
        <v>31</v>
      </c>
      <c r="G442" s="8" t="s">
        <v>32</v>
      </c>
      <c r="H442" s="9">
        <v>34618.480000000003</v>
      </c>
      <c r="I442" s="8">
        <v>3</v>
      </c>
      <c r="J442" s="10">
        <v>5814.36</v>
      </c>
      <c r="K442" s="14" t="str" cm="1">
        <f t="array" ref="K442">_xlfn.IFS(Table4[[#This Row],[Sales]]&gt;40000,"Best Sales",Table4[[#This Row],[Sales]]&gt;20000,"Average Sales",Table4[[#This Row],[Sales]]&gt;0,"Poor Sales")</f>
        <v>Average Sales</v>
      </c>
    </row>
    <row r="443" spans="1:11" x14ac:dyDescent="0.3">
      <c r="A443" s="11">
        <v>442</v>
      </c>
      <c r="B443" s="12">
        <v>45167</v>
      </c>
      <c r="C443" s="13" t="s">
        <v>22</v>
      </c>
      <c r="D443" s="13" t="s">
        <v>22</v>
      </c>
      <c r="E443" s="13" t="s">
        <v>12</v>
      </c>
      <c r="F443" s="13" t="s">
        <v>31</v>
      </c>
      <c r="G443" s="13" t="s">
        <v>39</v>
      </c>
      <c r="H443" s="14">
        <v>46015.64</v>
      </c>
      <c r="I443" s="13">
        <v>2</v>
      </c>
      <c r="J443" s="15">
        <v>6821.68</v>
      </c>
      <c r="K443" s="14" t="str" cm="1">
        <f t="array" ref="K443">_xlfn.IFS(Table4[[#This Row],[Sales]]&gt;40000,"Best Sales",Table4[[#This Row],[Sales]]&gt;20000,"Average Sales",Table4[[#This Row],[Sales]]&gt;0,"Poor Sales")</f>
        <v>Best Sales</v>
      </c>
    </row>
    <row r="444" spans="1:11" x14ac:dyDescent="0.3">
      <c r="A444" s="6">
        <v>443</v>
      </c>
      <c r="B444" s="7">
        <v>45056</v>
      </c>
      <c r="C444" s="8" t="s">
        <v>38</v>
      </c>
      <c r="D444" s="8" t="s">
        <v>27</v>
      </c>
      <c r="E444" s="8" t="s">
        <v>17</v>
      </c>
      <c r="F444" s="8" t="s">
        <v>24</v>
      </c>
      <c r="G444" s="8" t="s">
        <v>25</v>
      </c>
      <c r="H444" s="9">
        <v>43471.73</v>
      </c>
      <c r="I444" s="8">
        <v>4</v>
      </c>
      <c r="J444" s="10">
        <v>9929.52</v>
      </c>
      <c r="K444" s="14" t="str" cm="1">
        <f t="array" ref="K444">_xlfn.IFS(Table4[[#This Row],[Sales]]&gt;40000,"Best Sales",Table4[[#This Row],[Sales]]&gt;20000,"Average Sales",Table4[[#This Row],[Sales]]&gt;0,"Poor Sales")</f>
        <v>Best Sales</v>
      </c>
    </row>
    <row r="445" spans="1:11" x14ac:dyDescent="0.3">
      <c r="A445" s="11">
        <v>444</v>
      </c>
      <c r="B445" s="12">
        <v>45108</v>
      </c>
      <c r="C445" s="13" t="s">
        <v>10</v>
      </c>
      <c r="D445" s="13" t="s">
        <v>11</v>
      </c>
      <c r="E445" s="13" t="s">
        <v>20</v>
      </c>
      <c r="F445" s="13" t="s">
        <v>13</v>
      </c>
      <c r="G445" s="13" t="s">
        <v>14</v>
      </c>
      <c r="H445" s="14">
        <v>27516.51</v>
      </c>
      <c r="I445" s="13">
        <v>9</v>
      </c>
      <c r="J445" s="15">
        <v>3418.86</v>
      </c>
      <c r="K445" s="14" t="str" cm="1">
        <f t="array" ref="K445">_xlfn.IFS(Table4[[#This Row],[Sales]]&gt;40000,"Best Sales",Table4[[#This Row],[Sales]]&gt;20000,"Average Sales",Table4[[#This Row],[Sales]]&gt;0,"Poor Sales")</f>
        <v>Average Sales</v>
      </c>
    </row>
    <row r="446" spans="1:11" x14ac:dyDescent="0.3">
      <c r="A446" s="6">
        <v>445</v>
      </c>
      <c r="B446" s="7">
        <v>45260</v>
      </c>
      <c r="C446" s="8" t="s">
        <v>10</v>
      </c>
      <c r="D446" s="8" t="s">
        <v>11</v>
      </c>
      <c r="E446" s="8" t="s">
        <v>20</v>
      </c>
      <c r="F446" s="8" t="s">
        <v>13</v>
      </c>
      <c r="G446" s="8" t="s">
        <v>34</v>
      </c>
      <c r="H446" s="9">
        <v>48032.71</v>
      </c>
      <c r="I446" s="8">
        <v>4</v>
      </c>
      <c r="J446" s="10">
        <v>6135.71</v>
      </c>
      <c r="K446" s="14" t="str" cm="1">
        <f t="array" ref="K446">_xlfn.IFS(Table4[[#This Row],[Sales]]&gt;40000,"Best Sales",Table4[[#This Row],[Sales]]&gt;20000,"Average Sales",Table4[[#This Row],[Sales]]&gt;0,"Poor Sales")</f>
        <v>Best Sales</v>
      </c>
    </row>
    <row r="447" spans="1:11" x14ac:dyDescent="0.3">
      <c r="A447" s="11">
        <v>446</v>
      </c>
      <c r="B447" s="12">
        <v>44976</v>
      </c>
      <c r="C447" s="13" t="s">
        <v>35</v>
      </c>
      <c r="D447" s="13" t="s">
        <v>36</v>
      </c>
      <c r="E447" s="13" t="s">
        <v>12</v>
      </c>
      <c r="F447" s="13" t="s">
        <v>24</v>
      </c>
      <c r="G447" s="13" t="s">
        <v>28</v>
      </c>
      <c r="H447" s="14">
        <v>7864.34</v>
      </c>
      <c r="I447" s="13">
        <v>10</v>
      </c>
      <c r="J447" s="15">
        <v>820.53</v>
      </c>
      <c r="K447" s="14" t="str" cm="1">
        <f t="array" ref="K447">_xlfn.IFS(Table4[[#This Row],[Sales]]&gt;40000,"Best Sales",Table4[[#This Row],[Sales]]&gt;20000,"Average Sales",Table4[[#This Row],[Sales]]&gt;0,"Poor Sales")</f>
        <v>Poor Sales</v>
      </c>
    </row>
    <row r="448" spans="1:11" x14ac:dyDescent="0.3">
      <c r="A448" s="6">
        <v>447</v>
      </c>
      <c r="B448" s="7">
        <v>44953</v>
      </c>
      <c r="C448" s="8" t="s">
        <v>26</v>
      </c>
      <c r="D448" s="8" t="s">
        <v>27</v>
      </c>
      <c r="E448" s="8" t="s">
        <v>17</v>
      </c>
      <c r="F448" s="8" t="s">
        <v>13</v>
      </c>
      <c r="G448" s="8" t="s">
        <v>21</v>
      </c>
      <c r="H448" s="9">
        <v>27123.54</v>
      </c>
      <c r="I448" s="8">
        <v>2</v>
      </c>
      <c r="J448" s="10">
        <v>2817.45</v>
      </c>
      <c r="K448" s="14" t="str" cm="1">
        <f t="array" ref="K448">_xlfn.IFS(Table4[[#This Row],[Sales]]&gt;40000,"Best Sales",Table4[[#This Row],[Sales]]&gt;20000,"Average Sales",Table4[[#This Row],[Sales]]&gt;0,"Poor Sales")</f>
        <v>Average Sales</v>
      </c>
    </row>
    <row r="449" spans="1:11" x14ac:dyDescent="0.3">
      <c r="A449" s="11">
        <v>448</v>
      </c>
      <c r="B449" s="12">
        <v>45062</v>
      </c>
      <c r="C449" s="13" t="s">
        <v>26</v>
      </c>
      <c r="D449" s="13" t="s">
        <v>27</v>
      </c>
      <c r="E449" s="13" t="s">
        <v>12</v>
      </c>
      <c r="F449" s="13" t="s">
        <v>13</v>
      </c>
      <c r="G449" s="13" t="s">
        <v>34</v>
      </c>
      <c r="H449" s="14">
        <v>24573.8</v>
      </c>
      <c r="I449" s="13">
        <v>6</v>
      </c>
      <c r="J449" s="15">
        <v>3674.62</v>
      </c>
      <c r="K449" s="14" t="str" cm="1">
        <f t="array" ref="K449">_xlfn.IFS(Table4[[#This Row],[Sales]]&gt;40000,"Best Sales",Table4[[#This Row],[Sales]]&gt;20000,"Average Sales",Table4[[#This Row],[Sales]]&gt;0,"Poor Sales")</f>
        <v>Average Sales</v>
      </c>
    </row>
    <row r="450" spans="1:11" x14ac:dyDescent="0.3">
      <c r="A450" s="6">
        <v>449</v>
      </c>
      <c r="B450" s="7">
        <v>44978</v>
      </c>
      <c r="C450" s="8" t="s">
        <v>18</v>
      </c>
      <c r="D450" s="8" t="s">
        <v>19</v>
      </c>
      <c r="E450" s="8" t="s">
        <v>17</v>
      </c>
      <c r="F450" s="8" t="s">
        <v>24</v>
      </c>
      <c r="G450" s="8" t="s">
        <v>29</v>
      </c>
      <c r="H450" s="9">
        <v>24662.23</v>
      </c>
      <c r="I450" s="8">
        <v>3</v>
      </c>
      <c r="J450" s="10">
        <v>3744.45</v>
      </c>
      <c r="K450" s="14" t="str" cm="1">
        <f t="array" ref="K450">_xlfn.IFS(Table4[[#This Row],[Sales]]&gt;40000,"Best Sales",Table4[[#This Row],[Sales]]&gt;20000,"Average Sales",Table4[[#This Row],[Sales]]&gt;0,"Poor Sales")</f>
        <v>Average Sales</v>
      </c>
    </row>
    <row r="451" spans="1:11" x14ac:dyDescent="0.3">
      <c r="A451" s="11">
        <v>450</v>
      </c>
      <c r="B451" s="12">
        <v>45214</v>
      </c>
      <c r="C451" s="13" t="s">
        <v>30</v>
      </c>
      <c r="D451" s="13" t="s">
        <v>16</v>
      </c>
      <c r="E451" s="13" t="s">
        <v>20</v>
      </c>
      <c r="F451" s="13" t="s">
        <v>24</v>
      </c>
      <c r="G451" s="13" t="s">
        <v>25</v>
      </c>
      <c r="H451" s="14">
        <v>22932.71</v>
      </c>
      <c r="I451" s="13">
        <v>1</v>
      </c>
      <c r="J451" s="15">
        <v>1770.13</v>
      </c>
      <c r="K451" s="14" t="str" cm="1">
        <f t="array" ref="K451">_xlfn.IFS(Table4[[#This Row],[Sales]]&gt;40000,"Best Sales",Table4[[#This Row],[Sales]]&gt;20000,"Average Sales",Table4[[#This Row],[Sales]]&gt;0,"Poor Sales")</f>
        <v>Average Sales</v>
      </c>
    </row>
    <row r="452" spans="1:11" x14ac:dyDescent="0.3">
      <c r="A452" s="6">
        <v>451</v>
      </c>
      <c r="B452" s="7">
        <v>45241</v>
      </c>
      <c r="C452" s="8" t="s">
        <v>10</v>
      </c>
      <c r="D452" s="8" t="s">
        <v>11</v>
      </c>
      <c r="E452" s="8" t="s">
        <v>20</v>
      </c>
      <c r="F452" s="8" t="s">
        <v>31</v>
      </c>
      <c r="G452" s="8" t="s">
        <v>33</v>
      </c>
      <c r="H452" s="9">
        <v>2101.9299999999998</v>
      </c>
      <c r="I452" s="8">
        <v>6</v>
      </c>
      <c r="J452" s="10">
        <v>507.01</v>
      </c>
      <c r="K452" s="14" t="str" cm="1">
        <f t="array" ref="K452">_xlfn.IFS(Table4[[#This Row],[Sales]]&gt;40000,"Best Sales",Table4[[#This Row],[Sales]]&gt;20000,"Average Sales",Table4[[#This Row],[Sales]]&gt;0,"Poor Sales")</f>
        <v>Poor Sales</v>
      </c>
    </row>
    <row r="453" spans="1:11" x14ac:dyDescent="0.3">
      <c r="A453" s="11">
        <v>452</v>
      </c>
      <c r="B453" s="12">
        <v>45192</v>
      </c>
      <c r="C453" s="13" t="s">
        <v>26</v>
      </c>
      <c r="D453" s="13" t="s">
        <v>27</v>
      </c>
      <c r="E453" s="13" t="s">
        <v>12</v>
      </c>
      <c r="F453" s="13" t="s">
        <v>24</v>
      </c>
      <c r="G453" s="13" t="s">
        <v>29</v>
      </c>
      <c r="H453" s="14">
        <v>23897.96</v>
      </c>
      <c r="I453" s="13">
        <v>7</v>
      </c>
      <c r="J453" s="15">
        <v>4085.47</v>
      </c>
      <c r="K453" s="14" t="str" cm="1">
        <f t="array" ref="K453">_xlfn.IFS(Table4[[#This Row],[Sales]]&gt;40000,"Best Sales",Table4[[#This Row],[Sales]]&gt;20000,"Average Sales",Table4[[#This Row],[Sales]]&gt;0,"Poor Sales")</f>
        <v>Average Sales</v>
      </c>
    </row>
    <row r="454" spans="1:11" x14ac:dyDescent="0.3">
      <c r="A454" s="6">
        <v>453</v>
      </c>
      <c r="B454" s="7">
        <v>45018</v>
      </c>
      <c r="C454" s="8" t="s">
        <v>35</v>
      </c>
      <c r="D454" s="8" t="s">
        <v>36</v>
      </c>
      <c r="E454" s="8" t="s">
        <v>17</v>
      </c>
      <c r="F454" s="8" t="s">
        <v>24</v>
      </c>
      <c r="G454" s="8" t="s">
        <v>29</v>
      </c>
      <c r="H454" s="9">
        <v>32507.15</v>
      </c>
      <c r="I454" s="8">
        <v>10</v>
      </c>
      <c r="J454" s="10">
        <v>4890.71</v>
      </c>
      <c r="K454" s="14" t="str" cm="1">
        <f t="array" ref="K454">_xlfn.IFS(Table4[[#This Row],[Sales]]&gt;40000,"Best Sales",Table4[[#This Row],[Sales]]&gt;20000,"Average Sales",Table4[[#This Row],[Sales]]&gt;0,"Poor Sales")</f>
        <v>Average Sales</v>
      </c>
    </row>
    <row r="455" spans="1:11" x14ac:dyDescent="0.3">
      <c r="A455" s="11">
        <v>454</v>
      </c>
      <c r="B455" s="12">
        <v>45053</v>
      </c>
      <c r="C455" s="13" t="s">
        <v>30</v>
      </c>
      <c r="D455" s="13" t="s">
        <v>16</v>
      </c>
      <c r="E455" s="13" t="s">
        <v>12</v>
      </c>
      <c r="F455" s="13" t="s">
        <v>13</v>
      </c>
      <c r="G455" s="13" t="s">
        <v>14</v>
      </c>
      <c r="H455" s="14">
        <v>8584.92</v>
      </c>
      <c r="I455" s="13">
        <v>1</v>
      </c>
      <c r="J455" s="15">
        <v>2560.9699999999998</v>
      </c>
      <c r="K455" s="14" t="str" cm="1">
        <f t="array" ref="K455">_xlfn.IFS(Table4[[#This Row],[Sales]]&gt;40000,"Best Sales",Table4[[#This Row],[Sales]]&gt;20000,"Average Sales",Table4[[#This Row],[Sales]]&gt;0,"Poor Sales")</f>
        <v>Poor Sales</v>
      </c>
    </row>
    <row r="456" spans="1:11" x14ac:dyDescent="0.3">
      <c r="A456" s="6">
        <v>455</v>
      </c>
      <c r="B456" s="7">
        <v>45069</v>
      </c>
      <c r="C456" s="8" t="s">
        <v>22</v>
      </c>
      <c r="D456" s="8" t="s">
        <v>22</v>
      </c>
      <c r="E456" s="8" t="s">
        <v>17</v>
      </c>
      <c r="F456" s="8" t="s">
        <v>24</v>
      </c>
      <c r="G456" s="8" t="s">
        <v>28</v>
      </c>
      <c r="H456" s="9">
        <v>17850.810000000001</v>
      </c>
      <c r="I456" s="8">
        <v>9</v>
      </c>
      <c r="J456" s="10">
        <v>4605.67</v>
      </c>
      <c r="K456" s="14" t="str" cm="1">
        <f t="array" ref="K456">_xlfn.IFS(Table4[[#This Row],[Sales]]&gt;40000,"Best Sales",Table4[[#This Row],[Sales]]&gt;20000,"Average Sales",Table4[[#This Row],[Sales]]&gt;0,"Poor Sales")</f>
        <v>Poor Sales</v>
      </c>
    </row>
    <row r="457" spans="1:11" x14ac:dyDescent="0.3">
      <c r="A457" s="11">
        <v>456</v>
      </c>
      <c r="B457" s="12">
        <v>44976</v>
      </c>
      <c r="C457" s="13" t="s">
        <v>10</v>
      </c>
      <c r="D457" s="13" t="s">
        <v>11</v>
      </c>
      <c r="E457" s="13" t="s">
        <v>20</v>
      </c>
      <c r="F457" s="13" t="s">
        <v>13</v>
      </c>
      <c r="G457" s="13" t="s">
        <v>21</v>
      </c>
      <c r="H457" s="14">
        <v>33800.74</v>
      </c>
      <c r="I457" s="13">
        <v>2</v>
      </c>
      <c r="J457" s="15">
        <v>2747.6</v>
      </c>
      <c r="K457" s="14" t="str" cm="1">
        <f t="array" ref="K457">_xlfn.IFS(Table4[[#This Row],[Sales]]&gt;40000,"Best Sales",Table4[[#This Row],[Sales]]&gt;20000,"Average Sales",Table4[[#This Row],[Sales]]&gt;0,"Poor Sales")</f>
        <v>Average Sales</v>
      </c>
    </row>
    <row r="458" spans="1:11" x14ac:dyDescent="0.3">
      <c r="A458" s="6">
        <v>457</v>
      </c>
      <c r="B458" s="7">
        <v>45264</v>
      </c>
      <c r="C458" s="8" t="s">
        <v>15</v>
      </c>
      <c r="D458" s="8" t="s">
        <v>16</v>
      </c>
      <c r="E458" s="8" t="s">
        <v>20</v>
      </c>
      <c r="F458" s="8" t="s">
        <v>24</v>
      </c>
      <c r="G458" s="8" t="s">
        <v>25</v>
      </c>
      <c r="H458" s="9">
        <v>5414.74</v>
      </c>
      <c r="I458" s="8">
        <v>4</v>
      </c>
      <c r="J458" s="10">
        <v>976.86</v>
      </c>
      <c r="K458" s="14" t="str" cm="1">
        <f t="array" ref="K458">_xlfn.IFS(Table4[[#This Row],[Sales]]&gt;40000,"Best Sales",Table4[[#This Row],[Sales]]&gt;20000,"Average Sales",Table4[[#This Row],[Sales]]&gt;0,"Poor Sales")</f>
        <v>Poor Sales</v>
      </c>
    </row>
    <row r="459" spans="1:11" x14ac:dyDescent="0.3">
      <c r="A459" s="11">
        <v>458</v>
      </c>
      <c r="B459" s="12">
        <v>44952</v>
      </c>
      <c r="C459" s="13" t="s">
        <v>37</v>
      </c>
      <c r="D459" s="13" t="s">
        <v>27</v>
      </c>
      <c r="E459" s="13" t="s">
        <v>12</v>
      </c>
      <c r="F459" s="13" t="s">
        <v>24</v>
      </c>
      <c r="G459" s="13" t="s">
        <v>28</v>
      </c>
      <c r="H459" s="14">
        <v>12452.06</v>
      </c>
      <c r="I459" s="13">
        <v>2</v>
      </c>
      <c r="J459" s="15">
        <v>2412.8200000000002</v>
      </c>
      <c r="K459" s="14" t="str" cm="1">
        <f t="array" ref="K459">_xlfn.IFS(Table4[[#This Row],[Sales]]&gt;40000,"Best Sales",Table4[[#This Row],[Sales]]&gt;20000,"Average Sales",Table4[[#This Row],[Sales]]&gt;0,"Poor Sales")</f>
        <v>Poor Sales</v>
      </c>
    </row>
    <row r="460" spans="1:11" x14ac:dyDescent="0.3">
      <c r="A460" s="6">
        <v>459</v>
      </c>
      <c r="B460" s="7">
        <v>45132</v>
      </c>
      <c r="C460" s="8" t="s">
        <v>10</v>
      </c>
      <c r="D460" s="8" t="s">
        <v>11</v>
      </c>
      <c r="E460" s="8" t="s">
        <v>17</v>
      </c>
      <c r="F460" s="8" t="s">
        <v>24</v>
      </c>
      <c r="G460" s="8" t="s">
        <v>29</v>
      </c>
      <c r="H460" s="9">
        <v>15764.96</v>
      </c>
      <c r="I460" s="8">
        <v>4</v>
      </c>
      <c r="J460" s="10">
        <v>2352.7399999999998</v>
      </c>
      <c r="K460" s="14" t="str" cm="1">
        <f t="array" ref="K460">_xlfn.IFS(Table4[[#This Row],[Sales]]&gt;40000,"Best Sales",Table4[[#This Row],[Sales]]&gt;20000,"Average Sales",Table4[[#This Row],[Sales]]&gt;0,"Poor Sales")</f>
        <v>Poor Sales</v>
      </c>
    </row>
    <row r="461" spans="1:11" x14ac:dyDescent="0.3">
      <c r="A461" s="11">
        <v>460</v>
      </c>
      <c r="B461" s="12">
        <v>45239</v>
      </c>
      <c r="C461" s="13" t="s">
        <v>37</v>
      </c>
      <c r="D461" s="13" t="s">
        <v>27</v>
      </c>
      <c r="E461" s="13" t="s">
        <v>12</v>
      </c>
      <c r="F461" s="13" t="s">
        <v>24</v>
      </c>
      <c r="G461" s="13" t="s">
        <v>25</v>
      </c>
      <c r="H461" s="14">
        <v>41835.79</v>
      </c>
      <c r="I461" s="13">
        <v>1</v>
      </c>
      <c r="J461" s="15">
        <v>2744.23</v>
      </c>
      <c r="K461" s="14" t="str" cm="1">
        <f t="array" ref="K461">_xlfn.IFS(Table4[[#This Row],[Sales]]&gt;40000,"Best Sales",Table4[[#This Row],[Sales]]&gt;20000,"Average Sales",Table4[[#This Row],[Sales]]&gt;0,"Poor Sales")</f>
        <v>Best Sales</v>
      </c>
    </row>
    <row r="462" spans="1:11" x14ac:dyDescent="0.3">
      <c r="A462" s="6">
        <v>461</v>
      </c>
      <c r="B462" s="7">
        <v>45075</v>
      </c>
      <c r="C462" s="8" t="s">
        <v>18</v>
      </c>
      <c r="D462" s="8" t="s">
        <v>19</v>
      </c>
      <c r="E462" s="8" t="s">
        <v>17</v>
      </c>
      <c r="F462" s="8" t="s">
        <v>31</v>
      </c>
      <c r="G462" s="8" t="s">
        <v>33</v>
      </c>
      <c r="H462" s="9">
        <v>23801.25</v>
      </c>
      <c r="I462" s="8">
        <v>2</v>
      </c>
      <c r="J462" s="10">
        <v>6445.33</v>
      </c>
      <c r="K462" s="14" t="str" cm="1">
        <f t="array" ref="K462">_xlfn.IFS(Table4[[#This Row],[Sales]]&gt;40000,"Best Sales",Table4[[#This Row],[Sales]]&gt;20000,"Average Sales",Table4[[#This Row],[Sales]]&gt;0,"Poor Sales")</f>
        <v>Average Sales</v>
      </c>
    </row>
    <row r="463" spans="1:11" x14ac:dyDescent="0.3">
      <c r="A463" s="11">
        <v>462</v>
      </c>
      <c r="B463" s="12">
        <v>45252</v>
      </c>
      <c r="C463" s="13" t="s">
        <v>26</v>
      </c>
      <c r="D463" s="13" t="s">
        <v>27</v>
      </c>
      <c r="E463" s="13" t="s">
        <v>20</v>
      </c>
      <c r="F463" s="13" t="s">
        <v>24</v>
      </c>
      <c r="G463" s="13" t="s">
        <v>25</v>
      </c>
      <c r="H463" s="14">
        <v>15461.71</v>
      </c>
      <c r="I463" s="13">
        <v>3</v>
      </c>
      <c r="J463" s="15">
        <v>3314.59</v>
      </c>
      <c r="K463" s="14" t="str" cm="1">
        <f t="array" ref="K463">_xlfn.IFS(Table4[[#This Row],[Sales]]&gt;40000,"Best Sales",Table4[[#This Row],[Sales]]&gt;20000,"Average Sales",Table4[[#This Row],[Sales]]&gt;0,"Poor Sales")</f>
        <v>Poor Sales</v>
      </c>
    </row>
    <row r="464" spans="1:11" x14ac:dyDescent="0.3">
      <c r="A464" s="6">
        <v>463</v>
      </c>
      <c r="B464" s="7">
        <v>45076</v>
      </c>
      <c r="C464" s="8" t="s">
        <v>35</v>
      </c>
      <c r="D464" s="8" t="s">
        <v>36</v>
      </c>
      <c r="E464" s="8" t="s">
        <v>20</v>
      </c>
      <c r="F464" s="8" t="s">
        <v>24</v>
      </c>
      <c r="G464" s="8" t="s">
        <v>29</v>
      </c>
      <c r="H464" s="9">
        <v>45619.47</v>
      </c>
      <c r="I464" s="8">
        <v>10</v>
      </c>
      <c r="J464" s="10">
        <v>10134.75</v>
      </c>
      <c r="K464" s="14" t="str" cm="1">
        <f t="array" ref="K464">_xlfn.IFS(Table4[[#This Row],[Sales]]&gt;40000,"Best Sales",Table4[[#This Row],[Sales]]&gt;20000,"Average Sales",Table4[[#This Row],[Sales]]&gt;0,"Poor Sales")</f>
        <v>Best Sales</v>
      </c>
    </row>
    <row r="465" spans="1:11" x14ac:dyDescent="0.3">
      <c r="A465" s="11">
        <v>464</v>
      </c>
      <c r="B465" s="12">
        <v>45000</v>
      </c>
      <c r="C465" s="13" t="s">
        <v>10</v>
      </c>
      <c r="D465" s="13" t="s">
        <v>11</v>
      </c>
      <c r="E465" s="13" t="s">
        <v>12</v>
      </c>
      <c r="F465" s="13" t="s">
        <v>31</v>
      </c>
      <c r="G465" s="13" t="s">
        <v>33</v>
      </c>
      <c r="H465" s="14">
        <v>15028.38</v>
      </c>
      <c r="I465" s="13">
        <v>7</v>
      </c>
      <c r="J465" s="15">
        <v>2910.42</v>
      </c>
      <c r="K465" s="14" t="str" cm="1">
        <f t="array" ref="K465">_xlfn.IFS(Table4[[#This Row],[Sales]]&gt;40000,"Best Sales",Table4[[#This Row],[Sales]]&gt;20000,"Average Sales",Table4[[#This Row],[Sales]]&gt;0,"Poor Sales")</f>
        <v>Poor Sales</v>
      </c>
    </row>
    <row r="466" spans="1:11" x14ac:dyDescent="0.3">
      <c r="A466" s="6">
        <v>465</v>
      </c>
      <c r="B466" s="7">
        <v>45205</v>
      </c>
      <c r="C466" s="8" t="s">
        <v>22</v>
      </c>
      <c r="D466" s="8" t="s">
        <v>22</v>
      </c>
      <c r="E466" s="8" t="s">
        <v>17</v>
      </c>
      <c r="F466" s="8" t="s">
        <v>13</v>
      </c>
      <c r="G466" s="8" t="s">
        <v>34</v>
      </c>
      <c r="H466" s="9">
        <v>30842.46</v>
      </c>
      <c r="I466" s="8">
        <v>1</v>
      </c>
      <c r="J466" s="10">
        <v>3773.49</v>
      </c>
      <c r="K466" s="14" t="str" cm="1">
        <f t="array" ref="K466">_xlfn.IFS(Table4[[#This Row],[Sales]]&gt;40000,"Best Sales",Table4[[#This Row],[Sales]]&gt;20000,"Average Sales",Table4[[#This Row],[Sales]]&gt;0,"Poor Sales")</f>
        <v>Average Sales</v>
      </c>
    </row>
    <row r="467" spans="1:11" x14ac:dyDescent="0.3">
      <c r="A467" s="11">
        <v>466</v>
      </c>
      <c r="B467" s="12">
        <v>45222</v>
      </c>
      <c r="C467" s="13" t="s">
        <v>10</v>
      </c>
      <c r="D467" s="13" t="s">
        <v>11</v>
      </c>
      <c r="E467" s="13" t="s">
        <v>12</v>
      </c>
      <c r="F467" s="13" t="s">
        <v>13</v>
      </c>
      <c r="G467" s="13" t="s">
        <v>21</v>
      </c>
      <c r="H467" s="14">
        <v>6318.79</v>
      </c>
      <c r="I467" s="13">
        <v>4</v>
      </c>
      <c r="J467" s="15">
        <v>1551.93</v>
      </c>
      <c r="K467" s="14" t="str" cm="1">
        <f t="array" ref="K467">_xlfn.IFS(Table4[[#This Row],[Sales]]&gt;40000,"Best Sales",Table4[[#This Row],[Sales]]&gt;20000,"Average Sales",Table4[[#This Row],[Sales]]&gt;0,"Poor Sales")</f>
        <v>Poor Sales</v>
      </c>
    </row>
    <row r="468" spans="1:11" x14ac:dyDescent="0.3">
      <c r="A468" s="6">
        <v>467</v>
      </c>
      <c r="B468" s="7">
        <v>44974</v>
      </c>
      <c r="C468" s="8" t="s">
        <v>38</v>
      </c>
      <c r="D468" s="8" t="s">
        <v>27</v>
      </c>
      <c r="E468" s="8" t="s">
        <v>17</v>
      </c>
      <c r="F468" s="8" t="s">
        <v>31</v>
      </c>
      <c r="G468" s="8" t="s">
        <v>33</v>
      </c>
      <c r="H468" s="9">
        <v>14828.09</v>
      </c>
      <c r="I468" s="8">
        <v>7</v>
      </c>
      <c r="J468" s="10">
        <v>2884.42</v>
      </c>
      <c r="K468" s="14" t="str" cm="1">
        <f t="array" ref="K468">_xlfn.IFS(Table4[[#This Row],[Sales]]&gt;40000,"Best Sales",Table4[[#This Row],[Sales]]&gt;20000,"Average Sales",Table4[[#This Row],[Sales]]&gt;0,"Poor Sales")</f>
        <v>Poor Sales</v>
      </c>
    </row>
    <row r="469" spans="1:11" x14ac:dyDescent="0.3">
      <c r="A469" s="11">
        <v>468</v>
      </c>
      <c r="B469" s="12">
        <v>45137</v>
      </c>
      <c r="C469" s="13" t="s">
        <v>37</v>
      </c>
      <c r="D469" s="13" t="s">
        <v>27</v>
      </c>
      <c r="E469" s="13" t="s">
        <v>20</v>
      </c>
      <c r="F469" s="13" t="s">
        <v>24</v>
      </c>
      <c r="G469" s="13" t="s">
        <v>28</v>
      </c>
      <c r="H469" s="14">
        <v>16069.37</v>
      </c>
      <c r="I469" s="13">
        <v>2</v>
      </c>
      <c r="J469" s="15">
        <v>3976.35</v>
      </c>
      <c r="K469" s="14" t="str" cm="1">
        <f t="array" ref="K469">_xlfn.IFS(Table4[[#This Row],[Sales]]&gt;40000,"Best Sales",Table4[[#This Row],[Sales]]&gt;20000,"Average Sales",Table4[[#This Row],[Sales]]&gt;0,"Poor Sales")</f>
        <v>Poor Sales</v>
      </c>
    </row>
    <row r="470" spans="1:11" x14ac:dyDescent="0.3">
      <c r="A470" s="6">
        <v>469</v>
      </c>
      <c r="B470" s="7">
        <v>45213</v>
      </c>
      <c r="C470" s="8" t="s">
        <v>30</v>
      </c>
      <c r="D470" s="8" t="s">
        <v>16</v>
      </c>
      <c r="E470" s="8" t="s">
        <v>20</v>
      </c>
      <c r="F470" s="8" t="s">
        <v>13</v>
      </c>
      <c r="G470" s="8" t="s">
        <v>21</v>
      </c>
      <c r="H470" s="9">
        <v>13770.88</v>
      </c>
      <c r="I470" s="8">
        <v>9</v>
      </c>
      <c r="J470" s="10">
        <v>1110.72</v>
      </c>
      <c r="K470" s="14" t="str" cm="1">
        <f t="array" ref="K470">_xlfn.IFS(Table4[[#This Row],[Sales]]&gt;40000,"Best Sales",Table4[[#This Row],[Sales]]&gt;20000,"Average Sales",Table4[[#This Row],[Sales]]&gt;0,"Poor Sales")</f>
        <v>Poor Sales</v>
      </c>
    </row>
    <row r="471" spans="1:11" x14ac:dyDescent="0.3">
      <c r="A471" s="11">
        <v>470</v>
      </c>
      <c r="B471" s="12">
        <v>45016</v>
      </c>
      <c r="C471" s="13" t="s">
        <v>37</v>
      </c>
      <c r="D471" s="13" t="s">
        <v>27</v>
      </c>
      <c r="E471" s="13" t="s">
        <v>12</v>
      </c>
      <c r="F471" s="13" t="s">
        <v>24</v>
      </c>
      <c r="G471" s="13" t="s">
        <v>29</v>
      </c>
      <c r="H471" s="14">
        <v>24821.75</v>
      </c>
      <c r="I471" s="13">
        <v>4</v>
      </c>
      <c r="J471" s="15">
        <v>4789.5600000000004</v>
      </c>
      <c r="K471" s="14" t="str" cm="1">
        <f t="array" ref="K471">_xlfn.IFS(Table4[[#This Row],[Sales]]&gt;40000,"Best Sales",Table4[[#This Row],[Sales]]&gt;20000,"Average Sales",Table4[[#This Row],[Sales]]&gt;0,"Poor Sales")</f>
        <v>Average Sales</v>
      </c>
    </row>
    <row r="472" spans="1:11" x14ac:dyDescent="0.3">
      <c r="A472" s="6">
        <v>471</v>
      </c>
      <c r="B472" s="7">
        <v>45038</v>
      </c>
      <c r="C472" s="8" t="s">
        <v>15</v>
      </c>
      <c r="D472" s="8" t="s">
        <v>16</v>
      </c>
      <c r="E472" s="8" t="s">
        <v>17</v>
      </c>
      <c r="F472" s="8" t="s">
        <v>13</v>
      </c>
      <c r="G472" s="8" t="s">
        <v>14</v>
      </c>
      <c r="H472" s="9">
        <v>19819</v>
      </c>
      <c r="I472" s="8">
        <v>9</v>
      </c>
      <c r="J472" s="10">
        <v>4493.47</v>
      </c>
      <c r="K472" s="14" t="str" cm="1">
        <f t="array" ref="K472">_xlfn.IFS(Table4[[#This Row],[Sales]]&gt;40000,"Best Sales",Table4[[#This Row],[Sales]]&gt;20000,"Average Sales",Table4[[#This Row],[Sales]]&gt;0,"Poor Sales")</f>
        <v>Poor Sales</v>
      </c>
    </row>
    <row r="473" spans="1:11" x14ac:dyDescent="0.3">
      <c r="A473" s="11">
        <v>472</v>
      </c>
      <c r="B473" s="12">
        <v>45211</v>
      </c>
      <c r="C473" s="13" t="s">
        <v>37</v>
      </c>
      <c r="D473" s="13" t="s">
        <v>27</v>
      </c>
      <c r="E473" s="13" t="s">
        <v>12</v>
      </c>
      <c r="F473" s="13" t="s">
        <v>13</v>
      </c>
      <c r="G473" s="13" t="s">
        <v>21</v>
      </c>
      <c r="H473" s="14">
        <v>7807.18</v>
      </c>
      <c r="I473" s="13">
        <v>9</v>
      </c>
      <c r="J473" s="15">
        <v>893.09</v>
      </c>
      <c r="K473" s="14" t="str" cm="1">
        <f t="array" ref="K473">_xlfn.IFS(Table4[[#This Row],[Sales]]&gt;40000,"Best Sales",Table4[[#This Row],[Sales]]&gt;20000,"Average Sales",Table4[[#This Row],[Sales]]&gt;0,"Poor Sales")</f>
        <v>Poor Sales</v>
      </c>
    </row>
    <row r="474" spans="1:11" x14ac:dyDescent="0.3">
      <c r="A474" s="6">
        <v>473</v>
      </c>
      <c r="B474" s="7">
        <v>45158</v>
      </c>
      <c r="C474" s="8" t="s">
        <v>35</v>
      </c>
      <c r="D474" s="8" t="s">
        <v>36</v>
      </c>
      <c r="E474" s="8" t="s">
        <v>17</v>
      </c>
      <c r="F474" s="8" t="s">
        <v>13</v>
      </c>
      <c r="G474" s="8" t="s">
        <v>14</v>
      </c>
      <c r="H474" s="9">
        <v>29187.5</v>
      </c>
      <c r="I474" s="8">
        <v>3</v>
      </c>
      <c r="J474" s="10">
        <v>2048.9699999999998</v>
      </c>
      <c r="K474" s="14" t="str" cm="1">
        <f t="array" ref="K474">_xlfn.IFS(Table4[[#This Row],[Sales]]&gt;40000,"Best Sales",Table4[[#This Row],[Sales]]&gt;20000,"Average Sales",Table4[[#This Row],[Sales]]&gt;0,"Poor Sales")</f>
        <v>Average Sales</v>
      </c>
    </row>
    <row r="475" spans="1:11" x14ac:dyDescent="0.3">
      <c r="A475" s="11">
        <v>474</v>
      </c>
      <c r="B475" s="12">
        <v>45287</v>
      </c>
      <c r="C475" s="13" t="s">
        <v>10</v>
      </c>
      <c r="D475" s="13" t="s">
        <v>11</v>
      </c>
      <c r="E475" s="13" t="s">
        <v>20</v>
      </c>
      <c r="F475" s="13" t="s">
        <v>24</v>
      </c>
      <c r="G475" s="13" t="s">
        <v>28</v>
      </c>
      <c r="H475" s="14">
        <v>30736.28</v>
      </c>
      <c r="I475" s="13">
        <v>6</v>
      </c>
      <c r="J475" s="15">
        <v>6419.01</v>
      </c>
      <c r="K475" s="14" t="str" cm="1">
        <f t="array" ref="K475">_xlfn.IFS(Table4[[#This Row],[Sales]]&gt;40000,"Best Sales",Table4[[#This Row],[Sales]]&gt;20000,"Average Sales",Table4[[#This Row],[Sales]]&gt;0,"Poor Sales")</f>
        <v>Average Sales</v>
      </c>
    </row>
    <row r="476" spans="1:11" x14ac:dyDescent="0.3">
      <c r="A476" s="6">
        <v>475</v>
      </c>
      <c r="B476" s="7">
        <v>44988</v>
      </c>
      <c r="C476" s="8" t="s">
        <v>30</v>
      </c>
      <c r="D476" s="8" t="s">
        <v>16</v>
      </c>
      <c r="E476" s="8" t="s">
        <v>20</v>
      </c>
      <c r="F476" s="8" t="s">
        <v>24</v>
      </c>
      <c r="G476" s="8" t="s">
        <v>25</v>
      </c>
      <c r="H476" s="9">
        <v>14023.91</v>
      </c>
      <c r="I476" s="8">
        <v>7</v>
      </c>
      <c r="J476" s="10">
        <v>1687.3</v>
      </c>
      <c r="K476" s="14" t="str" cm="1">
        <f t="array" ref="K476">_xlfn.IFS(Table4[[#This Row],[Sales]]&gt;40000,"Best Sales",Table4[[#This Row],[Sales]]&gt;20000,"Average Sales",Table4[[#This Row],[Sales]]&gt;0,"Poor Sales")</f>
        <v>Poor Sales</v>
      </c>
    </row>
    <row r="477" spans="1:11" x14ac:dyDescent="0.3">
      <c r="A477" s="11">
        <v>476</v>
      </c>
      <c r="B477" s="12">
        <v>45029</v>
      </c>
      <c r="C477" s="13" t="s">
        <v>18</v>
      </c>
      <c r="D477" s="13" t="s">
        <v>19</v>
      </c>
      <c r="E477" s="13" t="s">
        <v>12</v>
      </c>
      <c r="F477" s="13" t="s">
        <v>24</v>
      </c>
      <c r="G477" s="13" t="s">
        <v>29</v>
      </c>
      <c r="H477" s="14">
        <v>16267.75</v>
      </c>
      <c r="I477" s="13">
        <v>3</v>
      </c>
      <c r="J477" s="15">
        <v>3928.17</v>
      </c>
      <c r="K477" s="14" t="str" cm="1">
        <f t="array" ref="K477">_xlfn.IFS(Table4[[#This Row],[Sales]]&gt;40000,"Best Sales",Table4[[#This Row],[Sales]]&gt;20000,"Average Sales",Table4[[#This Row],[Sales]]&gt;0,"Poor Sales")</f>
        <v>Poor Sales</v>
      </c>
    </row>
    <row r="478" spans="1:11" x14ac:dyDescent="0.3">
      <c r="A478" s="6">
        <v>477</v>
      </c>
      <c r="B478" s="7">
        <v>45129</v>
      </c>
      <c r="C478" s="8" t="s">
        <v>38</v>
      </c>
      <c r="D478" s="8" t="s">
        <v>27</v>
      </c>
      <c r="E478" s="8" t="s">
        <v>17</v>
      </c>
      <c r="F478" s="8" t="s">
        <v>31</v>
      </c>
      <c r="G478" s="8" t="s">
        <v>39</v>
      </c>
      <c r="H478" s="9">
        <v>17638.95</v>
      </c>
      <c r="I478" s="8">
        <v>1</v>
      </c>
      <c r="J478" s="10">
        <v>5267.64</v>
      </c>
      <c r="K478" s="14" t="str" cm="1">
        <f t="array" ref="K478">_xlfn.IFS(Table4[[#This Row],[Sales]]&gt;40000,"Best Sales",Table4[[#This Row],[Sales]]&gt;20000,"Average Sales",Table4[[#This Row],[Sales]]&gt;0,"Poor Sales")</f>
        <v>Poor Sales</v>
      </c>
    </row>
    <row r="479" spans="1:11" x14ac:dyDescent="0.3">
      <c r="A479" s="11">
        <v>478</v>
      </c>
      <c r="B479" s="12">
        <v>45019</v>
      </c>
      <c r="C479" s="13" t="s">
        <v>35</v>
      </c>
      <c r="D479" s="13" t="s">
        <v>36</v>
      </c>
      <c r="E479" s="13" t="s">
        <v>12</v>
      </c>
      <c r="F479" s="13" t="s">
        <v>31</v>
      </c>
      <c r="G479" s="13" t="s">
        <v>39</v>
      </c>
      <c r="H479" s="14">
        <v>4634.8100000000004</v>
      </c>
      <c r="I479" s="13">
        <v>5</v>
      </c>
      <c r="J479" s="15">
        <v>1129.28</v>
      </c>
      <c r="K479" s="14" t="str" cm="1">
        <f t="array" ref="K479">_xlfn.IFS(Table4[[#This Row],[Sales]]&gt;40000,"Best Sales",Table4[[#This Row],[Sales]]&gt;20000,"Average Sales",Table4[[#This Row],[Sales]]&gt;0,"Poor Sales")</f>
        <v>Poor Sales</v>
      </c>
    </row>
    <row r="480" spans="1:11" x14ac:dyDescent="0.3">
      <c r="A480" s="6">
        <v>479</v>
      </c>
      <c r="B480" s="7">
        <v>44994</v>
      </c>
      <c r="C480" s="8" t="s">
        <v>38</v>
      </c>
      <c r="D480" s="8" t="s">
        <v>27</v>
      </c>
      <c r="E480" s="8" t="s">
        <v>17</v>
      </c>
      <c r="F480" s="8" t="s">
        <v>31</v>
      </c>
      <c r="G480" s="8" t="s">
        <v>32</v>
      </c>
      <c r="H480" s="9">
        <v>38025.67</v>
      </c>
      <c r="I480" s="8">
        <v>8</v>
      </c>
      <c r="J480" s="10">
        <v>2827.8</v>
      </c>
      <c r="K480" s="14" t="str" cm="1">
        <f t="array" ref="K480">_xlfn.IFS(Table4[[#This Row],[Sales]]&gt;40000,"Best Sales",Table4[[#This Row],[Sales]]&gt;20000,"Average Sales",Table4[[#This Row],[Sales]]&gt;0,"Poor Sales")</f>
        <v>Average Sales</v>
      </c>
    </row>
    <row r="481" spans="1:11" x14ac:dyDescent="0.3">
      <c r="A481" s="11">
        <v>480</v>
      </c>
      <c r="B481" s="12">
        <v>45024</v>
      </c>
      <c r="C481" s="13" t="s">
        <v>38</v>
      </c>
      <c r="D481" s="13" t="s">
        <v>27</v>
      </c>
      <c r="E481" s="13" t="s">
        <v>20</v>
      </c>
      <c r="F481" s="13" t="s">
        <v>13</v>
      </c>
      <c r="G481" s="13" t="s">
        <v>34</v>
      </c>
      <c r="H481" s="14">
        <v>2127.65</v>
      </c>
      <c r="I481" s="13">
        <v>9</v>
      </c>
      <c r="J481" s="15">
        <v>181.46</v>
      </c>
      <c r="K481" s="14" t="str" cm="1">
        <f t="array" ref="K481">_xlfn.IFS(Table4[[#This Row],[Sales]]&gt;40000,"Best Sales",Table4[[#This Row],[Sales]]&gt;20000,"Average Sales",Table4[[#This Row],[Sales]]&gt;0,"Poor Sales")</f>
        <v>Poor Sales</v>
      </c>
    </row>
    <row r="482" spans="1:11" x14ac:dyDescent="0.3">
      <c r="A482" s="6">
        <v>481</v>
      </c>
      <c r="B482" s="7">
        <v>44936</v>
      </c>
      <c r="C482" s="8" t="s">
        <v>37</v>
      </c>
      <c r="D482" s="8" t="s">
        <v>27</v>
      </c>
      <c r="E482" s="8" t="s">
        <v>20</v>
      </c>
      <c r="F482" s="8" t="s">
        <v>31</v>
      </c>
      <c r="G482" s="8" t="s">
        <v>33</v>
      </c>
      <c r="H482" s="9">
        <v>45815.93</v>
      </c>
      <c r="I482" s="8">
        <v>8</v>
      </c>
      <c r="J482" s="10">
        <v>2496.91</v>
      </c>
      <c r="K482" s="14" t="str" cm="1">
        <f t="array" ref="K482">_xlfn.IFS(Table4[[#This Row],[Sales]]&gt;40000,"Best Sales",Table4[[#This Row],[Sales]]&gt;20000,"Average Sales",Table4[[#This Row],[Sales]]&gt;0,"Poor Sales")</f>
        <v>Best Sales</v>
      </c>
    </row>
    <row r="483" spans="1:11" x14ac:dyDescent="0.3">
      <c r="A483" s="11">
        <v>482</v>
      </c>
      <c r="B483" s="12">
        <v>45291</v>
      </c>
      <c r="C483" s="13" t="s">
        <v>22</v>
      </c>
      <c r="D483" s="13" t="s">
        <v>22</v>
      </c>
      <c r="E483" s="13" t="s">
        <v>12</v>
      </c>
      <c r="F483" s="13" t="s">
        <v>13</v>
      </c>
      <c r="G483" s="13" t="s">
        <v>14</v>
      </c>
      <c r="H483" s="14">
        <v>15944.17</v>
      </c>
      <c r="I483" s="13">
        <v>3</v>
      </c>
      <c r="J483" s="15">
        <v>1241.5</v>
      </c>
      <c r="K483" s="14" t="str" cm="1">
        <f t="array" ref="K483">_xlfn.IFS(Table4[[#This Row],[Sales]]&gt;40000,"Best Sales",Table4[[#This Row],[Sales]]&gt;20000,"Average Sales",Table4[[#This Row],[Sales]]&gt;0,"Poor Sales")</f>
        <v>Poor Sales</v>
      </c>
    </row>
    <row r="484" spans="1:11" x14ac:dyDescent="0.3">
      <c r="A484" s="6">
        <v>483</v>
      </c>
      <c r="B484" s="7">
        <v>45127</v>
      </c>
      <c r="C484" s="8" t="s">
        <v>30</v>
      </c>
      <c r="D484" s="8" t="s">
        <v>16</v>
      </c>
      <c r="E484" s="8" t="s">
        <v>17</v>
      </c>
      <c r="F484" s="8" t="s">
        <v>31</v>
      </c>
      <c r="G484" s="8" t="s">
        <v>39</v>
      </c>
      <c r="H484" s="9">
        <v>13865.4</v>
      </c>
      <c r="I484" s="8">
        <v>7</v>
      </c>
      <c r="J484" s="10">
        <v>1146.8599999999999</v>
      </c>
      <c r="K484" s="14" t="str" cm="1">
        <f t="array" ref="K484">_xlfn.IFS(Table4[[#This Row],[Sales]]&gt;40000,"Best Sales",Table4[[#This Row],[Sales]]&gt;20000,"Average Sales",Table4[[#This Row],[Sales]]&gt;0,"Poor Sales")</f>
        <v>Poor Sales</v>
      </c>
    </row>
    <row r="485" spans="1:11" x14ac:dyDescent="0.3">
      <c r="A485" s="11">
        <v>484</v>
      </c>
      <c r="B485" s="12">
        <v>45219</v>
      </c>
      <c r="C485" s="13" t="s">
        <v>10</v>
      </c>
      <c r="D485" s="13" t="s">
        <v>11</v>
      </c>
      <c r="E485" s="13" t="s">
        <v>12</v>
      </c>
      <c r="F485" s="13" t="s">
        <v>31</v>
      </c>
      <c r="G485" s="13" t="s">
        <v>33</v>
      </c>
      <c r="H485" s="14">
        <v>49401.07</v>
      </c>
      <c r="I485" s="13">
        <v>7</v>
      </c>
      <c r="J485" s="15">
        <v>13668.97</v>
      </c>
      <c r="K485" s="14" t="str" cm="1">
        <f t="array" ref="K485">_xlfn.IFS(Table4[[#This Row],[Sales]]&gt;40000,"Best Sales",Table4[[#This Row],[Sales]]&gt;20000,"Average Sales",Table4[[#This Row],[Sales]]&gt;0,"Poor Sales")</f>
        <v>Best Sales</v>
      </c>
    </row>
    <row r="486" spans="1:11" x14ac:dyDescent="0.3">
      <c r="A486" s="6">
        <v>485</v>
      </c>
      <c r="B486" s="7">
        <v>45222</v>
      </c>
      <c r="C486" s="8" t="s">
        <v>38</v>
      </c>
      <c r="D486" s="8" t="s">
        <v>27</v>
      </c>
      <c r="E486" s="8" t="s">
        <v>17</v>
      </c>
      <c r="F486" s="8" t="s">
        <v>24</v>
      </c>
      <c r="G486" s="8" t="s">
        <v>28</v>
      </c>
      <c r="H486" s="9">
        <v>6564.48</v>
      </c>
      <c r="I486" s="8">
        <v>1</v>
      </c>
      <c r="J486" s="10">
        <v>522.54999999999995</v>
      </c>
      <c r="K486" s="14" t="str" cm="1">
        <f t="array" ref="K486">_xlfn.IFS(Table4[[#This Row],[Sales]]&gt;40000,"Best Sales",Table4[[#This Row],[Sales]]&gt;20000,"Average Sales",Table4[[#This Row],[Sales]]&gt;0,"Poor Sales")</f>
        <v>Poor Sales</v>
      </c>
    </row>
    <row r="487" spans="1:11" x14ac:dyDescent="0.3">
      <c r="A487" s="11">
        <v>486</v>
      </c>
      <c r="B487" s="12">
        <v>45109</v>
      </c>
      <c r="C487" s="13" t="s">
        <v>37</v>
      </c>
      <c r="D487" s="13" t="s">
        <v>27</v>
      </c>
      <c r="E487" s="13" t="s">
        <v>20</v>
      </c>
      <c r="F487" s="13" t="s">
        <v>13</v>
      </c>
      <c r="G487" s="13" t="s">
        <v>14</v>
      </c>
      <c r="H487" s="14">
        <v>5283.9</v>
      </c>
      <c r="I487" s="13">
        <v>9</v>
      </c>
      <c r="J487" s="15">
        <v>1226.3399999999999</v>
      </c>
      <c r="K487" s="14" t="str" cm="1">
        <f t="array" ref="K487">_xlfn.IFS(Table4[[#This Row],[Sales]]&gt;40000,"Best Sales",Table4[[#This Row],[Sales]]&gt;20000,"Average Sales",Table4[[#This Row],[Sales]]&gt;0,"Poor Sales")</f>
        <v>Poor Sales</v>
      </c>
    </row>
    <row r="488" spans="1:11" x14ac:dyDescent="0.3">
      <c r="A488" s="6">
        <v>487</v>
      </c>
      <c r="B488" s="7">
        <v>45011</v>
      </c>
      <c r="C488" s="8" t="s">
        <v>15</v>
      </c>
      <c r="D488" s="8" t="s">
        <v>16</v>
      </c>
      <c r="E488" s="8" t="s">
        <v>20</v>
      </c>
      <c r="F488" s="8" t="s">
        <v>24</v>
      </c>
      <c r="G488" s="8" t="s">
        <v>29</v>
      </c>
      <c r="H488" s="9">
        <v>36607.199999999997</v>
      </c>
      <c r="I488" s="8">
        <v>7</v>
      </c>
      <c r="J488" s="10">
        <v>3454.39</v>
      </c>
      <c r="K488" s="14" t="str" cm="1">
        <f t="array" ref="K488">_xlfn.IFS(Table4[[#This Row],[Sales]]&gt;40000,"Best Sales",Table4[[#This Row],[Sales]]&gt;20000,"Average Sales",Table4[[#This Row],[Sales]]&gt;0,"Poor Sales")</f>
        <v>Average Sales</v>
      </c>
    </row>
    <row r="489" spans="1:11" x14ac:dyDescent="0.3">
      <c r="A489" s="11">
        <v>488</v>
      </c>
      <c r="B489" s="12">
        <v>44986</v>
      </c>
      <c r="C489" s="13" t="s">
        <v>37</v>
      </c>
      <c r="D489" s="13" t="s">
        <v>27</v>
      </c>
      <c r="E489" s="13" t="s">
        <v>12</v>
      </c>
      <c r="F489" s="13" t="s">
        <v>24</v>
      </c>
      <c r="G489" s="13" t="s">
        <v>28</v>
      </c>
      <c r="H489" s="14">
        <v>17654.32</v>
      </c>
      <c r="I489" s="13">
        <v>9</v>
      </c>
      <c r="J489" s="15">
        <v>1231.93</v>
      </c>
      <c r="K489" s="14" t="str" cm="1">
        <f t="array" ref="K489">_xlfn.IFS(Table4[[#This Row],[Sales]]&gt;40000,"Best Sales",Table4[[#This Row],[Sales]]&gt;20000,"Average Sales",Table4[[#This Row],[Sales]]&gt;0,"Poor Sales")</f>
        <v>Poor Sales</v>
      </c>
    </row>
    <row r="490" spans="1:11" x14ac:dyDescent="0.3">
      <c r="A490" s="6">
        <v>489</v>
      </c>
      <c r="B490" s="7">
        <v>45143</v>
      </c>
      <c r="C490" s="8" t="s">
        <v>26</v>
      </c>
      <c r="D490" s="8" t="s">
        <v>27</v>
      </c>
      <c r="E490" s="8" t="s">
        <v>17</v>
      </c>
      <c r="F490" s="8" t="s">
        <v>31</v>
      </c>
      <c r="G490" s="8" t="s">
        <v>39</v>
      </c>
      <c r="H490" s="9">
        <v>9433.0400000000009</v>
      </c>
      <c r="I490" s="8">
        <v>8</v>
      </c>
      <c r="J490" s="10">
        <v>2046</v>
      </c>
      <c r="K490" s="14" t="str" cm="1">
        <f t="array" ref="K490">_xlfn.IFS(Table4[[#This Row],[Sales]]&gt;40000,"Best Sales",Table4[[#This Row],[Sales]]&gt;20000,"Average Sales",Table4[[#This Row],[Sales]]&gt;0,"Poor Sales")</f>
        <v>Poor Sales</v>
      </c>
    </row>
    <row r="491" spans="1:11" x14ac:dyDescent="0.3">
      <c r="A491" s="11">
        <v>490</v>
      </c>
      <c r="B491" s="12">
        <v>45217</v>
      </c>
      <c r="C491" s="13" t="s">
        <v>37</v>
      </c>
      <c r="D491" s="13" t="s">
        <v>27</v>
      </c>
      <c r="E491" s="13" t="s">
        <v>12</v>
      </c>
      <c r="F491" s="13" t="s">
        <v>24</v>
      </c>
      <c r="G491" s="13" t="s">
        <v>28</v>
      </c>
      <c r="H491" s="14">
        <v>2839.73</v>
      </c>
      <c r="I491" s="13">
        <v>9</v>
      </c>
      <c r="J491" s="15">
        <v>780.48</v>
      </c>
      <c r="K491" s="14" t="str" cm="1">
        <f t="array" ref="K491">_xlfn.IFS(Table4[[#This Row],[Sales]]&gt;40000,"Best Sales",Table4[[#This Row],[Sales]]&gt;20000,"Average Sales",Table4[[#This Row],[Sales]]&gt;0,"Poor Sales")</f>
        <v>Poor Sales</v>
      </c>
    </row>
    <row r="492" spans="1:11" x14ac:dyDescent="0.3">
      <c r="A492" s="6">
        <v>491</v>
      </c>
      <c r="B492" s="7">
        <v>45187</v>
      </c>
      <c r="C492" s="8" t="s">
        <v>26</v>
      </c>
      <c r="D492" s="8" t="s">
        <v>27</v>
      </c>
      <c r="E492" s="8" t="s">
        <v>17</v>
      </c>
      <c r="F492" s="8" t="s">
        <v>31</v>
      </c>
      <c r="G492" s="8" t="s">
        <v>39</v>
      </c>
      <c r="H492" s="9">
        <v>37729.72</v>
      </c>
      <c r="I492" s="8">
        <v>8</v>
      </c>
      <c r="J492" s="10">
        <v>7417.54</v>
      </c>
      <c r="K492" s="14" t="str" cm="1">
        <f t="array" ref="K492">_xlfn.IFS(Table4[[#This Row],[Sales]]&gt;40000,"Best Sales",Table4[[#This Row],[Sales]]&gt;20000,"Average Sales",Table4[[#This Row],[Sales]]&gt;0,"Poor Sales")</f>
        <v>Average Sales</v>
      </c>
    </row>
    <row r="493" spans="1:11" x14ac:dyDescent="0.3">
      <c r="A493" s="11">
        <v>492</v>
      </c>
      <c r="B493" s="12">
        <v>45082</v>
      </c>
      <c r="C493" s="13" t="s">
        <v>35</v>
      </c>
      <c r="D493" s="13" t="s">
        <v>36</v>
      </c>
      <c r="E493" s="13" t="s">
        <v>20</v>
      </c>
      <c r="F493" s="13" t="s">
        <v>13</v>
      </c>
      <c r="G493" s="13" t="s">
        <v>14</v>
      </c>
      <c r="H493" s="14">
        <v>42195.65</v>
      </c>
      <c r="I493" s="13">
        <v>8</v>
      </c>
      <c r="J493" s="15">
        <v>7879.74</v>
      </c>
      <c r="K493" s="14" t="str" cm="1">
        <f t="array" ref="K493">_xlfn.IFS(Table4[[#This Row],[Sales]]&gt;40000,"Best Sales",Table4[[#This Row],[Sales]]&gt;20000,"Average Sales",Table4[[#This Row],[Sales]]&gt;0,"Poor Sales")</f>
        <v>Best Sales</v>
      </c>
    </row>
    <row r="494" spans="1:11" x14ac:dyDescent="0.3">
      <c r="A494" s="6">
        <v>493</v>
      </c>
      <c r="B494" s="7">
        <v>45163</v>
      </c>
      <c r="C494" s="8" t="s">
        <v>18</v>
      </c>
      <c r="D494" s="8" t="s">
        <v>19</v>
      </c>
      <c r="E494" s="8" t="s">
        <v>20</v>
      </c>
      <c r="F494" s="8" t="s">
        <v>24</v>
      </c>
      <c r="G494" s="8" t="s">
        <v>28</v>
      </c>
      <c r="H494" s="9">
        <v>43878.42</v>
      </c>
      <c r="I494" s="8">
        <v>7</v>
      </c>
      <c r="J494" s="10">
        <v>6784.49</v>
      </c>
      <c r="K494" s="14" t="str" cm="1">
        <f t="array" ref="K494">_xlfn.IFS(Table4[[#This Row],[Sales]]&gt;40000,"Best Sales",Table4[[#This Row],[Sales]]&gt;20000,"Average Sales",Table4[[#This Row],[Sales]]&gt;0,"Poor Sales")</f>
        <v>Best Sales</v>
      </c>
    </row>
    <row r="495" spans="1:11" x14ac:dyDescent="0.3">
      <c r="A495" s="11">
        <v>494</v>
      </c>
      <c r="B495" s="12">
        <v>45203</v>
      </c>
      <c r="C495" s="13" t="s">
        <v>22</v>
      </c>
      <c r="D495" s="13" t="s">
        <v>22</v>
      </c>
      <c r="E495" s="13" t="s">
        <v>12</v>
      </c>
      <c r="F495" s="13" t="s">
        <v>24</v>
      </c>
      <c r="G495" s="13" t="s">
        <v>29</v>
      </c>
      <c r="H495" s="14">
        <v>38660.239999999998</v>
      </c>
      <c r="I495" s="13">
        <v>10</v>
      </c>
      <c r="J495" s="15">
        <v>4376.5</v>
      </c>
      <c r="K495" s="14" t="str" cm="1">
        <f t="array" ref="K495">_xlfn.IFS(Table4[[#This Row],[Sales]]&gt;40000,"Best Sales",Table4[[#This Row],[Sales]]&gt;20000,"Average Sales",Table4[[#This Row],[Sales]]&gt;0,"Poor Sales")</f>
        <v>Average Sales</v>
      </c>
    </row>
    <row r="496" spans="1:11" x14ac:dyDescent="0.3">
      <c r="A496" s="6">
        <v>495</v>
      </c>
      <c r="B496" s="7">
        <v>45086</v>
      </c>
      <c r="C496" s="8" t="s">
        <v>38</v>
      </c>
      <c r="D496" s="8" t="s">
        <v>27</v>
      </c>
      <c r="E496" s="8" t="s">
        <v>17</v>
      </c>
      <c r="F496" s="8" t="s">
        <v>31</v>
      </c>
      <c r="G496" s="8" t="s">
        <v>32</v>
      </c>
      <c r="H496" s="9">
        <v>21116.26</v>
      </c>
      <c r="I496" s="8">
        <v>4</v>
      </c>
      <c r="J496" s="10">
        <v>5256.29</v>
      </c>
      <c r="K496" s="14" t="str" cm="1">
        <f t="array" ref="K496">_xlfn.IFS(Table4[[#This Row],[Sales]]&gt;40000,"Best Sales",Table4[[#This Row],[Sales]]&gt;20000,"Average Sales",Table4[[#This Row],[Sales]]&gt;0,"Poor Sales")</f>
        <v>Average Sales</v>
      </c>
    </row>
    <row r="497" spans="1:11" x14ac:dyDescent="0.3">
      <c r="A497" s="11">
        <v>496</v>
      </c>
      <c r="B497" s="12">
        <v>45079</v>
      </c>
      <c r="C497" s="13" t="s">
        <v>38</v>
      </c>
      <c r="D497" s="13" t="s">
        <v>27</v>
      </c>
      <c r="E497" s="13" t="s">
        <v>12</v>
      </c>
      <c r="F497" s="13" t="s">
        <v>24</v>
      </c>
      <c r="G497" s="13" t="s">
        <v>29</v>
      </c>
      <c r="H497" s="14">
        <v>4757.99</v>
      </c>
      <c r="I497" s="13">
        <v>10</v>
      </c>
      <c r="J497" s="15">
        <v>1164.3900000000001</v>
      </c>
      <c r="K497" s="14" t="str" cm="1">
        <f t="array" ref="K497">_xlfn.IFS(Table4[[#This Row],[Sales]]&gt;40000,"Best Sales",Table4[[#This Row],[Sales]]&gt;20000,"Average Sales",Table4[[#This Row],[Sales]]&gt;0,"Poor Sales")</f>
        <v>Poor Sales</v>
      </c>
    </row>
    <row r="498" spans="1:11" x14ac:dyDescent="0.3">
      <c r="A498" s="6">
        <v>497</v>
      </c>
      <c r="B498" s="7">
        <v>45195</v>
      </c>
      <c r="C498" s="8" t="s">
        <v>30</v>
      </c>
      <c r="D498" s="8" t="s">
        <v>16</v>
      </c>
      <c r="E498" s="8" t="s">
        <v>17</v>
      </c>
      <c r="F498" s="8" t="s">
        <v>31</v>
      </c>
      <c r="G498" s="8" t="s">
        <v>33</v>
      </c>
      <c r="H498" s="9">
        <v>8870.2800000000007</v>
      </c>
      <c r="I498" s="8">
        <v>2</v>
      </c>
      <c r="J498" s="10">
        <v>1105.6300000000001</v>
      </c>
      <c r="K498" s="14" t="str" cm="1">
        <f t="array" ref="K498">_xlfn.IFS(Table4[[#This Row],[Sales]]&gt;40000,"Best Sales",Table4[[#This Row],[Sales]]&gt;20000,"Average Sales",Table4[[#This Row],[Sales]]&gt;0,"Poor Sales")</f>
        <v>Poor Sales</v>
      </c>
    </row>
    <row r="499" spans="1:11" x14ac:dyDescent="0.3">
      <c r="A499" s="11">
        <v>498</v>
      </c>
      <c r="B499" s="12">
        <v>45252</v>
      </c>
      <c r="C499" s="13" t="s">
        <v>30</v>
      </c>
      <c r="D499" s="13" t="s">
        <v>16</v>
      </c>
      <c r="E499" s="13" t="s">
        <v>20</v>
      </c>
      <c r="F499" s="13" t="s">
        <v>31</v>
      </c>
      <c r="G499" s="13" t="s">
        <v>33</v>
      </c>
      <c r="H499" s="14">
        <v>46482.94</v>
      </c>
      <c r="I499" s="13">
        <v>10</v>
      </c>
      <c r="J499" s="15">
        <v>7712.88</v>
      </c>
      <c r="K499" s="14" t="str" cm="1">
        <f t="array" ref="K499">_xlfn.IFS(Table4[[#This Row],[Sales]]&gt;40000,"Best Sales",Table4[[#This Row],[Sales]]&gt;20000,"Average Sales",Table4[[#This Row],[Sales]]&gt;0,"Poor Sales")</f>
        <v>Best Sales</v>
      </c>
    </row>
    <row r="500" spans="1:11" x14ac:dyDescent="0.3">
      <c r="A500" s="6">
        <v>499</v>
      </c>
      <c r="B500" s="7">
        <v>45042</v>
      </c>
      <c r="C500" s="8" t="s">
        <v>30</v>
      </c>
      <c r="D500" s="8" t="s">
        <v>16</v>
      </c>
      <c r="E500" s="8" t="s">
        <v>20</v>
      </c>
      <c r="F500" s="8" t="s">
        <v>13</v>
      </c>
      <c r="G500" s="8" t="s">
        <v>14</v>
      </c>
      <c r="H500" s="9">
        <v>43505.83</v>
      </c>
      <c r="I500" s="8">
        <v>7</v>
      </c>
      <c r="J500" s="10">
        <v>7809.91</v>
      </c>
      <c r="K500" s="14" t="str" cm="1">
        <f t="array" ref="K500">_xlfn.IFS(Table4[[#This Row],[Sales]]&gt;40000,"Best Sales",Table4[[#This Row],[Sales]]&gt;20000,"Average Sales",Table4[[#This Row],[Sales]]&gt;0,"Poor Sales")</f>
        <v>Best Sales</v>
      </c>
    </row>
    <row r="501" spans="1:11" x14ac:dyDescent="0.3">
      <c r="A501" s="16">
        <v>500</v>
      </c>
      <c r="B501" s="17">
        <v>45224</v>
      </c>
      <c r="C501" s="18" t="s">
        <v>15</v>
      </c>
      <c r="D501" s="18" t="s">
        <v>16</v>
      </c>
      <c r="E501" s="18" t="s">
        <v>12</v>
      </c>
      <c r="F501" s="18" t="s">
        <v>31</v>
      </c>
      <c r="G501" s="18" t="s">
        <v>32</v>
      </c>
      <c r="H501" s="19">
        <v>33463.57</v>
      </c>
      <c r="I501" s="18">
        <v>6</v>
      </c>
      <c r="J501" s="20">
        <v>6469.01</v>
      </c>
      <c r="K501" s="19" t="str" cm="1">
        <f t="array" ref="K501">_xlfn.IFS(Table4[[#This Row],[Sales]]&gt;40000,"Best Sales",Table4[[#This Row],[Sales]]&gt;20000,"Average Sales",Table4[[#This Row],[Sales]]&gt;0,"Poor Sales")</f>
        <v>Average Sales</v>
      </c>
    </row>
  </sheetData>
  <mergeCells count="6">
    <mergeCell ref="M26:O26"/>
    <mergeCell ref="Q14:S14"/>
    <mergeCell ref="M3:O3"/>
    <mergeCell ref="M14:O14"/>
    <mergeCell ref="O11:P11"/>
    <mergeCell ref="O12:P12"/>
  </mergeCells>
  <conditionalFormatting sqref="A2:K501">
    <cfRule type="expression" dxfId="33" priority="3">
      <formula>$G2=$M$29</formula>
    </cfRule>
    <cfRule type="expression" dxfId="32" priority="14">
      <formula>$A2=$M$12</formula>
    </cfRule>
    <cfRule type="expression" dxfId="31" priority="2">
      <formula>$E2=$O$29</formula>
    </cfRule>
    <cfRule type="expression" dxfId="17" priority="1">
      <formula>$F2=$M$32</formula>
    </cfRule>
  </conditionalFormatting>
  <conditionalFormatting sqref="H1:H1048576">
    <cfRule type="expression" dxfId="30" priority="18">
      <formula>AND($M$6="ON",$H2&gt;=40000)</formula>
    </cfRule>
  </conditionalFormatting>
  <conditionalFormatting sqref="H2:H501">
    <cfRule type="expression" dxfId="29" priority="13">
      <formula>AND($O$12="ON",$H2&lt;=40000,$H2&gt;=20000)</formula>
    </cfRule>
    <cfRule type="expression" dxfId="28" priority="15">
      <formula>AND($O$9="ON",$H2&lt;10000)</formula>
    </cfRule>
    <cfRule type="expression" dxfId="27" priority="16">
      <formula>AND($M$9="ON",$H2&gt;20000)</formula>
    </cfRule>
    <cfRule type="expression" dxfId="26" priority="17">
      <formula>AND($O$6="ON",$H2&gt;50000)</formula>
    </cfRule>
  </conditionalFormatting>
  <conditionalFormatting sqref="I2:I501">
    <cfRule type="expression" dxfId="25" priority="5">
      <formula>AND($Q$20="ON",$I2&lt;5)</formula>
    </cfRule>
    <cfRule type="expression" dxfId="24" priority="6">
      <formula>AND($S$17="ON",$I2&gt;5)</formula>
    </cfRule>
    <cfRule type="expression" dxfId="23" priority="7">
      <formula>AND($Q$17="ON",$I2&gt;7)</formula>
    </cfRule>
  </conditionalFormatting>
  <conditionalFormatting sqref="J2:J501">
    <cfRule type="expression" dxfId="22" priority="8">
      <formula>AND($M$23="ON",$J2&lt;1000)</formula>
    </cfRule>
    <cfRule type="expression" dxfId="21" priority="9">
      <formula>AND($O$20="ON",$J2&gt;1000)</formula>
    </cfRule>
    <cfRule type="expression" dxfId="20" priority="10">
      <formula>AND($M$20="ON",$J2&gt;3000)</formula>
    </cfRule>
    <cfRule type="expression" dxfId="19" priority="11">
      <formula>AND($O$17="ON",$J2&gt;7000)</formula>
    </cfRule>
    <cfRule type="expression" dxfId="18" priority="12">
      <formula>AND($M$17="ON",$J2&gt;12000)</formula>
    </cfRule>
  </conditionalFormatting>
  <dataValidations count="5">
    <dataValidation type="list" allowBlank="1" showInputMessage="1" showErrorMessage="1" sqref="M6 O6 M9 O9 O12:P12 M17 O17 Q17 S17 Q20 O20 M20 M23" xr:uid="{92761432-857A-471D-A8B4-6BD01B2FFB45}">
      <formula1>$S$4:$S$5</formula1>
    </dataValidation>
    <dataValidation type="whole" allowBlank="1" showInputMessage="1" showErrorMessage="1" sqref="M12" xr:uid="{94E57A5F-60DA-4E76-84D8-766384DA1C3A}">
      <formula1>0</formula1>
      <formula2>500</formula2>
    </dataValidation>
    <dataValidation type="list" allowBlank="1" showInputMessage="1" showErrorMessage="1" sqref="M29" xr:uid="{2B9946BF-750D-4A41-AA2C-9545F094468B}">
      <formula1>$Q$26:$Q$35</formula1>
    </dataValidation>
    <dataValidation type="list" allowBlank="1" showInputMessage="1" showErrorMessage="1" sqref="O29" xr:uid="{227ACCF1-46B2-4149-9B14-9398A8DC3819}">
      <formula1>$S$26:$S$30</formula1>
    </dataValidation>
    <dataValidation type="list" allowBlank="1" showInputMessage="1" showErrorMessage="1" sqref="M32" xr:uid="{E5E2C2A5-6C26-4354-8FB7-D706958DEF57}">
      <formula1>$U$26:$U$29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E480-EC09-4C13-B216-C95898A33452}">
  <dimension ref="A1:Q501"/>
  <sheetViews>
    <sheetView topLeftCell="A422" workbookViewId="0">
      <selection activeCell="J488" sqref="J488"/>
    </sheetView>
  </sheetViews>
  <sheetFormatPr defaultRowHeight="14.4" x14ac:dyDescent="0.3"/>
  <cols>
    <col min="2" max="2" width="10.5546875" bestFit="1" customWidth="1"/>
    <col min="8" max="8" width="13.6640625" customWidth="1"/>
    <col min="9" max="9" width="16.77734375" customWidth="1"/>
    <col min="10" max="10" width="15.88671875" customWidth="1"/>
    <col min="11" max="11" width="11.5546875" customWidth="1"/>
  </cols>
  <sheetData>
    <row r="1" spans="1:17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4" t="s">
        <v>42</v>
      </c>
      <c r="L1" s="4" t="s">
        <v>43</v>
      </c>
      <c r="M1" s="4" t="s">
        <v>44</v>
      </c>
      <c r="N1" s="3" t="s">
        <v>45</v>
      </c>
      <c r="O1" s="3" t="s">
        <v>46</v>
      </c>
      <c r="P1" s="3" t="s">
        <v>47</v>
      </c>
      <c r="Q1" s="3" t="s">
        <v>48</v>
      </c>
    </row>
    <row r="2" spans="1:17" ht="15" thickTop="1" x14ac:dyDescent="0.3">
      <c r="A2" s="6">
        <v>1</v>
      </c>
      <c r="B2" s="7">
        <v>45197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9">
        <v>46482.46</v>
      </c>
      <c r="I2" s="8">
        <v>8</v>
      </c>
      <c r="J2" s="10">
        <v>12648.46</v>
      </c>
      <c r="K2" s="24" t="str" cm="1">
        <f t="array" ref="K2">_xlfn.IFS(Table43[[#This Row],[Sales]]&gt;40000,"Best Sales",Table43[[#This Row],[Sales]]&gt;20000,"Average Sales",Table43[[#This Row],[Sales]]&gt;0,"Poor Sales")</f>
        <v>Best Sales</v>
      </c>
      <c r="L2" s="23">
        <f>YEAR(Table43[[#This Row],[Date]])</f>
        <v>2023</v>
      </c>
      <c r="M2" s="23">
        <f>MONTH(Table43[[#This Row],[Date]])</f>
        <v>9</v>
      </c>
      <c r="N2" s="25">
        <f>DAY(Table43[[#This Row],[Date]])</f>
        <v>28</v>
      </c>
      <c r="O2" s="25" t="str">
        <f>TEXT(DATE(2023,Table43[[#This Row],[Month]],1),"mmm")</f>
        <v>Sep</v>
      </c>
      <c r="P2" s="25"/>
      <c r="Q2" s="25"/>
    </row>
    <row r="3" spans="1:17" x14ac:dyDescent="0.3">
      <c r="A3" s="11">
        <v>2</v>
      </c>
      <c r="B3" s="12">
        <v>45274</v>
      </c>
      <c r="C3" s="13" t="s">
        <v>15</v>
      </c>
      <c r="D3" s="13" t="s">
        <v>16</v>
      </c>
      <c r="E3" s="13" t="s">
        <v>17</v>
      </c>
      <c r="F3" s="13" t="s">
        <v>13</v>
      </c>
      <c r="G3" s="13" t="s">
        <v>14</v>
      </c>
      <c r="H3" s="14">
        <v>47951.42</v>
      </c>
      <c r="I3" s="13">
        <v>10</v>
      </c>
      <c r="J3" s="15">
        <v>9869.94</v>
      </c>
      <c r="K3" s="14" t="str" cm="1">
        <f t="array" ref="K3">_xlfn.IFS(Table43[[#This Row],[Sales]]&gt;40000,"Best Sales",Table43[[#This Row],[Sales]]&gt;20000,"Average Sales",Table43[[#This Row],[Sales]]&gt;0,"Poor Sales")</f>
        <v>Best Sales</v>
      </c>
      <c r="L3" s="23">
        <f>YEAR(Table43[[#This Row],[Date]])</f>
        <v>2023</v>
      </c>
      <c r="M3" s="23">
        <f>MONTH(Table43[[#This Row],[Date]])</f>
        <v>12</v>
      </c>
      <c r="N3" s="25">
        <f>DAY(Table43[[#This Row],[Date]])</f>
        <v>14</v>
      </c>
      <c r="O3" s="25" t="str">
        <f>TEXT(DATE(2023,Table43[[#This Row],[Month]],1),"mmm")</f>
        <v>Dec</v>
      </c>
      <c r="P3" s="25"/>
      <c r="Q3" s="25"/>
    </row>
    <row r="4" spans="1:17" x14ac:dyDescent="0.3">
      <c r="A4" s="6">
        <v>3</v>
      </c>
      <c r="B4" s="7">
        <v>45136</v>
      </c>
      <c r="C4" s="8" t="s">
        <v>18</v>
      </c>
      <c r="D4" s="8" t="s">
        <v>19</v>
      </c>
      <c r="E4" s="8" t="s">
        <v>20</v>
      </c>
      <c r="F4" s="8" t="s">
        <v>13</v>
      </c>
      <c r="G4" s="8" t="s">
        <v>21</v>
      </c>
      <c r="H4" s="9">
        <v>24461.75</v>
      </c>
      <c r="I4" s="8">
        <v>3</v>
      </c>
      <c r="J4" s="10">
        <v>7086.73</v>
      </c>
      <c r="K4" s="14" t="str" cm="1">
        <f t="array" ref="K4">_xlfn.IFS(Table43[[#This Row],[Sales]]&gt;40000,"Best Sales",Table43[[#This Row],[Sales]]&gt;20000,"Average Sales",Table43[[#This Row],[Sales]]&gt;0,"Poor Sales")</f>
        <v>Average Sales</v>
      </c>
      <c r="L4" s="23">
        <f>YEAR(Table43[[#This Row],[Date]])</f>
        <v>2023</v>
      </c>
      <c r="M4" s="23">
        <f>MONTH(Table43[[#This Row],[Date]])</f>
        <v>7</v>
      </c>
      <c r="N4" s="25">
        <f>DAY(Table43[[#This Row],[Date]])</f>
        <v>29</v>
      </c>
      <c r="O4" s="25" t="str">
        <f>TEXT(DATE(2023,Table43[[#This Row],[Month]],1),"mmm")</f>
        <v>Jul</v>
      </c>
      <c r="P4" s="25"/>
      <c r="Q4" s="25"/>
    </row>
    <row r="5" spans="1:17" x14ac:dyDescent="0.3">
      <c r="A5" s="11">
        <v>4</v>
      </c>
      <c r="B5" s="12">
        <v>45044</v>
      </c>
      <c r="C5" s="13" t="s">
        <v>22</v>
      </c>
      <c r="D5" s="13" t="s">
        <v>22</v>
      </c>
      <c r="E5" s="13" t="s">
        <v>23</v>
      </c>
      <c r="F5" s="13" t="s">
        <v>24</v>
      </c>
      <c r="G5" s="13" t="s">
        <v>25</v>
      </c>
      <c r="H5" s="14">
        <v>11804.18</v>
      </c>
      <c r="I5" s="13">
        <v>5</v>
      </c>
      <c r="J5" s="15">
        <v>2281.2199999999998</v>
      </c>
      <c r="K5" s="14" t="str" cm="1">
        <f t="array" ref="K5">_xlfn.IFS(Table43[[#This Row],[Sales]]&gt;40000,"Best Sales",Table43[[#This Row],[Sales]]&gt;20000,"Average Sales",Table43[[#This Row],[Sales]]&gt;0,"Poor Sales")</f>
        <v>Poor Sales</v>
      </c>
      <c r="L5" s="23">
        <f>YEAR(Table43[[#This Row],[Date]])</f>
        <v>2023</v>
      </c>
      <c r="M5" s="23">
        <f>MONTH(Table43[[#This Row],[Date]])</f>
        <v>4</v>
      </c>
      <c r="N5" s="25">
        <f>DAY(Table43[[#This Row],[Date]])</f>
        <v>28</v>
      </c>
      <c r="O5" s="25" t="str">
        <f>TEXT(DATE(2023,Table43[[#This Row],[Month]],1),"mmm")</f>
        <v>Apr</v>
      </c>
      <c r="P5" s="25"/>
      <c r="Q5" s="25"/>
    </row>
    <row r="6" spans="1:17" x14ac:dyDescent="0.3">
      <c r="A6" s="6">
        <v>5</v>
      </c>
      <c r="B6" s="7">
        <v>45175</v>
      </c>
      <c r="C6" s="8" t="s">
        <v>26</v>
      </c>
      <c r="D6" s="8" t="s">
        <v>27</v>
      </c>
      <c r="E6" s="8" t="s">
        <v>12</v>
      </c>
      <c r="F6" s="8" t="s">
        <v>24</v>
      </c>
      <c r="G6" s="8" t="s">
        <v>28</v>
      </c>
      <c r="H6" s="9">
        <v>32428.83</v>
      </c>
      <c r="I6" s="8">
        <v>7</v>
      </c>
      <c r="J6" s="10">
        <v>6931.45</v>
      </c>
      <c r="K6" s="14" t="str" cm="1">
        <f t="array" ref="K6">_xlfn.IFS(Table43[[#This Row],[Sales]]&gt;40000,"Best Sales",Table43[[#This Row],[Sales]]&gt;20000,"Average Sales",Table43[[#This Row],[Sales]]&gt;0,"Poor Sales")</f>
        <v>Average Sales</v>
      </c>
      <c r="L6" s="23">
        <f>YEAR(Table43[[#This Row],[Date]])</f>
        <v>2023</v>
      </c>
      <c r="M6" s="23">
        <f>MONTH(Table43[[#This Row],[Date]])</f>
        <v>9</v>
      </c>
      <c r="N6" s="25">
        <f>DAY(Table43[[#This Row],[Date]])</f>
        <v>6</v>
      </c>
      <c r="O6" s="25" t="str">
        <f>TEXT(DATE(2023,Table43[[#This Row],[Month]],1),"mmm")</f>
        <v>Sep</v>
      </c>
      <c r="P6" s="25"/>
      <c r="Q6" s="25"/>
    </row>
    <row r="7" spans="1:17" x14ac:dyDescent="0.3">
      <c r="A7" s="11">
        <v>6</v>
      </c>
      <c r="B7" s="12">
        <v>45004</v>
      </c>
      <c r="C7" s="13" t="s">
        <v>18</v>
      </c>
      <c r="D7" s="13" t="s">
        <v>19</v>
      </c>
      <c r="E7" s="13" t="s">
        <v>17</v>
      </c>
      <c r="F7" s="13" t="s">
        <v>24</v>
      </c>
      <c r="G7" s="13" t="s">
        <v>29</v>
      </c>
      <c r="H7" s="14">
        <v>25931.95</v>
      </c>
      <c r="I7" s="13">
        <v>4</v>
      </c>
      <c r="J7" s="15">
        <v>1541.8</v>
      </c>
      <c r="K7" s="14" t="str" cm="1">
        <f t="array" ref="K7">_xlfn.IFS(Table43[[#This Row],[Sales]]&gt;40000,"Best Sales",Table43[[#This Row],[Sales]]&gt;20000,"Average Sales",Table43[[#This Row],[Sales]]&gt;0,"Poor Sales")</f>
        <v>Average Sales</v>
      </c>
      <c r="L7" s="23">
        <f>YEAR(Table43[[#This Row],[Date]])</f>
        <v>2023</v>
      </c>
      <c r="M7" s="23">
        <f>MONTH(Table43[[#This Row],[Date]])</f>
        <v>3</v>
      </c>
      <c r="N7" s="25">
        <f>DAY(Table43[[#This Row],[Date]])</f>
        <v>19</v>
      </c>
      <c r="O7" s="25" t="str">
        <f>TEXT(DATE(2023,Table43[[#This Row],[Month]],1),"mmm")</f>
        <v>Mar</v>
      </c>
      <c r="P7" s="25"/>
      <c r="Q7" s="25"/>
    </row>
    <row r="8" spans="1:17" x14ac:dyDescent="0.3">
      <c r="A8" s="6">
        <v>7</v>
      </c>
      <c r="B8" s="7">
        <v>45258</v>
      </c>
      <c r="C8" s="8" t="s">
        <v>30</v>
      </c>
      <c r="D8" s="8" t="s">
        <v>16</v>
      </c>
      <c r="E8" s="8" t="s">
        <v>23</v>
      </c>
      <c r="F8" s="8" t="s">
        <v>24</v>
      </c>
      <c r="G8" s="8" t="s">
        <v>25</v>
      </c>
      <c r="H8" s="9">
        <v>15599.35</v>
      </c>
      <c r="I8" s="8">
        <v>4</v>
      </c>
      <c r="J8" s="10">
        <v>2837.29</v>
      </c>
      <c r="K8" s="14" t="str" cm="1">
        <f t="array" ref="K8">_xlfn.IFS(Table43[[#This Row],[Sales]]&gt;40000,"Best Sales",Table43[[#This Row],[Sales]]&gt;20000,"Average Sales",Table43[[#This Row],[Sales]]&gt;0,"Poor Sales")</f>
        <v>Poor Sales</v>
      </c>
      <c r="L8" s="23">
        <f>YEAR(Table43[[#This Row],[Date]])</f>
        <v>2023</v>
      </c>
      <c r="M8" s="23">
        <f>MONTH(Table43[[#This Row],[Date]])</f>
        <v>11</v>
      </c>
      <c r="N8" s="25">
        <f>DAY(Table43[[#This Row],[Date]])</f>
        <v>28</v>
      </c>
      <c r="O8" s="25" t="str">
        <f>TEXT(DATE(2023,Table43[[#This Row],[Month]],1),"mmm")</f>
        <v>Nov</v>
      </c>
      <c r="P8" s="25"/>
      <c r="Q8" s="25"/>
    </row>
    <row r="9" spans="1:17" x14ac:dyDescent="0.3">
      <c r="A9" s="11">
        <v>8</v>
      </c>
      <c r="B9" s="12">
        <v>45165</v>
      </c>
      <c r="C9" s="13" t="s">
        <v>18</v>
      </c>
      <c r="D9" s="13" t="s">
        <v>19</v>
      </c>
      <c r="E9" s="13" t="s">
        <v>20</v>
      </c>
      <c r="F9" s="13" t="s">
        <v>31</v>
      </c>
      <c r="G9" s="13" t="s">
        <v>32</v>
      </c>
      <c r="H9" s="14">
        <v>31649</v>
      </c>
      <c r="I9" s="13">
        <v>5</v>
      </c>
      <c r="J9" s="15">
        <v>3646.09</v>
      </c>
      <c r="K9" s="14" t="str" cm="1">
        <f t="array" ref="K9">_xlfn.IFS(Table43[[#This Row],[Sales]]&gt;40000,"Best Sales",Table43[[#This Row],[Sales]]&gt;20000,"Average Sales",Table43[[#This Row],[Sales]]&gt;0,"Poor Sales")</f>
        <v>Average Sales</v>
      </c>
      <c r="L9" s="23">
        <f>YEAR(Table43[[#This Row],[Date]])</f>
        <v>2023</v>
      </c>
      <c r="M9" s="23">
        <f>MONTH(Table43[[#This Row],[Date]])</f>
        <v>8</v>
      </c>
      <c r="N9" s="25">
        <f>DAY(Table43[[#This Row],[Date]])</f>
        <v>27</v>
      </c>
      <c r="O9" s="25" t="str">
        <f>TEXT(DATE(2023,Table43[[#This Row],[Month]],1),"mmm")</f>
        <v>Aug</v>
      </c>
      <c r="P9" s="25"/>
      <c r="Q9" s="25"/>
    </row>
    <row r="10" spans="1:17" x14ac:dyDescent="0.3">
      <c r="A10" s="6">
        <v>9</v>
      </c>
      <c r="B10" s="7">
        <v>45027</v>
      </c>
      <c r="C10" s="8" t="s">
        <v>15</v>
      </c>
      <c r="D10" s="8" t="s">
        <v>16</v>
      </c>
      <c r="E10" s="8" t="s">
        <v>12</v>
      </c>
      <c r="F10" s="8" t="s">
        <v>24</v>
      </c>
      <c r="G10" s="8" t="s">
        <v>29</v>
      </c>
      <c r="H10" s="9">
        <v>555555</v>
      </c>
      <c r="I10" s="8">
        <v>7</v>
      </c>
      <c r="J10" s="10">
        <v>2025</v>
      </c>
      <c r="K10" s="14" t="str" cm="1">
        <f t="array" ref="K10">_xlfn.IFS(Table43[[#This Row],[Sales]]&gt;40000,"Best Sales",Table43[[#This Row],[Sales]]&gt;20000,"Average Sales",Table43[[#This Row],[Sales]]&gt;0,"Poor Sales")</f>
        <v>Best Sales</v>
      </c>
      <c r="L10" s="23">
        <f>YEAR(Table43[[#This Row],[Date]])</f>
        <v>2023</v>
      </c>
      <c r="M10" s="23">
        <f>MONTH(Table43[[#This Row],[Date]])</f>
        <v>4</v>
      </c>
      <c r="N10" s="25">
        <f>DAY(Table43[[#This Row],[Date]])</f>
        <v>11</v>
      </c>
      <c r="O10" s="25" t="str">
        <f>TEXT(DATE(2023,Table43[[#This Row],[Month]],1),"mmm")</f>
        <v>Apr</v>
      </c>
      <c r="P10" s="25"/>
      <c r="Q10" s="25"/>
    </row>
    <row r="11" spans="1:17" x14ac:dyDescent="0.3">
      <c r="A11" s="11">
        <v>10</v>
      </c>
      <c r="B11" s="12">
        <v>45097</v>
      </c>
      <c r="C11" s="13" t="s">
        <v>30</v>
      </c>
      <c r="D11" s="13" t="s">
        <v>16</v>
      </c>
      <c r="E11" s="13" t="s">
        <v>17</v>
      </c>
      <c r="F11" s="13" t="s">
        <v>31</v>
      </c>
      <c r="G11" s="13" t="s">
        <v>33</v>
      </c>
      <c r="H11" s="14">
        <v>31852.71</v>
      </c>
      <c r="I11" s="13">
        <v>5</v>
      </c>
      <c r="J11" s="15">
        <v>9113.66</v>
      </c>
      <c r="K11" s="14" t="str" cm="1">
        <f t="array" ref="K11">_xlfn.IFS(Table43[[#This Row],[Sales]]&gt;40000,"Best Sales",Table43[[#This Row],[Sales]]&gt;20000,"Average Sales",Table43[[#This Row],[Sales]]&gt;0,"Poor Sales")</f>
        <v>Average Sales</v>
      </c>
      <c r="L11" s="23">
        <f>YEAR(Table43[[#This Row],[Date]])</f>
        <v>2023</v>
      </c>
      <c r="M11" s="23">
        <f>MONTH(Table43[[#This Row],[Date]])</f>
        <v>6</v>
      </c>
      <c r="N11" s="25">
        <f>DAY(Table43[[#This Row],[Date]])</f>
        <v>20</v>
      </c>
      <c r="O11" s="25" t="str">
        <f>TEXT(DATE(2023,Table43[[#This Row],[Month]],1),"mmm")</f>
        <v>Jun</v>
      </c>
      <c r="P11" s="25"/>
      <c r="Q11" s="25"/>
    </row>
    <row r="12" spans="1:17" x14ac:dyDescent="0.3">
      <c r="A12" s="6">
        <v>11</v>
      </c>
      <c r="B12" s="7">
        <v>45272</v>
      </c>
      <c r="C12" s="8" t="s">
        <v>22</v>
      </c>
      <c r="D12" s="8" t="s">
        <v>22</v>
      </c>
      <c r="E12" s="8" t="s">
        <v>23</v>
      </c>
      <c r="F12" s="8" t="s">
        <v>31</v>
      </c>
      <c r="G12" s="8" t="s">
        <v>32</v>
      </c>
      <c r="H12" s="9">
        <v>46127.15</v>
      </c>
      <c r="I12" s="8">
        <v>7</v>
      </c>
      <c r="J12" s="10">
        <v>12556.39</v>
      </c>
      <c r="K12" s="14" t="str" cm="1">
        <f t="array" ref="K12">_xlfn.IFS(Table43[[#This Row],[Sales]]&gt;40000,"Best Sales",Table43[[#This Row],[Sales]]&gt;20000,"Average Sales",Table43[[#This Row],[Sales]]&gt;0,"Poor Sales")</f>
        <v>Best Sales</v>
      </c>
      <c r="L12" s="23">
        <f>YEAR(Table43[[#This Row],[Date]])</f>
        <v>2023</v>
      </c>
      <c r="M12" s="23">
        <f>MONTH(Table43[[#This Row],[Date]])</f>
        <v>12</v>
      </c>
      <c r="N12" s="25">
        <f>DAY(Table43[[#This Row],[Date]])</f>
        <v>12</v>
      </c>
      <c r="O12" s="25" t="str">
        <f>TEXT(DATE(2023,Table43[[#This Row],[Month]],1),"mmm")</f>
        <v>Dec</v>
      </c>
      <c r="P12" s="25"/>
      <c r="Q12" s="25"/>
    </row>
    <row r="13" spans="1:17" x14ac:dyDescent="0.3">
      <c r="A13" s="11">
        <v>12</v>
      </c>
      <c r="B13" s="12">
        <v>45123</v>
      </c>
      <c r="C13" s="13" t="s">
        <v>18</v>
      </c>
      <c r="D13" s="13" t="s">
        <v>19</v>
      </c>
      <c r="E13" s="13" t="s">
        <v>20</v>
      </c>
      <c r="F13" s="13" t="s">
        <v>13</v>
      </c>
      <c r="G13" s="13" t="s">
        <v>34</v>
      </c>
      <c r="H13" s="14">
        <v>16045.71</v>
      </c>
      <c r="I13" s="13">
        <v>10</v>
      </c>
      <c r="J13" s="15">
        <v>921.15</v>
      </c>
      <c r="K13" s="14" t="str" cm="1">
        <f t="array" ref="K13">_xlfn.IFS(Table43[[#This Row],[Sales]]&gt;40000,"Best Sales",Table43[[#This Row],[Sales]]&gt;20000,"Average Sales",Table43[[#This Row],[Sales]]&gt;0,"Poor Sales")</f>
        <v>Poor Sales</v>
      </c>
      <c r="L13" s="23">
        <f>YEAR(Table43[[#This Row],[Date]])</f>
        <v>2023</v>
      </c>
      <c r="M13" s="23">
        <f>MONTH(Table43[[#This Row],[Date]])</f>
        <v>7</v>
      </c>
      <c r="N13" s="25">
        <f>DAY(Table43[[#This Row],[Date]])</f>
        <v>16</v>
      </c>
      <c r="O13" s="25" t="str">
        <f>TEXT(DATE(2023,Table43[[#This Row],[Month]],1),"mmm")</f>
        <v>Jul</v>
      </c>
      <c r="P13" s="25"/>
      <c r="Q13" s="25"/>
    </row>
    <row r="14" spans="1:17" x14ac:dyDescent="0.3">
      <c r="A14" s="6">
        <v>13</v>
      </c>
      <c r="B14" s="7">
        <v>45004</v>
      </c>
      <c r="C14" s="8" t="s">
        <v>35</v>
      </c>
      <c r="D14" s="8" t="s">
        <v>36</v>
      </c>
      <c r="E14" s="8" t="s">
        <v>20</v>
      </c>
      <c r="F14" s="8" t="s">
        <v>31</v>
      </c>
      <c r="G14" s="8" t="s">
        <v>32</v>
      </c>
      <c r="H14" s="9">
        <v>17293.28</v>
      </c>
      <c r="I14" s="8">
        <v>3</v>
      </c>
      <c r="J14" s="10">
        <v>3755.05</v>
      </c>
      <c r="K14" s="14" t="str" cm="1">
        <f t="array" ref="K14">_xlfn.IFS(Table43[[#This Row],[Sales]]&gt;40000,"Best Sales",Table43[[#This Row],[Sales]]&gt;20000,"Average Sales",Table43[[#This Row],[Sales]]&gt;0,"Poor Sales")</f>
        <v>Poor Sales</v>
      </c>
      <c r="L14" s="23">
        <f>YEAR(Table43[[#This Row],[Date]])</f>
        <v>2023</v>
      </c>
      <c r="M14" s="23">
        <f>MONTH(Table43[[#This Row],[Date]])</f>
        <v>3</v>
      </c>
      <c r="N14" s="25">
        <f>DAY(Table43[[#This Row],[Date]])</f>
        <v>19</v>
      </c>
      <c r="O14" s="25" t="str">
        <f>TEXT(DATE(2023,Table43[[#This Row],[Month]],1),"mmm")</f>
        <v>Mar</v>
      </c>
      <c r="P14" s="25"/>
      <c r="Q14" s="25"/>
    </row>
    <row r="15" spans="1:17" x14ac:dyDescent="0.3">
      <c r="A15" s="11">
        <v>14</v>
      </c>
      <c r="B15" s="12">
        <v>45278</v>
      </c>
      <c r="C15" s="13" t="s">
        <v>37</v>
      </c>
      <c r="D15" s="13" t="s">
        <v>27</v>
      </c>
      <c r="E15" s="13" t="s">
        <v>12</v>
      </c>
      <c r="F15" s="13" t="s">
        <v>13</v>
      </c>
      <c r="G15" s="13" t="s">
        <v>34</v>
      </c>
      <c r="H15" s="14">
        <v>34137.550000000003</v>
      </c>
      <c r="I15" s="13">
        <v>4</v>
      </c>
      <c r="J15" s="15">
        <v>1912.63</v>
      </c>
      <c r="K15" s="14" t="str" cm="1">
        <f t="array" ref="K15">_xlfn.IFS(Table43[[#This Row],[Sales]]&gt;40000,"Best Sales",Table43[[#This Row],[Sales]]&gt;20000,"Average Sales",Table43[[#This Row],[Sales]]&gt;0,"Poor Sales")</f>
        <v>Average Sales</v>
      </c>
      <c r="L15" s="23">
        <f>YEAR(Table43[[#This Row],[Date]])</f>
        <v>2023</v>
      </c>
      <c r="M15" s="23">
        <f>MONTH(Table43[[#This Row],[Date]])</f>
        <v>12</v>
      </c>
      <c r="N15" s="25">
        <f>DAY(Table43[[#This Row],[Date]])</f>
        <v>18</v>
      </c>
      <c r="O15" s="25" t="str">
        <f>TEXT(DATE(2023,Table43[[#This Row],[Month]],1),"mmm")</f>
        <v>Dec</v>
      </c>
      <c r="P15" s="25"/>
      <c r="Q15" s="25"/>
    </row>
    <row r="16" spans="1:17" x14ac:dyDescent="0.3">
      <c r="A16" s="6">
        <v>15</v>
      </c>
      <c r="B16" s="7">
        <v>44966</v>
      </c>
      <c r="C16" s="8" t="s">
        <v>38</v>
      </c>
      <c r="D16" s="8" t="s">
        <v>27</v>
      </c>
      <c r="E16" s="8" t="s">
        <v>17</v>
      </c>
      <c r="F16" s="8" t="s">
        <v>24</v>
      </c>
      <c r="G16" s="8" t="s">
        <v>29</v>
      </c>
      <c r="H16" s="9">
        <v>37166.230000000003</v>
      </c>
      <c r="I16" s="8">
        <v>9</v>
      </c>
      <c r="J16" s="10">
        <v>4660.25</v>
      </c>
      <c r="K16" s="14" t="str" cm="1">
        <f t="array" ref="K16">_xlfn.IFS(Table43[[#This Row],[Sales]]&gt;40000,"Best Sales",Table43[[#This Row],[Sales]]&gt;20000,"Average Sales",Table43[[#This Row],[Sales]]&gt;0,"Poor Sales")</f>
        <v>Average Sales</v>
      </c>
      <c r="L16" s="23">
        <f>YEAR(Table43[[#This Row],[Date]])</f>
        <v>2023</v>
      </c>
      <c r="M16" s="23">
        <f>MONTH(Table43[[#This Row],[Date]])</f>
        <v>2</v>
      </c>
      <c r="N16" s="25">
        <f>DAY(Table43[[#This Row],[Date]])</f>
        <v>9</v>
      </c>
      <c r="O16" s="25" t="str">
        <f>TEXT(DATE(2023,Table43[[#This Row],[Month]],1),"mmm")</f>
        <v>Feb</v>
      </c>
      <c r="P16" s="25"/>
      <c r="Q16" s="25"/>
    </row>
    <row r="17" spans="1:17" x14ac:dyDescent="0.3">
      <c r="A17" s="11">
        <v>16</v>
      </c>
      <c r="B17" s="12">
        <v>45001</v>
      </c>
      <c r="C17" s="13" t="s">
        <v>38</v>
      </c>
      <c r="D17" s="13" t="s">
        <v>27</v>
      </c>
      <c r="E17" s="13" t="s">
        <v>17</v>
      </c>
      <c r="F17" s="13" t="s">
        <v>13</v>
      </c>
      <c r="G17" s="13" t="s">
        <v>21</v>
      </c>
      <c r="H17" s="14">
        <v>7067.15</v>
      </c>
      <c r="I17" s="13">
        <v>10</v>
      </c>
      <c r="J17" s="15">
        <v>959.24</v>
      </c>
      <c r="K17" s="14" t="str" cm="1">
        <f t="array" ref="K17">_xlfn.IFS(Table43[[#This Row],[Sales]]&gt;40000,"Best Sales",Table43[[#This Row],[Sales]]&gt;20000,"Average Sales",Table43[[#This Row],[Sales]]&gt;0,"Poor Sales")</f>
        <v>Poor Sales</v>
      </c>
      <c r="L17" s="23">
        <f>YEAR(Table43[[#This Row],[Date]])</f>
        <v>2023</v>
      </c>
      <c r="M17" s="23">
        <f>MONTH(Table43[[#This Row],[Date]])</f>
        <v>3</v>
      </c>
      <c r="N17" s="25">
        <f>DAY(Table43[[#This Row],[Date]])</f>
        <v>16</v>
      </c>
      <c r="O17" s="25" t="str">
        <f>TEXT(DATE(2023,Table43[[#This Row],[Month]],1),"mmm")</f>
        <v>Mar</v>
      </c>
      <c r="P17" s="25"/>
      <c r="Q17" s="25"/>
    </row>
    <row r="18" spans="1:17" x14ac:dyDescent="0.3">
      <c r="A18" s="6">
        <v>17</v>
      </c>
      <c r="B18" s="7">
        <v>45119</v>
      </c>
      <c r="C18" s="8" t="s">
        <v>15</v>
      </c>
      <c r="D18" s="8" t="s">
        <v>16</v>
      </c>
      <c r="E18" s="8" t="s">
        <v>17</v>
      </c>
      <c r="F18" s="8" t="s">
        <v>31</v>
      </c>
      <c r="G18" s="8" t="s">
        <v>33</v>
      </c>
      <c r="H18" s="9">
        <v>28440.25</v>
      </c>
      <c r="I18" s="8">
        <v>7</v>
      </c>
      <c r="J18" s="10">
        <v>8317.2999999999993</v>
      </c>
      <c r="K18" s="14" t="str" cm="1">
        <f t="array" ref="K18">_xlfn.IFS(Table43[[#This Row],[Sales]]&gt;40000,"Best Sales",Table43[[#This Row],[Sales]]&gt;20000,"Average Sales",Table43[[#This Row],[Sales]]&gt;0,"Poor Sales")</f>
        <v>Average Sales</v>
      </c>
      <c r="L18" s="23">
        <f>YEAR(Table43[[#This Row],[Date]])</f>
        <v>2023</v>
      </c>
      <c r="M18" s="23">
        <f>MONTH(Table43[[#This Row],[Date]])</f>
        <v>7</v>
      </c>
      <c r="N18" s="25">
        <f>DAY(Table43[[#This Row],[Date]])</f>
        <v>12</v>
      </c>
      <c r="O18" s="25" t="str">
        <f>TEXT(DATE(2023,Table43[[#This Row],[Month]],1),"mmm")</f>
        <v>Jul</v>
      </c>
      <c r="P18" s="25"/>
      <c r="Q18" s="25"/>
    </row>
    <row r="19" spans="1:17" x14ac:dyDescent="0.3">
      <c r="A19" s="11">
        <v>18</v>
      </c>
      <c r="B19" s="12">
        <v>45259</v>
      </c>
      <c r="C19" s="13" t="s">
        <v>22</v>
      </c>
      <c r="D19" s="13" t="s">
        <v>22</v>
      </c>
      <c r="E19" s="13" t="s">
        <v>17</v>
      </c>
      <c r="F19" s="13" t="s">
        <v>13</v>
      </c>
      <c r="G19" s="13" t="s">
        <v>34</v>
      </c>
      <c r="H19" s="14">
        <v>4336.55</v>
      </c>
      <c r="I19" s="13">
        <v>10</v>
      </c>
      <c r="J19" s="15">
        <v>883.82</v>
      </c>
      <c r="K19" s="14" t="str" cm="1">
        <f t="array" ref="K19">_xlfn.IFS(Table43[[#This Row],[Sales]]&gt;40000,"Best Sales",Table43[[#This Row],[Sales]]&gt;20000,"Average Sales",Table43[[#This Row],[Sales]]&gt;0,"Poor Sales")</f>
        <v>Poor Sales</v>
      </c>
      <c r="L19" s="23">
        <f>YEAR(Table43[[#This Row],[Date]])</f>
        <v>2023</v>
      </c>
      <c r="M19" s="23">
        <f>MONTH(Table43[[#This Row],[Date]])</f>
        <v>11</v>
      </c>
      <c r="N19" s="25">
        <f>DAY(Table43[[#This Row],[Date]])</f>
        <v>29</v>
      </c>
      <c r="O19" s="25" t="str">
        <f>TEXT(DATE(2023,Table43[[#This Row],[Month]],1),"mmm")</f>
        <v>Nov</v>
      </c>
      <c r="P19" s="25"/>
      <c r="Q19" s="25"/>
    </row>
    <row r="20" spans="1:17" x14ac:dyDescent="0.3">
      <c r="A20" s="6">
        <v>19</v>
      </c>
      <c r="B20" s="7">
        <v>45282</v>
      </c>
      <c r="C20" s="8" t="s">
        <v>22</v>
      </c>
      <c r="D20" s="8" t="s">
        <v>22</v>
      </c>
      <c r="E20" s="8" t="s">
        <v>17</v>
      </c>
      <c r="F20" s="8" t="s">
        <v>13</v>
      </c>
      <c r="G20" s="8" t="s">
        <v>14</v>
      </c>
      <c r="H20" s="9">
        <v>1239.49</v>
      </c>
      <c r="I20" s="8">
        <v>4</v>
      </c>
      <c r="J20" s="10">
        <v>278.37</v>
      </c>
      <c r="K20" s="14" t="str" cm="1">
        <f t="array" ref="K20">_xlfn.IFS(Table43[[#This Row],[Sales]]&gt;40000,"Best Sales",Table43[[#This Row],[Sales]]&gt;20000,"Average Sales",Table43[[#This Row],[Sales]]&gt;0,"Poor Sales")</f>
        <v>Poor Sales</v>
      </c>
      <c r="L20" s="23">
        <f>YEAR(Table43[[#This Row],[Date]])</f>
        <v>2023</v>
      </c>
      <c r="M20" s="23">
        <f>MONTH(Table43[[#This Row],[Date]])</f>
        <v>12</v>
      </c>
      <c r="N20" s="25">
        <f>DAY(Table43[[#This Row],[Date]])</f>
        <v>22</v>
      </c>
      <c r="O20" s="25" t="str">
        <f>TEXT(DATE(2023,Table43[[#This Row],[Month]],1),"mmm")</f>
        <v>Dec</v>
      </c>
      <c r="P20" s="25"/>
      <c r="Q20" s="25"/>
    </row>
    <row r="21" spans="1:17" x14ac:dyDescent="0.3">
      <c r="A21" s="11">
        <v>20</v>
      </c>
      <c r="B21" s="12">
        <v>45003</v>
      </c>
      <c r="C21" s="13" t="s">
        <v>26</v>
      </c>
      <c r="D21" s="13" t="s">
        <v>27</v>
      </c>
      <c r="E21" s="13" t="s">
        <v>17</v>
      </c>
      <c r="F21" s="13" t="s">
        <v>24</v>
      </c>
      <c r="G21" s="13" t="s">
        <v>25</v>
      </c>
      <c r="H21" s="14">
        <v>12013.15</v>
      </c>
      <c r="I21" s="13">
        <v>7</v>
      </c>
      <c r="J21" s="15">
        <v>968.92</v>
      </c>
      <c r="K21" s="14" t="str" cm="1">
        <f t="array" ref="K21">_xlfn.IFS(Table43[[#This Row],[Sales]]&gt;40000,"Best Sales",Table43[[#This Row],[Sales]]&gt;20000,"Average Sales",Table43[[#This Row],[Sales]]&gt;0,"Poor Sales")</f>
        <v>Poor Sales</v>
      </c>
      <c r="L21" s="23">
        <f>YEAR(Table43[[#This Row],[Date]])</f>
        <v>2023</v>
      </c>
      <c r="M21" s="23">
        <f>MONTH(Table43[[#This Row],[Date]])</f>
        <v>3</v>
      </c>
      <c r="N21" s="25">
        <f>DAY(Table43[[#This Row],[Date]])</f>
        <v>18</v>
      </c>
      <c r="O21" s="25" t="str">
        <f>TEXT(DATE(2023,Table43[[#This Row],[Month]],1),"mmm")</f>
        <v>Mar</v>
      </c>
      <c r="P21" s="25"/>
      <c r="Q21" s="25"/>
    </row>
    <row r="22" spans="1:17" x14ac:dyDescent="0.3">
      <c r="A22" s="6">
        <v>21</v>
      </c>
      <c r="B22" s="7">
        <v>44972</v>
      </c>
      <c r="C22" s="8" t="s">
        <v>10</v>
      </c>
      <c r="D22" s="8" t="s">
        <v>11</v>
      </c>
      <c r="E22" s="8" t="s">
        <v>17</v>
      </c>
      <c r="F22" s="8" t="s">
        <v>31</v>
      </c>
      <c r="G22" s="8" t="s">
        <v>39</v>
      </c>
      <c r="H22" s="9">
        <v>43252.06</v>
      </c>
      <c r="I22" s="8">
        <v>10</v>
      </c>
      <c r="J22" s="10">
        <v>8949.06</v>
      </c>
      <c r="K22" s="14" t="str" cm="1">
        <f t="array" ref="K22">_xlfn.IFS(Table43[[#This Row],[Sales]]&gt;40000,"Best Sales",Table43[[#This Row],[Sales]]&gt;20000,"Average Sales",Table43[[#This Row],[Sales]]&gt;0,"Poor Sales")</f>
        <v>Best Sales</v>
      </c>
      <c r="L22" s="23">
        <f>YEAR(Table43[[#This Row],[Date]])</f>
        <v>2023</v>
      </c>
      <c r="M22" s="23">
        <f>MONTH(Table43[[#This Row],[Date]])</f>
        <v>2</v>
      </c>
      <c r="N22" s="25">
        <f>DAY(Table43[[#This Row],[Date]])</f>
        <v>15</v>
      </c>
      <c r="O22" s="25" t="str">
        <f>TEXT(DATE(2023,Table43[[#This Row],[Month]],1),"mmm")</f>
        <v>Feb</v>
      </c>
      <c r="P22" s="25"/>
      <c r="Q22" s="25"/>
    </row>
    <row r="23" spans="1:17" x14ac:dyDescent="0.3">
      <c r="A23" s="11">
        <v>22</v>
      </c>
      <c r="B23" s="12">
        <v>45175</v>
      </c>
      <c r="C23" s="13" t="s">
        <v>26</v>
      </c>
      <c r="D23" s="13" t="s">
        <v>27</v>
      </c>
      <c r="E23" s="13" t="s">
        <v>17</v>
      </c>
      <c r="F23" s="13" t="s">
        <v>24</v>
      </c>
      <c r="G23" s="13" t="s">
        <v>29</v>
      </c>
      <c r="H23" s="14">
        <v>13136.74</v>
      </c>
      <c r="I23" s="13">
        <v>10</v>
      </c>
      <c r="J23" s="15">
        <v>2907.53</v>
      </c>
      <c r="K23" s="14" t="str" cm="1">
        <f t="array" ref="K23">_xlfn.IFS(Table43[[#This Row],[Sales]]&gt;40000,"Best Sales",Table43[[#This Row],[Sales]]&gt;20000,"Average Sales",Table43[[#This Row],[Sales]]&gt;0,"Poor Sales")</f>
        <v>Poor Sales</v>
      </c>
      <c r="L23" s="23">
        <f>YEAR(Table43[[#This Row],[Date]])</f>
        <v>2023</v>
      </c>
      <c r="M23" s="23">
        <f>MONTH(Table43[[#This Row],[Date]])</f>
        <v>9</v>
      </c>
      <c r="N23" s="25">
        <f>DAY(Table43[[#This Row],[Date]])</f>
        <v>6</v>
      </c>
      <c r="O23" s="25" t="str">
        <f>TEXT(DATE(2023,Table43[[#This Row],[Month]],1),"mmm")</f>
        <v>Sep</v>
      </c>
      <c r="P23" s="25"/>
      <c r="Q23" s="25"/>
    </row>
    <row r="24" spans="1:17" x14ac:dyDescent="0.3">
      <c r="A24" s="6">
        <v>23</v>
      </c>
      <c r="B24" s="7">
        <v>45260</v>
      </c>
      <c r="C24" s="8" t="s">
        <v>26</v>
      </c>
      <c r="D24" s="8" t="s">
        <v>27</v>
      </c>
      <c r="E24" s="8" t="s">
        <v>20</v>
      </c>
      <c r="F24" s="8" t="s">
        <v>31</v>
      </c>
      <c r="G24" s="8" t="s">
        <v>39</v>
      </c>
      <c r="H24" s="9">
        <v>35956.54</v>
      </c>
      <c r="I24" s="8">
        <v>1</v>
      </c>
      <c r="J24" s="10">
        <v>6308.41</v>
      </c>
      <c r="K24" s="14" t="str" cm="1">
        <f t="array" ref="K24">_xlfn.IFS(Table43[[#This Row],[Sales]]&gt;40000,"Best Sales",Table43[[#This Row],[Sales]]&gt;20000,"Average Sales",Table43[[#This Row],[Sales]]&gt;0,"Poor Sales")</f>
        <v>Average Sales</v>
      </c>
      <c r="L24" s="23">
        <f>YEAR(Table43[[#This Row],[Date]])</f>
        <v>2023</v>
      </c>
      <c r="M24" s="23">
        <f>MONTH(Table43[[#This Row],[Date]])</f>
        <v>11</v>
      </c>
      <c r="N24" s="25">
        <f>DAY(Table43[[#This Row],[Date]])</f>
        <v>30</v>
      </c>
      <c r="O24" s="25" t="str">
        <f>TEXT(DATE(2023,Table43[[#This Row],[Month]],1),"mmm")</f>
        <v>Nov</v>
      </c>
      <c r="P24" s="25"/>
      <c r="Q24" s="25"/>
    </row>
    <row r="25" spans="1:17" x14ac:dyDescent="0.3">
      <c r="A25" s="11">
        <v>24</v>
      </c>
      <c r="B25" s="12">
        <v>45103</v>
      </c>
      <c r="C25" s="13" t="s">
        <v>18</v>
      </c>
      <c r="D25" s="13" t="s">
        <v>19</v>
      </c>
      <c r="E25" s="13" t="s">
        <v>20</v>
      </c>
      <c r="F25" s="13" t="s">
        <v>31</v>
      </c>
      <c r="G25" s="13" t="s">
        <v>33</v>
      </c>
      <c r="H25" s="14">
        <v>36894.9</v>
      </c>
      <c r="I25" s="13">
        <v>5</v>
      </c>
      <c r="J25" s="15">
        <v>10265.879999999999</v>
      </c>
      <c r="K25" s="14" t="str" cm="1">
        <f t="array" ref="K25">_xlfn.IFS(Table43[[#This Row],[Sales]]&gt;40000,"Best Sales",Table43[[#This Row],[Sales]]&gt;20000,"Average Sales",Table43[[#This Row],[Sales]]&gt;0,"Poor Sales")</f>
        <v>Average Sales</v>
      </c>
      <c r="L25" s="23">
        <f>YEAR(Table43[[#This Row],[Date]])</f>
        <v>2023</v>
      </c>
      <c r="M25" s="23">
        <f>MONTH(Table43[[#This Row],[Date]])</f>
        <v>6</v>
      </c>
      <c r="N25" s="25">
        <f>DAY(Table43[[#This Row],[Date]])</f>
        <v>26</v>
      </c>
      <c r="O25" s="25" t="str">
        <f>TEXT(DATE(2023,Table43[[#This Row],[Month]],1),"mmm")</f>
        <v>Jun</v>
      </c>
      <c r="P25" s="25"/>
      <c r="Q25" s="25"/>
    </row>
    <row r="26" spans="1:17" x14ac:dyDescent="0.3">
      <c r="A26" s="6">
        <v>25</v>
      </c>
      <c r="B26" s="7">
        <v>45176</v>
      </c>
      <c r="C26" s="8" t="s">
        <v>35</v>
      </c>
      <c r="D26" s="8" t="s">
        <v>36</v>
      </c>
      <c r="E26" s="8" t="s">
        <v>12</v>
      </c>
      <c r="F26" s="8" t="s">
        <v>13</v>
      </c>
      <c r="G26" s="8" t="s">
        <v>34</v>
      </c>
      <c r="H26" s="9">
        <v>36393.839999999997</v>
      </c>
      <c r="I26" s="8">
        <v>2</v>
      </c>
      <c r="J26" s="10">
        <v>4029.33</v>
      </c>
      <c r="K26" s="14" t="str" cm="1">
        <f t="array" ref="K26">_xlfn.IFS(Table43[[#This Row],[Sales]]&gt;40000,"Best Sales",Table43[[#This Row],[Sales]]&gt;20000,"Average Sales",Table43[[#This Row],[Sales]]&gt;0,"Poor Sales")</f>
        <v>Average Sales</v>
      </c>
      <c r="L26" s="23">
        <f>YEAR(Table43[[#This Row],[Date]])</f>
        <v>2023</v>
      </c>
      <c r="M26" s="23">
        <f>MONTH(Table43[[#This Row],[Date]])</f>
        <v>9</v>
      </c>
      <c r="N26" s="25">
        <f>DAY(Table43[[#This Row],[Date]])</f>
        <v>7</v>
      </c>
      <c r="O26" s="25" t="str">
        <f>TEXT(DATE(2023,Table43[[#This Row],[Month]],1),"mmm")</f>
        <v>Sep</v>
      </c>
      <c r="P26" s="25"/>
      <c r="Q26" s="25"/>
    </row>
    <row r="27" spans="1:17" x14ac:dyDescent="0.3">
      <c r="A27" s="11">
        <v>26</v>
      </c>
      <c r="B27" s="12">
        <v>45153</v>
      </c>
      <c r="C27" s="13" t="s">
        <v>26</v>
      </c>
      <c r="D27" s="13" t="s">
        <v>27</v>
      </c>
      <c r="E27" s="13" t="s">
        <v>12</v>
      </c>
      <c r="F27" s="13" t="s">
        <v>24</v>
      </c>
      <c r="G27" s="13" t="s">
        <v>29</v>
      </c>
      <c r="H27" s="14">
        <v>18244.080000000002</v>
      </c>
      <c r="I27" s="13">
        <v>10</v>
      </c>
      <c r="J27" s="15">
        <v>1308.29</v>
      </c>
      <c r="K27" s="14" t="str" cm="1">
        <f t="array" ref="K27">_xlfn.IFS(Table43[[#This Row],[Sales]]&gt;40000,"Best Sales",Table43[[#This Row],[Sales]]&gt;20000,"Average Sales",Table43[[#This Row],[Sales]]&gt;0,"Poor Sales")</f>
        <v>Poor Sales</v>
      </c>
      <c r="L27" s="23">
        <f>YEAR(Table43[[#This Row],[Date]])</f>
        <v>2023</v>
      </c>
      <c r="M27" s="23">
        <f>MONTH(Table43[[#This Row],[Date]])</f>
        <v>8</v>
      </c>
      <c r="N27" s="25">
        <f>DAY(Table43[[#This Row],[Date]])</f>
        <v>15</v>
      </c>
      <c r="O27" s="25" t="str">
        <f>TEXT(DATE(2023,Table43[[#This Row],[Month]],1),"mmm")</f>
        <v>Aug</v>
      </c>
      <c r="P27" s="25"/>
      <c r="Q27" s="25"/>
    </row>
    <row r="28" spans="1:17" x14ac:dyDescent="0.3">
      <c r="A28" s="6">
        <v>27</v>
      </c>
      <c r="B28" s="7">
        <v>45050</v>
      </c>
      <c r="C28" s="8" t="s">
        <v>18</v>
      </c>
      <c r="D28" s="8" t="s">
        <v>19</v>
      </c>
      <c r="E28" s="8" t="s">
        <v>12</v>
      </c>
      <c r="F28" s="8" t="s">
        <v>24</v>
      </c>
      <c r="G28" s="8" t="s">
        <v>25</v>
      </c>
      <c r="H28" s="9">
        <v>39573.279999999999</v>
      </c>
      <c r="I28" s="8">
        <v>7</v>
      </c>
      <c r="J28" s="10">
        <v>6877.16</v>
      </c>
      <c r="K28" s="14" t="str" cm="1">
        <f t="array" ref="K28">_xlfn.IFS(Table43[[#This Row],[Sales]]&gt;40000,"Best Sales",Table43[[#This Row],[Sales]]&gt;20000,"Average Sales",Table43[[#This Row],[Sales]]&gt;0,"Poor Sales")</f>
        <v>Average Sales</v>
      </c>
      <c r="L28" s="23">
        <f>YEAR(Table43[[#This Row],[Date]])</f>
        <v>2023</v>
      </c>
      <c r="M28" s="23">
        <f>MONTH(Table43[[#This Row],[Date]])</f>
        <v>5</v>
      </c>
      <c r="N28" s="25">
        <f>DAY(Table43[[#This Row],[Date]])</f>
        <v>4</v>
      </c>
      <c r="O28" s="25" t="str">
        <f>TEXT(DATE(2023,Table43[[#This Row],[Month]],1),"mmm")</f>
        <v>May</v>
      </c>
      <c r="P28" s="25"/>
      <c r="Q28" s="25"/>
    </row>
    <row r="29" spans="1:17" x14ac:dyDescent="0.3">
      <c r="A29" s="11">
        <v>28</v>
      </c>
      <c r="B29" s="12">
        <v>44968</v>
      </c>
      <c r="C29" s="13" t="s">
        <v>37</v>
      </c>
      <c r="D29" s="13" t="s">
        <v>27</v>
      </c>
      <c r="E29" s="13" t="s">
        <v>12</v>
      </c>
      <c r="F29" s="13" t="s">
        <v>24</v>
      </c>
      <c r="G29" s="13" t="s">
        <v>25</v>
      </c>
      <c r="H29" s="14">
        <v>16112.12</v>
      </c>
      <c r="I29" s="13">
        <v>2</v>
      </c>
      <c r="J29" s="15">
        <v>2614.2399999999998</v>
      </c>
      <c r="K29" s="14" t="str" cm="1">
        <f t="array" ref="K29">_xlfn.IFS(Table43[[#This Row],[Sales]]&gt;40000,"Best Sales",Table43[[#This Row],[Sales]]&gt;20000,"Average Sales",Table43[[#This Row],[Sales]]&gt;0,"Poor Sales")</f>
        <v>Poor Sales</v>
      </c>
      <c r="L29" s="23">
        <f>YEAR(Table43[[#This Row],[Date]])</f>
        <v>2023</v>
      </c>
      <c r="M29" s="23">
        <f>MONTH(Table43[[#This Row],[Date]])</f>
        <v>2</v>
      </c>
      <c r="N29" s="25">
        <f>DAY(Table43[[#This Row],[Date]])</f>
        <v>11</v>
      </c>
      <c r="O29" s="25" t="str">
        <f>TEXT(DATE(2023,Table43[[#This Row],[Month]],1),"mmm")</f>
        <v>Feb</v>
      </c>
      <c r="P29" s="25"/>
      <c r="Q29" s="25"/>
    </row>
    <row r="30" spans="1:17" x14ac:dyDescent="0.3">
      <c r="A30" s="6">
        <v>29</v>
      </c>
      <c r="B30" s="7">
        <v>45166</v>
      </c>
      <c r="C30" s="8" t="s">
        <v>18</v>
      </c>
      <c r="D30" s="8" t="s">
        <v>19</v>
      </c>
      <c r="E30" s="8" t="s">
        <v>12</v>
      </c>
      <c r="F30" s="8" t="s">
        <v>13</v>
      </c>
      <c r="G30" s="8" t="s">
        <v>14</v>
      </c>
      <c r="H30" s="9">
        <v>17197.509999999998</v>
      </c>
      <c r="I30" s="8">
        <v>3</v>
      </c>
      <c r="J30" s="10">
        <v>1675.41</v>
      </c>
      <c r="K30" s="14" t="str" cm="1">
        <f t="array" ref="K30">_xlfn.IFS(Table43[[#This Row],[Sales]]&gt;40000,"Best Sales",Table43[[#This Row],[Sales]]&gt;20000,"Average Sales",Table43[[#This Row],[Sales]]&gt;0,"Poor Sales")</f>
        <v>Poor Sales</v>
      </c>
      <c r="L30" s="23">
        <f>YEAR(Table43[[#This Row],[Date]])</f>
        <v>2023</v>
      </c>
      <c r="M30" s="23">
        <f>MONTH(Table43[[#This Row],[Date]])</f>
        <v>8</v>
      </c>
      <c r="N30" s="25">
        <f>DAY(Table43[[#This Row],[Date]])</f>
        <v>28</v>
      </c>
      <c r="O30" s="25" t="str">
        <f>TEXT(DATE(2023,Table43[[#This Row],[Month]],1),"mmm")</f>
        <v>Aug</v>
      </c>
      <c r="P30" s="25"/>
      <c r="Q30" s="25"/>
    </row>
    <row r="31" spans="1:17" x14ac:dyDescent="0.3">
      <c r="A31" s="11">
        <v>30</v>
      </c>
      <c r="B31" s="12">
        <v>44995</v>
      </c>
      <c r="C31" s="13" t="s">
        <v>30</v>
      </c>
      <c r="D31" s="13" t="s">
        <v>16</v>
      </c>
      <c r="E31" s="13" t="s">
        <v>12</v>
      </c>
      <c r="F31" s="13" t="s">
        <v>31</v>
      </c>
      <c r="G31" s="13" t="s">
        <v>39</v>
      </c>
      <c r="H31" s="14">
        <v>40062.949999999997</v>
      </c>
      <c r="I31" s="13">
        <v>5</v>
      </c>
      <c r="J31" s="15">
        <v>11536.21</v>
      </c>
      <c r="K31" s="14" t="str" cm="1">
        <f t="array" ref="K31">_xlfn.IFS(Table43[[#This Row],[Sales]]&gt;40000,"Best Sales",Table43[[#This Row],[Sales]]&gt;20000,"Average Sales",Table43[[#This Row],[Sales]]&gt;0,"Poor Sales")</f>
        <v>Best Sales</v>
      </c>
      <c r="L31" s="23">
        <f>YEAR(Table43[[#This Row],[Date]])</f>
        <v>2023</v>
      </c>
      <c r="M31" s="23">
        <f>MONTH(Table43[[#This Row],[Date]])</f>
        <v>3</v>
      </c>
      <c r="N31" s="25">
        <f>DAY(Table43[[#This Row],[Date]])</f>
        <v>10</v>
      </c>
      <c r="O31" s="25" t="str">
        <f>TEXT(DATE(2023,Table43[[#This Row],[Month]],1),"mmm")</f>
        <v>Mar</v>
      </c>
      <c r="P31" s="25"/>
      <c r="Q31" s="25"/>
    </row>
    <row r="32" spans="1:17" x14ac:dyDescent="0.3">
      <c r="A32" s="6">
        <v>31</v>
      </c>
      <c r="B32" s="7">
        <v>45217</v>
      </c>
      <c r="C32" s="8" t="s">
        <v>15</v>
      </c>
      <c r="D32" s="8" t="s">
        <v>16</v>
      </c>
      <c r="E32" s="8" t="s">
        <v>12</v>
      </c>
      <c r="F32" s="8" t="s">
        <v>24</v>
      </c>
      <c r="G32" s="8" t="s">
        <v>25</v>
      </c>
      <c r="H32" s="9">
        <v>30699.4</v>
      </c>
      <c r="I32" s="8">
        <v>2</v>
      </c>
      <c r="J32" s="10">
        <v>5821.81</v>
      </c>
      <c r="K32" s="14" t="str" cm="1">
        <f t="array" ref="K32">_xlfn.IFS(Table43[[#This Row],[Sales]]&gt;40000,"Best Sales",Table43[[#This Row],[Sales]]&gt;20000,"Average Sales",Table43[[#This Row],[Sales]]&gt;0,"Poor Sales")</f>
        <v>Average Sales</v>
      </c>
      <c r="L32" s="23">
        <f>YEAR(Table43[[#This Row],[Date]])</f>
        <v>2023</v>
      </c>
      <c r="M32" s="23">
        <f>MONTH(Table43[[#This Row],[Date]])</f>
        <v>10</v>
      </c>
      <c r="N32" s="25">
        <f>DAY(Table43[[#This Row],[Date]])</f>
        <v>18</v>
      </c>
      <c r="O32" s="25" t="str">
        <f>TEXT(DATE(2023,Table43[[#This Row],[Month]],1),"mmm")</f>
        <v>Oct</v>
      </c>
      <c r="P32" s="25"/>
      <c r="Q32" s="25"/>
    </row>
    <row r="33" spans="1:17" x14ac:dyDescent="0.3">
      <c r="A33" s="11">
        <v>32</v>
      </c>
      <c r="B33" s="12">
        <v>45127</v>
      </c>
      <c r="C33" s="13" t="s">
        <v>22</v>
      </c>
      <c r="D33" s="13" t="s">
        <v>22</v>
      </c>
      <c r="E33" s="13" t="s">
        <v>12</v>
      </c>
      <c r="F33" s="13" t="s">
        <v>31</v>
      </c>
      <c r="G33" s="13" t="s">
        <v>32</v>
      </c>
      <c r="H33" s="14">
        <v>46798.46</v>
      </c>
      <c r="I33" s="13">
        <v>8</v>
      </c>
      <c r="J33" s="15">
        <v>12650.58</v>
      </c>
      <c r="K33" s="14" t="str" cm="1">
        <f t="array" ref="K33">_xlfn.IFS(Table43[[#This Row],[Sales]]&gt;40000,"Best Sales",Table43[[#This Row],[Sales]]&gt;20000,"Average Sales",Table43[[#This Row],[Sales]]&gt;0,"Poor Sales")</f>
        <v>Best Sales</v>
      </c>
      <c r="L33" s="23">
        <f>YEAR(Table43[[#This Row],[Date]])</f>
        <v>2023</v>
      </c>
      <c r="M33" s="23">
        <f>MONTH(Table43[[#This Row],[Date]])</f>
        <v>7</v>
      </c>
      <c r="N33" s="25">
        <f>DAY(Table43[[#This Row],[Date]])</f>
        <v>20</v>
      </c>
      <c r="O33" s="25" t="str">
        <f>TEXT(DATE(2023,Table43[[#This Row],[Month]],1),"mmm")</f>
        <v>Jul</v>
      </c>
      <c r="P33" s="25"/>
      <c r="Q33" s="25"/>
    </row>
    <row r="34" spans="1:17" x14ac:dyDescent="0.3">
      <c r="A34" s="6">
        <v>33</v>
      </c>
      <c r="B34" s="7">
        <v>45005</v>
      </c>
      <c r="C34" s="8" t="s">
        <v>30</v>
      </c>
      <c r="D34" s="8" t="s">
        <v>16</v>
      </c>
      <c r="E34" s="8" t="s">
        <v>12</v>
      </c>
      <c r="F34" s="8" t="s">
        <v>24</v>
      </c>
      <c r="G34" s="8" t="s">
        <v>28</v>
      </c>
      <c r="H34" s="9">
        <v>18545.72</v>
      </c>
      <c r="I34" s="8">
        <v>9</v>
      </c>
      <c r="J34" s="10">
        <v>3893.71</v>
      </c>
      <c r="K34" s="14" t="str" cm="1">
        <f t="array" ref="K34">_xlfn.IFS(Table43[[#This Row],[Sales]]&gt;40000,"Best Sales",Table43[[#This Row],[Sales]]&gt;20000,"Average Sales",Table43[[#This Row],[Sales]]&gt;0,"Poor Sales")</f>
        <v>Poor Sales</v>
      </c>
      <c r="L34" s="23">
        <f>YEAR(Table43[[#This Row],[Date]])</f>
        <v>2023</v>
      </c>
      <c r="M34" s="23">
        <f>MONTH(Table43[[#This Row],[Date]])</f>
        <v>3</v>
      </c>
      <c r="N34" s="25">
        <f>DAY(Table43[[#This Row],[Date]])</f>
        <v>20</v>
      </c>
      <c r="O34" s="25" t="str">
        <f>TEXT(DATE(2023,Table43[[#This Row],[Month]],1),"mmm")</f>
        <v>Mar</v>
      </c>
      <c r="P34" s="25"/>
      <c r="Q34" s="25"/>
    </row>
    <row r="35" spans="1:17" x14ac:dyDescent="0.3">
      <c r="A35" s="11">
        <v>34</v>
      </c>
      <c r="B35" s="12">
        <v>45097</v>
      </c>
      <c r="C35" s="13" t="s">
        <v>15</v>
      </c>
      <c r="D35" s="13" t="s">
        <v>16</v>
      </c>
      <c r="E35" s="13" t="s">
        <v>12</v>
      </c>
      <c r="F35" s="13" t="s">
        <v>24</v>
      </c>
      <c r="G35" s="13" t="s">
        <v>25</v>
      </c>
      <c r="H35" s="14">
        <v>47078.67</v>
      </c>
      <c r="I35" s="13">
        <v>4</v>
      </c>
      <c r="J35" s="15">
        <v>5416.29</v>
      </c>
      <c r="K35" s="14" t="str" cm="1">
        <f t="array" ref="K35">_xlfn.IFS(Table43[[#This Row],[Sales]]&gt;40000,"Best Sales",Table43[[#This Row],[Sales]]&gt;20000,"Average Sales",Table43[[#This Row],[Sales]]&gt;0,"Poor Sales")</f>
        <v>Best Sales</v>
      </c>
      <c r="L35" s="23">
        <f>YEAR(Table43[[#This Row],[Date]])</f>
        <v>2023</v>
      </c>
      <c r="M35" s="23">
        <f>MONTH(Table43[[#This Row],[Date]])</f>
        <v>6</v>
      </c>
      <c r="N35" s="25">
        <f>DAY(Table43[[#This Row],[Date]])</f>
        <v>20</v>
      </c>
      <c r="O35" s="25" t="str">
        <f>TEXT(DATE(2023,Table43[[#This Row],[Month]],1),"mmm")</f>
        <v>Jun</v>
      </c>
      <c r="P35" s="25"/>
      <c r="Q35" s="25"/>
    </row>
    <row r="36" spans="1:17" x14ac:dyDescent="0.3">
      <c r="A36" s="6">
        <v>35</v>
      </c>
      <c r="B36" s="7">
        <v>44983</v>
      </c>
      <c r="C36" s="8" t="s">
        <v>37</v>
      </c>
      <c r="D36" s="8" t="s">
        <v>27</v>
      </c>
      <c r="E36" s="8" t="s">
        <v>12</v>
      </c>
      <c r="F36" s="8" t="s">
        <v>13</v>
      </c>
      <c r="G36" s="8" t="s">
        <v>21</v>
      </c>
      <c r="H36" s="9">
        <v>45410.16</v>
      </c>
      <c r="I36" s="8">
        <v>2</v>
      </c>
      <c r="J36" s="10">
        <v>6601.61</v>
      </c>
      <c r="K36" s="14" t="str" cm="1">
        <f t="array" ref="K36">_xlfn.IFS(Table43[[#This Row],[Sales]]&gt;40000,"Best Sales",Table43[[#This Row],[Sales]]&gt;20000,"Average Sales",Table43[[#This Row],[Sales]]&gt;0,"Poor Sales")</f>
        <v>Best Sales</v>
      </c>
      <c r="L36" s="23">
        <f>YEAR(Table43[[#This Row],[Date]])</f>
        <v>2023</v>
      </c>
      <c r="M36" s="23">
        <f>MONTH(Table43[[#This Row],[Date]])</f>
        <v>2</v>
      </c>
      <c r="N36" s="25">
        <f>DAY(Table43[[#This Row],[Date]])</f>
        <v>26</v>
      </c>
      <c r="O36" s="25" t="str">
        <f>TEXT(DATE(2023,Table43[[#This Row],[Month]],1),"mmm")</f>
        <v>Feb</v>
      </c>
      <c r="P36" s="25"/>
      <c r="Q36" s="25"/>
    </row>
    <row r="37" spans="1:17" x14ac:dyDescent="0.3">
      <c r="A37" s="11">
        <v>36</v>
      </c>
      <c r="B37" s="12">
        <v>45083</v>
      </c>
      <c r="C37" s="13" t="s">
        <v>18</v>
      </c>
      <c r="D37" s="13" t="s">
        <v>19</v>
      </c>
      <c r="E37" s="13" t="s">
        <v>12</v>
      </c>
      <c r="F37" s="13" t="s">
        <v>31</v>
      </c>
      <c r="G37" s="13" t="s">
        <v>32</v>
      </c>
      <c r="H37" s="14">
        <v>8022.9</v>
      </c>
      <c r="I37" s="13">
        <v>9</v>
      </c>
      <c r="J37" s="15">
        <v>1118.83</v>
      </c>
      <c r="K37" s="14" t="str" cm="1">
        <f t="array" ref="K37">_xlfn.IFS(Table43[[#This Row],[Sales]]&gt;40000,"Best Sales",Table43[[#This Row],[Sales]]&gt;20000,"Average Sales",Table43[[#This Row],[Sales]]&gt;0,"Poor Sales")</f>
        <v>Poor Sales</v>
      </c>
      <c r="L37" s="23">
        <f>YEAR(Table43[[#This Row],[Date]])</f>
        <v>2023</v>
      </c>
      <c r="M37" s="23">
        <f>MONTH(Table43[[#This Row],[Date]])</f>
        <v>6</v>
      </c>
      <c r="N37" s="25">
        <f>DAY(Table43[[#This Row],[Date]])</f>
        <v>6</v>
      </c>
      <c r="O37" s="25" t="str">
        <f>TEXT(DATE(2023,Table43[[#This Row],[Month]],1),"mmm")</f>
        <v>Jun</v>
      </c>
      <c r="P37" s="25"/>
      <c r="Q37" s="25"/>
    </row>
    <row r="38" spans="1:17" x14ac:dyDescent="0.3">
      <c r="A38" s="6">
        <v>37</v>
      </c>
      <c r="B38" s="7">
        <v>45039</v>
      </c>
      <c r="C38" s="8" t="s">
        <v>15</v>
      </c>
      <c r="D38" s="8" t="s">
        <v>16</v>
      </c>
      <c r="E38" s="8" t="s">
        <v>12</v>
      </c>
      <c r="F38" s="8" t="s">
        <v>13</v>
      </c>
      <c r="G38" s="8" t="s">
        <v>34</v>
      </c>
      <c r="H38" s="9">
        <v>34478.959999999999</v>
      </c>
      <c r="I38" s="8">
        <v>5</v>
      </c>
      <c r="J38" s="10">
        <v>4118.41</v>
      </c>
      <c r="K38" s="14" t="str" cm="1">
        <f t="array" ref="K38">_xlfn.IFS(Table43[[#This Row],[Sales]]&gt;40000,"Best Sales",Table43[[#This Row],[Sales]]&gt;20000,"Average Sales",Table43[[#This Row],[Sales]]&gt;0,"Poor Sales")</f>
        <v>Average Sales</v>
      </c>
      <c r="L38" s="23">
        <f>YEAR(Table43[[#This Row],[Date]])</f>
        <v>2023</v>
      </c>
      <c r="M38" s="23">
        <f>MONTH(Table43[[#This Row],[Date]])</f>
        <v>4</v>
      </c>
      <c r="N38" s="25">
        <f>DAY(Table43[[#This Row],[Date]])</f>
        <v>23</v>
      </c>
      <c r="O38" s="25" t="str">
        <f>TEXT(DATE(2023,Table43[[#This Row],[Month]],1),"mmm")</f>
        <v>Apr</v>
      </c>
      <c r="P38" s="25"/>
      <c r="Q38" s="25"/>
    </row>
    <row r="39" spans="1:17" x14ac:dyDescent="0.3">
      <c r="A39" s="11">
        <v>38</v>
      </c>
      <c r="B39" s="12">
        <v>45247</v>
      </c>
      <c r="C39" s="13" t="s">
        <v>18</v>
      </c>
      <c r="D39" s="13" t="s">
        <v>19</v>
      </c>
      <c r="E39" s="13" t="s">
        <v>12</v>
      </c>
      <c r="F39" s="13" t="s">
        <v>31</v>
      </c>
      <c r="G39" s="13" t="s">
        <v>33</v>
      </c>
      <c r="H39" s="14">
        <v>34640.65</v>
      </c>
      <c r="I39" s="13">
        <v>10</v>
      </c>
      <c r="J39" s="15">
        <v>9567.4500000000007</v>
      </c>
      <c r="K39" s="14" t="str" cm="1">
        <f t="array" ref="K39">_xlfn.IFS(Table43[[#This Row],[Sales]]&gt;40000,"Best Sales",Table43[[#This Row],[Sales]]&gt;20000,"Average Sales",Table43[[#This Row],[Sales]]&gt;0,"Poor Sales")</f>
        <v>Average Sales</v>
      </c>
      <c r="L39" s="23">
        <f>YEAR(Table43[[#This Row],[Date]])</f>
        <v>2023</v>
      </c>
      <c r="M39" s="23">
        <f>MONTH(Table43[[#This Row],[Date]])</f>
        <v>11</v>
      </c>
      <c r="N39" s="25">
        <f>DAY(Table43[[#This Row],[Date]])</f>
        <v>17</v>
      </c>
      <c r="O39" s="25" t="str">
        <f>TEXT(DATE(2023,Table43[[#This Row],[Month]],1),"mmm")</f>
        <v>Nov</v>
      </c>
      <c r="P39" s="25"/>
      <c r="Q39" s="25"/>
    </row>
    <row r="40" spans="1:17" x14ac:dyDescent="0.3">
      <c r="A40" s="6">
        <v>39</v>
      </c>
      <c r="B40" s="7">
        <v>44941</v>
      </c>
      <c r="C40" s="8" t="s">
        <v>26</v>
      </c>
      <c r="D40" s="8" t="s">
        <v>27</v>
      </c>
      <c r="E40" s="8" t="s">
        <v>12</v>
      </c>
      <c r="F40" s="8" t="s">
        <v>13</v>
      </c>
      <c r="G40" s="8" t="s">
        <v>34</v>
      </c>
      <c r="H40" s="9">
        <v>3218.7</v>
      </c>
      <c r="I40" s="8">
        <v>3</v>
      </c>
      <c r="J40" s="10">
        <v>572.08000000000004</v>
      </c>
      <c r="K40" s="14" t="str" cm="1">
        <f t="array" ref="K40">_xlfn.IFS(Table43[[#This Row],[Sales]]&gt;40000,"Best Sales",Table43[[#This Row],[Sales]]&gt;20000,"Average Sales",Table43[[#This Row],[Sales]]&gt;0,"Poor Sales")</f>
        <v>Poor Sales</v>
      </c>
      <c r="L40" s="23">
        <f>YEAR(Table43[[#This Row],[Date]])</f>
        <v>2023</v>
      </c>
      <c r="M40" s="23">
        <f>MONTH(Table43[[#This Row],[Date]])</f>
        <v>1</v>
      </c>
      <c r="N40" s="25">
        <f>DAY(Table43[[#This Row],[Date]])</f>
        <v>15</v>
      </c>
      <c r="O40" s="25" t="str">
        <f>TEXT(DATE(2023,Table43[[#This Row],[Month]],1),"mmm")</f>
        <v>Jan</v>
      </c>
      <c r="P40" s="25"/>
      <c r="Q40" s="25"/>
    </row>
    <row r="41" spans="1:17" x14ac:dyDescent="0.3">
      <c r="A41" s="11">
        <v>40</v>
      </c>
      <c r="B41" s="12">
        <v>44941</v>
      </c>
      <c r="C41" s="13" t="s">
        <v>22</v>
      </c>
      <c r="D41" s="13" t="s">
        <v>22</v>
      </c>
      <c r="E41" s="13" t="s">
        <v>12</v>
      </c>
      <c r="F41" s="13" t="s">
        <v>31</v>
      </c>
      <c r="G41" s="13" t="s">
        <v>33</v>
      </c>
      <c r="H41" s="14">
        <v>28642.2</v>
      </c>
      <c r="I41" s="13">
        <v>5</v>
      </c>
      <c r="J41" s="15">
        <v>2312.54</v>
      </c>
      <c r="K41" s="14" t="str" cm="1">
        <f t="array" ref="K41">_xlfn.IFS(Table43[[#This Row],[Sales]]&gt;40000,"Best Sales",Table43[[#This Row],[Sales]]&gt;20000,"Average Sales",Table43[[#This Row],[Sales]]&gt;0,"Poor Sales")</f>
        <v>Average Sales</v>
      </c>
      <c r="L41" s="23">
        <f>YEAR(Table43[[#This Row],[Date]])</f>
        <v>2023</v>
      </c>
      <c r="M41" s="23">
        <f>MONTH(Table43[[#This Row],[Date]])</f>
        <v>1</v>
      </c>
      <c r="N41" s="25">
        <f>DAY(Table43[[#This Row],[Date]])</f>
        <v>15</v>
      </c>
      <c r="O41" s="25" t="str">
        <f>TEXT(DATE(2023,Table43[[#This Row],[Month]],1),"mmm")</f>
        <v>Jan</v>
      </c>
      <c r="P41" s="25"/>
      <c r="Q41" s="25"/>
    </row>
    <row r="42" spans="1:17" x14ac:dyDescent="0.3">
      <c r="A42" s="6">
        <v>41</v>
      </c>
      <c r="B42" s="7">
        <v>45238</v>
      </c>
      <c r="C42" s="8" t="s">
        <v>15</v>
      </c>
      <c r="D42" s="8" t="s">
        <v>16</v>
      </c>
      <c r="E42" s="8" t="s">
        <v>12</v>
      </c>
      <c r="F42" s="8" t="s">
        <v>13</v>
      </c>
      <c r="G42" s="8" t="s">
        <v>14</v>
      </c>
      <c r="H42" s="9">
        <v>30927.86</v>
      </c>
      <c r="I42" s="8">
        <v>10</v>
      </c>
      <c r="J42" s="10">
        <v>8460.2199999999993</v>
      </c>
      <c r="K42" s="14" t="str" cm="1">
        <f t="array" ref="K42">_xlfn.IFS(Table43[[#This Row],[Sales]]&gt;40000,"Best Sales",Table43[[#This Row],[Sales]]&gt;20000,"Average Sales",Table43[[#This Row],[Sales]]&gt;0,"Poor Sales")</f>
        <v>Average Sales</v>
      </c>
      <c r="L42" s="23">
        <f>YEAR(Table43[[#This Row],[Date]])</f>
        <v>2023</v>
      </c>
      <c r="M42" s="23">
        <f>MONTH(Table43[[#This Row],[Date]])</f>
        <v>11</v>
      </c>
      <c r="N42" s="25">
        <f>DAY(Table43[[#This Row],[Date]])</f>
        <v>8</v>
      </c>
      <c r="O42" s="25" t="str">
        <f>TEXT(DATE(2023,Table43[[#This Row],[Month]],1),"mmm")</f>
        <v>Nov</v>
      </c>
      <c r="P42" s="25"/>
      <c r="Q42" s="25"/>
    </row>
    <row r="43" spans="1:17" x14ac:dyDescent="0.3">
      <c r="A43" s="11">
        <v>42</v>
      </c>
      <c r="B43" s="12">
        <v>45143</v>
      </c>
      <c r="C43" s="13" t="s">
        <v>10</v>
      </c>
      <c r="D43" s="13" t="s">
        <v>11</v>
      </c>
      <c r="E43" s="13" t="s">
        <v>12</v>
      </c>
      <c r="F43" s="13" t="s">
        <v>31</v>
      </c>
      <c r="G43" s="13" t="s">
        <v>32</v>
      </c>
      <c r="H43" s="14">
        <v>32426.75</v>
      </c>
      <c r="I43" s="13">
        <v>7</v>
      </c>
      <c r="J43" s="15">
        <v>8518.11</v>
      </c>
      <c r="K43" s="14" t="str" cm="1">
        <f t="array" ref="K43">_xlfn.IFS(Table43[[#This Row],[Sales]]&gt;40000,"Best Sales",Table43[[#This Row],[Sales]]&gt;20000,"Average Sales",Table43[[#This Row],[Sales]]&gt;0,"Poor Sales")</f>
        <v>Average Sales</v>
      </c>
      <c r="L43" s="23">
        <f>YEAR(Table43[[#This Row],[Date]])</f>
        <v>2023</v>
      </c>
      <c r="M43" s="23">
        <f>MONTH(Table43[[#This Row],[Date]])</f>
        <v>8</v>
      </c>
      <c r="N43" s="25">
        <f>DAY(Table43[[#This Row],[Date]])</f>
        <v>5</v>
      </c>
      <c r="O43" s="25" t="str">
        <f>TEXT(DATE(2023,Table43[[#This Row],[Month]],1),"mmm")</f>
        <v>Aug</v>
      </c>
      <c r="P43" s="25"/>
      <c r="Q43" s="25"/>
    </row>
    <row r="44" spans="1:17" x14ac:dyDescent="0.3">
      <c r="A44" s="6">
        <v>43</v>
      </c>
      <c r="B44" s="7">
        <v>45283</v>
      </c>
      <c r="C44" s="8" t="s">
        <v>38</v>
      </c>
      <c r="D44" s="8" t="s">
        <v>27</v>
      </c>
      <c r="E44" s="8" t="s">
        <v>20</v>
      </c>
      <c r="F44" s="8" t="s">
        <v>31</v>
      </c>
      <c r="G44" s="8" t="s">
        <v>39</v>
      </c>
      <c r="H44" s="9">
        <v>19643.03</v>
      </c>
      <c r="I44" s="8">
        <v>5</v>
      </c>
      <c r="J44" s="10">
        <v>2911.87</v>
      </c>
      <c r="K44" s="14" t="str" cm="1">
        <f t="array" ref="K44">_xlfn.IFS(Table43[[#This Row],[Sales]]&gt;40000,"Best Sales",Table43[[#This Row],[Sales]]&gt;20000,"Average Sales",Table43[[#This Row],[Sales]]&gt;0,"Poor Sales")</f>
        <v>Poor Sales</v>
      </c>
      <c r="L44" s="23">
        <f>YEAR(Table43[[#This Row],[Date]])</f>
        <v>2023</v>
      </c>
      <c r="M44" s="23">
        <f>MONTH(Table43[[#This Row],[Date]])</f>
        <v>12</v>
      </c>
      <c r="N44" s="25">
        <f>DAY(Table43[[#This Row],[Date]])</f>
        <v>23</v>
      </c>
      <c r="O44" s="25" t="str">
        <f>TEXT(DATE(2023,Table43[[#This Row],[Month]],1),"mmm")</f>
        <v>Dec</v>
      </c>
      <c r="P44" s="25"/>
      <c r="Q44" s="25"/>
    </row>
    <row r="45" spans="1:17" x14ac:dyDescent="0.3">
      <c r="A45" s="11">
        <v>44</v>
      </c>
      <c r="B45" s="12">
        <v>44981</v>
      </c>
      <c r="C45" s="13" t="s">
        <v>26</v>
      </c>
      <c r="D45" s="13" t="s">
        <v>27</v>
      </c>
      <c r="E45" s="13" t="s">
        <v>20</v>
      </c>
      <c r="F45" s="13" t="s">
        <v>13</v>
      </c>
      <c r="G45" s="13" t="s">
        <v>34</v>
      </c>
      <c r="H45" s="14">
        <v>46031.41</v>
      </c>
      <c r="I45" s="13">
        <v>10</v>
      </c>
      <c r="J45" s="15">
        <v>12190.44</v>
      </c>
      <c r="K45" s="14" t="str" cm="1">
        <f t="array" ref="K45">_xlfn.IFS(Table43[[#This Row],[Sales]]&gt;40000,"Best Sales",Table43[[#This Row],[Sales]]&gt;20000,"Average Sales",Table43[[#This Row],[Sales]]&gt;0,"Poor Sales")</f>
        <v>Best Sales</v>
      </c>
      <c r="L45" s="23">
        <f>YEAR(Table43[[#This Row],[Date]])</f>
        <v>2023</v>
      </c>
      <c r="M45" s="23">
        <f>MONTH(Table43[[#This Row],[Date]])</f>
        <v>2</v>
      </c>
      <c r="N45" s="25">
        <f>DAY(Table43[[#This Row],[Date]])</f>
        <v>24</v>
      </c>
      <c r="O45" s="25" t="str">
        <f>TEXT(DATE(2023,Table43[[#This Row],[Month]],1),"mmm")</f>
        <v>Feb</v>
      </c>
      <c r="P45" s="25"/>
      <c r="Q45" s="25"/>
    </row>
    <row r="46" spans="1:17" x14ac:dyDescent="0.3">
      <c r="A46" s="6">
        <v>45</v>
      </c>
      <c r="B46" s="7">
        <v>44967</v>
      </c>
      <c r="C46" s="8" t="s">
        <v>22</v>
      </c>
      <c r="D46" s="8" t="s">
        <v>22</v>
      </c>
      <c r="E46" s="8" t="s">
        <v>20</v>
      </c>
      <c r="F46" s="8" t="s">
        <v>13</v>
      </c>
      <c r="G46" s="8" t="s">
        <v>21</v>
      </c>
      <c r="H46" s="9">
        <v>10312.469999999999</v>
      </c>
      <c r="I46" s="8">
        <v>3</v>
      </c>
      <c r="J46" s="10">
        <v>917.6</v>
      </c>
      <c r="K46" s="14" t="str" cm="1">
        <f t="array" ref="K46">_xlfn.IFS(Table43[[#This Row],[Sales]]&gt;40000,"Best Sales",Table43[[#This Row],[Sales]]&gt;20000,"Average Sales",Table43[[#This Row],[Sales]]&gt;0,"Poor Sales")</f>
        <v>Poor Sales</v>
      </c>
      <c r="L46" s="23">
        <f>YEAR(Table43[[#This Row],[Date]])</f>
        <v>2023</v>
      </c>
      <c r="M46" s="23">
        <f>MONTH(Table43[[#This Row],[Date]])</f>
        <v>2</v>
      </c>
      <c r="N46" s="25">
        <f>DAY(Table43[[#This Row],[Date]])</f>
        <v>10</v>
      </c>
      <c r="O46" s="25" t="str">
        <f>TEXT(DATE(2023,Table43[[#This Row],[Month]],1),"mmm")</f>
        <v>Feb</v>
      </c>
      <c r="P46" s="25"/>
      <c r="Q46" s="25"/>
    </row>
    <row r="47" spans="1:17" x14ac:dyDescent="0.3">
      <c r="A47" s="11">
        <v>46</v>
      </c>
      <c r="B47" s="12">
        <v>45288</v>
      </c>
      <c r="C47" s="13" t="s">
        <v>37</v>
      </c>
      <c r="D47" s="13" t="s">
        <v>27</v>
      </c>
      <c r="E47" s="13" t="s">
        <v>20</v>
      </c>
      <c r="F47" s="13" t="s">
        <v>24</v>
      </c>
      <c r="G47" s="13" t="s">
        <v>28</v>
      </c>
      <c r="H47" s="14">
        <v>6582.1</v>
      </c>
      <c r="I47" s="13">
        <v>1</v>
      </c>
      <c r="J47" s="15">
        <v>1867.37</v>
      </c>
      <c r="K47" s="14" t="str" cm="1">
        <f t="array" ref="K47">_xlfn.IFS(Table43[[#This Row],[Sales]]&gt;40000,"Best Sales",Table43[[#This Row],[Sales]]&gt;20000,"Average Sales",Table43[[#This Row],[Sales]]&gt;0,"Poor Sales")</f>
        <v>Poor Sales</v>
      </c>
      <c r="L47" s="23">
        <f>YEAR(Table43[[#This Row],[Date]])</f>
        <v>2023</v>
      </c>
      <c r="M47" s="23">
        <f>MONTH(Table43[[#This Row],[Date]])</f>
        <v>12</v>
      </c>
      <c r="N47" s="25">
        <f>DAY(Table43[[#This Row],[Date]])</f>
        <v>28</v>
      </c>
      <c r="O47" s="25" t="str">
        <f>TEXT(DATE(2023,Table43[[#This Row],[Month]],1),"mmm")</f>
        <v>Dec</v>
      </c>
      <c r="P47" s="25"/>
      <c r="Q47" s="25"/>
    </row>
    <row r="48" spans="1:17" x14ac:dyDescent="0.3">
      <c r="A48" s="6">
        <v>47</v>
      </c>
      <c r="B48" s="7">
        <v>45155</v>
      </c>
      <c r="C48" s="8" t="s">
        <v>15</v>
      </c>
      <c r="D48" s="8" t="s">
        <v>16</v>
      </c>
      <c r="E48" s="8" t="s">
        <v>20</v>
      </c>
      <c r="F48" s="8" t="s">
        <v>31</v>
      </c>
      <c r="G48" s="8" t="s">
        <v>39</v>
      </c>
      <c r="H48" s="9">
        <v>3134.95</v>
      </c>
      <c r="I48" s="8">
        <v>8</v>
      </c>
      <c r="J48" s="10">
        <v>371.46</v>
      </c>
      <c r="K48" s="14" t="str" cm="1">
        <f t="array" ref="K48">_xlfn.IFS(Table43[[#This Row],[Sales]]&gt;40000,"Best Sales",Table43[[#This Row],[Sales]]&gt;20000,"Average Sales",Table43[[#This Row],[Sales]]&gt;0,"Poor Sales")</f>
        <v>Poor Sales</v>
      </c>
      <c r="L48" s="23">
        <f>YEAR(Table43[[#This Row],[Date]])</f>
        <v>2023</v>
      </c>
      <c r="M48" s="23">
        <f>MONTH(Table43[[#This Row],[Date]])</f>
        <v>8</v>
      </c>
      <c r="N48" s="25">
        <f>DAY(Table43[[#This Row],[Date]])</f>
        <v>17</v>
      </c>
      <c r="O48" s="25" t="str">
        <f>TEXT(DATE(2023,Table43[[#This Row],[Month]],1),"mmm")</f>
        <v>Aug</v>
      </c>
      <c r="P48" s="25"/>
      <c r="Q48" s="25"/>
    </row>
    <row r="49" spans="1:17" x14ac:dyDescent="0.3">
      <c r="A49" s="11">
        <v>48</v>
      </c>
      <c r="B49" s="12">
        <v>45252</v>
      </c>
      <c r="C49" s="13" t="s">
        <v>18</v>
      </c>
      <c r="D49" s="13" t="s">
        <v>19</v>
      </c>
      <c r="E49" s="13" t="s">
        <v>20</v>
      </c>
      <c r="F49" s="13" t="s">
        <v>31</v>
      </c>
      <c r="G49" s="13" t="s">
        <v>39</v>
      </c>
      <c r="H49" s="14">
        <v>43738.86</v>
      </c>
      <c r="I49" s="13">
        <v>4</v>
      </c>
      <c r="J49" s="15">
        <v>5140.59</v>
      </c>
      <c r="K49" s="14" t="str" cm="1">
        <f t="array" ref="K49">_xlfn.IFS(Table43[[#This Row],[Sales]]&gt;40000,"Best Sales",Table43[[#This Row],[Sales]]&gt;20000,"Average Sales",Table43[[#This Row],[Sales]]&gt;0,"Poor Sales")</f>
        <v>Best Sales</v>
      </c>
      <c r="L49" s="23">
        <f>YEAR(Table43[[#This Row],[Date]])</f>
        <v>2023</v>
      </c>
      <c r="M49" s="23">
        <f>MONTH(Table43[[#This Row],[Date]])</f>
        <v>11</v>
      </c>
      <c r="N49" s="25">
        <f>DAY(Table43[[#This Row],[Date]])</f>
        <v>22</v>
      </c>
      <c r="O49" s="25" t="str">
        <f>TEXT(DATE(2023,Table43[[#This Row],[Month]],1),"mmm")</f>
        <v>Nov</v>
      </c>
      <c r="P49" s="25"/>
      <c r="Q49" s="25"/>
    </row>
    <row r="50" spans="1:17" x14ac:dyDescent="0.3">
      <c r="A50" s="6">
        <v>49</v>
      </c>
      <c r="B50" s="7">
        <v>45229</v>
      </c>
      <c r="C50" s="8" t="s">
        <v>38</v>
      </c>
      <c r="D50" s="8" t="s">
        <v>27</v>
      </c>
      <c r="E50" s="8" t="s">
        <v>20</v>
      </c>
      <c r="F50" s="8" t="s">
        <v>24</v>
      </c>
      <c r="G50" s="8" t="s">
        <v>29</v>
      </c>
      <c r="H50" s="9">
        <v>17707.400000000001</v>
      </c>
      <c r="I50" s="8">
        <v>10</v>
      </c>
      <c r="J50" s="10">
        <v>2970.2</v>
      </c>
      <c r="K50" s="14" t="str" cm="1">
        <f t="array" ref="K50">_xlfn.IFS(Table43[[#This Row],[Sales]]&gt;40000,"Best Sales",Table43[[#This Row],[Sales]]&gt;20000,"Average Sales",Table43[[#This Row],[Sales]]&gt;0,"Poor Sales")</f>
        <v>Poor Sales</v>
      </c>
      <c r="L50" s="23">
        <f>YEAR(Table43[[#This Row],[Date]])</f>
        <v>2023</v>
      </c>
      <c r="M50" s="23">
        <f>MONTH(Table43[[#This Row],[Date]])</f>
        <v>10</v>
      </c>
      <c r="N50" s="25">
        <f>DAY(Table43[[#This Row],[Date]])</f>
        <v>30</v>
      </c>
      <c r="O50" s="25" t="str">
        <f>TEXT(DATE(2023,Table43[[#This Row],[Month]],1),"mmm")</f>
        <v>Oct</v>
      </c>
      <c r="P50" s="25"/>
      <c r="Q50" s="25"/>
    </row>
    <row r="51" spans="1:17" x14ac:dyDescent="0.3">
      <c r="A51" s="11">
        <v>50</v>
      </c>
      <c r="B51" s="12">
        <v>45222</v>
      </c>
      <c r="C51" s="13" t="s">
        <v>15</v>
      </c>
      <c r="D51" s="13" t="s">
        <v>16</v>
      </c>
      <c r="E51" s="13" t="s">
        <v>20</v>
      </c>
      <c r="F51" s="13" t="s">
        <v>31</v>
      </c>
      <c r="G51" s="13" t="s">
        <v>39</v>
      </c>
      <c r="H51" s="14">
        <v>7789.2</v>
      </c>
      <c r="I51" s="13">
        <v>1</v>
      </c>
      <c r="J51" s="15">
        <v>1011.85</v>
      </c>
      <c r="K51" s="14" t="str" cm="1">
        <f t="array" ref="K51">_xlfn.IFS(Table43[[#This Row],[Sales]]&gt;40000,"Best Sales",Table43[[#This Row],[Sales]]&gt;20000,"Average Sales",Table43[[#This Row],[Sales]]&gt;0,"Poor Sales")</f>
        <v>Poor Sales</v>
      </c>
      <c r="L51" s="23">
        <f>YEAR(Table43[[#This Row],[Date]])</f>
        <v>2023</v>
      </c>
      <c r="M51" s="23">
        <f>MONTH(Table43[[#This Row],[Date]])</f>
        <v>10</v>
      </c>
      <c r="N51" s="25">
        <f>DAY(Table43[[#This Row],[Date]])</f>
        <v>23</v>
      </c>
      <c r="O51" s="25" t="str">
        <f>TEXT(DATE(2023,Table43[[#This Row],[Month]],1),"mmm")</f>
        <v>Oct</v>
      </c>
      <c r="P51" s="25"/>
      <c r="Q51" s="25"/>
    </row>
    <row r="52" spans="1:17" x14ac:dyDescent="0.3">
      <c r="A52" s="6">
        <v>51</v>
      </c>
      <c r="B52" s="7">
        <v>45270</v>
      </c>
      <c r="C52" s="8" t="s">
        <v>18</v>
      </c>
      <c r="D52" s="8" t="s">
        <v>19</v>
      </c>
      <c r="E52" s="8" t="s">
        <v>20</v>
      </c>
      <c r="F52" s="8" t="s">
        <v>31</v>
      </c>
      <c r="G52" s="8" t="s">
        <v>33</v>
      </c>
      <c r="H52" s="9">
        <v>18333.759999999998</v>
      </c>
      <c r="I52" s="8">
        <v>7</v>
      </c>
      <c r="J52" s="10">
        <v>4255.3900000000003</v>
      </c>
      <c r="K52" s="14" t="str" cm="1">
        <f t="array" ref="K52">_xlfn.IFS(Table43[[#This Row],[Sales]]&gt;40000,"Best Sales",Table43[[#This Row],[Sales]]&gt;20000,"Average Sales",Table43[[#This Row],[Sales]]&gt;0,"Poor Sales")</f>
        <v>Poor Sales</v>
      </c>
      <c r="L52" s="23">
        <f>YEAR(Table43[[#This Row],[Date]])</f>
        <v>2023</v>
      </c>
      <c r="M52" s="23">
        <f>MONTH(Table43[[#This Row],[Date]])</f>
        <v>12</v>
      </c>
      <c r="N52" s="25">
        <f>DAY(Table43[[#This Row],[Date]])</f>
        <v>10</v>
      </c>
      <c r="O52" s="25" t="str">
        <f>TEXT(DATE(2023,Table43[[#This Row],[Month]],1),"mmm")</f>
        <v>Dec</v>
      </c>
      <c r="P52" s="25"/>
      <c r="Q52" s="25"/>
    </row>
    <row r="53" spans="1:17" x14ac:dyDescent="0.3">
      <c r="A53" s="11">
        <v>52</v>
      </c>
      <c r="B53" s="12">
        <v>45041</v>
      </c>
      <c r="C53" s="13" t="s">
        <v>15</v>
      </c>
      <c r="D53" s="13" t="s">
        <v>16</v>
      </c>
      <c r="E53" s="13" t="s">
        <v>20</v>
      </c>
      <c r="F53" s="13" t="s">
        <v>31</v>
      </c>
      <c r="G53" s="13" t="s">
        <v>39</v>
      </c>
      <c r="H53" s="14">
        <v>29916.02</v>
      </c>
      <c r="I53" s="13">
        <v>1</v>
      </c>
      <c r="J53" s="15">
        <v>6067.18</v>
      </c>
      <c r="K53" s="14" t="str" cm="1">
        <f t="array" ref="K53">_xlfn.IFS(Table43[[#This Row],[Sales]]&gt;40000,"Best Sales",Table43[[#This Row],[Sales]]&gt;20000,"Average Sales",Table43[[#This Row],[Sales]]&gt;0,"Poor Sales")</f>
        <v>Average Sales</v>
      </c>
      <c r="L53" s="23">
        <f>YEAR(Table43[[#This Row],[Date]])</f>
        <v>2023</v>
      </c>
      <c r="M53" s="23">
        <f>MONTH(Table43[[#This Row],[Date]])</f>
        <v>4</v>
      </c>
      <c r="N53" s="25">
        <f>DAY(Table43[[#This Row],[Date]])</f>
        <v>25</v>
      </c>
      <c r="O53" s="25" t="str">
        <f>TEXT(DATE(2023,Table43[[#This Row],[Month]],1),"mmm")</f>
        <v>Apr</v>
      </c>
      <c r="P53" s="25"/>
      <c r="Q53" s="25"/>
    </row>
    <row r="54" spans="1:17" x14ac:dyDescent="0.3">
      <c r="A54" s="6">
        <v>53</v>
      </c>
      <c r="B54" s="7">
        <v>45143</v>
      </c>
      <c r="C54" s="8" t="s">
        <v>15</v>
      </c>
      <c r="D54" s="8" t="s">
        <v>16</v>
      </c>
      <c r="E54" s="8" t="s">
        <v>20</v>
      </c>
      <c r="F54" s="8" t="s">
        <v>13</v>
      </c>
      <c r="G54" s="8" t="s">
        <v>14</v>
      </c>
      <c r="H54" s="9">
        <v>40222.480000000003</v>
      </c>
      <c r="I54" s="8">
        <v>5</v>
      </c>
      <c r="J54" s="10">
        <v>8031.61</v>
      </c>
      <c r="K54" s="14" t="str" cm="1">
        <f t="array" ref="K54">_xlfn.IFS(Table43[[#This Row],[Sales]]&gt;40000,"Best Sales",Table43[[#This Row],[Sales]]&gt;20000,"Average Sales",Table43[[#This Row],[Sales]]&gt;0,"Poor Sales")</f>
        <v>Best Sales</v>
      </c>
      <c r="L54" s="23">
        <f>YEAR(Table43[[#This Row],[Date]])</f>
        <v>2023</v>
      </c>
      <c r="M54" s="23">
        <f>MONTH(Table43[[#This Row],[Date]])</f>
        <v>8</v>
      </c>
      <c r="N54" s="25">
        <f>DAY(Table43[[#This Row],[Date]])</f>
        <v>5</v>
      </c>
      <c r="O54" s="25" t="str">
        <f>TEXT(DATE(2023,Table43[[#This Row],[Month]],1),"mmm")</f>
        <v>Aug</v>
      </c>
      <c r="P54" s="25"/>
      <c r="Q54" s="25"/>
    </row>
    <row r="55" spans="1:17" x14ac:dyDescent="0.3">
      <c r="A55" s="11">
        <v>54</v>
      </c>
      <c r="B55" s="12">
        <v>45148</v>
      </c>
      <c r="C55" s="13" t="s">
        <v>35</v>
      </c>
      <c r="D55" s="13" t="s">
        <v>36</v>
      </c>
      <c r="E55" s="13" t="s">
        <v>23</v>
      </c>
      <c r="F55" s="13" t="s">
        <v>13</v>
      </c>
      <c r="G55" s="13" t="s">
        <v>14</v>
      </c>
      <c r="H55" s="14">
        <v>28351.119999999999</v>
      </c>
      <c r="I55" s="13">
        <v>2</v>
      </c>
      <c r="J55" s="15">
        <v>7580.92</v>
      </c>
      <c r="K55" s="14" t="str" cm="1">
        <f t="array" ref="K55">_xlfn.IFS(Table43[[#This Row],[Sales]]&gt;40000,"Best Sales",Table43[[#This Row],[Sales]]&gt;20000,"Average Sales",Table43[[#This Row],[Sales]]&gt;0,"Poor Sales")</f>
        <v>Average Sales</v>
      </c>
      <c r="L55" s="23">
        <f>YEAR(Table43[[#This Row],[Date]])</f>
        <v>2023</v>
      </c>
      <c r="M55" s="23">
        <f>MONTH(Table43[[#This Row],[Date]])</f>
        <v>8</v>
      </c>
      <c r="N55" s="25">
        <f>DAY(Table43[[#This Row],[Date]])</f>
        <v>10</v>
      </c>
      <c r="O55" s="25" t="str">
        <f>TEXT(DATE(2023,Table43[[#This Row],[Month]],1),"mmm")</f>
        <v>Aug</v>
      </c>
      <c r="P55" s="25"/>
      <c r="Q55" s="25"/>
    </row>
    <row r="56" spans="1:17" x14ac:dyDescent="0.3">
      <c r="A56" s="6">
        <v>55</v>
      </c>
      <c r="B56" s="7">
        <v>44980</v>
      </c>
      <c r="C56" s="8" t="s">
        <v>30</v>
      </c>
      <c r="D56" s="8" t="s">
        <v>16</v>
      </c>
      <c r="E56" s="8" t="s">
        <v>23</v>
      </c>
      <c r="F56" s="8" t="s">
        <v>31</v>
      </c>
      <c r="G56" s="8" t="s">
        <v>32</v>
      </c>
      <c r="H56" s="9">
        <v>26706.3</v>
      </c>
      <c r="I56" s="8">
        <v>5</v>
      </c>
      <c r="J56" s="10">
        <v>3028.14</v>
      </c>
      <c r="K56" s="14" t="str" cm="1">
        <f t="array" ref="K56">_xlfn.IFS(Table43[[#This Row],[Sales]]&gt;40000,"Best Sales",Table43[[#This Row],[Sales]]&gt;20000,"Average Sales",Table43[[#This Row],[Sales]]&gt;0,"Poor Sales")</f>
        <v>Average Sales</v>
      </c>
      <c r="L56" s="23">
        <f>YEAR(Table43[[#This Row],[Date]])</f>
        <v>2023</v>
      </c>
      <c r="M56" s="23">
        <f>MONTH(Table43[[#This Row],[Date]])</f>
        <v>2</v>
      </c>
      <c r="N56" s="25">
        <f>DAY(Table43[[#This Row],[Date]])</f>
        <v>23</v>
      </c>
      <c r="O56" s="25" t="str">
        <f>TEXT(DATE(2023,Table43[[#This Row],[Month]],1),"mmm")</f>
        <v>Feb</v>
      </c>
      <c r="P56" s="25"/>
      <c r="Q56" s="25"/>
    </row>
    <row r="57" spans="1:17" x14ac:dyDescent="0.3">
      <c r="A57" s="11">
        <v>56</v>
      </c>
      <c r="B57" s="12">
        <v>45068</v>
      </c>
      <c r="C57" s="13" t="s">
        <v>10</v>
      </c>
      <c r="D57" s="13" t="s">
        <v>11</v>
      </c>
      <c r="E57" s="13" t="s">
        <v>23</v>
      </c>
      <c r="F57" s="13" t="s">
        <v>13</v>
      </c>
      <c r="G57" s="13" t="s">
        <v>34</v>
      </c>
      <c r="H57" s="14">
        <v>5030.05</v>
      </c>
      <c r="I57" s="13">
        <v>3</v>
      </c>
      <c r="J57" s="15">
        <v>1411.28</v>
      </c>
      <c r="K57" s="14" t="str" cm="1">
        <f t="array" ref="K57">_xlfn.IFS(Table43[[#This Row],[Sales]]&gt;40000,"Best Sales",Table43[[#This Row],[Sales]]&gt;20000,"Average Sales",Table43[[#This Row],[Sales]]&gt;0,"Poor Sales")</f>
        <v>Poor Sales</v>
      </c>
      <c r="L57" s="23">
        <f>YEAR(Table43[[#This Row],[Date]])</f>
        <v>2023</v>
      </c>
      <c r="M57" s="23">
        <f>MONTH(Table43[[#This Row],[Date]])</f>
        <v>5</v>
      </c>
      <c r="N57" s="25">
        <f>DAY(Table43[[#This Row],[Date]])</f>
        <v>22</v>
      </c>
      <c r="O57" s="25" t="str">
        <f>TEXT(DATE(2023,Table43[[#This Row],[Month]],1),"mmm")</f>
        <v>May</v>
      </c>
      <c r="P57" s="25"/>
      <c r="Q57" s="25"/>
    </row>
    <row r="58" spans="1:17" x14ac:dyDescent="0.3">
      <c r="A58" s="6">
        <v>57</v>
      </c>
      <c r="B58" s="7">
        <v>45006</v>
      </c>
      <c r="C58" s="8" t="s">
        <v>30</v>
      </c>
      <c r="D58" s="8" t="s">
        <v>16</v>
      </c>
      <c r="E58" s="8" t="s">
        <v>23</v>
      </c>
      <c r="F58" s="8" t="s">
        <v>13</v>
      </c>
      <c r="G58" s="8" t="s">
        <v>21</v>
      </c>
      <c r="H58" s="9">
        <v>36606.480000000003</v>
      </c>
      <c r="I58" s="8">
        <v>1</v>
      </c>
      <c r="J58" s="10">
        <v>5249.58</v>
      </c>
      <c r="K58" s="14" t="str" cm="1">
        <f t="array" ref="K58">_xlfn.IFS(Table43[[#This Row],[Sales]]&gt;40000,"Best Sales",Table43[[#This Row],[Sales]]&gt;20000,"Average Sales",Table43[[#This Row],[Sales]]&gt;0,"Poor Sales")</f>
        <v>Average Sales</v>
      </c>
      <c r="L58" s="23">
        <f>YEAR(Table43[[#This Row],[Date]])</f>
        <v>2023</v>
      </c>
      <c r="M58" s="23">
        <f>MONTH(Table43[[#This Row],[Date]])</f>
        <v>3</v>
      </c>
      <c r="N58" s="25">
        <f>DAY(Table43[[#This Row],[Date]])</f>
        <v>21</v>
      </c>
      <c r="O58" s="25" t="str">
        <f>TEXT(DATE(2023,Table43[[#This Row],[Month]],1),"mmm")</f>
        <v>Mar</v>
      </c>
      <c r="P58" s="25"/>
      <c r="Q58" s="25"/>
    </row>
    <row r="59" spans="1:17" x14ac:dyDescent="0.3">
      <c r="A59" s="11">
        <v>58</v>
      </c>
      <c r="B59" s="12">
        <v>44946</v>
      </c>
      <c r="C59" s="13" t="s">
        <v>15</v>
      </c>
      <c r="D59" s="13" t="s">
        <v>16</v>
      </c>
      <c r="E59" s="13" t="s">
        <v>23</v>
      </c>
      <c r="F59" s="13" t="s">
        <v>13</v>
      </c>
      <c r="G59" s="13" t="s">
        <v>14</v>
      </c>
      <c r="H59" s="14">
        <v>30254.94</v>
      </c>
      <c r="I59" s="13">
        <v>3</v>
      </c>
      <c r="J59" s="15">
        <v>5950.99</v>
      </c>
      <c r="K59" s="14" t="str" cm="1">
        <f t="array" ref="K59">_xlfn.IFS(Table43[[#This Row],[Sales]]&gt;40000,"Best Sales",Table43[[#This Row],[Sales]]&gt;20000,"Average Sales",Table43[[#This Row],[Sales]]&gt;0,"Poor Sales")</f>
        <v>Average Sales</v>
      </c>
      <c r="L59" s="23">
        <f>YEAR(Table43[[#This Row],[Date]])</f>
        <v>2023</v>
      </c>
      <c r="M59" s="23">
        <f>MONTH(Table43[[#This Row],[Date]])</f>
        <v>1</v>
      </c>
      <c r="N59" s="25">
        <f>DAY(Table43[[#This Row],[Date]])</f>
        <v>20</v>
      </c>
      <c r="O59" s="25" t="str">
        <f>TEXT(DATE(2023,Table43[[#This Row],[Month]],1),"mmm")</f>
        <v>Jan</v>
      </c>
      <c r="P59" s="25"/>
      <c r="Q59" s="25"/>
    </row>
    <row r="60" spans="1:17" x14ac:dyDescent="0.3">
      <c r="A60" s="6">
        <v>59</v>
      </c>
      <c r="B60" s="7">
        <v>45065</v>
      </c>
      <c r="C60" s="8" t="s">
        <v>30</v>
      </c>
      <c r="D60" s="8" t="s">
        <v>16</v>
      </c>
      <c r="E60" s="8" t="s">
        <v>23</v>
      </c>
      <c r="F60" s="8" t="s">
        <v>31</v>
      </c>
      <c r="G60" s="8" t="s">
        <v>39</v>
      </c>
      <c r="H60" s="9">
        <v>43019.7</v>
      </c>
      <c r="I60" s="8">
        <v>4</v>
      </c>
      <c r="J60" s="10">
        <v>9540.3799999999992</v>
      </c>
      <c r="K60" s="14" t="str" cm="1">
        <f t="array" ref="K60">_xlfn.IFS(Table43[[#This Row],[Sales]]&gt;40000,"Best Sales",Table43[[#This Row],[Sales]]&gt;20000,"Average Sales",Table43[[#This Row],[Sales]]&gt;0,"Poor Sales")</f>
        <v>Best Sales</v>
      </c>
      <c r="L60" s="23">
        <f>YEAR(Table43[[#This Row],[Date]])</f>
        <v>2023</v>
      </c>
      <c r="M60" s="23">
        <f>MONTH(Table43[[#This Row],[Date]])</f>
        <v>5</v>
      </c>
      <c r="N60" s="25">
        <f>DAY(Table43[[#This Row],[Date]])</f>
        <v>19</v>
      </c>
      <c r="O60" s="25" t="str">
        <f>TEXT(DATE(2023,Table43[[#This Row],[Month]],1),"mmm")</f>
        <v>May</v>
      </c>
      <c r="P60" s="25"/>
      <c r="Q60" s="25"/>
    </row>
    <row r="61" spans="1:17" x14ac:dyDescent="0.3">
      <c r="A61" s="11">
        <v>60</v>
      </c>
      <c r="B61" s="12">
        <v>44977</v>
      </c>
      <c r="C61" s="13" t="s">
        <v>38</v>
      </c>
      <c r="D61" s="13" t="s">
        <v>27</v>
      </c>
      <c r="E61" s="13" t="s">
        <v>23</v>
      </c>
      <c r="F61" s="13" t="s">
        <v>13</v>
      </c>
      <c r="G61" s="13" t="s">
        <v>21</v>
      </c>
      <c r="H61" s="14">
        <v>3020.57</v>
      </c>
      <c r="I61" s="13">
        <v>7</v>
      </c>
      <c r="J61" s="15">
        <v>762.12</v>
      </c>
      <c r="K61" s="14" t="str" cm="1">
        <f t="array" ref="K61">_xlfn.IFS(Table43[[#This Row],[Sales]]&gt;40000,"Best Sales",Table43[[#This Row],[Sales]]&gt;20000,"Average Sales",Table43[[#This Row],[Sales]]&gt;0,"Poor Sales")</f>
        <v>Poor Sales</v>
      </c>
      <c r="L61" s="23">
        <f>YEAR(Table43[[#This Row],[Date]])</f>
        <v>2023</v>
      </c>
      <c r="M61" s="23">
        <f>MONTH(Table43[[#This Row],[Date]])</f>
        <v>2</v>
      </c>
      <c r="N61" s="25">
        <f>DAY(Table43[[#This Row],[Date]])</f>
        <v>20</v>
      </c>
      <c r="O61" s="25" t="str">
        <f>TEXT(DATE(2023,Table43[[#This Row],[Month]],1),"mmm")</f>
        <v>Feb</v>
      </c>
      <c r="P61" s="25"/>
      <c r="Q61" s="25"/>
    </row>
    <row r="62" spans="1:17" x14ac:dyDescent="0.3">
      <c r="A62" s="6">
        <v>61</v>
      </c>
      <c r="B62" s="7">
        <v>44992</v>
      </c>
      <c r="C62" s="8" t="s">
        <v>22</v>
      </c>
      <c r="D62" s="8" t="s">
        <v>22</v>
      </c>
      <c r="E62" s="8" t="s">
        <v>23</v>
      </c>
      <c r="F62" s="8" t="s">
        <v>13</v>
      </c>
      <c r="G62" s="8" t="s">
        <v>14</v>
      </c>
      <c r="H62" s="9">
        <v>29105.97</v>
      </c>
      <c r="I62" s="8">
        <v>7</v>
      </c>
      <c r="J62" s="10">
        <v>7986.26</v>
      </c>
      <c r="K62" s="14" t="str" cm="1">
        <f t="array" ref="K62">_xlfn.IFS(Table43[[#This Row],[Sales]]&gt;40000,"Best Sales",Table43[[#This Row],[Sales]]&gt;20000,"Average Sales",Table43[[#This Row],[Sales]]&gt;0,"Poor Sales")</f>
        <v>Average Sales</v>
      </c>
      <c r="L62" s="23">
        <f>YEAR(Table43[[#This Row],[Date]])</f>
        <v>2023</v>
      </c>
      <c r="M62" s="23">
        <f>MONTH(Table43[[#This Row],[Date]])</f>
        <v>3</v>
      </c>
      <c r="N62" s="25">
        <f>DAY(Table43[[#This Row],[Date]])</f>
        <v>7</v>
      </c>
      <c r="O62" s="25" t="str">
        <f>TEXT(DATE(2023,Table43[[#This Row],[Month]],1),"mmm")</f>
        <v>Mar</v>
      </c>
      <c r="P62" s="25"/>
      <c r="Q62" s="25"/>
    </row>
    <row r="63" spans="1:17" x14ac:dyDescent="0.3">
      <c r="A63" s="11">
        <v>62</v>
      </c>
      <c r="B63" s="12">
        <v>44987</v>
      </c>
      <c r="C63" s="13" t="s">
        <v>18</v>
      </c>
      <c r="D63" s="13" t="s">
        <v>19</v>
      </c>
      <c r="E63" s="13" t="s">
        <v>23</v>
      </c>
      <c r="F63" s="13" t="s">
        <v>13</v>
      </c>
      <c r="G63" s="13" t="s">
        <v>21</v>
      </c>
      <c r="H63" s="14">
        <v>42202.76</v>
      </c>
      <c r="I63" s="13">
        <v>10</v>
      </c>
      <c r="J63" s="15">
        <v>5345.77</v>
      </c>
      <c r="K63" s="14" t="str" cm="1">
        <f t="array" ref="K63">_xlfn.IFS(Table43[[#This Row],[Sales]]&gt;40000,"Best Sales",Table43[[#This Row],[Sales]]&gt;20000,"Average Sales",Table43[[#This Row],[Sales]]&gt;0,"Poor Sales")</f>
        <v>Best Sales</v>
      </c>
      <c r="L63" s="23">
        <f>YEAR(Table43[[#This Row],[Date]])</f>
        <v>2023</v>
      </c>
      <c r="M63" s="23">
        <f>MONTH(Table43[[#This Row],[Date]])</f>
        <v>3</v>
      </c>
      <c r="N63" s="25">
        <f>DAY(Table43[[#This Row],[Date]])</f>
        <v>2</v>
      </c>
      <c r="O63" s="25" t="str">
        <f>TEXT(DATE(2023,Table43[[#This Row],[Month]],1),"mmm")</f>
        <v>Mar</v>
      </c>
      <c r="P63" s="25"/>
      <c r="Q63" s="25"/>
    </row>
    <row r="64" spans="1:17" x14ac:dyDescent="0.3">
      <c r="A64" s="6">
        <v>63</v>
      </c>
      <c r="B64" s="7">
        <v>45126</v>
      </c>
      <c r="C64" s="8" t="s">
        <v>15</v>
      </c>
      <c r="D64" s="8" t="s">
        <v>16</v>
      </c>
      <c r="E64" s="8" t="s">
        <v>23</v>
      </c>
      <c r="F64" s="8" t="s">
        <v>31</v>
      </c>
      <c r="G64" s="8" t="s">
        <v>33</v>
      </c>
      <c r="H64" s="9">
        <v>16484.55</v>
      </c>
      <c r="I64" s="8">
        <v>9</v>
      </c>
      <c r="J64" s="10">
        <v>1351</v>
      </c>
      <c r="K64" s="14" t="str" cm="1">
        <f t="array" ref="K64">_xlfn.IFS(Table43[[#This Row],[Sales]]&gt;40000,"Best Sales",Table43[[#This Row],[Sales]]&gt;20000,"Average Sales",Table43[[#This Row],[Sales]]&gt;0,"Poor Sales")</f>
        <v>Poor Sales</v>
      </c>
      <c r="L64" s="23">
        <f>YEAR(Table43[[#This Row],[Date]])</f>
        <v>2023</v>
      </c>
      <c r="M64" s="23">
        <f>MONTH(Table43[[#This Row],[Date]])</f>
        <v>7</v>
      </c>
      <c r="N64" s="25">
        <f>DAY(Table43[[#This Row],[Date]])</f>
        <v>19</v>
      </c>
      <c r="O64" s="25" t="str">
        <f>TEXT(DATE(2023,Table43[[#This Row],[Month]],1),"mmm")</f>
        <v>Jul</v>
      </c>
      <c r="P64" s="25"/>
      <c r="Q64" s="25"/>
    </row>
    <row r="65" spans="1:17" x14ac:dyDescent="0.3">
      <c r="A65" s="11">
        <v>64</v>
      </c>
      <c r="B65" s="12">
        <v>45216</v>
      </c>
      <c r="C65" s="13" t="s">
        <v>15</v>
      </c>
      <c r="D65" s="13" t="s">
        <v>16</v>
      </c>
      <c r="E65" s="13" t="s">
        <v>23</v>
      </c>
      <c r="F65" s="13" t="s">
        <v>24</v>
      </c>
      <c r="G65" s="13" t="s">
        <v>28</v>
      </c>
      <c r="H65" s="14">
        <v>48949.84</v>
      </c>
      <c r="I65" s="13">
        <v>9</v>
      </c>
      <c r="J65" s="15">
        <v>10667.27</v>
      </c>
      <c r="K65" s="14" t="str" cm="1">
        <f t="array" ref="K65">_xlfn.IFS(Table43[[#This Row],[Sales]]&gt;40000,"Best Sales",Table43[[#This Row],[Sales]]&gt;20000,"Average Sales",Table43[[#This Row],[Sales]]&gt;0,"Poor Sales")</f>
        <v>Best Sales</v>
      </c>
      <c r="L65" s="23">
        <f>YEAR(Table43[[#This Row],[Date]])</f>
        <v>2023</v>
      </c>
      <c r="M65" s="23">
        <f>MONTH(Table43[[#This Row],[Date]])</f>
        <v>10</v>
      </c>
      <c r="N65" s="25">
        <f>DAY(Table43[[#This Row],[Date]])</f>
        <v>17</v>
      </c>
      <c r="O65" s="25" t="str">
        <f>TEXT(DATE(2023,Table43[[#This Row],[Month]],1),"mmm")</f>
        <v>Oct</v>
      </c>
      <c r="P65" s="25"/>
      <c r="Q65" s="25"/>
    </row>
    <row r="66" spans="1:17" x14ac:dyDescent="0.3">
      <c r="A66" s="6">
        <v>65</v>
      </c>
      <c r="B66" s="7">
        <v>45173</v>
      </c>
      <c r="C66" s="8" t="s">
        <v>30</v>
      </c>
      <c r="D66" s="8" t="s">
        <v>16</v>
      </c>
      <c r="E66" s="8" t="s">
        <v>23</v>
      </c>
      <c r="F66" s="8" t="s">
        <v>24</v>
      </c>
      <c r="G66" s="8" t="s">
        <v>28</v>
      </c>
      <c r="H66" s="9">
        <v>19183.52</v>
      </c>
      <c r="I66" s="8">
        <v>5</v>
      </c>
      <c r="J66" s="10">
        <v>2804.51</v>
      </c>
      <c r="K66" s="14" t="str" cm="1">
        <f t="array" ref="K66">_xlfn.IFS(Table43[[#This Row],[Sales]]&gt;40000,"Best Sales",Table43[[#This Row],[Sales]]&gt;20000,"Average Sales",Table43[[#This Row],[Sales]]&gt;0,"Poor Sales")</f>
        <v>Poor Sales</v>
      </c>
      <c r="L66" s="23">
        <f>YEAR(Table43[[#This Row],[Date]])</f>
        <v>2023</v>
      </c>
      <c r="M66" s="23">
        <f>MONTH(Table43[[#This Row],[Date]])</f>
        <v>9</v>
      </c>
      <c r="N66" s="25">
        <f>DAY(Table43[[#This Row],[Date]])</f>
        <v>4</v>
      </c>
      <c r="O66" s="25" t="str">
        <f>TEXT(DATE(2023,Table43[[#This Row],[Month]],1),"mmm")</f>
        <v>Sep</v>
      </c>
      <c r="P66" s="25"/>
      <c r="Q66" s="25"/>
    </row>
    <row r="67" spans="1:17" x14ac:dyDescent="0.3">
      <c r="A67" s="11">
        <v>66</v>
      </c>
      <c r="B67" s="12">
        <v>45163</v>
      </c>
      <c r="C67" s="13" t="s">
        <v>22</v>
      </c>
      <c r="D67" s="13" t="s">
        <v>22</v>
      </c>
      <c r="E67" s="13" t="s">
        <v>23</v>
      </c>
      <c r="F67" s="13" t="s">
        <v>13</v>
      </c>
      <c r="G67" s="13" t="s">
        <v>34</v>
      </c>
      <c r="H67" s="14">
        <v>25834.9</v>
      </c>
      <c r="I67" s="13">
        <v>2</v>
      </c>
      <c r="J67" s="15">
        <v>6880.51</v>
      </c>
      <c r="K67" s="14" t="str" cm="1">
        <f t="array" ref="K67">_xlfn.IFS(Table43[[#This Row],[Sales]]&gt;40000,"Best Sales",Table43[[#This Row],[Sales]]&gt;20000,"Average Sales",Table43[[#This Row],[Sales]]&gt;0,"Poor Sales")</f>
        <v>Average Sales</v>
      </c>
      <c r="L67" s="23">
        <f>YEAR(Table43[[#This Row],[Date]])</f>
        <v>2023</v>
      </c>
      <c r="M67" s="23">
        <f>MONTH(Table43[[#This Row],[Date]])</f>
        <v>8</v>
      </c>
      <c r="N67" s="25">
        <f>DAY(Table43[[#This Row],[Date]])</f>
        <v>25</v>
      </c>
      <c r="O67" s="25" t="str">
        <f>TEXT(DATE(2023,Table43[[#This Row],[Month]],1),"mmm")</f>
        <v>Aug</v>
      </c>
      <c r="P67" s="25"/>
      <c r="Q67" s="25"/>
    </row>
    <row r="68" spans="1:17" x14ac:dyDescent="0.3">
      <c r="A68" s="6">
        <v>67</v>
      </c>
      <c r="B68" s="7">
        <v>44930</v>
      </c>
      <c r="C68" s="8" t="s">
        <v>22</v>
      </c>
      <c r="D68" s="8" t="s">
        <v>22</v>
      </c>
      <c r="E68" s="8" t="s">
        <v>12</v>
      </c>
      <c r="F68" s="8" t="s">
        <v>13</v>
      </c>
      <c r="G68" s="8" t="s">
        <v>34</v>
      </c>
      <c r="H68" s="9">
        <v>37162.660000000003</v>
      </c>
      <c r="I68" s="8">
        <v>8</v>
      </c>
      <c r="J68" s="10">
        <v>5652.71</v>
      </c>
      <c r="K68" s="14" t="str" cm="1">
        <f t="array" ref="K68">_xlfn.IFS(Table43[[#This Row],[Sales]]&gt;40000,"Best Sales",Table43[[#This Row],[Sales]]&gt;20000,"Average Sales",Table43[[#This Row],[Sales]]&gt;0,"Poor Sales")</f>
        <v>Average Sales</v>
      </c>
      <c r="L68" s="23">
        <f>YEAR(Table43[[#This Row],[Date]])</f>
        <v>2023</v>
      </c>
      <c r="M68" s="23">
        <f>MONTH(Table43[[#This Row],[Date]])</f>
        <v>1</v>
      </c>
      <c r="N68" s="25">
        <f>DAY(Table43[[#This Row],[Date]])</f>
        <v>4</v>
      </c>
      <c r="O68" s="25" t="str">
        <f>TEXT(DATE(2023,Table43[[#This Row],[Month]],1),"mmm")</f>
        <v>Jan</v>
      </c>
      <c r="P68" s="25"/>
      <c r="Q68" s="25"/>
    </row>
    <row r="69" spans="1:17" x14ac:dyDescent="0.3">
      <c r="A69" s="11">
        <v>68</v>
      </c>
      <c r="B69" s="12">
        <v>45098</v>
      </c>
      <c r="C69" s="13" t="s">
        <v>30</v>
      </c>
      <c r="D69" s="13" t="s">
        <v>16</v>
      </c>
      <c r="E69" s="13" t="s">
        <v>17</v>
      </c>
      <c r="F69" s="13" t="s">
        <v>24</v>
      </c>
      <c r="G69" s="13" t="s">
        <v>25</v>
      </c>
      <c r="H69" s="14">
        <v>28938.6</v>
      </c>
      <c r="I69" s="13">
        <v>10</v>
      </c>
      <c r="J69" s="15">
        <v>7700.06</v>
      </c>
      <c r="K69" s="14" t="str" cm="1">
        <f t="array" ref="K69">_xlfn.IFS(Table43[[#This Row],[Sales]]&gt;40000,"Best Sales",Table43[[#This Row],[Sales]]&gt;20000,"Average Sales",Table43[[#This Row],[Sales]]&gt;0,"Poor Sales")</f>
        <v>Average Sales</v>
      </c>
      <c r="L69" s="23">
        <f>YEAR(Table43[[#This Row],[Date]])</f>
        <v>2023</v>
      </c>
      <c r="M69" s="23">
        <f>MONTH(Table43[[#This Row],[Date]])</f>
        <v>6</v>
      </c>
      <c r="N69" s="25">
        <f>DAY(Table43[[#This Row],[Date]])</f>
        <v>21</v>
      </c>
      <c r="O69" s="25" t="str">
        <f>TEXT(DATE(2023,Table43[[#This Row],[Month]],1),"mmm")</f>
        <v>Jun</v>
      </c>
      <c r="P69" s="25"/>
      <c r="Q69" s="25"/>
    </row>
    <row r="70" spans="1:17" x14ac:dyDescent="0.3">
      <c r="A70" s="6">
        <v>69</v>
      </c>
      <c r="B70" s="7">
        <v>45268</v>
      </c>
      <c r="C70" s="8" t="s">
        <v>38</v>
      </c>
      <c r="D70" s="8" t="s">
        <v>27</v>
      </c>
      <c r="E70" s="8" t="s">
        <v>17</v>
      </c>
      <c r="F70" s="8" t="s">
        <v>24</v>
      </c>
      <c r="G70" s="8" t="s">
        <v>25</v>
      </c>
      <c r="H70" s="9">
        <v>10690.45</v>
      </c>
      <c r="I70" s="8">
        <v>5</v>
      </c>
      <c r="J70" s="10">
        <v>2992.24</v>
      </c>
      <c r="K70" s="14" t="str" cm="1">
        <f t="array" ref="K70">_xlfn.IFS(Table43[[#This Row],[Sales]]&gt;40000,"Best Sales",Table43[[#This Row],[Sales]]&gt;20000,"Average Sales",Table43[[#This Row],[Sales]]&gt;0,"Poor Sales")</f>
        <v>Poor Sales</v>
      </c>
      <c r="L70" s="23">
        <f>YEAR(Table43[[#This Row],[Date]])</f>
        <v>2023</v>
      </c>
      <c r="M70" s="23">
        <f>MONTH(Table43[[#This Row],[Date]])</f>
        <v>12</v>
      </c>
      <c r="N70" s="25">
        <f>DAY(Table43[[#This Row],[Date]])</f>
        <v>8</v>
      </c>
      <c r="O70" s="25" t="str">
        <f>TEXT(DATE(2023,Table43[[#This Row],[Month]],1),"mmm")</f>
        <v>Dec</v>
      </c>
      <c r="P70" s="25"/>
      <c r="Q70" s="25"/>
    </row>
    <row r="71" spans="1:17" x14ac:dyDescent="0.3">
      <c r="A71" s="11">
        <v>70</v>
      </c>
      <c r="B71" s="12">
        <v>45137</v>
      </c>
      <c r="C71" s="13" t="s">
        <v>22</v>
      </c>
      <c r="D71" s="13" t="s">
        <v>22</v>
      </c>
      <c r="E71" s="13" t="s">
        <v>12</v>
      </c>
      <c r="F71" s="13" t="s">
        <v>31</v>
      </c>
      <c r="G71" s="13" t="s">
        <v>39</v>
      </c>
      <c r="H71" s="14">
        <v>4383.75</v>
      </c>
      <c r="I71" s="13">
        <v>1</v>
      </c>
      <c r="J71" s="15">
        <v>918.46</v>
      </c>
      <c r="K71" s="14" t="str" cm="1">
        <f t="array" ref="K71">_xlfn.IFS(Table43[[#This Row],[Sales]]&gt;40000,"Best Sales",Table43[[#This Row],[Sales]]&gt;20000,"Average Sales",Table43[[#This Row],[Sales]]&gt;0,"Poor Sales")</f>
        <v>Poor Sales</v>
      </c>
      <c r="L71" s="23">
        <f>YEAR(Table43[[#This Row],[Date]])</f>
        <v>2023</v>
      </c>
      <c r="M71" s="23">
        <f>MONTH(Table43[[#This Row],[Date]])</f>
        <v>7</v>
      </c>
      <c r="N71" s="25">
        <f>DAY(Table43[[#This Row],[Date]])</f>
        <v>30</v>
      </c>
      <c r="O71" s="25" t="str">
        <f>TEXT(DATE(2023,Table43[[#This Row],[Month]],1),"mmm")</f>
        <v>Jul</v>
      </c>
      <c r="P71" s="25"/>
      <c r="Q71" s="25"/>
    </row>
    <row r="72" spans="1:17" x14ac:dyDescent="0.3">
      <c r="A72" s="6">
        <v>71</v>
      </c>
      <c r="B72" s="7">
        <v>45257</v>
      </c>
      <c r="C72" s="8" t="s">
        <v>30</v>
      </c>
      <c r="D72" s="8" t="s">
        <v>16</v>
      </c>
      <c r="E72" s="8" t="s">
        <v>12</v>
      </c>
      <c r="F72" s="8" t="s">
        <v>13</v>
      </c>
      <c r="G72" s="8" t="s">
        <v>21</v>
      </c>
      <c r="H72" s="9">
        <v>23844.99</v>
      </c>
      <c r="I72" s="8">
        <v>5</v>
      </c>
      <c r="J72" s="10">
        <v>2367.61</v>
      </c>
      <c r="K72" s="14" t="str" cm="1">
        <f t="array" ref="K72">_xlfn.IFS(Table43[[#This Row],[Sales]]&gt;40000,"Best Sales",Table43[[#This Row],[Sales]]&gt;20000,"Average Sales",Table43[[#This Row],[Sales]]&gt;0,"Poor Sales")</f>
        <v>Average Sales</v>
      </c>
      <c r="L72" s="23">
        <f>YEAR(Table43[[#This Row],[Date]])</f>
        <v>2023</v>
      </c>
      <c r="M72" s="23">
        <f>MONTH(Table43[[#This Row],[Date]])</f>
        <v>11</v>
      </c>
      <c r="N72" s="25">
        <f>DAY(Table43[[#This Row],[Date]])</f>
        <v>27</v>
      </c>
      <c r="O72" s="25" t="str">
        <f>TEXT(DATE(2023,Table43[[#This Row],[Month]],1),"mmm")</f>
        <v>Nov</v>
      </c>
      <c r="P72" s="25"/>
      <c r="Q72" s="25"/>
    </row>
    <row r="73" spans="1:17" x14ac:dyDescent="0.3">
      <c r="A73" s="11">
        <v>72</v>
      </c>
      <c r="B73" s="12">
        <v>45214</v>
      </c>
      <c r="C73" s="13" t="s">
        <v>15</v>
      </c>
      <c r="D73" s="13" t="s">
        <v>16</v>
      </c>
      <c r="E73" s="13" t="s">
        <v>17</v>
      </c>
      <c r="F73" s="13" t="s">
        <v>24</v>
      </c>
      <c r="G73" s="13" t="s">
        <v>29</v>
      </c>
      <c r="H73" s="14">
        <v>48504.77</v>
      </c>
      <c r="I73" s="13">
        <v>10</v>
      </c>
      <c r="J73" s="15">
        <v>8679.41</v>
      </c>
      <c r="K73" s="14" t="str" cm="1">
        <f t="array" ref="K73">_xlfn.IFS(Table43[[#This Row],[Sales]]&gt;40000,"Best Sales",Table43[[#This Row],[Sales]]&gt;20000,"Average Sales",Table43[[#This Row],[Sales]]&gt;0,"Poor Sales")</f>
        <v>Best Sales</v>
      </c>
      <c r="L73" s="23">
        <f>YEAR(Table43[[#This Row],[Date]])</f>
        <v>2023</v>
      </c>
      <c r="M73" s="23">
        <f>MONTH(Table43[[#This Row],[Date]])</f>
        <v>10</v>
      </c>
      <c r="N73" s="25">
        <f>DAY(Table43[[#This Row],[Date]])</f>
        <v>15</v>
      </c>
      <c r="O73" s="25" t="str">
        <f>TEXT(DATE(2023,Table43[[#This Row],[Month]],1),"mmm")</f>
        <v>Oct</v>
      </c>
      <c r="P73" s="25"/>
      <c r="Q73" s="25"/>
    </row>
    <row r="74" spans="1:17" x14ac:dyDescent="0.3">
      <c r="A74" s="6">
        <v>73</v>
      </c>
      <c r="B74" s="7">
        <v>45053</v>
      </c>
      <c r="C74" s="8" t="s">
        <v>37</v>
      </c>
      <c r="D74" s="8" t="s">
        <v>27</v>
      </c>
      <c r="E74" s="8" t="s">
        <v>12</v>
      </c>
      <c r="F74" s="8" t="s">
        <v>31</v>
      </c>
      <c r="G74" s="8" t="s">
        <v>32</v>
      </c>
      <c r="H74" s="9">
        <v>10052.780000000001</v>
      </c>
      <c r="I74" s="8">
        <v>8</v>
      </c>
      <c r="J74" s="10">
        <v>2293.2600000000002</v>
      </c>
      <c r="K74" s="14" t="str" cm="1">
        <f t="array" ref="K74">_xlfn.IFS(Table43[[#This Row],[Sales]]&gt;40000,"Best Sales",Table43[[#This Row],[Sales]]&gt;20000,"Average Sales",Table43[[#This Row],[Sales]]&gt;0,"Poor Sales")</f>
        <v>Poor Sales</v>
      </c>
      <c r="L74" s="23">
        <f>YEAR(Table43[[#This Row],[Date]])</f>
        <v>2023</v>
      </c>
      <c r="M74" s="23">
        <f>MONTH(Table43[[#This Row],[Date]])</f>
        <v>5</v>
      </c>
      <c r="N74" s="25">
        <f>DAY(Table43[[#This Row],[Date]])</f>
        <v>7</v>
      </c>
      <c r="O74" s="25" t="str">
        <f>TEXT(DATE(2023,Table43[[#This Row],[Month]],1),"mmm")</f>
        <v>May</v>
      </c>
      <c r="P74" s="25"/>
      <c r="Q74" s="25"/>
    </row>
    <row r="75" spans="1:17" x14ac:dyDescent="0.3">
      <c r="A75" s="11">
        <v>74</v>
      </c>
      <c r="B75" s="12">
        <v>44964</v>
      </c>
      <c r="C75" s="13" t="s">
        <v>37</v>
      </c>
      <c r="D75" s="13" t="s">
        <v>27</v>
      </c>
      <c r="E75" s="13" t="s">
        <v>17</v>
      </c>
      <c r="F75" s="13" t="s">
        <v>13</v>
      </c>
      <c r="G75" s="13" t="s">
        <v>34</v>
      </c>
      <c r="H75" s="14">
        <v>47147.42</v>
      </c>
      <c r="I75" s="13">
        <v>6</v>
      </c>
      <c r="J75" s="15">
        <v>9546.64</v>
      </c>
      <c r="K75" s="14" t="str" cm="1">
        <f t="array" ref="K75">_xlfn.IFS(Table43[[#This Row],[Sales]]&gt;40000,"Best Sales",Table43[[#This Row],[Sales]]&gt;20000,"Average Sales",Table43[[#This Row],[Sales]]&gt;0,"Poor Sales")</f>
        <v>Best Sales</v>
      </c>
      <c r="L75" s="23">
        <f>YEAR(Table43[[#This Row],[Date]])</f>
        <v>2023</v>
      </c>
      <c r="M75" s="23">
        <f>MONTH(Table43[[#This Row],[Date]])</f>
        <v>2</v>
      </c>
      <c r="N75" s="25">
        <f>DAY(Table43[[#This Row],[Date]])</f>
        <v>7</v>
      </c>
      <c r="O75" s="25" t="str">
        <f>TEXT(DATE(2023,Table43[[#This Row],[Month]],1),"mmm")</f>
        <v>Feb</v>
      </c>
      <c r="P75" s="25"/>
      <c r="Q75" s="25"/>
    </row>
    <row r="76" spans="1:17" x14ac:dyDescent="0.3">
      <c r="A76" s="6">
        <v>75</v>
      </c>
      <c r="B76" s="7">
        <v>45109</v>
      </c>
      <c r="C76" s="8" t="s">
        <v>37</v>
      </c>
      <c r="D76" s="8" t="s">
        <v>27</v>
      </c>
      <c r="E76" s="8" t="s">
        <v>20</v>
      </c>
      <c r="F76" s="8" t="s">
        <v>13</v>
      </c>
      <c r="G76" s="8" t="s">
        <v>14</v>
      </c>
      <c r="H76" s="9">
        <v>35496.660000000003</v>
      </c>
      <c r="I76" s="8">
        <v>8</v>
      </c>
      <c r="J76" s="10">
        <v>8170.12</v>
      </c>
      <c r="K76" s="14" t="str" cm="1">
        <f t="array" ref="K76">_xlfn.IFS(Table43[[#This Row],[Sales]]&gt;40000,"Best Sales",Table43[[#This Row],[Sales]]&gt;20000,"Average Sales",Table43[[#This Row],[Sales]]&gt;0,"Poor Sales")</f>
        <v>Average Sales</v>
      </c>
      <c r="L76" s="23">
        <f>YEAR(Table43[[#This Row],[Date]])</f>
        <v>2023</v>
      </c>
      <c r="M76" s="23">
        <f>MONTH(Table43[[#This Row],[Date]])</f>
        <v>7</v>
      </c>
      <c r="N76" s="25">
        <f>DAY(Table43[[#This Row],[Date]])</f>
        <v>2</v>
      </c>
      <c r="O76" s="25" t="str">
        <f>TEXT(DATE(2023,Table43[[#This Row],[Month]],1),"mmm")</f>
        <v>Jul</v>
      </c>
      <c r="P76" s="25"/>
      <c r="Q76" s="25"/>
    </row>
    <row r="77" spans="1:17" x14ac:dyDescent="0.3">
      <c r="A77" s="11">
        <v>76</v>
      </c>
      <c r="B77" s="12">
        <v>45274</v>
      </c>
      <c r="C77" s="13" t="s">
        <v>35</v>
      </c>
      <c r="D77" s="13" t="s">
        <v>36</v>
      </c>
      <c r="E77" s="13" t="s">
        <v>20</v>
      </c>
      <c r="F77" s="13" t="s">
        <v>13</v>
      </c>
      <c r="G77" s="13" t="s">
        <v>34</v>
      </c>
      <c r="H77" s="14">
        <v>33753.199999999997</v>
      </c>
      <c r="I77" s="13">
        <v>9</v>
      </c>
      <c r="J77" s="15">
        <v>4284.71</v>
      </c>
      <c r="K77" s="14" t="str" cm="1">
        <f t="array" ref="K77">_xlfn.IFS(Table43[[#This Row],[Sales]]&gt;40000,"Best Sales",Table43[[#This Row],[Sales]]&gt;20000,"Average Sales",Table43[[#This Row],[Sales]]&gt;0,"Poor Sales")</f>
        <v>Average Sales</v>
      </c>
      <c r="L77" s="23">
        <f>YEAR(Table43[[#This Row],[Date]])</f>
        <v>2023</v>
      </c>
      <c r="M77" s="23">
        <f>MONTH(Table43[[#This Row],[Date]])</f>
        <v>12</v>
      </c>
      <c r="N77" s="25">
        <f>DAY(Table43[[#This Row],[Date]])</f>
        <v>14</v>
      </c>
      <c r="O77" s="25" t="str">
        <f>TEXT(DATE(2023,Table43[[#This Row],[Month]],1),"mmm")</f>
        <v>Dec</v>
      </c>
      <c r="P77" s="25"/>
      <c r="Q77" s="25"/>
    </row>
    <row r="78" spans="1:17" x14ac:dyDescent="0.3">
      <c r="A78" s="6">
        <v>77</v>
      </c>
      <c r="B78" s="7">
        <v>45228</v>
      </c>
      <c r="C78" s="8" t="s">
        <v>35</v>
      </c>
      <c r="D78" s="8" t="s">
        <v>36</v>
      </c>
      <c r="E78" s="8" t="s">
        <v>20</v>
      </c>
      <c r="F78" s="8" t="s">
        <v>31</v>
      </c>
      <c r="G78" s="8" t="s">
        <v>39</v>
      </c>
      <c r="H78" s="9">
        <v>7488.8</v>
      </c>
      <c r="I78" s="8">
        <v>5</v>
      </c>
      <c r="J78" s="10">
        <v>2208.5100000000002</v>
      </c>
      <c r="K78" s="14" t="str" cm="1">
        <f t="array" ref="K78">_xlfn.IFS(Table43[[#This Row],[Sales]]&gt;40000,"Best Sales",Table43[[#This Row],[Sales]]&gt;20000,"Average Sales",Table43[[#This Row],[Sales]]&gt;0,"Poor Sales")</f>
        <v>Poor Sales</v>
      </c>
      <c r="L78" s="23">
        <f>YEAR(Table43[[#This Row],[Date]])</f>
        <v>2023</v>
      </c>
      <c r="M78" s="23">
        <f>MONTH(Table43[[#This Row],[Date]])</f>
        <v>10</v>
      </c>
      <c r="N78" s="25">
        <f>DAY(Table43[[#This Row],[Date]])</f>
        <v>29</v>
      </c>
      <c r="O78" s="25" t="str">
        <f>TEXT(DATE(2023,Table43[[#This Row],[Month]],1),"mmm")</f>
        <v>Oct</v>
      </c>
      <c r="P78" s="25"/>
      <c r="Q78" s="25"/>
    </row>
    <row r="79" spans="1:17" x14ac:dyDescent="0.3">
      <c r="A79" s="11">
        <v>78</v>
      </c>
      <c r="B79" s="12">
        <v>45135</v>
      </c>
      <c r="C79" s="13" t="s">
        <v>22</v>
      </c>
      <c r="D79" s="13" t="s">
        <v>22</v>
      </c>
      <c r="E79" s="13" t="s">
        <v>20</v>
      </c>
      <c r="F79" s="13" t="s">
        <v>13</v>
      </c>
      <c r="G79" s="13" t="s">
        <v>34</v>
      </c>
      <c r="H79" s="14">
        <v>41949.599999999999</v>
      </c>
      <c r="I79" s="13">
        <v>1</v>
      </c>
      <c r="J79" s="15">
        <v>2775.01</v>
      </c>
      <c r="K79" s="14" t="str" cm="1">
        <f t="array" ref="K79">_xlfn.IFS(Table43[[#This Row],[Sales]]&gt;40000,"Best Sales",Table43[[#This Row],[Sales]]&gt;20000,"Average Sales",Table43[[#This Row],[Sales]]&gt;0,"Poor Sales")</f>
        <v>Best Sales</v>
      </c>
      <c r="L79" s="23">
        <f>YEAR(Table43[[#This Row],[Date]])</f>
        <v>2023</v>
      </c>
      <c r="M79" s="23">
        <f>MONTH(Table43[[#This Row],[Date]])</f>
        <v>7</v>
      </c>
      <c r="N79" s="25">
        <f>DAY(Table43[[#This Row],[Date]])</f>
        <v>28</v>
      </c>
      <c r="O79" s="25" t="str">
        <f>TEXT(DATE(2023,Table43[[#This Row],[Month]],1),"mmm")</f>
        <v>Jul</v>
      </c>
      <c r="P79" s="25"/>
      <c r="Q79" s="25"/>
    </row>
    <row r="80" spans="1:17" x14ac:dyDescent="0.3">
      <c r="A80" s="6">
        <v>79</v>
      </c>
      <c r="B80" s="7">
        <v>45008</v>
      </c>
      <c r="C80" s="8" t="s">
        <v>26</v>
      </c>
      <c r="D80" s="8" t="s">
        <v>27</v>
      </c>
      <c r="E80" s="8" t="s">
        <v>20</v>
      </c>
      <c r="F80" s="8" t="s">
        <v>24</v>
      </c>
      <c r="G80" s="8" t="s">
        <v>29</v>
      </c>
      <c r="H80" s="9">
        <v>34219.17</v>
      </c>
      <c r="I80" s="8">
        <v>5</v>
      </c>
      <c r="J80" s="10">
        <v>6904.79</v>
      </c>
      <c r="K80" s="14" t="str" cm="1">
        <f t="array" ref="K80">_xlfn.IFS(Table43[[#This Row],[Sales]]&gt;40000,"Best Sales",Table43[[#This Row],[Sales]]&gt;20000,"Average Sales",Table43[[#This Row],[Sales]]&gt;0,"Poor Sales")</f>
        <v>Average Sales</v>
      </c>
      <c r="L80" s="23">
        <f>YEAR(Table43[[#This Row],[Date]])</f>
        <v>2023</v>
      </c>
      <c r="M80" s="23">
        <f>MONTH(Table43[[#This Row],[Date]])</f>
        <v>3</v>
      </c>
      <c r="N80" s="25">
        <f>DAY(Table43[[#This Row],[Date]])</f>
        <v>23</v>
      </c>
      <c r="O80" s="25" t="str">
        <f>TEXT(DATE(2023,Table43[[#This Row],[Month]],1),"mmm")</f>
        <v>Mar</v>
      </c>
      <c r="P80" s="25"/>
      <c r="Q80" s="25"/>
    </row>
    <row r="81" spans="1:17" x14ac:dyDescent="0.3">
      <c r="A81" s="11">
        <v>80</v>
      </c>
      <c r="B81" s="12">
        <v>45057</v>
      </c>
      <c r="C81" s="13" t="s">
        <v>30</v>
      </c>
      <c r="D81" s="13" t="s">
        <v>16</v>
      </c>
      <c r="E81" s="13" t="s">
        <v>20</v>
      </c>
      <c r="F81" s="13" t="s">
        <v>13</v>
      </c>
      <c r="G81" s="13" t="s">
        <v>21</v>
      </c>
      <c r="H81" s="14">
        <v>18981.490000000002</v>
      </c>
      <c r="I81" s="13">
        <v>2</v>
      </c>
      <c r="J81" s="15">
        <v>4601.25</v>
      </c>
      <c r="K81" s="14" t="str" cm="1">
        <f t="array" ref="K81">_xlfn.IFS(Table43[[#This Row],[Sales]]&gt;40000,"Best Sales",Table43[[#This Row],[Sales]]&gt;20000,"Average Sales",Table43[[#This Row],[Sales]]&gt;0,"Poor Sales")</f>
        <v>Poor Sales</v>
      </c>
      <c r="L81" s="23">
        <f>YEAR(Table43[[#This Row],[Date]])</f>
        <v>2023</v>
      </c>
      <c r="M81" s="23">
        <f>MONTH(Table43[[#This Row],[Date]])</f>
        <v>5</v>
      </c>
      <c r="N81" s="25">
        <f>DAY(Table43[[#This Row],[Date]])</f>
        <v>11</v>
      </c>
      <c r="O81" s="25" t="str">
        <f>TEXT(DATE(2023,Table43[[#This Row],[Month]],1),"mmm")</f>
        <v>May</v>
      </c>
      <c r="P81" s="25"/>
      <c r="Q81" s="25"/>
    </row>
    <row r="82" spans="1:17" x14ac:dyDescent="0.3">
      <c r="A82" s="6">
        <v>81</v>
      </c>
      <c r="B82" s="7">
        <v>45074</v>
      </c>
      <c r="C82" s="8" t="s">
        <v>38</v>
      </c>
      <c r="D82" s="8" t="s">
        <v>27</v>
      </c>
      <c r="E82" s="8" t="s">
        <v>20</v>
      </c>
      <c r="F82" s="8" t="s">
        <v>13</v>
      </c>
      <c r="G82" s="8" t="s">
        <v>34</v>
      </c>
      <c r="H82" s="9">
        <v>13262.03</v>
      </c>
      <c r="I82" s="8">
        <v>3</v>
      </c>
      <c r="J82" s="10">
        <v>1704.76</v>
      </c>
      <c r="K82" s="14" t="str" cm="1">
        <f t="array" ref="K82">_xlfn.IFS(Table43[[#This Row],[Sales]]&gt;40000,"Best Sales",Table43[[#This Row],[Sales]]&gt;20000,"Average Sales",Table43[[#This Row],[Sales]]&gt;0,"Poor Sales")</f>
        <v>Poor Sales</v>
      </c>
      <c r="L82" s="23">
        <f>YEAR(Table43[[#This Row],[Date]])</f>
        <v>2023</v>
      </c>
      <c r="M82" s="23">
        <f>MONTH(Table43[[#This Row],[Date]])</f>
        <v>5</v>
      </c>
      <c r="N82" s="25">
        <f>DAY(Table43[[#This Row],[Date]])</f>
        <v>28</v>
      </c>
      <c r="O82" s="25" t="str">
        <f>TEXT(DATE(2023,Table43[[#This Row],[Month]],1),"mmm")</f>
        <v>May</v>
      </c>
      <c r="P82" s="25"/>
      <c r="Q82" s="25"/>
    </row>
    <row r="83" spans="1:17" x14ac:dyDescent="0.3">
      <c r="A83" s="11">
        <v>82</v>
      </c>
      <c r="B83" s="12">
        <v>45007</v>
      </c>
      <c r="C83" s="13" t="s">
        <v>30</v>
      </c>
      <c r="D83" s="13" t="s">
        <v>16</v>
      </c>
      <c r="E83" s="13" t="s">
        <v>20</v>
      </c>
      <c r="F83" s="13" t="s">
        <v>31</v>
      </c>
      <c r="G83" s="13" t="s">
        <v>33</v>
      </c>
      <c r="H83" s="14">
        <v>28533.71</v>
      </c>
      <c r="I83" s="13">
        <v>7</v>
      </c>
      <c r="J83" s="15">
        <v>5376.75</v>
      </c>
      <c r="K83" s="14" t="str" cm="1">
        <f t="array" ref="K83">_xlfn.IFS(Table43[[#This Row],[Sales]]&gt;40000,"Best Sales",Table43[[#This Row],[Sales]]&gt;20000,"Average Sales",Table43[[#This Row],[Sales]]&gt;0,"Poor Sales")</f>
        <v>Average Sales</v>
      </c>
      <c r="L83" s="23">
        <f>YEAR(Table43[[#This Row],[Date]])</f>
        <v>2023</v>
      </c>
      <c r="M83" s="23">
        <f>MONTH(Table43[[#This Row],[Date]])</f>
        <v>3</v>
      </c>
      <c r="N83" s="25">
        <f>DAY(Table43[[#This Row],[Date]])</f>
        <v>22</v>
      </c>
      <c r="O83" s="25" t="str">
        <f>TEXT(DATE(2023,Table43[[#This Row],[Month]],1),"mmm")</f>
        <v>Mar</v>
      </c>
      <c r="P83" s="25"/>
      <c r="Q83" s="25"/>
    </row>
    <row r="84" spans="1:17" x14ac:dyDescent="0.3">
      <c r="A84" s="6">
        <v>83</v>
      </c>
      <c r="B84" s="7">
        <v>45065</v>
      </c>
      <c r="C84" s="8" t="s">
        <v>38</v>
      </c>
      <c r="D84" s="8" t="s">
        <v>27</v>
      </c>
      <c r="E84" s="8" t="s">
        <v>20</v>
      </c>
      <c r="F84" s="8" t="s">
        <v>31</v>
      </c>
      <c r="G84" s="8" t="s">
        <v>32</v>
      </c>
      <c r="H84" s="9">
        <v>23050.22</v>
      </c>
      <c r="I84" s="8">
        <v>9</v>
      </c>
      <c r="J84" s="10">
        <v>3097.82</v>
      </c>
      <c r="K84" s="14" t="str" cm="1">
        <f t="array" ref="K84">_xlfn.IFS(Table43[[#This Row],[Sales]]&gt;40000,"Best Sales",Table43[[#This Row],[Sales]]&gt;20000,"Average Sales",Table43[[#This Row],[Sales]]&gt;0,"Poor Sales")</f>
        <v>Average Sales</v>
      </c>
      <c r="L84" s="23">
        <f>YEAR(Table43[[#This Row],[Date]])</f>
        <v>2023</v>
      </c>
      <c r="M84" s="23">
        <f>MONTH(Table43[[#This Row],[Date]])</f>
        <v>5</v>
      </c>
      <c r="N84" s="25">
        <f>DAY(Table43[[#This Row],[Date]])</f>
        <v>19</v>
      </c>
      <c r="O84" s="25" t="str">
        <f>TEXT(DATE(2023,Table43[[#This Row],[Month]],1),"mmm")</f>
        <v>May</v>
      </c>
      <c r="P84" s="25"/>
      <c r="Q84" s="25"/>
    </row>
    <row r="85" spans="1:17" x14ac:dyDescent="0.3">
      <c r="A85" s="11">
        <v>84</v>
      </c>
      <c r="B85" s="12">
        <v>45083</v>
      </c>
      <c r="C85" s="13" t="s">
        <v>22</v>
      </c>
      <c r="D85" s="13" t="s">
        <v>22</v>
      </c>
      <c r="E85" s="13" t="s">
        <v>20</v>
      </c>
      <c r="F85" s="13" t="s">
        <v>13</v>
      </c>
      <c r="G85" s="13" t="s">
        <v>34</v>
      </c>
      <c r="H85" s="14">
        <v>5628.94</v>
      </c>
      <c r="I85" s="13">
        <v>10</v>
      </c>
      <c r="J85" s="15">
        <v>502.11</v>
      </c>
      <c r="K85" s="14" t="str" cm="1">
        <f t="array" ref="K85">_xlfn.IFS(Table43[[#This Row],[Sales]]&gt;40000,"Best Sales",Table43[[#This Row],[Sales]]&gt;20000,"Average Sales",Table43[[#This Row],[Sales]]&gt;0,"Poor Sales")</f>
        <v>Poor Sales</v>
      </c>
      <c r="L85" s="23">
        <f>YEAR(Table43[[#This Row],[Date]])</f>
        <v>2023</v>
      </c>
      <c r="M85" s="23">
        <f>MONTH(Table43[[#This Row],[Date]])</f>
        <v>6</v>
      </c>
      <c r="N85" s="25">
        <f>DAY(Table43[[#This Row],[Date]])</f>
        <v>6</v>
      </c>
      <c r="O85" s="25" t="str">
        <f>TEXT(DATE(2023,Table43[[#This Row],[Month]],1),"mmm")</f>
        <v>Jun</v>
      </c>
      <c r="P85" s="25"/>
      <c r="Q85" s="25"/>
    </row>
    <row r="86" spans="1:17" x14ac:dyDescent="0.3">
      <c r="A86" s="6">
        <v>85</v>
      </c>
      <c r="B86" s="7">
        <v>45094</v>
      </c>
      <c r="C86" s="8" t="s">
        <v>26</v>
      </c>
      <c r="D86" s="8" t="s">
        <v>27</v>
      </c>
      <c r="E86" s="8" t="s">
        <v>20</v>
      </c>
      <c r="F86" s="8" t="s">
        <v>13</v>
      </c>
      <c r="G86" s="8" t="s">
        <v>34</v>
      </c>
      <c r="H86" s="9">
        <v>24580.28</v>
      </c>
      <c r="I86" s="8">
        <v>4</v>
      </c>
      <c r="J86" s="10">
        <v>4569.32</v>
      </c>
      <c r="K86" s="14" t="str" cm="1">
        <f t="array" ref="K86">_xlfn.IFS(Table43[[#This Row],[Sales]]&gt;40000,"Best Sales",Table43[[#This Row],[Sales]]&gt;20000,"Average Sales",Table43[[#This Row],[Sales]]&gt;0,"Poor Sales")</f>
        <v>Average Sales</v>
      </c>
      <c r="L86" s="23">
        <f>YEAR(Table43[[#This Row],[Date]])</f>
        <v>2023</v>
      </c>
      <c r="M86" s="23">
        <f>MONTH(Table43[[#This Row],[Date]])</f>
        <v>6</v>
      </c>
      <c r="N86" s="25">
        <f>DAY(Table43[[#This Row],[Date]])</f>
        <v>17</v>
      </c>
      <c r="O86" s="25" t="str">
        <f>TEXT(DATE(2023,Table43[[#This Row],[Month]],1),"mmm")</f>
        <v>Jun</v>
      </c>
      <c r="P86" s="25"/>
      <c r="Q86" s="25"/>
    </row>
    <row r="87" spans="1:17" x14ac:dyDescent="0.3">
      <c r="A87" s="11">
        <v>86</v>
      </c>
      <c r="B87" s="12">
        <v>45167</v>
      </c>
      <c r="C87" s="13" t="s">
        <v>15</v>
      </c>
      <c r="D87" s="13" t="s">
        <v>16</v>
      </c>
      <c r="E87" s="13" t="s">
        <v>20</v>
      </c>
      <c r="F87" s="13" t="s">
        <v>31</v>
      </c>
      <c r="G87" s="13" t="s">
        <v>33</v>
      </c>
      <c r="H87" s="14">
        <v>5581.58</v>
      </c>
      <c r="I87" s="13">
        <v>4</v>
      </c>
      <c r="J87" s="15">
        <v>1382.81</v>
      </c>
      <c r="K87" s="14" t="str" cm="1">
        <f t="array" ref="K87">_xlfn.IFS(Table43[[#This Row],[Sales]]&gt;40000,"Best Sales",Table43[[#This Row],[Sales]]&gt;20000,"Average Sales",Table43[[#This Row],[Sales]]&gt;0,"Poor Sales")</f>
        <v>Poor Sales</v>
      </c>
      <c r="L87" s="23">
        <f>YEAR(Table43[[#This Row],[Date]])</f>
        <v>2023</v>
      </c>
      <c r="M87" s="23">
        <f>MONTH(Table43[[#This Row],[Date]])</f>
        <v>8</v>
      </c>
      <c r="N87" s="25">
        <f>DAY(Table43[[#This Row],[Date]])</f>
        <v>29</v>
      </c>
      <c r="O87" s="25" t="str">
        <f>TEXT(DATE(2023,Table43[[#This Row],[Month]],1),"mmm")</f>
        <v>Aug</v>
      </c>
      <c r="P87" s="25"/>
      <c r="Q87" s="25"/>
    </row>
    <row r="88" spans="1:17" x14ac:dyDescent="0.3">
      <c r="A88" s="6">
        <v>87</v>
      </c>
      <c r="B88" s="7">
        <v>45180</v>
      </c>
      <c r="C88" s="8" t="s">
        <v>38</v>
      </c>
      <c r="D88" s="8" t="s">
        <v>27</v>
      </c>
      <c r="E88" s="8" t="s">
        <v>20</v>
      </c>
      <c r="F88" s="8" t="s">
        <v>24</v>
      </c>
      <c r="G88" s="8" t="s">
        <v>28</v>
      </c>
      <c r="H88" s="9">
        <v>42628.71</v>
      </c>
      <c r="I88" s="8">
        <v>2</v>
      </c>
      <c r="J88" s="10">
        <v>12647.05</v>
      </c>
      <c r="K88" s="14" t="str" cm="1">
        <f t="array" ref="K88">_xlfn.IFS(Table43[[#This Row],[Sales]]&gt;40000,"Best Sales",Table43[[#This Row],[Sales]]&gt;20000,"Average Sales",Table43[[#This Row],[Sales]]&gt;0,"Poor Sales")</f>
        <v>Best Sales</v>
      </c>
      <c r="L88" s="23">
        <f>YEAR(Table43[[#This Row],[Date]])</f>
        <v>2023</v>
      </c>
      <c r="M88" s="23">
        <f>MONTH(Table43[[#This Row],[Date]])</f>
        <v>9</v>
      </c>
      <c r="N88" s="25">
        <f>DAY(Table43[[#This Row],[Date]])</f>
        <v>11</v>
      </c>
      <c r="O88" s="25" t="str">
        <f>TEXT(DATE(2023,Table43[[#This Row],[Month]],1),"mmm")</f>
        <v>Sep</v>
      </c>
      <c r="P88" s="25"/>
      <c r="Q88" s="25"/>
    </row>
    <row r="89" spans="1:17" x14ac:dyDescent="0.3">
      <c r="A89" s="11">
        <v>88</v>
      </c>
      <c r="B89" s="12">
        <v>45026</v>
      </c>
      <c r="C89" s="13" t="s">
        <v>26</v>
      </c>
      <c r="D89" s="13" t="s">
        <v>27</v>
      </c>
      <c r="E89" s="13" t="s">
        <v>20</v>
      </c>
      <c r="F89" s="13" t="s">
        <v>24</v>
      </c>
      <c r="G89" s="13" t="s">
        <v>25</v>
      </c>
      <c r="H89" s="14">
        <v>36936.449999999997</v>
      </c>
      <c r="I89" s="13">
        <v>1</v>
      </c>
      <c r="J89" s="15">
        <v>1871.1</v>
      </c>
      <c r="K89" s="14" t="str" cm="1">
        <f t="array" ref="K89">_xlfn.IFS(Table43[[#This Row],[Sales]]&gt;40000,"Best Sales",Table43[[#This Row],[Sales]]&gt;20000,"Average Sales",Table43[[#This Row],[Sales]]&gt;0,"Poor Sales")</f>
        <v>Average Sales</v>
      </c>
      <c r="L89" s="23">
        <f>YEAR(Table43[[#This Row],[Date]])</f>
        <v>2023</v>
      </c>
      <c r="M89" s="23">
        <f>MONTH(Table43[[#This Row],[Date]])</f>
        <v>4</v>
      </c>
      <c r="N89" s="25">
        <f>DAY(Table43[[#This Row],[Date]])</f>
        <v>10</v>
      </c>
      <c r="O89" s="25" t="str">
        <f>TEXT(DATE(2023,Table43[[#This Row],[Month]],1),"mmm")</f>
        <v>Apr</v>
      </c>
      <c r="P89" s="25"/>
      <c r="Q89" s="25"/>
    </row>
    <row r="90" spans="1:17" x14ac:dyDescent="0.3">
      <c r="A90" s="6">
        <v>89</v>
      </c>
      <c r="B90" s="7">
        <v>45154</v>
      </c>
      <c r="C90" s="8" t="s">
        <v>10</v>
      </c>
      <c r="D90" s="8" t="s">
        <v>11</v>
      </c>
      <c r="E90" s="8" t="s">
        <v>20</v>
      </c>
      <c r="F90" s="8" t="s">
        <v>13</v>
      </c>
      <c r="G90" s="8" t="s">
        <v>34</v>
      </c>
      <c r="H90" s="9">
        <v>49161.73</v>
      </c>
      <c r="I90" s="8">
        <v>4</v>
      </c>
      <c r="J90" s="10">
        <v>11453.36</v>
      </c>
      <c r="K90" s="14" t="str" cm="1">
        <f t="array" ref="K90">_xlfn.IFS(Table43[[#This Row],[Sales]]&gt;40000,"Best Sales",Table43[[#This Row],[Sales]]&gt;20000,"Average Sales",Table43[[#This Row],[Sales]]&gt;0,"Poor Sales")</f>
        <v>Best Sales</v>
      </c>
      <c r="L90" s="23">
        <f>YEAR(Table43[[#This Row],[Date]])</f>
        <v>2023</v>
      </c>
      <c r="M90" s="23">
        <f>MONTH(Table43[[#This Row],[Date]])</f>
        <v>8</v>
      </c>
      <c r="N90" s="25">
        <f>DAY(Table43[[#This Row],[Date]])</f>
        <v>16</v>
      </c>
      <c r="O90" s="25" t="str">
        <f>TEXT(DATE(2023,Table43[[#This Row],[Month]],1),"mmm")</f>
        <v>Aug</v>
      </c>
      <c r="P90" s="25"/>
      <c r="Q90" s="25"/>
    </row>
    <row r="91" spans="1:17" x14ac:dyDescent="0.3">
      <c r="A91" s="11">
        <v>90</v>
      </c>
      <c r="B91" s="12">
        <v>45256</v>
      </c>
      <c r="C91" s="13" t="s">
        <v>18</v>
      </c>
      <c r="D91" s="13" t="s">
        <v>19</v>
      </c>
      <c r="E91" s="13" t="s">
        <v>20</v>
      </c>
      <c r="F91" s="13" t="s">
        <v>24</v>
      </c>
      <c r="G91" s="13" t="s">
        <v>28</v>
      </c>
      <c r="H91" s="14">
        <v>2971.97</v>
      </c>
      <c r="I91" s="13">
        <v>4</v>
      </c>
      <c r="J91" s="15">
        <v>387.64</v>
      </c>
      <c r="K91" s="14" t="str" cm="1">
        <f t="array" ref="K91">_xlfn.IFS(Table43[[#This Row],[Sales]]&gt;40000,"Best Sales",Table43[[#This Row],[Sales]]&gt;20000,"Average Sales",Table43[[#This Row],[Sales]]&gt;0,"Poor Sales")</f>
        <v>Poor Sales</v>
      </c>
      <c r="L91" s="23">
        <f>YEAR(Table43[[#This Row],[Date]])</f>
        <v>2023</v>
      </c>
      <c r="M91" s="23">
        <f>MONTH(Table43[[#This Row],[Date]])</f>
        <v>11</v>
      </c>
      <c r="N91" s="25">
        <f>DAY(Table43[[#This Row],[Date]])</f>
        <v>26</v>
      </c>
      <c r="O91" s="25" t="str">
        <f>TEXT(DATE(2023,Table43[[#This Row],[Month]],1),"mmm")</f>
        <v>Nov</v>
      </c>
      <c r="P91" s="25"/>
      <c r="Q91" s="25"/>
    </row>
    <row r="92" spans="1:17" x14ac:dyDescent="0.3">
      <c r="A92" s="6">
        <v>91</v>
      </c>
      <c r="B92" s="7">
        <v>45221</v>
      </c>
      <c r="C92" s="8" t="s">
        <v>26</v>
      </c>
      <c r="D92" s="8" t="s">
        <v>27</v>
      </c>
      <c r="E92" s="8" t="s">
        <v>20</v>
      </c>
      <c r="F92" s="8" t="s">
        <v>31</v>
      </c>
      <c r="G92" s="8" t="s">
        <v>33</v>
      </c>
      <c r="H92" s="9">
        <v>45280.43</v>
      </c>
      <c r="I92" s="8">
        <v>8</v>
      </c>
      <c r="J92" s="10">
        <v>5426.84</v>
      </c>
      <c r="K92" s="14" t="str" cm="1">
        <f t="array" ref="K92">_xlfn.IFS(Table43[[#This Row],[Sales]]&gt;40000,"Best Sales",Table43[[#This Row],[Sales]]&gt;20000,"Average Sales",Table43[[#This Row],[Sales]]&gt;0,"Poor Sales")</f>
        <v>Best Sales</v>
      </c>
      <c r="L92" s="23">
        <f>YEAR(Table43[[#This Row],[Date]])</f>
        <v>2023</v>
      </c>
      <c r="M92" s="23">
        <f>MONTH(Table43[[#This Row],[Date]])</f>
        <v>10</v>
      </c>
      <c r="N92" s="25">
        <f>DAY(Table43[[#This Row],[Date]])</f>
        <v>22</v>
      </c>
      <c r="O92" s="25" t="str">
        <f>TEXT(DATE(2023,Table43[[#This Row],[Month]],1),"mmm")</f>
        <v>Oct</v>
      </c>
      <c r="P92" s="25"/>
      <c r="Q92" s="25"/>
    </row>
    <row r="93" spans="1:17" x14ac:dyDescent="0.3">
      <c r="A93" s="11">
        <v>92</v>
      </c>
      <c r="B93" s="12">
        <v>44956</v>
      </c>
      <c r="C93" s="13" t="s">
        <v>22</v>
      </c>
      <c r="D93" s="13" t="s">
        <v>22</v>
      </c>
      <c r="E93" s="13" t="s">
        <v>20</v>
      </c>
      <c r="F93" s="13" t="s">
        <v>13</v>
      </c>
      <c r="G93" s="13" t="s">
        <v>14</v>
      </c>
      <c r="H93" s="14">
        <v>15117.73</v>
      </c>
      <c r="I93" s="13">
        <v>1</v>
      </c>
      <c r="J93" s="15">
        <v>3245</v>
      </c>
      <c r="K93" s="14" t="str" cm="1">
        <f t="array" ref="K93">_xlfn.IFS(Table43[[#This Row],[Sales]]&gt;40000,"Best Sales",Table43[[#This Row],[Sales]]&gt;20000,"Average Sales",Table43[[#This Row],[Sales]]&gt;0,"Poor Sales")</f>
        <v>Poor Sales</v>
      </c>
      <c r="L93" s="23">
        <f>YEAR(Table43[[#This Row],[Date]])</f>
        <v>2023</v>
      </c>
      <c r="M93" s="23">
        <f>MONTH(Table43[[#This Row],[Date]])</f>
        <v>1</v>
      </c>
      <c r="N93" s="25">
        <f>DAY(Table43[[#This Row],[Date]])</f>
        <v>30</v>
      </c>
      <c r="O93" s="25" t="str">
        <f>TEXT(DATE(2023,Table43[[#This Row],[Month]],1),"mmm")</f>
        <v>Jan</v>
      </c>
      <c r="P93" s="25"/>
      <c r="Q93" s="25"/>
    </row>
    <row r="94" spans="1:17" x14ac:dyDescent="0.3">
      <c r="A94" s="6">
        <v>93</v>
      </c>
      <c r="B94" s="7">
        <v>45211</v>
      </c>
      <c r="C94" s="8" t="s">
        <v>15</v>
      </c>
      <c r="D94" s="8" t="s">
        <v>16</v>
      </c>
      <c r="E94" s="8" t="s">
        <v>20</v>
      </c>
      <c r="F94" s="8" t="s">
        <v>31</v>
      </c>
      <c r="G94" s="8" t="s">
        <v>39</v>
      </c>
      <c r="H94" s="9">
        <v>17343.349999999999</v>
      </c>
      <c r="I94" s="8">
        <v>4</v>
      </c>
      <c r="J94" s="10">
        <v>3930.83</v>
      </c>
      <c r="K94" s="14" t="str" cm="1">
        <f t="array" ref="K94">_xlfn.IFS(Table43[[#This Row],[Sales]]&gt;40000,"Best Sales",Table43[[#This Row],[Sales]]&gt;20000,"Average Sales",Table43[[#This Row],[Sales]]&gt;0,"Poor Sales")</f>
        <v>Poor Sales</v>
      </c>
      <c r="L94" s="23">
        <f>YEAR(Table43[[#This Row],[Date]])</f>
        <v>2023</v>
      </c>
      <c r="M94" s="23">
        <f>MONTH(Table43[[#This Row],[Date]])</f>
        <v>10</v>
      </c>
      <c r="N94" s="25">
        <f>DAY(Table43[[#This Row],[Date]])</f>
        <v>12</v>
      </c>
      <c r="O94" s="25" t="str">
        <f>TEXT(DATE(2023,Table43[[#This Row],[Month]],1),"mmm")</f>
        <v>Oct</v>
      </c>
      <c r="P94" s="25"/>
      <c r="Q94" s="25"/>
    </row>
    <row r="95" spans="1:17" x14ac:dyDescent="0.3">
      <c r="A95" s="11">
        <v>94</v>
      </c>
      <c r="B95" s="12">
        <v>45080</v>
      </c>
      <c r="C95" s="13" t="s">
        <v>38</v>
      </c>
      <c r="D95" s="13" t="s">
        <v>27</v>
      </c>
      <c r="E95" s="13" t="s">
        <v>20</v>
      </c>
      <c r="F95" s="13" t="s">
        <v>13</v>
      </c>
      <c r="G95" s="13" t="s">
        <v>34</v>
      </c>
      <c r="H95" s="14">
        <v>20412.259999999998</v>
      </c>
      <c r="I95" s="13">
        <v>9</v>
      </c>
      <c r="J95" s="15">
        <v>4042.76</v>
      </c>
      <c r="K95" s="14" t="str" cm="1">
        <f t="array" ref="K95">_xlfn.IFS(Table43[[#This Row],[Sales]]&gt;40000,"Best Sales",Table43[[#This Row],[Sales]]&gt;20000,"Average Sales",Table43[[#This Row],[Sales]]&gt;0,"Poor Sales")</f>
        <v>Average Sales</v>
      </c>
      <c r="L95" s="23">
        <f>YEAR(Table43[[#This Row],[Date]])</f>
        <v>2023</v>
      </c>
      <c r="M95" s="23">
        <f>MONTH(Table43[[#This Row],[Date]])</f>
        <v>6</v>
      </c>
      <c r="N95" s="25">
        <f>DAY(Table43[[#This Row],[Date]])</f>
        <v>3</v>
      </c>
      <c r="O95" s="25" t="str">
        <f>TEXT(DATE(2023,Table43[[#This Row],[Month]],1),"mmm")</f>
        <v>Jun</v>
      </c>
      <c r="P95" s="25"/>
      <c r="Q95" s="25"/>
    </row>
    <row r="96" spans="1:17" x14ac:dyDescent="0.3">
      <c r="A96" s="6">
        <v>95</v>
      </c>
      <c r="B96" s="7">
        <v>45237</v>
      </c>
      <c r="C96" s="8" t="s">
        <v>10</v>
      </c>
      <c r="D96" s="8" t="s">
        <v>11</v>
      </c>
      <c r="E96" s="8" t="s">
        <v>20</v>
      </c>
      <c r="F96" s="8" t="s">
        <v>31</v>
      </c>
      <c r="G96" s="8" t="s">
        <v>33</v>
      </c>
      <c r="H96" s="9">
        <v>43100.75</v>
      </c>
      <c r="I96" s="8">
        <v>3</v>
      </c>
      <c r="J96" s="10">
        <v>7277.93</v>
      </c>
      <c r="K96" s="14" t="str" cm="1">
        <f t="array" ref="K96">_xlfn.IFS(Table43[[#This Row],[Sales]]&gt;40000,"Best Sales",Table43[[#This Row],[Sales]]&gt;20000,"Average Sales",Table43[[#This Row],[Sales]]&gt;0,"Poor Sales")</f>
        <v>Best Sales</v>
      </c>
      <c r="L96" s="23">
        <f>YEAR(Table43[[#This Row],[Date]])</f>
        <v>2023</v>
      </c>
      <c r="M96" s="23">
        <f>MONTH(Table43[[#This Row],[Date]])</f>
        <v>11</v>
      </c>
      <c r="N96" s="25">
        <f>DAY(Table43[[#This Row],[Date]])</f>
        <v>7</v>
      </c>
      <c r="O96" s="25" t="str">
        <f>TEXT(DATE(2023,Table43[[#This Row],[Month]],1),"mmm")</f>
        <v>Nov</v>
      </c>
      <c r="P96" s="25"/>
      <c r="Q96" s="25"/>
    </row>
    <row r="97" spans="1:17" x14ac:dyDescent="0.3">
      <c r="A97" s="11">
        <v>96</v>
      </c>
      <c r="B97" s="12">
        <v>45167</v>
      </c>
      <c r="C97" s="13" t="s">
        <v>22</v>
      </c>
      <c r="D97" s="13" t="s">
        <v>22</v>
      </c>
      <c r="E97" s="13" t="s">
        <v>20</v>
      </c>
      <c r="F97" s="13" t="s">
        <v>24</v>
      </c>
      <c r="G97" s="13" t="s">
        <v>25</v>
      </c>
      <c r="H97" s="14">
        <v>33221.47</v>
      </c>
      <c r="I97" s="13">
        <v>2</v>
      </c>
      <c r="J97" s="15">
        <v>8139.07</v>
      </c>
      <c r="K97" s="14" t="str" cm="1">
        <f t="array" ref="K97">_xlfn.IFS(Table43[[#This Row],[Sales]]&gt;40000,"Best Sales",Table43[[#This Row],[Sales]]&gt;20000,"Average Sales",Table43[[#This Row],[Sales]]&gt;0,"Poor Sales")</f>
        <v>Average Sales</v>
      </c>
      <c r="L97" s="23">
        <f>YEAR(Table43[[#This Row],[Date]])</f>
        <v>2023</v>
      </c>
      <c r="M97" s="23">
        <f>MONTH(Table43[[#This Row],[Date]])</f>
        <v>8</v>
      </c>
      <c r="N97" s="25">
        <f>DAY(Table43[[#This Row],[Date]])</f>
        <v>29</v>
      </c>
      <c r="O97" s="25" t="str">
        <f>TEXT(DATE(2023,Table43[[#This Row],[Month]],1),"mmm")</f>
        <v>Aug</v>
      </c>
      <c r="P97" s="25"/>
      <c r="Q97" s="25"/>
    </row>
    <row r="98" spans="1:17" x14ac:dyDescent="0.3">
      <c r="A98" s="6">
        <v>97</v>
      </c>
      <c r="B98" s="7">
        <v>45145</v>
      </c>
      <c r="C98" s="8" t="s">
        <v>15</v>
      </c>
      <c r="D98" s="8" t="s">
        <v>16</v>
      </c>
      <c r="E98" s="8" t="s">
        <v>20</v>
      </c>
      <c r="F98" s="8" t="s">
        <v>31</v>
      </c>
      <c r="G98" s="8" t="s">
        <v>33</v>
      </c>
      <c r="H98" s="9">
        <v>27420.6</v>
      </c>
      <c r="I98" s="8">
        <v>1</v>
      </c>
      <c r="J98" s="10">
        <v>3380.25</v>
      </c>
      <c r="K98" s="14" t="str" cm="1">
        <f t="array" ref="K98">_xlfn.IFS(Table43[[#This Row],[Sales]]&gt;40000,"Best Sales",Table43[[#This Row],[Sales]]&gt;20000,"Average Sales",Table43[[#This Row],[Sales]]&gt;0,"Poor Sales")</f>
        <v>Average Sales</v>
      </c>
      <c r="L98" s="23">
        <f>YEAR(Table43[[#This Row],[Date]])</f>
        <v>2023</v>
      </c>
      <c r="M98" s="23">
        <f>MONTH(Table43[[#This Row],[Date]])</f>
        <v>8</v>
      </c>
      <c r="N98" s="25">
        <f>DAY(Table43[[#This Row],[Date]])</f>
        <v>7</v>
      </c>
      <c r="O98" s="25" t="str">
        <f>TEXT(DATE(2023,Table43[[#This Row],[Month]],1),"mmm")</f>
        <v>Aug</v>
      </c>
      <c r="P98" s="25"/>
      <c r="Q98" s="25"/>
    </row>
    <row r="99" spans="1:17" x14ac:dyDescent="0.3">
      <c r="A99" s="11">
        <v>98</v>
      </c>
      <c r="B99" s="12">
        <v>45151</v>
      </c>
      <c r="C99" s="13" t="s">
        <v>18</v>
      </c>
      <c r="D99" s="13" t="s">
        <v>19</v>
      </c>
      <c r="E99" s="13" t="s">
        <v>20</v>
      </c>
      <c r="F99" s="13" t="s">
        <v>13</v>
      </c>
      <c r="G99" s="13" t="s">
        <v>21</v>
      </c>
      <c r="H99" s="14">
        <v>41720.79</v>
      </c>
      <c r="I99" s="13">
        <v>9</v>
      </c>
      <c r="J99" s="15">
        <v>7269.45</v>
      </c>
      <c r="K99" s="14" t="str" cm="1">
        <f t="array" ref="K99">_xlfn.IFS(Table43[[#This Row],[Sales]]&gt;40000,"Best Sales",Table43[[#This Row],[Sales]]&gt;20000,"Average Sales",Table43[[#This Row],[Sales]]&gt;0,"Poor Sales")</f>
        <v>Best Sales</v>
      </c>
      <c r="L99" s="23">
        <f>YEAR(Table43[[#This Row],[Date]])</f>
        <v>2023</v>
      </c>
      <c r="M99" s="23">
        <f>MONTH(Table43[[#This Row],[Date]])</f>
        <v>8</v>
      </c>
      <c r="N99" s="25">
        <f>DAY(Table43[[#This Row],[Date]])</f>
        <v>13</v>
      </c>
      <c r="O99" s="25" t="str">
        <f>TEXT(DATE(2023,Table43[[#This Row],[Month]],1),"mmm")</f>
        <v>Aug</v>
      </c>
      <c r="P99" s="25"/>
      <c r="Q99" s="25"/>
    </row>
    <row r="100" spans="1:17" x14ac:dyDescent="0.3">
      <c r="A100" s="6">
        <v>99</v>
      </c>
      <c r="B100" s="7">
        <v>45008</v>
      </c>
      <c r="C100" s="8" t="s">
        <v>22</v>
      </c>
      <c r="D100" s="8" t="s">
        <v>22</v>
      </c>
      <c r="E100" s="8" t="s">
        <v>20</v>
      </c>
      <c r="F100" s="8" t="s">
        <v>13</v>
      </c>
      <c r="G100" s="8" t="s">
        <v>14</v>
      </c>
      <c r="H100" s="9">
        <v>43520.98</v>
      </c>
      <c r="I100" s="8">
        <v>8</v>
      </c>
      <c r="J100" s="10">
        <v>6580.87</v>
      </c>
      <c r="K100" s="14" t="str" cm="1">
        <f t="array" ref="K100">_xlfn.IFS(Table43[[#This Row],[Sales]]&gt;40000,"Best Sales",Table43[[#This Row],[Sales]]&gt;20000,"Average Sales",Table43[[#This Row],[Sales]]&gt;0,"Poor Sales")</f>
        <v>Best Sales</v>
      </c>
      <c r="L100" s="23">
        <f>YEAR(Table43[[#This Row],[Date]])</f>
        <v>2023</v>
      </c>
      <c r="M100" s="23">
        <f>MONTH(Table43[[#This Row],[Date]])</f>
        <v>3</v>
      </c>
      <c r="N100" s="25">
        <f>DAY(Table43[[#This Row],[Date]])</f>
        <v>23</v>
      </c>
      <c r="O100" s="25" t="str">
        <f>TEXT(DATE(2023,Table43[[#This Row],[Month]],1),"mmm")</f>
        <v>Mar</v>
      </c>
      <c r="P100" s="25"/>
      <c r="Q100" s="25"/>
    </row>
    <row r="101" spans="1:17" x14ac:dyDescent="0.3">
      <c r="A101" s="11">
        <v>100</v>
      </c>
      <c r="B101" s="12">
        <v>45104</v>
      </c>
      <c r="C101" s="13" t="s">
        <v>18</v>
      </c>
      <c r="D101" s="13" t="s">
        <v>19</v>
      </c>
      <c r="E101" s="13" t="s">
        <v>12</v>
      </c>
      <c r="F101" s="13" t="s">
        <v>31</v>
      </c>
      <c r="G101" s="13" t="s">
        <v>39</v>
      </c>
      <c r="H101" s="14">
        <v>43256.76</v>
      </c>
      <c r="I101" s="13">
        <v>9</v>
      </c>
      <c r="J101" s="15">
        <v>12801</v>
      </c>
      <c r="K101" s="14" t="str" cm="1">
        <f t="array" ref="K101">_xlfn.IFS(Table43[[#This Row],[Sales]]&gt;40000,"Best Sales",Table43[[#This Row],[Sales]]&gt;20000,"Average Sales",Table43[[#This Row],[Sales]]&gt;0,"Poor Sales")</f>
        <v>Best Sales</v>
      </c>
      <c r="L101" s="23">
        <f>YEAR(Table43[[#This Row],[Date]])</f>
        <v>2023</v>
      </c>
      <c r="M101" s="23">
        <f>MONTH(Table43[[#This Row],[Date]])</f>
        <v>6</v>
      </c>
      <c r="N101" s="25">
        <f>DAY(Table43[[#This Row],[Date]])</f>
        <v>27</v>
      </c>
      <c r="O101" s="25" t="str">
        <f>TEXT(DATE(2023,Table43[[#This Row],[Month]],1),"mmm")</f>
        <v>Jun</v>
      </c>
      <c r="P101" s="25"/>
      <c r="Q101" s="25"/>
    </row>
    <row r="102" spans="1:17" x14ac:dyDescent="0.3">
      <c r="A102" s="6">
        <v>101</v>
      </c>
      <c r="B102" s="7">
        <v>45016</v>
      </c>
      <c r="C102" s="8" t="s">
        <v>38</v>
      </c>
      <c r="D102" s="8" t="s">
        <v>27</v>
      </c>
      <c r="E102" s="8" t="s">
        <v>12</v>
      </c>
      <c r="F102" s="8" t="s">
        <v>31</v>
      </c>
      <c r="G102" s="8" t="s">
        <v>33</v>
      </c>
      <c r="H102" s="9">
        <v>28432</v>
      </c>
      <c r="I102" s="8">
        <v>1</v>
      </c>
      <c r="J102" s="10">
        <v>4326.1000000000004</v>
      </c>
      <c r="K102" s="14" t="str" cm="1">
        <f t="array" ref="K102">_xlfn.IFS(Table43[[#This Row],[Sales]]&gt;40000,"Best Sales",Table43[[#This Row],[Sales]]&gt;20000,"Average Sales",Table43[[#This Row],[Sales]]&gt;0,"Poor Sales")</f>
        <v>Average Sales</v>
      </c>
      <c r="L102" s="23">
        <f>YEAR(Table43[[#This Row],[Date]])</f>
        <v>2023</v>
      </c>
      <c r="M102" s="23">
        <f>MONTH(Table43[[#This Row],[Date]])</f>
        <v>3</v>
      </c>
      <c r="N102" s="25">
        <f>DAY(Table43[[#This Row],[Date]])</f>
        <v>31</v>
      </c>
      <c r="O102" s="25" t="str">
        <f>TEXT(DATE(2023,Table43[[#This Row],[Month]],1),"mmm")</f>
        <v>Mar</v>
      </c>
      <c r="P102" s="25"/>
      <c r="Q102" s="25"/>
    </row>
    <row r="103" spans="1:17" x14ac:dyDescent="0.3">
      <c r="A103" s="11">
        <v>102</v>
      </c>
      <c r="B103" s="12">
        <v>45043</v>
      </c>
      <c r="C103" s="13" t="s">
        <v>26</v>
      </c>
      <c r="D103" s="13" t="s">
        <v>27</v>
      </c>
      <c r="E103" s="13" t="s">
        <v>12</v>
      </c>
      <c r="F103" s="13" t="s">
        <v>24</v>
      </c>
      <c r="G103" s="13" t="s">
        <v>29</v>
      </c>
      <c r="H103" s="14">
        <v>45607.68</v>
      </c>
      <c r="I103" s="13">
        <v>9</v>
      </c>
      <c r="J103" s="15">
        <v>10061.65</v>
      </c>
      <c r="K103" s="14" t="str" cm="1">
        <f t="array" ref="K103">_xlfn.IFS(Table43[[#This Row],[Sales]]&gt;40000,"Best Sales",Table43[[#This Row],[Sales]]&gt;20000,"Average Sales",Table43[[#This Row],[Sales]]&gt;0,"Poor Sales")</f>
        <v>Best Sales</v>
      </c>
      <c r="L103" s="23">
        <f>YEAR(Table43[[#This Row],[Date]])</f>
        <v>2023</v>
      </c>
      <c r="M103" s="23">
        <f>MONTH(Table43[[#This Row],[Date]])</f>
        <v>4</v>
      </c>
      <c r="N103" s="25">
        <f>DAY(Table43[[#This Row],[Date]])</f>
        <v>27</v>
      </c>
      <c r="O103" s="25" t="str">
        <f>TEXT(DATE(2023,Table43[[#This Row],[Month]],1),"mmm")</f>
        <v>Apr</v>
      </c>
      <c r="P103" s="25"/>
      <c r="Q103" s="25"/>
    </row>
    <row r="104" spans="1:17" x14ac:dyDescent="0.3">
      <c r="A104" s="6">
        <v>103</v>
      </c>
      <c r="B104" s="7">
        <v>45249</v>
      </c>
      <c r="C104" s="8" t="s">
        <v>15</v>
      </c>
      <c r="D104" s="8" t="s">
        <v>16</v>
      </c>
      <c r="E104" s="8" t="s">
        <v>12</v>
      </c>
      <c r="F104" s="8" t="s">
        <v>24</v>
      </c>
      <c r="G104" s="8" t="s">
        <v>28</v>
      </c>
      <c r="H104" s="9">
        <v>45100.31</v>
      </c>
      <c r="I104" s="8">
        <v>5</v>
      </c>
      <c r="J104" s="10">
        <v>5435.3</v>
      </c>
      <c r="K104" s="14" t="str" cm="1">
        <f t="array" ref="K104">_xlfn.IFS(Table43[[#This Row],[Sales]]&gt;40000,"Best Sales",Table43[[#This Row],[Sales]]&gt;20000,"Average Sales",Table43[[#This Row],[Sales]]&gt;0,"Poor Sales")</f>
        <v>Best Sales</v>
      </c>
      <c r="L104" s="23">
        <f>YEAR(Table43[[#This Row],[Date]])</f>
        <v>2023</v>
      </c>
      <c r="M104" s="23">
        <f>MONTH(Table43[[#This Row],[Date]])</f>
        <v>11</v>
      </c>
      <c r="N104" s="25">
        <f>DAY(Table43[[#This Row],[Date]])</f>
        <v>19</v>
      </c>
      <c r="O104" s="25" t="str">
        <f>TEXT(DATE(2023,Table43[[#This Row],[Month]],1),"mmm")</f>
        <v>Nov</v>
      </c>
      <c r="P104" s="25"/>
      <c r="Q104" s="25"/>
    </row>
    <row r="105" spans="1:17" x14ac:dyDescent="0.3">
      <c r="A105" s="11">
        <v>104</v>
      </c>
      <c r="B105" s="12">
        <v>45258</v>
      </c>
      <c r="C105" s="13" t="s">
        <v>35</v>
      </c>
      <c r="D105" s="13" t="s">
        <v>36</v>
      </c>
      <c r="E105" s="13" t="s">
        <v>12</v>
      </c>
      <c r="F105" s="13" t="s">
        <v>13</v>
      </c>
      <c r="G105" s="13" t="s">
        <v>21</v>
      </c>
      <c r="H105" s="14">
        <v>31680.26</v>
      </c>
      <c r="I105" s="13">
        <v>6</v>
      </c>
      <c r="J105" s="15">
        <v>7130.43</v>
      </c>
      <c r="K105" s="14" t="str" cm="1">
        <f t="array" ref="K105">_xlfn.IFS(Table43[[#This Row],[Sales]]&gt;40000,"Best Sales",Table43[[#This Row],[Sales]]&gt;20000,"Average Sales",Table43[[#This Row],[Sales]]&gt;0,"Poor Sales")</f>
        <v>Average Sales</v>
      </c>
      <c r="L105" s="23">
        <f>YEAR(Table43[[#This Row],[Date]])</f>
        <v>2023</v>
      </c>
      <c r="M105" s="23">
        <f>MONTH(Table43[[#This Row],[Date]])</f>
        <v>11</v>
      </c>
      <c r="N105" s="25">
        <f>DAY(Table43[[#This Row],[Date]])</f>
        <v>28</v>
      </c>
      <c r="O105" s="25" t="str">
        <f>TEXT(DATE(2023,Table43[[#This Row],[Month]],1),"mmm")</f>
        <v>Nov</v>
      </c>
      <c r="P105" s="25"/>
      <c r="Q105" s="25"/>
    </row>
    <row r="106" spans="1:17" x14ac:dyDescent="0.3">
      <c r="A106" s="6">
        <v>105</v>
      </c>
      <c r="B106" s="7">
        <v>45178</v>
      </c>
      <c r="C106" s="8" t="s">
        <v>10</v>
      </c>
      <c r="D106" s="8" t="s">
        <v>11</v>
      </c>
      <c r="E106" s="8" t="s">
        <v>12</v>
      </c>
      <c r="F106" s="8" t="s">
        <v>24</v>
      </c>
      <c r="G106" s="8" t="s">
        <v>29</v>
      </c>
      <c r="H106" s="9">
        <v>17942.34</v>
      </c>
      <c r="I106" s="8">
        <v>4</v>
      </c>
      <c r="J106" s="10">
        <v>4800.71</v>
      </c>
      <c r="K106" s="14" t="str" cm="1">
        <f t="array" ref="K106">_xlfn.IFS(Table43[[#This Row],[Sales]]&gt;40000,"Best Sales",Table43[[#This Row],[Sales]]&gt;20000,"Average Sales",Table43[[#This Row],[Sales]]&gt;0,"Poor Sales")</f>
        <v>Poor Sales</v>
      </c>
      <c r="L106" s="23">
        <f>YEAR(Table43[[#This Row],[Date]])</f>
        <v>2023</v>
      </c>
      <c r="M106" s="23">
        <f>MONTH(Table43[[#This Row],[Date]])</f>
        <v>9</v>
      </c>
      <c r="N106" s="25">
        <f>DAY(Table43[[#This Row],[Date]])</f>
        <v>9</v>
      </c>
      <c r="O106" s="25" t="str">
        <f>TEXT(DATE(2023,Table43[[#This Row],[Month]],1),"mmm")</f>
        <v>Sep</v>
      </c>
      <c r="P106" s="25"/>
      <c r="Q106" s="25"/>
    </row>
    <row r="107" spans="1:17" x14ac:dyDescent="0.3">
      <c r="A107" s="11">
        <v>106</v>
      </c>
      <c r="B107" s="12">
        <v>44943</v>
      </c>
      <c r="C107" s="13" t="s">
        <v>38</v>
      </c>
      <c r="D107" s="13" t="s">
        <v>27</v>
      </c>
      <c r="E107" s="13" t="s">
        <v>12</v>
      </c>
      <c r="F107" s="13" t="s">
        <v>31</v>
      </c>
      <c r="G107" s="13" t="s">
        <v>33</v>
      </c>
      <c r="H107" s="14">
        <v>46409.88</v>
      </c>
      <c r="I107" s="13">
        <v>7</v>
      </c>
      <c r="J107" s="15">
        <v>12657.84</v>
      </c>
      <c r="K107" s="14" t="str" cm="1">
        <f t="array" ref="K107">_xlfn.IFS(Table43[[#This Row],[Sales]]&gt;40000,"Best Sales",Table43[[#This Row],[Sales]]&gt;20000,"Average Sales",Table43[[#This Row],[Sales]]&gt;0,"Poor Sales")</f>
        <v>Best Sales</v>
      </c>
      <c r="L107" s="23">
        <f>YEAR(Table43[[#This Row],[Date]])</f>
        <v>2023</v>
      </c>
      <c r="M107" s="23">
        <f>MONTH(Table43[[#This Row],[Date]])</f>
        <v>1</v>
      </c>
      <c r="N107" s="25">
        <f>DAY(Table43[[#This Row],[Date]])</f>
        <v>17</v>
      </c>
      <c r="O107" s="25" t="str">
        <f>TEXT(DATE(2023,Table43[[#This Row],[Month]],1),"mmm")</f>
        <v>Jan</v>
      </c>
      <c r="P107" s="25"/>
      <c r="Q107" s="25"/>
    </row>
    <row r="108" spans="1:17" x14ac:dyDescent="0.3">
      <c r="A108" s="6">
        <v>107</v>
      </c>
      <c r="B108" s="7">
        <v>45270</v>
      </c>
      <c r="C108" s="8" t="s">
        <v>35</v>
      </c>
      <c r="D108" s="8" t="s">
        <v>36</v>
      </c>
      <c r="E108" s="8" t="s">
        <v>12</v>
      </c>
      <c r="F108" s="8" t="s">
        <v>31</v>
      </c>
      <c r="G108" s="8" t="s">
        <v>33</v>
      </c>
      <c r="H108" s="9">
        <v>20904.05</v>
      </c>
      <c r="I108" s="8">
        <v>9</v>
      </c>
      <c r="J108" s="10">
        <v>2758.95</v>
      </c>
      <c r="K108" s="14" t="str" cm="1">
        <f t="array" ref="K108">_xlfn.IFS(Table43[[#This Row],[Sales]]&gt;40000,"Best Sales",Table43[[#This Row],[Sales]]&gt;20000,"Average Sales",Table43[[#This Row],[Sales]]&gt;0,"Poor Sales")</f>
        <v>Average Sales</v>
      </c>
      <c r="L108" s="23">
        <f>YEAR(Table43[[#This Row],[Date]])</f>
        <v>2023</v>
      </c>
      <c r="M108" s="23">
        <f>MONTH(Table43[[#This Row],[Date]])</f>
        <v>12</v>
      </c>
      <c r="N108" s="25">
        <f>DAY(Table43[[#This Row],[Date]])</f>
        <v>10</v>
      </c>
      <c r="O108" s="25" t="str">
        <f>TEXT(DATE(2023,Table43[[#This Row],[Month]],1),"mmm")</f>
        <v>Dec</v>
      </c>
      <c r="P108" s="25"/>
      <c r="Q108" s="25"/>
    </row>
    <row r="109" spans="1:17" x14ac:dyDescent="0.3">
      <c r="A109" s="11">
        <v>108</v>
      </c>
      <c r="B109" s="12">
        <v>45143</v>
      </c>
      <c r="C109" s="13" t="s">
        <v>18</v>
      </c>
      <c r="D109" s="13" t="s">
        <v>19</v>
      </c>
      <c r="E109" s="13" t="s">
        <v>12</v>
      </c>
      <c r="F109" s="13" t="s">
        <v>31</v>
      </c>
      <c r="G109" s="13" t="s">
        <v>39</v>
      </c>
      <c r="H109" s="14">
        <v>9106.1</v>
      </c>
      <c r="I109" s="13">
        <v>3</v>
      </c>
      <c r="J109" s="15">
        <v>519.4</v>
      </c>
      <c r="K109" s="14" t="str" cm="1">
        <f t="array" ref="K109">_xlfn.IFS(Table43[[#This Row],[Sales]]&gt;40000,"Best Sales",Table43[[#This Row],[Sales]]&gt;20000,"Average Sales",Table43[[#This Row],[Sales]]&gt;0,"Poor Sales")</f>
        <v>Poor Sales</v>
      </c>
      <c r="L109" s="23">
        <f>YEAR(Table43[[#This Row],[Date]])</f>
        <v>2023</v>
      </c>
      <c r="M109" s="23">
        <f>MONTH(Table43[[#This Row],[Date]])</f>
        <v>8</v>
      </c>
      <c r="N109" s="25">
        <f>DAY(Table43[[#This Row],[Date]])</f>
        <v>5</v>
      </c>
      <c r="O109" s="25" t="str">
        <f>TEXT(DATE(2023,Table43[[#This Row],[Month]],1),"mmm")</f>
        <v>Aug</v>
      </c>
      <c r="P109" s="25"/>
      <c r="Q109" s="25"/>
    </row>
    <row r="110" spans="1:17" x14ac:dyDescent="0.3">
      <c r="A110" s="6">
        <v>109</v>
      </c>
      <c r="B110" s="7">
        <v>45214</v>
      </c>
      <c r="C110" s="8" t="s">
        <v>10</v>
      </c>
      <c r="D110" s="8" t="s">
        <v>11</v>
      </c>
      <c r="E110" s="8" t="s">
        <v>12</v>
      </c>
      <c r="F110" s="8" t="s">
        <v>24</v>
      </c>
      <c r="G110" s="8" t="s">
        <v>25</v>
      </c>
      <c r="H110" s="9">
        <v>7629.97</v>
      </c>
      <c r="I110" s="8">
        <v>9</v>
      </c>
      <c r="J110" s="10">
        <v>1489.6</v>
      </c>
      <c r="K110" s="14" t="str" cm="1">
        <f t="array" ref="K110">_xlfn.IFS(Table43[[#This Row],[Sales]]&gt;40000,"Best Sales",Table43[[#This Row],[Sales]]&gt;20000,"Average Sales",Table43[[#This Row],[Sales]]&gt;0,"Poor Sales")</f>
        <v>Poor Sales</v>
      </c>
      <c r="L110" s="23">
        <f>YEAR(Table43[[#This Row],[Date]])</f>
        <v>2023</v>
      </c>
      <c r="M110" s="23">
        <f>MONTH(Table43[[#This Row],[Date]])</f>
        <v>10</v>
      </c>
      <c r="N110" s="25">
        <f>DAY(Table43[[#This Row],[Date]])</f>
        <v>15</v>
      </c>
      <c r="O110" s="25" t="str">
        <f>TEXT(DATE(2023,Table43[[#This Row],[Month]],1),"mmm")</f>
        <v>Oct</v>
      </c>
      <c r="P110" s="25"/>
      <c r="Q110" s="25"/>
    </row>
    <row r="111" spans="1:17" x14ac:dyDescent="0.3">
      <c r="A111" s="11">
        <v>110</v>
      </c>
      <c r="B111" s="12">
        <v>45008</v>
      </c>
      <c r="C111" s="13" t="s">
        <v>26</v>
      </c>
      <c r="D111" s="13" t="s">
        <v>27</v>
      </c>
      <c r="E111" s="13" t="s">
        <v>12</v>
      </c>
      <c r="F111" s="13" t="s">
        <v>13</v>
      </c>
      <c r="G111" s="13" t="s">
        <v>14</v>
      </c>
      <c r="H111" s="14">
        <v>23310.71</v>
      </c>
      <c r="I111" s="13">
        <v>1</v>
      </c>
      <c r="J111" s="15">
        <v>3512.57</v>
      </c>
      <c r="K111" s="14" t="str" cm="1">
        <f t="array" ref="K111">_xlfn.IFS(Table43[[#This Row],[Sales]]&gt;40000,"Best Sales",Table43[[#This Row],[Sales]]&gt;20000,"Average Sales",Table43[[#This Row],[Sales]]&gt;0,"Poor Sales")</f>
        <v>Average Sales</v>
      </c>
      <c r="L111" s="23">
        <f>YEAR(Table43[[#This Row],[Date]])</f>
        <v>2023</v>
      </c>
      <c r="M111" s="23">
        <f>MONTH(Table43[[#This Row],[Date]])</f>
        <v>3</v>
      </c>
      <c r="N111" s="25">
        <f>DAY(Table43[[#This Row],[Date]])</f>
        <v>23</v>
      </c>
      <c r="O111" s="25" t="str">
        <f>TEXT(DATE(2023,Table43[[#This Row],[Month]],1),"mmm")</f>
        <v>Mar</v>
      </c>
      <c r="P111" s="25"/>
      <c r="Q111" s="25"/>
    </row>
    <row r="112" spans="1:17" x14ac:dyDescent="0.3">
      <c r="A112" s="6">
        <v>111</v>
      </c>
      <c r="B112" s="7">
        <v>45085</v>
      </c>
      <c r="C112" s="8" t="s">
        <v>30</v>
      </c>
      <c r="D112" s="8" t="s">
        <v>16</v>
      </c>
      <c r="E112" s="8" t="s">
        <v>12</v>
      </c>
      <c r="F112" s="8" t="s">
        <v>13</v>
      </c>
      <c r="G112" s="8" t="s">
        <v>34</v>
      </c>
      <c r="H112" s="9">
        <v>27994.05</v>
      </c>
      <c r="I112" s="8">
        <v>4</v>
      </c>
      <c r="J112" s="10">
        <v>5449.63</v>
      </c>
      <c r="K112" s="14" t="str" cm="1">
        <f t="array" ref="K112">_xlfn.IFS(Table43[[#This Row],[Sales]]&gt;40000,"Best Sales",Table43[[#This Row],[Sales]]&gt;20000,"Average Sales",Table43[[#This Row],[Sales]]&gt;0,"Poor Sales")</f>
        <v>Average Sales</v>
      </c>
      <c r="L112" s="23">
        <f>YEAR(Table43[[#This Row],[Date]])</f>
        <v>2023</v>
      </c>
      <c r="M112" s="23">
        <f>MONTH(Table43[[#This Row],[Date]])</f>
        <v>6</v>
      </c>
      <c r="N112" s="25">
        <f>DAY(Table43[[#This Row],[Date]])</f>
        <v>8</v>
      </c>
      <c r="O112" s="25" t="str">
        <f>TEXT(DATE(2023,Table43[[#This Row],[Month]],1),"mmm")</f>
        <v>Jun</v>
      </c>
      <c r="P112" s="25"/>
      <c r="Q112" s="25"/>
    </row>
    <row r="113" spans="1:17" x14ac:dyDescent="0.3">
      <c r="A113" s="11">
        <v>112</v>
      </c>
      <c r="B113" s="12">
        <v>44963</v>
      </c>
      <c r="C113" s="13" t="s">
        <v>18</v>
      </c>
      <c r="D113" s="13" t="s">
        <v>19</v>
      </c>
      <c r="E113" s="13" t="s">
        <v>12</v>
      </c>
      <c r="F113" s="13" t="s">
        <v>13</v>
      </c>
      <c r="G113" s="13" t="s">
        <v>34</v>
      </c>
      <c r="H113" s="14">
        <v>32440.06</v>
      </c>
      <c r="I113" s="13">
        <v>3</v>
      </c>
      <c r="J113" s="15">
        <v>7193.85</v>
      </c>
      <c r="K113" s="14" t="str" cm="1">
        <f t="array" ref="K113">_xlfn.IFS(Table43[[#This Row],[Sales]]&gt;40000,"Best Sales",Table43[[#This Row],[Sales]]&gt;20000,"Average Sales",Table43[[#This Row],[Sales]]&gt;0,"Poor Sales")</f>
        <v>Average Sales</v>
      </c>
      <c r="L113" s="23">
        <f>YEAR(Table43[[#This Row],[Date]])</f>
        <v>2023</v>
      </c>
      <c r="M113" s="23">
        <f>MONTH(Table43[[#This Row],[Date]])</f>
        <v>2</v>
      </c>
      <c r="N113" s="25">
        <f>DAY(Table43[[#This Row],[Date]])</f>
        <v>6</v>
      </c>
      <c r="O113" s="25" t="str">
        <f>TEXT(DATE(2023,Table43[[#This Row],[Month]],1),"mmm")</f>
        <v>Feb</v>
      </c>
      <c r="P113" s="25"/>
      <c r="Q113" s="25"/>
    </row>
    <row r="114" spans="1:17" x14ac:dyDescent="0.3">
      <c r="A114" s="6">
        <v>113</v>
      </c>
      <c r="B114" s="7">
        <v>45103</v>
      </c>
      <c r="C114" s="8" t="s">
        <v>30</v>
      </c>
      <c r="D114" s="8" t="s">
        <v>16</v>
      </c>
      <c r="E114" s="8" t="s">
        <v>12</v>
      </c>
      <c r="F114" s="8" t="s">
        <v>13</v>
      </c>
      <c r="G114" s="8" t="s">
        <v>34</v>
      </c>
      <c r="H114" s="9">
        <v>40462.19</v>
      </c>
      <c r="I114" s="8">
        <v>3</v>
      </c>
      <c r="J114" s="10">
        <v>9068.9</v>
      </c>
      <c r="K114" s="14" t="str" cm="1">
        <f t="array" ref="K114">_xlfn.IFS(Table43[[#This Row],[Sales]]&gt;40000,"Best Sales",Table43[[#This Row],[Sales]]&gt;20000,"Average Sales",Table43[[#This Row],[Sales]]&gt;0,"Poor Sales")</f>
        <v>Best Sales</v>
      </c>
      <c r="L114" s="23">
        <f>YEAR(Table43[[#This Row],[Date]])</f>
        <v>2023</v>
      </c>
      <c r="M114" s="23">
        <f>MONTH(Table43[[#This Row],[Date]])</f>
        <v>6</v>
      </c>
      <c r="N114" s="25">
        <f>DAY(Table43[[#This Row],[Date]])</f>
        <v>26</v>
      </c>
      <c r="O114" s="25" t="str">
        <f>TEXT(DATE(2023,Table43[[#This Row],[Month]],1),"mmm")</f>
        <v>Jun</v>
      </c>
      <c r="P114" s="25"/>
      <c r="Q114" s="25"/>
    </row>
    <row r="115" spans="1:17" x14ac:dyDescent="0.3">
      <c r="A115" s="11">
        <v>114</v>
      </c>
      <c r="B115" s="12">
        <v>45086</v>
      </c>
      <c r="C115" s="13" t="s">
        <v>37</v>
      </c>
      <c r="D115" s="13" t="s">
        <v>27</v>
      </c>
      <c r="E115" s="13" t="s">
        <v>12</v>
      </c>
      <c r="F115" s="13" t="s">
        <v>31</v>
      </c>
      <c r="G115" s="13" t="s">
        <v>32</v>
      </c>
      <c r="H115" s="14">
        <v>4946.33</v>
      </c>
      <c r="I115" s="13">
        <v>9</v>
      </c>
      <c r="J115" s="15">
        <v>1157.56</v>
      </c>
      <c r="K115" s="14" t="str" cm="1">
        <f t="array" ref="K115">_xlfn.IFS(Table43[[#This Row],[Sales]]&gt;40000,"Best Sales",Table43[[#This Row],[Sales]]&gt;20000,"Average Sales",Table43[[#This Row],[Sales]]&gt;0,"Poor Sales")</f>
        <v>Poor Sales</v>
      </c>
      <c r="L115" s="23">
        <f>YEAR(Table43[[#This Row],[Date]])</f>
        <v>2023</v>
      </c>
      <c r="M115" s="23">
        <f>MONTH(Table43[[#This Row],[Date]])</f>
        <v>6</v>
      </c>
      <c r="N115" s="25">
        <f>DAY(Table43[[#This Row],[Date]])</f>
        <v>9</v>
      </c>
      <c r="O115" s="25" t="str">
        <f>TEXT(DATE(2023,Table43[[#This Row],[Month]],1),"mmm")</f>
        <v>Jun</v>
      </c>
      <c r="P115" s="25"/>
      <c r="Q115" s="25"/>
    </row>
    <row r="116" spans="1:17" x14ac:dyDescent="0.3">
      <c r="A116" s="6">
        <v>115</v>
      </c>
      <c r="B116" s="7">
        <v>45067</v>
      </c>
      <c r="C116" s="8" t="s">
        <v>18</v>
      </c>
      <c r="D116" s="8" t="s">
        <v>19</v>
      </c>
      <c r="E116" s="8" t="s">
        <v>12</v>
      </c>
      <c r="F116" s="8" t="s">
        <v>24</v>
      </c>
      <c r="G116" s="8" t="s">
        <v>25</v>
      </c>
      <c r="H116" s="9">
        <v>41523.230000000003</v>
      </c>
      <c r="I116" s="8">
        <v>7</v>
      </c>
      <c r="J116" s="10">
        <v>9474.06</v>
      </c>
      <c r="K116" s="14" t="str" cm="1">
        <f t="array" ref="K116">_xlfn.IFS(Table43[[#This Row],[Sales]]&gt;40000,"Best Sales",Table43[[#This Row],[Sales]]&gt;20000,"Average Sales",Table43[[#This Row],[Sales]]&gt;0,"Poor Sales")</f>
        <v>Best Sales</v>
      </c>
      <c r="L116" s="23">
        <f>YEAR(Table43[[#This Row],[Date]])</f>
        <v>2023</v>
      </c>
      <c r="M116" s="23">
        <f>MONTH(Table43[[#This Row],[Date]])</f>
        <v>5</v>
      </c>
      <c r="N116" s="25">
        <f>DAY(Table43[[#This Row],[Date]])</f>
        <v>21</v>
      </c>
      <c r="O116" s="25" t="str">
        <f>TEXT(DATE(2023,Table43[[#This Row],[Month]],1),"mmm")</f>
        <v>May</v>
      </c>
      <c r="P116" s="25"/>
      <c r="Q116" s="25"/>
    </row>
    <row r="117" spans="1:17" x14ac:dyDescent="0.3">
      <c r="A117" s="11">
        <v>116</v>
      </c>
      <c r="B117" s="12">
        <v>45091</v>
      </c>
      <c r="C117" s="13" t="s">
        <v>37</v>
      </c>
      <c r="D117" s="13" t="s">
        <v>27</v>
      </c>
      <c r="E117" s="13" t="s">
        <v>12</v>
      </c>
      <c r="F117" s="13" t="s">
        <v>31</v>
      </c>
      <c r="G117" s="13" t="s">
        <v>33</v>
      </c>
      <c r="H117" s="14">
        <v>41692.239999999998</v>
      </c>
      <c r="I117" s="13">
        <v>1</v>
      </c>
      <c r="J117" s="15">
        <v>11454.59</v>
      </c>
      <c r="K117" s="14" t="str" cm="1">
        <f t="array" ref="K117">_xlfn.IFS(Table43[[#This Row],[Sales]]&gt;40000,"Best Sales",Table43[[#This Row],[Sales]]&gt;20000,"Average Sales",Table43[[#This Row],[Sales]]&gt;0,"Poor Sales")</f>
        <v>Best Sales</v>
      </c>
      <c r="L117" s="23">
        <f>YEAR(Table43[[#This Row],[Date]])</f>
        <v>2023</v>
      </c>
      <c r="M117" s="23">
        <f>MONTH(Table43[[#This Row],[Date]])</f>
        <v>6</v>
      </c>
      <c r="N117" s="25">
        <f>DAY(Table43[[#This Row],[Date]])</f>
        <v>14</v>
      </c>
      <c r="O117" s="25" t="str">
        <f>TEXT(DATE(2023,Table43[[#This Row],[Month]],1),"mmm")</f>
        <v>Jun</v>
      </c>
      <c r="P117" s="25"/>
      <c r="Q117" s="25"/>
    </row>
    <row r="118" spans="1:17" x14ac:dyDescent="0.3">
      <c r="A118" s="6">
        <v>117</v>
      </c>
      <c r="B118" s="7">
        <v>45275</v>
      </c>
      <c r="C118" s="8" t="s">
        <v>18</v>
      </c>
      <c r="D118" s="8" t="s">
        <v>19</v>
      </c>
      <c r="E118" s="8" t="s">
        <v>12</v>
      </c>
      <c r="F118" s="8" t="s">
        <v>24</v>
      </c>
      <c r="G118" s="8" t="s">
        <v>25</v>
      </c>
      <c r="H118" s="9">
        <v>37435.72</v>
      </c>
      <c r="I118" s="8">
        <v>10</v>
      </c>
      <c r="J118" s="10">
        <v>7225.3</v>
      </c>
      <c r="K118" s="14" t="str" cm="1">
        <f t="array" ref="K118">_xlfn.IFS(Table43[[#This Row],[Sales]]&gt;40000,"Best Sales",Table43[[#This Row],[Sales]]&gt;20000,"Average Sales",Table43[[#This Row],[Sales]]&gt;0,"Poor Sales")</f>
        <v>Average Sales</v>
      </c>
      <c r="L118" s="23">
        <f>YEAR(Table43[[#This Row],[Date]])</f>
        <v>2023</v>
      </c>
      <c r="M118" s="23">
        <f>MONTH(Table43[[#This Row],[Date]])</f>
        <v>12</v>
      </c>
      <c r="N118" s="25">
        <f>DAY(Table43[[#This Row],[Date]])</f>
        <v>15</v>
      </c>
      <c r="O118" s="25" t="str">
        <f>TEXT(DATE(2023,Table43[[#This Row],[Month]],1),"mmm")</f>
        <v>Dec</v>
      </c>
      <c r="P118" s="25"/>
      <c r="Q118" s="25"/>
    </row>
    <row r="119" spans="1:17" x14ac:dyDescent="0.3">
      <c r="A119" s="11">
        <v>118</v>
      </c>
      <c r="B119" s="12">
        <v>44993</v>
      </c>
      <c r="C119" s="13" t="s">
        <v>22</v>
      </c>
      <c r="D119" s="13" t="s">
        <v>22</v>
      </c>
      <c r="E119" s="13" t="s">
        <v>12</v>
      </c>
      <c r="F119" s="13" t="s">
        <v>31</v>
      </c>
      <c r="G119" s="13" t="s">
        <v>39</v>
      </c>
      <c r="H119" s="14">
        <v>24188.17</v>
      </c>
      <c r="I119" s="13">
        <v>4</v>
      </c>
      <c r="J119" s="15">
        <v>1398.98</v>
      </c>
      <c r="K119" s="14" t="str" cm="1">
        <f t="array" ref="K119">_xlfn.IFS(Table43[[#This Row],[Sales]]&gt;40000,"Best Sales",Table43[[#This Row],[Sales]]&gt;20000,"Average Sales",Table43[[#This Row],[Sales]]&gt;0,"Poor Sales")</f>
        <v>Average Sales</v>
      </c>
      <c r="L119" s="23">
        <f>YEAR(Table43[[#This Row],[Date]])</f>
        <v>2023</v>
      </c>
      <c r="M119" s="23">
        <f>MONTH(Table43[[#This Row],[Date]])</f>
        <v>3</v>
      </c>
      <c r="N119" s="25">
        <f>DAY(Table43[[#This Row],[Date]])</f>
        <v>8</v>
      </c>
      <c r="O119" s="25" t="str">
        <f>TEXT(DATE(2023,Table43[[#This Row],[Month]],1),"mmm")</f>
        <v>Mar</v>
      </c>
      <c r="P119" s="25"/>
      <c r="Q119" s="25"/>
    </row>
    <row r="120" spans="1:17" x14ac:dyDescent="0.3">
      <c r="A120" s="6">
        <v>119</v>
      </c>
      <c r="B120" s="7">
        <v>44978</v>
      </c>
      <c r="C120" s="8" t="s">
        <v>10</v>
      </c>
      <c r="D120" s="8" t="s">
        <v>11</v>
      </c>
      <c r="E120" s="8" t="s">
        <v>12</v>
      </c>
      <c r="F120" s="8" t="s">
        <v>13</v>
      </c>
      <c r="G120" s="8" t="s">
        <v>14</v>
      </c>
      <c r="H120" s="9">
        <v>7636.41</v>
      </c>
      <c r="I120" s="8">
        <v>5</v>
      </c>
      <c r="J120" s="10">
        <v>1440.24</v>
      </c>
      <c r="K120" s="14" t="str" cm="1">
        <f t="array" ref="K120">_xlfn.IFS(Table43[[#This Row],[Sales]]&gt;40000,"Best Sales",Table43[[#This Row],[Sales]]&gt;20000,"Average Sales",Table43[[#This Row],[Sales]]&gt;0,"Poor Sales")</f>
        <v>Poor Sales</v>
      </c>
      <c r="L120" s="23">
        <f>YEAR(Table43[[#This Row],[Date]])</f>
        <v>2023</v>
      </c>
      <c r="M120" s="23">
        <f>MONTH(Table43[[#This Row],[Date]])</f>
        <v>2</v>
      </c>
      <c r="N120" s="25">
        <f>DAY(Table43[[#This Row],[Date]])</f>
        <v>21</v>
      </c>
      <c r="O120" s="25" t="str">
        <f>TEXT(DATE(2023,Table43[[#This Row],[Month]],1),"mmm")</f>
        <v>Feb</v>
      </c>
      <c r="P120" s="25"/>
      <c r="Q120" s="25"/>
    </row>
    <row r="121" spans="1:17" x14ac:dyDescent="0.3">
      <c r="A121" s="11">
        <v>120</v>
      </c>
      <c r="B121" s="12">
        <v>44930</v>
      </c>
      <c r="C121" s="13" t="s">
        <v>30</v>
      </c>
      <c r="D121" s="13" t="s">
        <v>16</v>
      </c>
      <c r="E121" s="13" t="s">
        <v>12</v>
      </c>
      <c r="F121" s="13" t="s">
        <v>24</v>
      </c>
      <c r="G121" s="13" t="s">
        <v>29</v>
      </c>
      <c r="H121" s="14">
        <v>46770.74</v>
      </c>
      <c r="I121" s="13">
        <v>9</v>
      </c>
      <c r="J121" s="15">
        <v>10311.32</v>
      </c>
      <c r="K121" s="14" t="str" cm="1">
        <f t="array" ref="K121">_xlfn.IFS(Table43[[#This Row],[Sales]]&gt;40000,"Best Sales",Table43[[#This Row],[Sales]]&gt;20000,"Average Sales",Table43[[#This Row],[Sales]]&gt;0,"Poor Sales")</f>
        <v>Best Sales</v>
      </c>
      <c r="L121" s="23">
        <f>YEAR(Table43[[#This Row],[Date]])</f>
        <v>2023</v>
      </c>
      <c r="M121" s="23">
        <f>MONTH(Table43[[#This Row],[Date]])</f>
        <v>1</v>
      </c>
      <c r="N121" s="25">
        <f>DAY(Table43[[#This Row],[Date]])</f>
        <v>4</v>
      </c>
      <c r="O121" s="25" t="str">
        <f>TEXT(DATE(2023,Table43[[#This Row],[Month]],1),"mmm")</f>
        <v>Jan</v>
      </c>
      <c r="P121" s="25"/>
      <c r="Q121" s="25"/>
    </row>
    <row r="122" spans="1:17" x14ac:dyDescent="0.3">
      <c r="A122" s="6">
        <v>121</v>
      </c>
      <c r="B122" s="7">
        <v>45269</v>
      </c>
      <c r="C122" s="8" t="s">
        <v>30</v>
      </c>
      <c r="D122" s="8" t="s">
        <v>16</v>
      </c>
      <c r="E122" s="8" t="s">
        <v>12</v>
      </c>
      <c r="F122" s="8" t="s">
        <v>24</v>
      </c>
      <c r="G122" s="8" t="s">
        <v>29</v>
      </c>
      <c r="H122" s="9">
        <v>25666.98</v>
      </c>
      <c r="I122" s="8">
        <v>6</v>
      </c>
      <c r="J122" s="10">
        <v>5659.2</v>
      </c>
      <c r="K122" s="14" t="str" cm="1">
        <f t="array" ref="K122">_xlfn.IFS(Table43[[#This Row],[Sales]]&gt;40000,"Best Sales",Table43[[#This Row],[Sales]]&gt;20000,"Average Sales",Table43[[#This Row],[Sales]]&gt;0,"Poor Sales")</f>
        <v>Average Sales</v>
      </c>
      <c r="L122" s="23">
        <f>YEAR(Table43[[#This Row],[Date]])</f>
        <v>2023</v>
      </c>
      <c r="M122" s="23">
        <f>MONTH(Table43[[#This Row],[Date]])</f>
        <v>12</v>
      </c>
      <c r="N122" s="25">
        <f>DAY(Table43[[#This Row],[Date]])</f>
        <v>9</v>
      </c>
      <c r="O122" s="25" t="str">
        <f>TEXT(DATE(2023,Table43[[#This Row],[Month]],1),"mmm")</f>
        <v>Dec</v>
      </c>
      <c r="P122" s="25"/>
      <c r="Q122" s="25"/>
    </row>
    <row r="123" spans="1:17" x14ac:dyDescent="0.3">
      <c r="A123" s="11">
        <v>122</v>
      </c>
      <c r="B123" s="12">
        <v>45281</v>
      </c>
      <c r="C123" s="13" t="s">
        <v>37</v>
      </c>
      <c r="D123" s="13" t="s">
        <v>27</v>
      </c>
      <c r="E123" s="13" t="s">
        <v>12</v>
      </c>
      <c r="F123" s="13" t="s">
        <v>13</v>
      </c>
      <c r="G123" s="13" t="s">
        <v>14</v>
      </c>
      <c r="H123" s="14">
        <v>23082.5</v>
      </c>
      <c r="I123" s="13">
        <v>5</v>
      </c>
      <c r="J123" s="15">
        <v>6692.32</v>
      </c>
      <c r="K123" s="14" t="str" cm="1">
        <f t="array" ref="K123">_xlfn.IFS(Table43[[#This Row],[Sales]]&gt;40000,"Best Sales",Table43[[#This Row],[Sales]]&gt;20000,"Average Sales",Table43[[#This Row],[Sales]]&gt;0,"Poor Sales")</f>
        <v>Average Sales</v>
      </c>
      <c r="L123" s="23">
        <f>YEAR(Table43[[#This Row],[Date]])</f>
        <v>2023</v>
      </c>
      <c r="M123" s="23">
        <f>MONTH(Table43[[#This Row],[Date]])</f>
        <v>12</v>
      </c>
      <c r="N123" s="25">
        <f>DAY(Table43[[#This Row],[Date]])</f>
        <v>21</v>
      </c>
      <c r="O123" s="25" t="str">
        <f>TEXT(DATE(2023,Table43[[#This Row],[Month]],1),"mmm")</f>
        <v>Dec</v>
      </c>
      <c r="P123" s="25"/>
      <c r="Q123" s="25"/>
    </row>
    <row r="124" spans="1:17" x14ac:dyDescent="0.3">
      <c r="A124" s="6">
        <v>123</v>
      </c>
      <c r="B124" s="7">
        <v>45087</v>
      </c>
      <c r="C124" s="8" t="s">
        <v>37</v>
      </c>
      <c r="D124" s="8" t="s">
        <v>27</v>
      </c>
      <c r="E124" s="8" t="s">
        <v>12</v>
      </c>
      <c r="F124" s="8" t="s">
        <v>31</v>
      </c>
      <c r="G124" s="8" t="s">
        <v>33</v>
      </c>
      <c r="H124" s="9">
        <v>38476.03</v>
      </c>
      <c r="I124" s="8">
        <v>5</v>
      </c>
      <c r="J124" s="10">
        <v>4209.84</v>
      </c>
      <c r="K124" s="14" t="str" cm="1">
        <f t="array" ref="K124">_xlfn.IFS(Table43[[#This Row],[Sales]]&gt;40000,"Best Sales",Table43[[#This Row],[Sales]]&gt;20000,"Average Sales",Table43[[#This Row],[Sales]]&gt;0,"Poor Sales")</f>
        <v>Average Sales</v>
      </c>
      <c r="L124" s="23">
        <f>YEAR(Table43[[#This Row],[Date]])</f>
        <v>2023</v>
      </c>
      <c r="M124" s="23">
        <f>MONTH(Table43[[#This Row],[Date]])</f>
        <v>6</v>
      </c>
      <c r="N124" s="25">
        <f>DAY(Table43[[#This Row],[Date]])</f>
        <v>10</v>
      </c>
      <c r="O124" s="25" t="str">
        <f>TEXT(DATE(2023,Table43[[#This Row],[Month]],1),"mmm")</f>
        <v>Jun</v>
      </c>
      <c r="P124" s="25"/>
      <c r="Q124" s="25"/>
    </row>
    <row r="125" spans="1:17" x14ac:dyDescent="0.3">
      <c r="A125" s="11">
        <v>124</v>
      </c>
      <c r="B125" s="12">
        <v>44997</v>
      </c>
      <c r="C125" s="13" t="s">
        <v>37</v>
      </c>
      <c r="D125" s="13" t="s">
        <v>27</v>
      </c>
      <c r="E125" s="13" t="s">
        <v>12</v>
      </c>
      <c r="F125" s="13" t="s">
        <v>31</v>
      </c>
      <c r="G125" s="13" t="s">
        <v>32</v>
      </c>
      <c r="H125" s="14">
        <v>18610.04</v>
      </c>
      <c r="I125" s="13">
        <v>9</v>
      </c>
      <c r="J125" s="15">
        <v>2849.41</v>
      </c>
      <c r="K125" s="14" t="str" cm="1">
        <f t="array" ref="K125">_xlfn.IFS(Table43[[#This Row],[Sales]]&gt;40000,"Best Sales",Table43[[#This Row],[Sales]]&gt;20000,"Average Sales",Table43[[#This Row],[Sales]]&gt;0,"Poor Sales")</f>
        <v>Poor Sales</v>
      </c>
      <c r="L125" s="23">
        <f>YEAR(Table43[[#This Row],[Date]])</f>
        <v>2023</v>
      </c>
      <c r="M125" s="23">
        <f>MONTH(Table43[[#This Row],[Date]])</f>
        <v>3</v>
      </c>
      <c r="N125" s="25">
        <f>DAY(Table43[[#This Row],[Date]])</f>
        <v>12</v>
      </c>
      <c r="O125" s="25" t="str">
        <f>TEXT(DATE(2023,Table43[[#This Row],[Month]],1),"mmm")</f>
        <v>Mar</v>
      </c>
      <c r="P125" s="25"/>
      <c r="Q125" s="25"/>
    </row>
    <row r="126" spans="1:17" x14ac:dyDescent="0.3">
      <c r="A126" s="6">
        <v>125</v>
      </c>
      <c r="B126" s="7">
        <v>44996</v>
      </c>
      <c r="C126" s="8" t="s">
        <v>30</v>
      </c>
      <c r="D126" s="8" t="s">
        <v>16</v>
      </c>
      <c r="E126" s="8" t="s">
        <v>12</v>
      </c>
      <c r="F126" s="8" t="s">
        <v>13</v>
      </c>
      <c r="G126" s="8" t="s">
        <v>14</v>
      </c>
      <c r="H126" s="9">
        <v>9386.76</v>
      </c>
      <c r="I126" s="8">
        <v>5</v>
      </c>
      <c r="J126" s="10">
        <v>1362.58</v>
      </c>
      <c r="K126" s="14" t="str" cm="1">
        <f t="array" ref="K126">_xlfn.IFS(Table43[[#This Row],[Sales]]&gt;40000,"Best Sales",Table43[[#This Row],[Sales]]&gt;20000,"Average Sales",Table43[[#This Row],[Sales]]&gt;0,"Poor Sales")</f>
        <v>Poor Sales</v>
      </c>
      <c r="L126" s="23">
        <f>YEAR(Table43[[#This Row],[Date]])</f>
        <v>2023</v>
      </c>
      <c r="M126" s="23">
        <f>MONTH(Table43[[#This Row],[Date]])</f>
        <v>3</v>
      </c>
      <c r="N126" s="25">
        <f>DAY(Table43[[#This Row],[Date]])</f>
        <v>11</v>
      </c>
      <c r="O126" s="25" t="str">
        <f>TEXT(DATE(2023,Table43[[#This Row],[Month]],1),"mmm")</f>
        <v>Mar</v>
      </c>
      <c r="P126" s="25"/>
      <c r="Q126" s="25"/>
    </row>
    <row r="127" spans="1:17" x14ac:dyDescent="0.3">
      <c r="A127" s="11">
        <v>126</v>
      </c>
      <c r="B127" s="12">
        <v>45288</v>
      </c>
      <c r="C127" s="13" t="s">
        <v>26</v>
      </c>
      <c r="D127" s="13" t="s">
        <v>27</v>
      </c>
      <c r="E127" s="13" t="s">
        <v>12</v>
      </c>
      <c r="F127" s="13" t="s">
        <v>13</v>
      </c>
      <c r="G127" s="13" t="s">
        <v>14</v>
      </c>
      <c r="H127" s="14">
        <v>28617.52</v>
      </c>
      <c r="I127" s="13">
        <v>6</v>
      </c>
      <c r="J127" s="15">
        <v>2807.32</v>
      </c>
      <c r="K127" s="14" t="str" cm="1">
        <f t="array" ref="K127">_xlfn.IFS(Table43[[#This Row],[Sales]]&gt;40000,"Best Sales",Table43[[#This Row],[Sales]]&gt;20000,"Average Sales",Table43[[#This Row],[Sales]]&gt;0,"Poor Sales")</f>
        <v>Average Sales</v>
      </c>
      <c r="L127" s="23">
        <f>YEAR(Table43[[#This Row],[Date]])</f>
        <v>2023</v>
      </c>
      <c r="M127" s="23">
        <f>MONTH(Table43[[#This Row],[Date]])</f>
        <v>12</v>
      </c>
      <c r="N127" s="25">
        <f>DAY(Table43[[#This Row],[Date]])</f>
        <v>28</v>
      </c>
      <c r="O127" s="25" t="str">
        <f>TEXT(DATE(2023,Table43[[#This Row],[Month]],1),"mmm")</f>
        <v>Dec</v>
      </c>
      <c r="P127" s="25"/>
      <c r="Q127" s="25"/>
    </row>
    <row r="128" spans="1:17" x14ac:dyDescent="0.3">
      <c r="A128" s="6">
        <v>127</v>
      </c>
      <c r="B128" s="7">
        <v>45268</v>
      </c>
      <c r="C128" s="8" t="s">
        <v>15</v>
      </c>
      <c r="D128" s="8" t="s">
        <v>16</v>
      </c>
      <c r="E128" s="8" t="s">
        <v>12</v>
      </c>
      <c r="F128" s="8" t="s">
        <v>31</v>
      </c>
      <c r="G128" s="8" t="s">
        <v>32</v>
      </c>
      <c r="H128" s="9">
        <v>23321.11</v>
      </c>
      <c r="I128" s="8">
        <v>6</v>
      </c>
      <c r="J128" s="10">
        <v>6516.94</v>
      </c>
      <c r="K128" s="14" t="str" cm="1">
        <f t="array" ref="K128">_xlfn.IFS(Table43[[#This Row],[Sales]]&gt;40000,"Best Sales",Table43[[#This Row],[Sales]]&gt;20000,"Average Sales",Table43[[#This Row],[Sales]]&gt;0,"Poor Sales")</f>
        <v>Average Sales</v>
      </c>
      <c r="L128" s="23">
        <f>YEAR(Table43[[#This Row],[Date]])</f>
        <v>2023</v>
      </c>
      <c r="M128" s="23">
        <f>MONTH(Table43[[#This Row],[Date]])</f>
        <v>12</v>
      </c>
      <c r="N128" s="25">
        <f>DAY(Table43[[#This Row],[Date]])</f>
        <v>8</v>
      </c>
      <c r="O128" s="25" t="str">
        <f>TEXT(DATE(2023,Table43[[#This Row],[Month]],1),"mmm")</f>
        <v>Dec</v>
      </c>
      <c r="P128" s="25"/>
      <c r="Q128" s="25"/>
    </row>
    <row r="129" spans="1:17" x14ac:dyDescent="0.3">
      <c r="A129" s="11">
        <v>128</v>
      </c>
      <c r="B129" s="12">
        <v>45195</v>
      </c>
      <c r="C129" s="13" t="s">
        <v>26</v>
      </c>
      <c r="D129" s="13" t="s">
        <v>27</v>
      </c>
      <c r="E129" s="13" t="s">
        <v>12</v>
      </c>
      <c r="F129" s="13" t="s">
        <v>13</v>
      </c>
      <c r="G129" s="13" t="s">
        <v>14</v>
      </c>
      <c r="H129" s="14">
        <v>30886.63</v>
      </c>
      <c r="I129" s="13">
        <v>3</v>
      </c>
      <c r="J129" s="15">
        <v>7845.04</v>
      </c>
      <c r="K129" s="14" t="str" cm="1">
        <f t="array" ref="K129">_xlfn.IFS(Table43[[#This Row],[Sales]]&gt;40000,"Best Sales",Table43[[#This Row],[Sales]]&gt;20000,"Average Sales",Table43[[#This Row],[Sales]]&gt;0,"Poor Sales")</f>
        <v>Average Sales</v>
      </c>
      <c r="L129" s="23">
        <f>YEAR(Table43[[#This Row],[Date]])</f>
        <v>2023</v>
      </c>
      <c r="M129" s="23">
        <f>MONTH(Table43[[#This Row],[Date]])</f>
        <v>9</v>
      </c>
      <c r="N129" s="25">
        <f>DAY(Table43[[#This Row],[Date]])</f>
        <v>26</v>
      </c>
      <c r="O129" s="25" t="str">
        <f>TEXT(DATE(2023,Table43[[#This Row],[Month]],1),"mmm")</f>
        <v>Sep</v>
      </c>
      <c r="P129" s="25"/>
      <c r="Q129" s="25"/>
    </row>
    <row r="130" spans="1:17" x14ac:dyDescent="0.3">
      <c r="A130" s="6">
        <v>129</v>
      </c>
      <c r="B130" s="7">
        <v>45236</v>
      </c>
      <c r="C130" s="8" t="s">
        <v>10</v>
      </c>
      <c r="D130" s="8" t="s">
        <v>11</v>
      </c>
      <c r="E130" s="8" t="s">
        <v>12</v>
      </c>
      <c r="F130" s="8" t="s">
        <v>31</v>
      </c>
      <c r="G130" s="8" t="s">
        <v>39</v>
      </c>
      <c r="H130" s="9">
        <v>33355.910000000003</v>
      </c>
      <c r="I130" s="8">
        <v>5</v>
      </c>
      <c r="J130" s="10">
        <v>2731.47</v>
      </c>
      <c r="K130" s="14" t="str" cm="1">
        <f t="array" ref="K130">_xlfn.IFS(Table43[[#This Row],[Sales]]&gt;40000,"Best Sales",Table43[[#This Row],[Sales]]&gt;20000,"Average Sales",Table43[[#This Row],[Sales]]&gt;0,"Poor Sales")</f>
        <v>Average Sales</v>
      </c>
      <c r="L130" s="23">
        <f>YEAR(Table43[[#This Row],[Date]])</f>
        <v>2023</v>
      </c>
      <c r="M130" s="23">
        <f>MONTH(Table43[[#This Row],[Date]])</f>
        <v>11</v>
      </c>
      <c r="N130" s="25">
        <f>DAY(Table43[[#This Row],[Date]])</f>
        <v>6</v>
      </c>
      <c r="O130" s="25" t="str">
        <f>TEXT(DATE(2023,Table43[[#This Row],[Month]],1),"mmm")</f>
        <v>Nov</v>
      </c>
      <c r="P130" s="25"/>
      <c r="Q130" s="25"/>
    </row>
    <row r="131" spans="1:17" x14ac:dyDescent="0.3">
      <c r="A131" s="11">
        <v>130</v>
      </c>
      <c r="B131" s="12">
        <v>45109</v>
      </c>
      <c r="C131" s="13" t="s">
        <v>10</v>
      </c>
      <c r="D131" s="13" t="s">
        <v>11</v>
      </c>
      <c r="E131" s="13" t="s">
        <v>12</v>
      </c>
      <c r="F131" s="13" t="s">
        <v>24</v>
      </c>
      <c r="G131" s="13" t="s">
        <v>28</v>
      </c>
      <c r="H131" s="14">
        <v>23925.26</v>
      </c>
      <c r="I131" s="13">
        <v>3</v>
      </c>
      <c r="J131" s="15">
        <v>4614.3999999999996</v>
      </c>
      <c r="K131" s="14" t="str" cm="1">
        <f t="array" ref="K131">_xlfn.IFS(Table43[[#This Row],[Sales]]&gt;40000,"Best Sales",Table43[[#This Row],[Sales]]&gt;20000,"Average Sales",Table43[[#This Row],[Sales]]&gt;0,"Poor Sales")</f>
        <v>Average Sales</v>
      </c>
      <c r="L131" s="23">
        <f>YEAR(Table43[[#This Row],[Date]])</f>
        <v>2023</v>
      </c>
      <c r="M131" s="23">
        <f>MONTH(Table43[[#This Row],[Date]])</f>
        <v>7</v>
      </c>
      <c r="N131" s="25">
        <f>DAY(Table43[[#This Row],[Date]])</f>
        <v>2</v>
      </c>
      <c r="O131" s="25" t="str">
        <f>TEXT(DATE(2023,Table43[[#This Row],[Month]],1),"mmm")</f>
        <v>Jul</v>
      </c>
      <c r="P131" s="25"/>
      <c r="Q131" s="25"/>
    </row>
    <row r="132" spans="1:17" x14ac:dyDescent="0.3">
      <c r="A132" s="6">
        <v>131</v>
      </c>
      <c r="B132" s="7">
        <v>44930</v>
      </c>
      <c r="C132" s="8" t="s">
        <v>10</v>
      </c>
      <c r="D132" s="8" t="s">
        <v>11</v>
      </c>
      <c r="E132" s="8" t="s">
        <v>12</v>
      </c>
      <c r="F132" s="8" t="s">
        <v>13</v>
      </c>
      <c r="G132" s="8" t="s">
        <v>34</v>
      </c>
      <c r="H132" s="9">
        <v>46208.11</v>
      </c>
      <c r="I132" s="8">
        <v>1</v>
      </c>
      <c r="J132" s="10">
        <v>4640.21</v>
      </c>
      <c r="K132" s="14" t="str" cm="1">
        <f t="array" ref="K132">_xlfn.IFS(Table43[[#This Row],[Sales]]&gt;40000,"Best Sales",Table43[[#This Row],[Sales]]&gt;20000,"Average Sales",Table43[[#This Row],[Sales]]&gt;0,"Poor Sales")</f>
        <v>Best Sales</v>
      </c>
      <c r="L132" s="23">
        <f>YEAR(Table43[[#This Row],[Date]])</f>
        <v>2023</v>
      </c>
      <c r="M132" s="23">
        <f>MONTH(Table43[[#This Row],[Date]])</f>
        <v>1</v>
      </c>
      <c r="N132" s="25">
        <f>DAY(Table43[[#This Row],[Date]])</f>
        <v>4</v>
      </c>
      <c r="O132" s="25" t="str">
        <f>TEXT(DATE(2023,Table43[[#This Row],[Month]],1),"mmm")</f>
        <v>Jan</v>
      </c>
      <c r="P132" s="25"/>
      <c r="Q132" s="25"/>
    </row>
    <row r="133" spans="1:17" x14ac:dyDescent="0.3">
      <c r="A133" s="11">
        <v>132</v>
      </c>
      <c r="B133" s="12">
        <v>44967</v>
      </c>
      <c r="C133" s="13" t="s">
        <v>10</v>
      </c>
      <c r="D133" s="13" t="s">
        <v>11</v>
      </c>
      <c r="E133" s="13" t="s">
        <v>12</v>
      </c>
      <c r="F133" s="13" t="s">
        <v>31</v>
      </c>
      <c r="G133" s="13" t="s">
        <v>39</v>
      </c>
      <c r="H133" s="14">
        <v>7965.54</v>
      </c>
      <c r="I133" s="13">
        <v>3</v>
      </c>
      <c r="J133" s="15">
        <v>2341.5300000000002</v>
      </c>
      <c r="K133" s="14" t="str" cm="1">
        <f t="array" ref="K133">_xlfn.IFS(Table43[[#This Row],[Sales]]&gt;40000,"Best Sales",Table43[[#This Row],[Sales]]&gt;20000,"Average Sales",Table43[[#This Row],[Sales]]&gt;0,"Poor Sales")</f>
        <v>Poor Sales</v>
      </c>
      <c r="L133" s="23">
        <f>YEAR(Table43[[#This Row],[Date]])</f>
        <v>2023</v>
      </c>
      <c r="M133" s="23">
        <f>MONTH(Table43[[#This Row],[Date]])</f>
        <v>2</v>
      </c>
      <c r="N133" s="25">
        <f>DAY(Table43[[#This Row],[Date]])</f>
        <v>10</v>
      </c>
      <c r="O133" s="25" t="str">
        <f>TEXT(DATE(2023,Table43[[#This Row],[Month]],1),"mmm")</f>
        <v>Feb</v>
      </c>
      <c r="P133" s="25"/>
      <c r="Q133" s="25"/>
    </row>
    <row r="134" spans="1:17" x14ac:dyDescent="0.3">
      <c r="A134" s="6">
        <v>133</v>
      </c>
      <c r="B134" s="7">
        <v>45265</v>
      </c>
      <c r="C134" s="8" t="s">
        <v>15</v>
      </c>
      <c r="D134" s="8" t="s">
        <v>16</v>
      </c>
      <c r="E134" s="8" t="s">
        <v>12</v>
      </c>
      <c r="F134" s="8" t="s">
        <v>13</v>
      </c>
      <c r="G134" s="8" t="s">
        <v>34</v>
      </c>
      <c r="H134" s="9">
        <v>47622.58</v>
      </c>
      <c r="I134" s="8">
        <v>8</v>
      </c>
      <c r="J134" s="10">
        <v>13847.81</v>
      </c>
      <c r="K134" s="14" t="str" cm="1">
        <f t="array" ref="K134">_xlfn.IFS(Table43[[#This Row],[Sales]]&gt;40000,"Best Sales",Table43[[#This Row],[Sales]]&gt;20000,"Average Sales",Table43[[#This Row],[Sales]]&gt;0,"Poor Sales")</f>
        <v>Best Sales</v>
      </c>
      <c r="L134" s="23">
        <f>YEAR(Table43[[#This Row],[Date]])</f>
        <v>2023</v>
      </c>
      <c r="M134" s="23">
        <f>MONTH(Table43[[#This Row],[Date]])</f>
        <v>12</v>
      </c>
      <c r="N134" s="25">
        <f>DAY(Table43[[#This Row],[Date]])</f>
        <v>5</v>
      </c>
      <c r="O134" s="25" t="str">
        <f>TEXT(DATE(2023,Table43[[#This Row],[Month]],1),"mmm")</f>
        <v>Dec</v>
      </c>
      <c r="P134" s="25"/>
      <c r="Q134" s="25"/>
    </row>
    <row r="135" spans="1:17" x14ac:dyDescent="0.3">
      <c r="A135" s="11">
        <v>134</v>
      </c>
      <c r="B135" s="12">
        <v>45204</v>
      </c>
      <c r="C135" s="13" t="s">
        <v>22</v>
      </c>
      <c r="D135" s="13" t="s">
        <v>22</v>
      </c>
      <c r="E135" s="13" t="s">
        <v>12</v>
      </c>
      <c r="F135" s="13" t="s">
        <v>31</v>
      </c>
      <c r="G135" s="13" t="s">
        <v>33</v>
      </c>
      <c r="H135" s="14">
        <v>2192.81</v>
      </c>
      <c r="I135" s="13">
        <v>2</v>
      </c>
      <c r="J135" s="15">
        <v>448.06</v>
      </c>
      <c r="K135" s="14" t="str" cm="1">
        <f t="array" ref="K135">_xlfn.IFS(Table43[[#This Row],[Sales]]&gt;40000,"Best Sales",Table43[[#This Row],[Sales]]&gt;20000,"Average Sales",Table43[[#This Row],[Sales]]&gt;0,"Poor Sales")</f>
        <v>Poor Sales</v>
      </c>
      <c r="L135" s="23">
        <f>YEAR(Table43[[#This Row],[Date]])</f>
        <v>2023</v>
      </c>
      <c r="M135" s="23">
        <f>MONTH(Table43[[#This Row],[Date]])</f>
        <v>10</v>
      </c>
      <c r="N135" s="25">
        <f>DAY(Table43[[#This Row],[Date]])</f>
        <v>5</v>
      </c>
      <c r="O135" s="25" t="str">
        <f>TEXT(DATE(2023,Table43[[#This Row],[Month]],1),"mmm")</f>
        <v>Oct</v>
      </c>
      <c r="P135" s="25"/>
      <c r="Q135" s="25"/>
    </row>
    <row r="136" spans="1:17" x14ac:dyDescent="0.3">
      <c r="A136" s="6">
        <v>135</v>
      </c>
      <c r="B136" s="7">
        <v>45182</v>
      </c>
      <c r="C136" s="8" t="s">
        <v>35</v>
      </c>
      <c r="D136" s="8" t="s">
        <v>36</v>
      </c>
      <c r="E136" s="8" t="s">
        <v>12</v>
      </c>
      <c r="F136" s="8" t="s">
        <v>13</v>
      </c>
      <c r="G136" s="8" t="s">
        <v>34</v>
      </c>
      <c r="H136" s="9">
        <v>39455.26</v>
      </c>
      <c r="I136" s="8">
        <v>6</v>
      </c>
      <c r="J136" s="10">
        <v>7254.89</v>
      </c>
      <c r="K136" s="14" t="str" cm="1">
        <f t="array" ref="K136">_xlfn.IFS(Table43[[#This Row],[Sales]]&gt;40000,"Best Sales",Table43[[#This Row],[Sales]]&gt;20000,"Average Sales",Table43[[#This Row],[Sales]]&gt;0,"Poor Sales")</f>
        <v>Average Sales</v>
      </c>
      <c r="L136" s="23">
        <f>YEAR(Table43[[#This Row],[Date]])</f>
        <v>2023</v>
      </c>
      <c r="M136" s="23">
        <f>MONTH(Table43[[#This Row],[Date]])</f>
        <v>9</v>
      </c>
      <c r="N136" s="25">
        <f>DAY(Table43[[#This Row],[Date]])</f>
        <v>13</v>
      </c>
      <c r="O136" s="25" t="str">
        <f>TEXT(DATE(2023,Table43[[#This Row],[Month]],1),"mmm")</f>
        <v>Sep</v>
      </c>
      <c r="P136" s="25"/>
      <c r="Q136" s="25"/>
    </row>
    <row r="137" spans="1:17" x14ac:dyDescent="0.3">
      <c r="A137" s="11">
        <v>136</v>
      </c>
      <c r="B137" s="12">
        <v>45066</v>
      </c>
      <c r="C137" s="13" t="s">
        <v>30</v>
      </c>
      <c r="D137" s="13" t="s">
        <v>16</v>
      </c>
      <c r="E137" s="13" t="s">
        <v>12</v>
      </c>
      <c r="F137" s="13" t="s">
        <v>31</v>
      </c>
      <c r="G137" s="13" t="s">
        <v>33</v>
      </c>
      <c r="H137" s="14">
        <v>33615.199999999997</v>
      </c>
      <c r="I137" s="13">
        <v>10</v>
      </c>
      <c r="J137" s="15">
        <v>9400.1200000000008</v>
      </c>
      <c r="K137" s="14" t="str" cm="1">
        <f t="array" ref="K137">_xlfn.IFS(Table43[[#This Row],[Sales]]&gt;40000,"Best Sales",Table43[[#This Row],[Sales]]&gt;20000,"Average Sales",Table43[[#This Row],[Sales]]&gt;0,"Poor Sales")</f>
        <v>Average Sales</v>
      </c>
      <c r="L137" s="23">
        <f>YEAR(Table43[[#This Row],[Date]])</f>
        <v>2023</v>
      </c>
      <c r="M137" s="23">
        <f>MONTH(Table43[[#This Row],[Date]])</f>
        <v>5</v>
      </c>
      <c r="N137" s="25">
        <f>DAY(Table43[[#This Row],[Date]])</f>
        <v>20</v>
      </c>
      <c r="O137" s="25" t="str">
        <f>TEXT(DATE(2023,Table43[[#This Row],[Month]],1),"mmm")</f>
        <v>May</v>
      </c>
      <c r="P137" s="25"/>
      <c r="Q137" s="25"/>
    </row>
    <row r="138" spans="1:17" x14ac:dyDescent="0.3">
      <c r="A138" s="6">
        <v>137</v>
      </c>
      <c r="B138" s="7">
        <v>45112</v>
      </c>
      <c r="C138" s="8" t="s">
        <v>10</v>
      </c>
      <c r="D138" s="8" t="s">
        <v>11</v>
      </c>
      <c r="E138" s="8" t="s">
        <v>12</v>
      </c>
      <c r="F138" s="8" t="s">
        <v>13</v>
      </c>
      <c r="G138" s="8" t="s">
        <v>21</v>
      </c>
      <c r="H138" s="9">
        <v>43630.27</v>
      </c>
      <c r="I138" s="8">
        <v>1</v>
      </c>
      <c r="J138" s="10">
        <v>5720.89</v>
      </c>
      <c r="K138" s="14" t="str" cm="1">
        <f t="array" ref="K138">_xlfn.IFS(Table43[[#This Row],[Sales]]&gt;40000,"Best Sales",Table43[[#This Row],[Sales]]&gt;20000,"Average Sales",Table43[[#This Row],[Sales]]&gt;0,"Poor Sales")</f>
        <v>Best Sales</v>
      </c>
      <c r="L138" s="23">
        <f>YEAR(Table43[[#This Row],[Date]])</f>
        <v>2023</v>
      </c>
      <c r="M138" s="23">
        <f>MONTH(Table43[[#This Row],[Date]])</f>
        <v>7</v>
      </c>
      <c r="N138" s="25">
        <f>DAY(Table43[[#This Row],[Date]])</f>
        <v>5</v>
      </c>
      <c r="O138" s="25" t="str">
        <f>TEXT(DATE(2023,Table43[[#This Row],[Month]],1),"mmm")</f>
        <v>Jul</v>
      </c>
      <c r="P138" s="25"/>
      <c r="Q138" s="25"/>
    </row>
    <row r="139" spans="1:17" x14ac:dyDescent="0.3">
      <c r="A139" s="11">
        <v>138</v>
      </c>
      <c r="B139" s="12">
        <v>45222</v>
      </c>
      <c r="C139" s="13" t="s">
        <v>30</v>
      </c>
      <c r="D139" s="13" t="s">
        <v>16</v>
      </c>
      <c r="E139" s="13" t="s">
        <v>12</v>
      </c>
      <c r="F139" s="13" t="s">
        <v>31</v>
      </c>
      <c r="G139" s="13" t="s">
        <v>39</v>
      </c>
      <c r="H139" s="14">
        <v>45089.98</v>
      </c>
      <c r="I139" s="13">
        <v>5</v>
      </c>
      <c r="J139" s="15">
        <v>4787.6899999999996</v>
      </c>
      <c r="K139" s="14" t="str" cm="1">
        <f t="array" ref="K139">_xlfn.IFS(Table43[[#This Row],[Sales]]&gt;40000,"Best Sales",Table43[[#This Row],[Sales]]&gt;20000,"Average Sales",Table43[[#This Row],[Sales]]&gt;0,"Poor Sales")</f>
        <v>Best Sales</v>
      </c>
      <c r="L139" s="23">
        <f>YEAR(Table43[[#This Row],[Date]])</f>
        <v>2023</v>
      </c>
      <c r="M139" s="23">
        <f>MONTH(Table43[[#This Row],[Date]])</f>
        <v>10</v>
      </c>
      <c r="N139" s="25">
        <f>DAY(Table43[[#This Row],[Date]])</f>
        <v>23</v>
      </c>
      <c r="O139" s="25" t="str">
        <f>TEXT(DATE(2023,Table43[[#This Row],[Month]],1),"mmm")</f>
        <v>Oct</v>
      </c>
      <c r="P139" s="25"/>
      <c r="Q139" s="25"/>
    </row>
    <row r="140" spans="1:17" x14ac:dyDescent="0.3">
      <c r="A140" s="6">
        <v>139</v>
      </c>
      <c r="B140" s="7">
        <v>45193</v>
      </c>
      <c r="C140" s="8" t="s">
        <v>30</v>
      </c>
      <c r="D140" s="8" t="s">
        <v>16</v>
      </c>
      <c r="E140" s="8" t="s">
        <v>12</v>
      </c>
      <c r="F140" s="8" t="s">
        <v>24</v>
      </c>
      <c r="G140" s="8" t="s">
        <v>29</v>
      </c>
      <c r="H140" s="9">
        <v>41314.769999999997</v>
      </c>
      <c r="I140" s="8">
        <v>7</v>
      </c>
      <c r="J140" s="10">
        <v>9847.14</v>
      </c>
      <c r="K140" s="14" t="str" cm="1">
        <f t="array" ref="K140">_xlfn.IFS(Table43[[#This Row],[Sales]]&gt;40000,"Best Sales",Table43[[#This Row],[Sales]]&gt;20000,"Average Sales",Table43[[#This Row],[Sales]]&gt;0,"Poor Sales")</f>
        <v>Best Sales</v>
      </c>
      <c r="L140" s="23">
        <f>YEAR(Table43[[#This Row],[Date]])</f>
        <v>2023</v>
      </c>
      <c r="M140" s="23">
        <f>MONTH(Table43[[#This Row],[Date]])</f>
        <v>9</v>
      </c>
      <c r="N140" s="25">
        <f>DAY(Table43[[#This Row],[Date]])</f>
        <v>24</v>
      </c>
      <c r="O140" s="25" t="str">
        <f>TEXT(DATE(2023,Table43[[#This Row],[Month]],1),"mmm")</f>
        <v>Sep</v>
      </c>
      <c r="P140" s="25"/>
      <c r="Q140" s="25"/>
    </row>
    <row r="141" spans="1:17" x14ac:dyDescent="0.3">
      <c r="A141" s="11">
        <v>140</v>
      </c>
      <c r="B141" s="12">
        <v>44981</v>
      </c>
      <c r="C141" s="13" t="s">
        <v>30</v>
      </c>
      <c r="D141" s="13" t="s">
        <v>16</v>
      </c>
      <c r="E141" s="13" t="s">
        <v>12</v>
      </c>
      <c r="F141" s="13" t="s">
        <v>24</v>
      </c>
      <c r="G141" s="13" t="s">
        <v>28</v>
      </c>
      <c r="H141" s="14">
        <v>33348.76</v>
      </c>
      <c r="I141" s="13">
        <v>2</v>
      </c>
      <c r="J141" s="15">
        <v>3732.78</v>
      </c>
      <c r="K141" s="14" t="str" cm="1">
        <f t="array" ref="K141">_xlfn.IFS(Table43[[#This Row],[Sales]]&gt;40000,"Best Sales",Table43[[#This Row],[Sales]]&gt;20000,"Average Sales",Table43[[#This Row],[Sales]]&gt;0,"Poor Sales")</f>
        <v>Average Sales</v>
      </c>
      <c r="L141" s="23">
        <f>YEAR(Table43[[#This Row],[Date]])</f>
        <v>2023</v>
      </c>
      <c r="M141" s="23">
        <f>MONTH(Table43[[#This Row],[Date]])</f>
        <v>2</v>
      </c>
      <c r="N141" s="25">
        <f>DAY(Table43[[#This Row],[Date]])</f>
        <v>24</v>
      </c>
      <c r="O141" s="25" t="str">
        <f>TEXT(DATE(2023,Table43[[#This Row],[Month]],1),"mmm")</f>
        <v>Feb</v>
      </c>
      <c r="P141" s="25"/>
      <c r="Q141" s="25"/>
    </row>
    <row r="142" spans="1:17" x14ac:dyDescent="0.3">
      <c r="A142" s="6">
        <v>141</v>
      </c>
      <c r="B142" s="7">
        <v>44944</v>
      </c>
      <c r="C142" s="8" t="s">
        <v>18</v>
      </c>
      <c r="D142" s="8" t="s">
        <v>19</v>
      </c>
      <c r="E142" s="8" t="s">
        <v>12</v>
      </c>
      <c r="F142" s="8" t="s">
        <v>13</v>
      </c>
      <c r="G142" s="8" t="s">
        <v>14</v>
      </c>
      <c r="H142" s="9">
        <v>36059.56</v>
      </c>
      <c r="I142" s="8">
        <v>8</v>
      </c>
      <c r="J142" s="10">
        <v>6777.54</v>
      </c>
      <c r="K142" s="14" t="str" cm="1">
        <f t="array" ref="K142">_xlfn.IFS(Table43[[#This Row],[Sales]]&gt;40000,"Best Sales",Table43[[#This Row],[Sales]]&gt;20000,"Average Sales",Table43[[#This Row],[Sales]]&gt;0,"Poor Sales")</f>
        <v>Average Sales</v>
      </c>
      <c r="L142" s="23">
        <f>YEAR(Table43[[#This Row],[Date]])</f>
        <v>2023</v>
      </c>
      <c r="M142" s="23">
        <f>MONTH(Table43[[#This Row],[Date]])</f>
        <v>1</v>
      </c>
      <c r="N142" s="25">
        <f>DAY(Table43[[#This Row],[Date]])</f>
        <v>18</v>
      </c>
      <c r="O142" s="25" t="str">
        <f>TEXT(DATE(2023,Table43[[#This Row],[Month]],1),"mmm")</f>
        <v>Jan</v>
      </c>
      <c r="P142" s="25"/>
      <c r="Q142" s="25"/>
    </row>
    <row r="143" spans="1:17" x14ac:dyDescent="0.3">
      <c r="A143" s="11">
        <v>142</v>
      </c>
      <c r="B143" s="12">
        <v>45063</v>
      </c>
      <c r="C143" s="13" t="s">
        <v>37</v>
      </c>
      <c r="D143" s="13" t="s">
        <v>27</v>
      </c>
      <c r="E143" s="13" t="s">
        <v>12</v>
      </c>
      <c r="F143" s="13" t="s">
        <v>24</v>
      </c>
      <c r="G143" s="13" t="s">
        <v>29</v>
      </c>
      <c r="H143" s="14">
        <v>21431.96</v>
      </c>
      <c r="I143" s="13">
        <v>6</v>
      </c>
      <c r="J143" s="15">
        <v>2214.5500000000002</v>
      </c>
      <c r="K143" s="14" t="str" cm="1">
        <f t="array" ref="K143">_xlfn.IFS(Table43[[#This Row],[Sales]]&gt;40000,"Best Sales",Table43[[#This Row],[Sales]]&gt;20000,"Average Sales",Table43[[#This Row],[Sales]]&gt;0,"Poor Sales")</f>
        <v>Average Sales</v>
      </c>
      <c r="L143" s="23">
        <f>YEAR(Table43[[#This Row],[Date]])</f>
        <v>2023</v>
      </c>
      <c r="M143" s="23">
        <f>MONTH(Table43[[#This Row],[Date]])</f>
        <v>5</v>
      </c>
      <c r="N143" s="25">
        <f>DAY(Table43[[#This Row],[Date]])</f>
        <v>17</v>
      </c>
      <c r="O143" s="25" t="str">
        <f>TEXT(DATE(2023,Table43[[#This Row],[Month]],1),"mmm")</f>
        <v>May</v>
      </c>
      <c r="P143" s="25"/>
      <c r="Q143" s="25"/>
    </row>
    <row r="144" spans="1:17" x14ac:dyDescent="0.3">
      <c r="A144" s="6">
        <v>143</v>
      </c>
      <c r="B144" s="7">
        <v>45177</v>
      </c>
      <c r="C144" s="8" t="s">
        <v>26</v>
      </c>
      <c r="D144" s="8" t="s">
        <v>27</v>
      </c>
      <c r="E144" s="8" t="s">
        <v>12</v>
      </c>
      <c r="F144" s="8" t="s">
        <v>13</v>
      </c>
      <c r="G144" s="8" t="s">
        <v>14</v>
      </c>
      <c r="H144" s="9">
        <v>29187.79</v>
      </c>
      <c r="I144" s="8">
        <v>2</v>
      </c>
      <c r="J144" s="10">
        <v>1532.13</v>
      </c>
      <c r="K144" s="14" t="str" cm="1">
        <f t="array" ref="K144">_xlfn.IFS(Table43[[#This Row],[Sales]]&gt;40000,"Best Sales",Table43[[#This Row],[Sales]]&gt;20000,"Average Sales",Table43[[#This Row],[Sales]]&gt;0,"Poor Sales")</f>
        <v>Average Sales</v>
      </c>
      <c r="L144" s="23">
        <f>YEAR(Table43[[#This Row],[Date]])</f>
        <v>2023</v>
      </c>
      <c r="M144" s="23">
        <f>MONTH(Table43[[#This Row],[Date]])</f>
        <v>9</v>
      </c>
      <c r="N144" s="25">
        <f>DAY(Table43[[#This Row],[Date]])</f>
        <v>8</v>
      </c>
      <c r="O144" s="25" t="str">
        <f>TEXT(DATE(2023,Table43[[#This Row],[Month]],1),"mmm")</f>
        <v>Sep</v>
      </c>
      <c r="P144" s="25"/>
      <c r="Q144" s="25"/>
    </row>
    <row r="145" spans="1:17" x14ac:dyDescent="0.3">
      <c r="A145" s="11">
        <v>144</v>
      </c>
      <c r="B145" s="12">
        <v>44930</v>
      </c>
      <c r="C145" s="13" t="s">
        <v>30</v>
      </c>
      <c r="D145" s="13" t="s">
        <v>16</v>
      </c>
      <c r="E145" s="13" t="s">
        <v>17</v>
      </c>
      <c r="F145" s="13" t="s">
        <v>31</v>
      </c>
      <c r="G145" s="13" t="s">
        <v>32</v>
      </c>
      <c r="H145" s="14">
        <v>45025.54</v>
      </c>
      <c r="I145" s="13">
        <v>2</v>
      </c>
      <c r="J145" s="15">
        <v>12720.22</v>
      </c>
      <c r="K145" s="14" t="str" cm="1">
        <f t="array" ref="K145">_xlfn.IFS(Table43[[#This Row],[Sales]]&gt;40000,"Best Sales",Table43[[#This Row],[Sales]]&gt;20000,"Average Sales",Table43[[#This Row],[Sales]]&gt;0,"Poor Sales")</f>
        <v>Best Sales</v>
      </c>
      <c r="L145" s="23">
        <f>YEAR(Table43[[#This Row],[Date]])</f>
        <v>2023</v>
      </c>
      <c r="M145" s="23">
        <f>MONTH(Table43[[#This Row],[Date]])</f>
        <v>1</v>
      </c>
      <c r="N145" s="25">
        <f>DAY(Table43[[#This Row],[Date]])</f>
        <v>4</v>
      </c>
      <c r="O145" s="25" t="str">
        <f>TEXT(DATE(2023,Table43[[#This Row],[Month]],1),"mmm")</f>
        <v>Jan</v>
      </c>
      <c r="P145" s="25"/>
      <c r="Q145" s="25"/>
    </row>
    <row r="146" spans="1:17" x14ac:dyDescent="0.3">
      <c r="A146" s="6">
        <v>145</v>
      </c>
      <c r="B146" s="7">
        <v>45118</v>
      </c>
      <c r="C146" s="8" t="s">
        <v>15</v>
      </c>
      <c r="D146" s="8" t="s">
        <v>16</v>
      </c>
      <c r="E146" s="8" t="s">
        <v>17</v>
      </c>
      <c r="F146" s="8" t="s">
        <v>13</v>
      </c>
      <c r="G146" s="8" t="s">
        <v>14</v>
      </c>
      <c r="H146" s="9">
        <v>29484.35</v>
      </c>
      <c r="I146" s="8">
        <v>4</v>
      </c>
      <c r="J146" s="10">
        <v>2052.4299999999998</v>
      </c>
      <c r="K146" s="14" t="str" cm="1">
        <f t="array" ref="K146">_xlfn.IFS(Table43[[#This Row],[Sales]]&gt;40000,"Best Sales",Table43[[#This Row],[Sales]]&gt;20000,"Average Sales",Table43[[#This Row],[Sales]]&gt;0,"Poor Sales")</f>
        <v>Average Sales</v>
      </c>
      <c r="L146" s="23">
        <f>YEAR(Table43[[#This Row],[Date]])</f>
        <v>2023</v>
      </c>
      <c r="M146" s="23">
        <f>MONTH(Table43[[#This Row],[Date]])</f>
        <v>7</v>
      </c>
      <c r="N146" s="25">
        <f>DAY(Table43[[#This Row],[Date]])</f>
        <v>11</v>
      </c>
      <c r="O146" s="25" t="str">
        <f>TEXT(DATE(2023,Table43[[#This Row],[Month]],1),"mmm")</f>
        <v>Jul</v>
      </c>
      <c r="P146" s="25"/>
      <c r="Q146" s="25"/>
    </row>
    <row r="147" spans="1:17" x14ac:dyDescent="0.3">
      <c r="A147" s="11">
        <v>146</v>
      </c>
      <c r="B147" s="12">
        <v>45067</v>
      </c>
      <c r="C147" s="13" t="s">
        <v>26</v>
      </c>
      <c r="D147" s="13" t="s">
        <v>27</v>
      </c>
      <c r="E147" s="13" t="s">
        <v>17</v>
      </c>
      <c r="F147" s="13" t="s">
        <v>13</v>
      </c>
      <c r="G147" s="13" t="s">
        <v>34</v>
      </c>
      <c r="H147" s="14">
        <v>16959.68</v>
      </c>
      <c r="I147" s="13">
        <v>4</v>
      </c>
      <c r="J147" s="15">
        <v>1943.65</v>
      </c>
      <c r="K147" s="14" t="str" cm="1">
        <f t="array" ref="K147">_xlfn.IFS(Table43[[#This Row],[Sales]]&gt;40000,"Best Sales",Table43[[#This Row],[Sales]]&gt;20000,"Average Sales",Table43[[#This Row],[Sales]]&gt;0,"Poor Sales")</f>
        <v>Poor Sales</v>
      </c>
      <c r="L147" s="23">
        <f>YEAR(Table43[[#This Row],[Date]])</f>
        <v>2023</v>
      </c>
      <c r="M147" s="23">
        <f>MONTH(Table43[[#This Row],[Date]])</f>
        <v>5</v>
      </c>
      <c r="N147" s="25">
        <f>DAY(Table43[[#This Row],[Date]])</f>
        <v>21</v>
      </c>
      <c r="O147" s="25" t="str">
        <f>TEXT(DATE(2023,Table43[[#This Row],[Month]],1),"mmm")</f>
        <v>May</v>
      </c>
      <c r="P147" s="25"/>
      <c r="Q147" s="25"/>
    </row>
    <row r="148" spans="1:17" x14ac:dyDescent="0.3">
      <c r="A148" s="6">
        <v>147</v>
      </c>
      <c r="B148" s="7">
        <v>45022</v>
      </c>
      <c r="C148" s="8" t="s">
        <v>38</v>
      </c>
      <c r="D148" s="8" t="s">
        <v>27</v>
      </c>
      <c r="E148" s="8" t="s">
        <v>17</v>
      </c>
      <c r="F148" s="8" t="s">
        <v>13</v>
      </c>
      <c r="G148" s="8" t="s">
        <v>34</v>
      </c>
      <c r="H148" s="9">
        <v>31987.86</v>
      </c>
      <c r="I148" s="8">
        <v>8</v>
      </c>
      <c r="J148" s="10">
        <v>9445.74</v>
      </c>
      <c r="K148" s="14" t="str" cm="1">
        <f t="array" ref="K148">_xlfn.IFS(Table43[[#This Row],[Sales]]&gt;40000,"Best Sales",Table43[[#This Row],[Sales]]&gt;20000,"Average Sales",Table43[[#This Row],[Sales]]&gt;0,"Poor Sales")</f>
        <v>Average Sales</v>
      </c>
      <c r="L148" s="23">
        <f>YEAR(Table43[[#This Row],[Date]])</f>
        <v>2023</v>
      </c>
      <c r="M148" s="23">
        <f>MONTH(Table43[[#This Row],[Date]])</f>
        <v>4</v>
      </c>
      <c r="N148" s="25">
        <f>DAY(Table43[[#This Row],[Date]])</f>
        <v>6</v>
      </c>
      <c r="O148" s="25" t="str">
        <f>TEXT(DATE(2023,Table43[[#This Row],[Month]],1),"mmm")</f>
        <v>Apr</v>
      </c>
      <c r="P148" s="25"/>
      <c r="Q148" s="25"/>
    </row>
    <row r="149" spans="1:17" x14ac:dyDescent="0.3">
      <c r="A149" s="11">
        <v>148</v>
      </c>
      <c r="B149" s="12">
        <v>44953</v>
      </c>
      <c r="C149" s="13" t="s">
        <v>38</v>
      </c>
      <c r="D149" s="13" t="s">
        <v>27</v>
      </c>
      <c r="E149" s="13" t="s">
        <v>17</v>
      </c>
      <c r="F149" s="13" t="s">
        <v>31</v>
      </c>
      <c r="G149" s="13" t="s">
        <v>32</v>
      </c>
      <c r="H149" s="14">
        <v>24644.97</v>
      </c>
      <c r="I149" s="13">
        <v>5</v>
      </c>
      <c r="J149" s="15">
        <v>2363.06</v>
      </c>
      <c r="K149" s="14" t="str" cm="1">
        <f t="array" ref="K149">_xlfn.IFS(Table43[[#This Row],[Sales]]&gt;40000,"Best Sales",Table43[[#This Row],[Sales]]&gt;20000,"Average Sales",Table43[[#This Row],[Sales]]&gt;0,"Poor Sales")</f>
        <v>Average Sales</v>
      </c>
      <c r="L149" s="23">
        <f>YEAR(Table43[[#This Row],[Date]])</f>
        <v>2023</v>
      </c>
      <c r="M149" s="23">
        <f>MONTH(Table43[[#This Row],[Date]])</f>
        <v>1</v>
      </c>
      <c r="N149" s="25">
        <f>DAY(Table43[[#This Row],[Date]])</f>
        <v>27</v>
      </c>
      <c r="O149" s="25" t="str">
        <f>TEXT(DATE(2023,Table43[[#This Row],[Month]],1),"mmm")</f>
        <v>Jan</v>
      </c>
      <c r="P149" s="25"/>
      <c r="Q149" s="25"/>
    </row>
    <row r="150" spans="1:17" x14ac:dyDescent="0.3">
      <c r="A150" s="6">
        <v>149</v>
      </c>
      <c r="B150" s="7">
        <v>45241</v>
      </c>
      <c r="C150" s="8" t="s">
        <v>37</v>
      </c>
      <c r="D150" s="8" t="s">
        <v>27</v>
      </c>
      <c r="E150" s="8" t="s">
        <v>17</v>
      </c>
      <c r="F150" s="8" t="s">
        <v>13</v>
      </c>
      <c r="G150" s="8" t="s">
        <v>14</v>
      </c>
      <c r="H150" s="9">
        <v>28554.67</v>
      </c>
      <c r="I150" s="8">
        <v>9</v>
      </c>
      <c r="J150" s="10">
        <v>7750.57</v>
      </c>
      <c r="K150" s="14" t="str" cm="1">
        <f t="array" ref="K150">_xlfn.IFS(Table43[[#This Row],[Sales]]&gt;40000,"Best Sales",Table43[[#This Row],[Sales]]&gt;20000,"Average Sales",Table43[[#This Row],[Sales]]&gt;0,"Poor Sales")</f>
        <v>Average Sales</v>
      </c>
      <c r="L150" s="23">
        <f>YEAR(Table43[[#This Row],[Date]])</f>
        <v>2023</v>
      </c>
      <c r="M150" s="23">
        <f>MONTH(Table43[[#This Row],[Date]])</f>
        <v>11</v>
      </c>
      <c r="N150" s="25">
        <f>DAY(Table43[[#This Row],[Date]])</f>
        <v>11</v>
      </c>
      <c r="O150" s="25" t="str">
        <f>TEXT(DATE(2023,Table43[[#This Row],[Month]],1),"mmm")</f>
        <v>Nov</v>
      </c>
      <c r="P150" s="25"/>
      <c r="Q150" s="25"/>
    </row>
    <row r="151" spans="1:17" x14ac:dyDescent="0.3">
      <c r="A151" s="11">
        <v>150</v>
      </c>
      <c r="B151" s="12">
        <v>44960</v>
      </c>
      <c r="C151" s="13" t="s">
        <v>18</v>
      </c>
      <c r="D151" s="13" t="s">
        <v>19</v>
      </c>
      <c r="E151" s="13" t="s">
        <v>17</v>
      </c>
      <c r="F151" s="13" t="s">
        <v>13</v>
      </c>
      <c r="G151" s="13" t="s">
        <v>34</v>
      </c>
      <c r="H151" s="14">
        <v>8418.6</v>
      </c>
      <c r="I151" s="13">
        <v>7</v>
      </c>
      <c r="J151" s="15">
        <v>1523.75</v>
      </c>
      <c r="K151" s="14" t="str" cm="1">
        <f t="array" ref="K151">_xlfn.IFS(Table43[[#This Row],[Sales]]&gt;40000,"Best Sales",Table43[[#This Row],[Sales]]&gt;20000,"Average Sales",Table43[[#This Row],[Sales]]&gt;0,"Poor Sales")</f>
        <v>Poor Sales</v>
      </c>
      <c r="L151" s="23">
        <f>YEAR(Table43[[#This Row],[Date]])</f>
        <v>2023</v>
      </c>
      <c r="M151" s="23">
        <f>MONTH(Table43[[#This Row],[Date]])</f>
        <v>2</v>
      </c>
      <c r="N151" s="25">
        <f>DAY(Table43[[#This Row],[Date]])</f>
        <v>3</v>
      </c>
      <c r="O151" s="25" t="str">
        <f>TEXT(DATE(2023,Table43[[#This Row],[Month]],1),"mmm")</f>
        <v>Feb</v>
      </c>
      <c r="P151" s="25"/>
      <c r="Q151" s="25"/>
    </row>
    <row r="152" spans="1:17" x14ac:dyDescent="0.3">
      <c r="A152" s="6">
        <v>151</v>
      </c>
      <c r="B152" s="7">
        <v>45257</v>
      </c>
      <c r="C152" s="8" t="s">
        <v>18</v>
      </c>
      <c r="D152" s="8" t="s">
        <v>19</v>
      </c>
      <c r="E152" s="8" t="s">
        <v>17</v>
      </c>
      <c r="F152" s="8" t="s">
        <v>24</v>
      </c>
      <c r="G152" s="8" t="s">
        <v>28</v>
      </c>
      <c r="H152" s="9">
        <v>27560.07</v>
      </c>
      <c r="I152" s="8">
        <v>8</v>
      </c>
      <c r="J152" s="10">
        <v>2515.9699999999998</v>
      </c>
      <c r="K152" s="14" t="str" cm="1">
        <f t="array" ref="K152">_xlfn.IFS(Table43[[#This Row],[Sales]]&gt;40000,"Best Sales",Table43[[#This Row],[Sales]]&gt;20000,"Average Sales",Table43[[#This Row],[Sales]]&gt;0,"Poor Sales")</f>
        <v>Average Sales</v>
      </c>
      <c r="L152" s="23">
        <f>YEAR(Table43[[#This Row],[Date]])</f>
        <v>2023</v>
      </c>
      <c r="M152" s="23">
        <f>MONTH(Table43[[#This Row],[Date]])</f>
        <v>11</v>
      </c>
      <c r="N152" s="25">
        <f>DAY(Table43[[#This Row],[Date]])</f>
        <v>27</v>
      </c>
      <c r="O152" s="25" t="str">
        <f>TEXT(DATE(2023,Table43[[#This Row],[Month]],1),"mmm")</f>
        <v>Nov</v>
      </c>
      <c r="P152" s="25"/>
      <c r="Q152" s="25"/>
    </row>
    <row r="153" spans="1:17" x14ac:dyDescent="0.3">
      <c r="A153" s="11">
        <v>152</v>
      </c>
      <c r="B153" s="12">
        <v>45201</v>
      </c>
      <c r="C153" s="13" t="s">
        <v>35</v>
      </c>
      <c r="D153" s="13" t="s">
        <v>36</v>
      </c>
      <c r="E153" s="13" t="s">
        <v>17</v>
      </c>
      <c r="F153" s="13" t="s">
        <v>24</v>
      </c>
      <c r="G153" s="13" t="s">
        <v>25</v>
      </c>
      <c r="H153" s="14">
        <v>13616.19</v>
      </c>
      <c r="I153" s="13">
        <v>10</v>
      </c>
      <c r="J153" s="15">
        <v>4009.3</v>
      </c>
      <c r="K153" s="14" t="str" cm="1">
        <f t="array" ref="K153">_xlfn.IFS(Table43[[#This Row],[Sales]]&gt;40000,"Best Sales",Table43[[#This Row],[Sales]]&gt;20000,"Average Sales",Table43[[#This Row],[Sales]]&gt;0,"Poor Sales")</f>
        <v>Poor Sales</v>
      </c>
      <c r="L153" s="23">
        <f>YEAR(Table43[[#This Row],[Date]])</f>
        <v>2023</v>
      </c>
      <c r="M153" s="23">
        <f>MONTH(Table43[[#This Row],[Date]])</f>
        <v>10</v>
      </c>
      <c r="N153" s="25">
        <f>DAY(Table43[[#This Row],[Date]])</f>
        <v>2</v>
      </c>
      <c r="O153" s="25" t="str">
        <f>TEXT(DATE(2023,Table43[[#This Row],[Month]],1),"mmm")</f>
        <v>Oct</v>
      </c>
      <c r="P153" s="25"/>
      <c r="Q153" s="25"/>
    </row>
    <row r="154" spans="1:17" x14ac:dyDescent="0.3">
      <c r="A154" s="6">
        <v>153</v>
      </c>
      <c r="B154" s="7">
        <v>45139</v>
      </c>
      <c r="C154" s="8" t="s">
        <v>35</v>
      </c>
      <c r="D154" s="8" t="s">
        <v>36</v>
      </c>
      <c r="E154" s="8" t="s">
        <v>17</v>
      </c>
      <c r="F154" s="8" t="s">
        <v>13</v>
      </c>
      <c r="G154" s="8" t="s">
        <v>21</v>
      </c>
      <c r="H154" s="9">
        <v>25212.93</v>
      </c>
      <c r="I154" s="8">
        <v>8</v>
      </c>
      <c r="J154" s="10">
        <v>3535.68</v>
      </c>
      <c r="K154" s="14" t="str" cm="1">
        <f t="array" ref="K154">_xlfn.IFS(Table43[[#This Row],[Sales]]&gt;40000,"Best Sales",Table43[[#This Row],[Sales]]&gt;20000,"Average Sales",Table43[[#This Row],[Sales]]&gt;0,"Poor Sales")</f>
        <v>Average Sales</v>
      </c>
      <c r="L154" s="23">
        <f>YEAR(Table43[[#This Row],[Date]])</f>
        <v>2023</v>
      </c>
      <c r="M154" s="23">
        <f>MONTH(Table43[[#This Row],[Date]])</f>
        <v>8</v>
      </c>
      <c r="N154" s="25">
        <f>DAY(Table43[[#This Row],[Date]])</f>
        <v>1</v>
      </c>
      <c r="O154" s="25" t="str">
        <f>TEXT(DATE(2023,Table43[[#This Row],[Month]],1),"mmm")</f>
        <v>Aug</v>
      </c>
      <c r="P154" s="25"/>
      <c r="Q154" s="25"/>
    </row>
    <row r="155" spans="1:17" x14ac:dyDescent="0.3">
      <c r="A155" s="11">
        <v>154</v>
      </c>
      <c r="B155" s="12">
        <v>44977</v>
      </c>
      <c r="C155" s="13" t="s">
        <v>15</v>
      </c>
      <c r="D155" s="13" t="s">
        <v>16</v>
      </c>
      <c r="E155" s="13" t="s">
        <v>17</v>
      </c>
      <c r="F155" s="13" t="s">
        <v>31</v>
      </c>
      <c r="G155" s="13" t="s">
        <v>39</v>
      </c>
      <c r="H155" s="14">
        <v>43825.39</v>
      </c>
      <c r="I155" s="13">
        <v>6</v>
      </c>
      <c r="J155" s="15">
        <v>10611</v>
      </c>
      <c r="K155" s="14" t="str" cm="1">
        <f t="array" ref="K155">_xlfn.IFS(Table43[[#This Row],[Sales]]&gt;40000,"Best Sales",Table43[[#This Row],[Sales]]&gt;20000,"Average Sales",Table43[[#This Row],[Sales]]&gt;0,"Poor Sales")</f>
        <v>Best Sales</v>
      </c>
      <c r="L155" s="23">
        <f>YEAR(Table43[[#This Row],[Date]])</f>
        <v>2023</v>
      </c>
      <c r="M155" s="23">
        <f>MONTH(Table43[[#This Row],[Date]])</f>
        <v>2</v>
      </c>
      <c r="N155" s="25">
        <f>DAY(Table43[[#This Row],[Date]])</f>
        <v>20</v>
      </c>
      <c r="O155" s="25" t="str">
        <f>TEXT(DATE(2023,Table43[[#This Row],[Month]],1),"mmm")</f>
        <v>Feb</v>
      </c>
      <c r="P155" s="25"/>
      <c r="Q155" s="25"/>
    </row>
    <row r="156" spans="1:17" x14ac:dyDescent="0.3">
      <c r="A156" s="6">
        <v>155</v>
      </c>
      <c r="B156" s="7">
        <v>45011</v>
      </c>
      <c r="C156" s="8" t="s">
        <v>22</v>
      </c>
      <c r="D156" s="8" t="s">
        <v>22</v>
      </c>
      <c r="E156" s="8" t="s">
        <v>17</v>
      </c>
      <c r="F156" s="8" t="s">
        <v>24</v>
      </c>
      <c r="G156" s="8" t="s">
        <v>29</v>
      </c>
      <c r="H156" s="9">
        <v>40738.550000000003</v>
      </c>
      <c r="I156" s="8">
        <v>10</v>
      </c>
      <c r="J156" s="10">
        <v>3969.18</v>
      </c>
      <c r="K156" s="14" t="str" cm="1">
        <f t="array" ref="K156">_xlfn.IFS(Table43[[#This Row],[Sales]]&gt;40000,"Best Sales",Table43[[#This Row],[Sales]]&gt;20000,"Average Sales",Table43[[#This Row],[Sales]]&gt;0,"Poor Sales")</f>
        <v>Best Sales</v>
      </c>
      <c r="L156" s="23">
        <f>YEAR(Table43[[#This Row],[Date]])</f>
        <v>2023</v>
      </c>
      <c r="M156" s="23">
        <f>MONTH(Table43[[#This Row],[Date]])</f>
        <v>3</v>
      </c>
      <c r="N156" s="25">
        <f>DAY(Table43[[#This Row],[Date]])</f>
        <v>26</v>
      </c>
      <c r="O156" s="25" t="str">
        <f>TEXT(DATE(2023,Table43[[#This Row],[Month]],1),"mmm")</f>
        <v>Mar</v>
      </c>
      <c r="P156" s="25"/>
      <c r="Q156" s="25"/>
    </row>
    <row r="157" spans="1:17" x14ac:dyDescent="0.3">
      <c r="A157" s="11">
        <v>156</v>
      </c>
      <c r="B157" s="12">
        <v>45007</v>
      </c>
      <c r="C157" s="13" t="s">
        <v>10</v>
      </c>
      <c r="D157" s="13" t="s">
        <v>11</v>
      </c>
      <c r="E157" s="13" t="s">
        <v>17</v>
      </c>
      <c r="F157" s="13" t="s">
        <v>24</v>
      </c>
      <c r="G157" s="13" t="s">
        <v>28</v>
      </c>
      <c r="H157" s="14">
        <v>8460.74</v>
      </c>
      <c r="I157" s="13">
        <v>4</v>
      </c>
      <c r="J157" s="15">
        <v>1472.42</v>
      </c>
      <c r="K157" s="14" t="str" cm="1">
        <f t="array" ref="K157">_xlfn.IFS(Table43[[#This Row],[Sales]]&gt;40000,"Best Sales",Table43[[#This Row],[Sales]]&gt;20000,"Average Sales",Table43[[#This Row],[Sales]]&gt;0,"Poor Sales")</f>
        <v>Poor Sales</v>
      </c>
      <c r="L157" s="23">
        <f>YEAR(Table43[[#This Row],[Date]])</f>
        <v>2023</v>
      </c>
      <c r="M157" s="23">
        <f>MONTH(Table43[[#This Row],[Date]])</f>
        <v>3</v>
      </c>
      <c r="N157" s="25">
        <f>DAY(Table43[[#This Row],[Date]])</f>
        <v>22</v>
      </c>
      <c r="O157" s="25" t="str">
        <f>TEXT(DATE(2023,Table43[[#This Row],[Month]],1),"mmm")</f>
        <v>Mar</v>
      </c>
      <c r="P157" s="25"/>
      <c r="Q157" s="25"/>
    </row>
    <row r="158" spans="1:17" x14ac:dyDescent="0.3">
      <c r="A158" s="6">
        <v>157</v>
      </c>
      <c r="B158" s="7">
        <v>45002</v>
      </c>
      <c r="C158" s="8" t="s">
        <v>37</v>
      </c>
      <c r="D158" s="8" t="s">
        <v>27</v>
      </c>
      <c r="E158" s="8" t="s">
        <v>17</v>
      </c>
      <c r="F158" s="8" t="s">
        <v>13</v>
      </c>
      <c r="G158" s="8" t="s">
        <v>34</v>
      </c>
      <c r="H158" s="9">
        <v>41629.51</v>
      </c>
      <c r="I158" s="8">
        <v>9</v>
      </c>
      <c r="J158" s="10">
        <v>11605.29</v>
      </c>
      <c r="K158" s="14" t="str" cm="1">
        <f t="array" ref="K158">_xlfn.IFS(Table43[[#This Row],[Sales]]&gt;40000,"Best Sales",Table43[[#This Row],[Sales]]&gt;20000,"Average Sales",Table43[[#This Row],[Sales]]&gt;0,"Poor Sales")</f>
        <v>Best Sales</v>
      </c>
      <c r="L158" s="23">
        <f>YEAR(Table43[[#This Row],[Date]])</f>
        <v>2023</v>
      </c>
      <c r="M158" s="23">
        <f>MONTH(Table43[[#This Row],[Date]])</f>
        <v>3</v>
      </c>
      <c r="N158" s="25">
        <f>DAY(Table43[[#This Row],[Date]])</f>
        <v>17</v>
      </c>
      <c r="O158" s="25" t="str">
        <f>TEXT(DATE(2023,Table43[[#This Row],[Month]],1),"mmm")</f>
        <v>Mar</v>
      </c>
      <c r="P158" s="25"/>
      <c r="Q158" s="25"/>
    </row>
    <row r="159" spans="1:17" x14ac:dyDescent="0.3">
      <c r="A159" s="11">
        <v>158</v>
      </c>
      <c r="B159" s="12">
        <v>45166</v>
      </c>
      <c r="C159" s="13" t="s">
        <v>15</v>
      </c>
      <c r="D159" s="13" t="s">
        <v>16</v>
      </c>
      <c r="E159" s="13" t="s">
        <v>17</v>
      </c>
      <c r="F159" s="13" t="s">
        <v>24</v>
      </c>
      <c r="G159" s="13" t="s">
        <v>28</v>
      </c>
      <c r="H159" s="14">
        <v>26680.82</v>
      </c>
      <c r="I159" s="13">
        <v>2</v>
      </c>
      <c r="J159" s="15">
        <v>5004.5</v>
      </c>
      <c r="K159" s="14" t="str" cm="1">
        <f t="array" ref="K159">_xlfn.IFS(Table43[[#This Row],[Sales]]&gt;40000,"Best Sales",Table43[[#This Row],[Sales]]&gt;20000,"Average Sales",Table43[[#This Row],[Sales]]&gt;0,"Poor Sales")</f>
        <v>Average Sales</v>
      </c>
      <c r="L159" s="23">
        <f>YEAR(Table43[[#This Row],[Date]])</f>
        <v>2023</v>
      </c>
      <c r="M159" s="23">
        <f>MONTH(Table43[[#This Row],[Date]])</f>
        <v>8</v>
      </c>
      <c r="N159" s="25">
        <f>DAY(Table43[[#This Row],[Date]])</f>
        <v>28</v>
      </c>
      <c r="O159" s="25" t="str">
        <f>TEXT(DATE(2023,Table43[[#This Row],[Month]],1),"mmm")</f>
        <v>Aug</v>
      </c>
      <c r="P159" s="25"/>
      <c r="Q159" s="25"/>
    </row>
    <row r="160" spans="1:17" x14ac:dyDescent="0.3">
      <c r="A160" s="6">
        <v>159</v>
      </c>
      <c r="B160" s="7">
        <v>45085</v>
      </c>
      <c r="C160" s="8" t="s">
        <v>15</v>
      </c>
      <c r="D160" s="8" t="s">
        <v>16</v>
      </c>
      <c r="E160" s="8" t="s">
        <v>17</v>
      </c>
      <c r="F160" s="8" t="s">
        <v>24</v>
      </c>
      <c r="G160" s="8" t="s">
        <v>28</v>
      </c>
      <c r="H160" s="9">
        <v>31459.86</v>
      </c>
      <c r="I160" s="8">
        <v>7</v>
      </c>
      <c r="J160" s="10">
        <v>2921.88</v>
      </c>
      <c r="K160" s="14" t="str" cm="1">
        <f t="array" ref="K160">_xlfn.IFS(Table43[[#This Row],[Sales]]&gt;40000,"Best Sales",Table43[[#This Row],[Sales]]&gt;20000,"Average Sales",Table43[[#This Row],[Sales]]&gt;0,"Poor Sales")</f>
        <v>Average Sales</v>
      </c>
      <c r="L160" s="23">
        <f>YEAR(Table43[[#This Row],[Date]])</f>
        <v>2023</v>
      </c>
      <c r="M160" s="23">
        <f>MONTH(Table43[[#This Row],[Date]])</f>
        <v>6</v>
      </c>
      <c r="N160" s="25">
        <f>DAY(Table43[[#This Row],[Date]])</f>
        <v>8</v>
      </c>
      <c r="O160" s="25" t="str">
        <f>TEXT(DATE(2023,Table43[[#This Row],[Month]],1),"mmm")</f>
        <v>Jun</v>
      </c>
      <c r="P160" s="25"/>
      <c r="Q160" s="25"/>
    </row>
    <row r="161" spans="1:17" x14ac:dyDescent="0.3">
      <c r="A161" s="11">
        <v>160</v>
      </c>
      <c r="B161" s="12">
        <v>45122</v>
      </c>
      <c r="C161" s="13" t="s">
        <v>26</v>
      </c>
      <c r="D161" s="13" t="s">
        <v>27</v>
      </c>
      <c r="E161" s="13" t="s">
        <v>17</v>
      </c>
      <c r="F161" s="13" t="s">
        <v>24</v>
      </c>
      <c r="G161" s="13" t="s">
        <v>25</v>
      </c>
      <c r="H161" s="14">
        <v>2532.71</v>
      </c>
      <c r="I161" s="13">
        <v>8</v>
      </c>
      <c r="J161" s="15">
        <v>324.74</v>
      </c>
      <c r="K161" s="14" t="str" cm="1">
        <f t="array" ref="K161">_xlfn.IFS(Table43[[#This Row],[Sales]]&gt;40000,"Best Sales",Table43[[#This Row],[Sales]]&gt;20000,"Average Sales",Table43[[#This Row],[Sales]]&gt;0,"Poor Sales")</f>
        <v>Poor Sales</v>
      </c>
      <c r="L161" s="23">
        <f>YEAR(Table43[[#This Row],[Date]])</f>
        <v>2023</v>
      </c>
      <c r="M161" s="23">
        <f>MONTH(Table43[[#This Row],[Date]])</f>
        <v>7</v>
      </c>
      <c r="N161" s="25">
        <f>DAY(Table43[[#This Row],[Date]])</f>
        <v>15</v>
      </c>
      <c r="O161" s="25" t="str">
        <f>TEXT(DATE(2023,Table43[[#This Row],[Month]],1),"mmm")</f>
        <v>Jul</v>
      </c>
      <c r="P161" s="25"/>
      <c r="Q161" s="25"/>
    </row>
    <row r="162" spans="1:17" x14ac:dyDescent="0.3">
      <c r="A162" s="6">
        <v>161</v>
      </c>
      <c r="B162" s="7">
        <v>45062</v>
      </c>
      <c r="C162" s="8" t="s">
        <v>38</v>
      </c>
      <c r="D162" s="8" t="s">
        <v>27</v>
      </c>
      <c r="E162" s="8" t="s">
        <v>17</v>
      </c>
      <c r="F162" s="8" t="s">
        <v>31</v>
      </c>
      <c r="G162" s="8" t="s">
        <v>33</v>
      </c>
      <c r="H162" s="9">
        <v>26794.54</v>
      </c>
      <c r="I162" s="8">
        <v>8</v>
      </c>
      <c r="J162" s="10">
        <v>5027.8900000000003</v>
      </c>
      <c r="K162" s="14" t="str" cm="1">
        <f t="array" ref="K162">_xlfn.IFS(Table43[[#This Row],[Sales]]&gt;40000,"Best Sales",Table43[[#This Row],[Sales]]&gt;20000,"Average Sales",Table43[[#This Row],[Sales]]&gt;0,"Poor Sales")</f>
        <v>Average Sales</v>
      </c>
      <c r="L162" s="23">
        <f>YEAR(Table43[[#This Row],[Date]])</f>
        <v>2023</v>
      </c>
      <c r="M162" s="23">
        <f>MONTH(Table43[[#This Row],[Date]])</f>
        <v>5</v>
      </c>
      <c r="N162" s="25">
        <f>DAY(Table43[[#This Row],[Date]])</f>
        <v>16</v>
      </c>
      <c r="O162" s="25" t="str">
        <f>TEXT(DATE(2023,Table43[[#This Row],[Month]],1),"mmm")</f>
        <v>May</v>
      </c>
      <c r="P162" s="25"/>
      <c r="Q162" s="25"/>
    </row>
    <row r="163" spans="1:17" x14ac:dyDescent="0.3">
      <c r="A163" s="11">
        <v>162</v>
      </c>
      <c r="B163" s="12">
        <v>45069</v>
      </c>
      <c r="C163" s="13" t="s">
        <v>10</v>
      </c>
      <c r="D163" s="13" t="s">
        <v>11</v>
      </c>
      <c r="E163" s="13" t="s">
        <v>17</v>
      </c>
      <c r="F163" s="13" t="s">
        <v>31</v>
      </c>
      <c r="G163" s="13" t="s">
        <v>33</v>
      </c>
      <c r="H163" s="14">
        <v>36838.78</v>
      </c>
      <c r="I163" s="13">
        <v>6</v>
      </c>
      <c r="J163" s="15">
        <v>4092.23</v>
      </c>
      <c r="K163" s="14" t="str" cm="1">
        <f t="array" ref="K163">_xlfn.IFS(Table43[[#This Row],[Sales]]&gt;40000,"Best Sales",Table43[[#This Row],[Sales]]&gt;20000,"Average Sales",Table43[[#This Row],[Sales]]&gt;0,"Poor Sales")</f>
        <v>Average Sales</v>
      </c>
      <c r="L163" s="23">
        <f>YEAR(Table43[[#This Row],[Date]])</f>
        <v>2023</v>
      </c>
      <c r="M163" s="23">
        <f>MONTH(Table43[[#This Row],[Date]])</f>
        <v>5</v>
      </c>
      <c r="N163" s="25">
        <f>DAY(Table43[[#This Row],[Date]])</f>
        <v>23</v>
      </c>
      <c r="O163" s="25" t="str">
        <f>TEXT(DATE(2023,Table43[[#This Row],[Month]],1),"mmm")</f>
        <v>May</v>
      </c>
      <c r="P163" s="25"/>
      <c r="Q163" s="25"/>
    </row>
    <row r="164" spans="1:17" x14ac:dyDescent="0.3">
      <c r="A164" s="6">
        <v>163</v>
      </c>
      <c r="B164" s="7">
        <v>45233</v>
      </c>
      <c r="C164" s="8" t="s">
        <v>22</v>
      </c>
      <c r="D164" s="8" t="s">
        <v>22</v>
      </c>
      <c r="E164" s="8" t="s">
        <v>17</v>
      </c>
      <c r="F164" s="8" t="s">
        <v>31</v>
      </c>
      <c r="G164" s="8" t="s">
        <v>39</v>
      </c>
      <c r="H164" s="9">
        <v>13801.62</v>
      </c>
      <c r="I164" s="8">
        <v>1</v>
      </c>
      <c r="J164" s="10">
        <v>1863.69</v>
      </c>
      <c r="K164" s="14" t="str" cm="1">
        <f t="array" ref="K164">_xlfn.IFS(Table43[[#This Row],[Sales]]&gt;40000,"Best Sales",Table43[[#This Row],[Sales]]&gt;20000,"Average Sales",Table43[[#This Row],[Sales]]&gt;0,"Poor Sales")</f>
        <v>Poor Sales</v>
      </c>
      <c r="L164" s="23">
        <f>YEAR(Table43[[#This Row],[Date]])</f>
        <v>2023</v>
      </c>
      <c r="M164" s="23">
        <f>MONTH(Table43[[#This Row],[Date]])</f>
        <v>11</v>
      </c>
      <c r="N164" s="25">
        <f>DAY(Table43[[#This Row],[Date]])</f>
        <v>3</v>
      </c>
      <c r="O164" s="25" t="str">
        <f>TEXT(DATE(2023,Table43[[#This Row],[Month]],1),"mmm")</f>
        <v>Nov</v>
      </c>
      <c r="P164" s="25"/>
      <c r="Q164" s="25"/>
    </row>
    <row r="165" spans="1:17" x14ac:dyDescent="0.3">
      <c r="A165" s="11">
        <v>164</v>
      </c>
      <c r="B165" s="12">
        <v>45018</v>
      </c>
      <c r="C165" s="13" t="s">
        <v>37</v>
      </c>
      <c r="D165" s="13" t="s">
        <v>27</v>
      </c>
      <c r="E165" s="13" t="s">
        <v>17</v>
      </c>
      <c r="F165" s="13" t="s">
        <v>31</v>
      </c>
      <c r="G165" s="13" t="s">
        <v>32</v>
      </c>
      <c r="H165" s="14">
        <v>26884.04</v>
      </c>
      <c r="I165" s="13">
        <v>9</v>
      </c>
      <c r="J165" s="15">
        <v>4634.18</v>
      </c>
      <c r="K165" s="14" t="str" cm="1">
        <f t="array" ref="K165">_xlfn.IFS(Table43[[#This Row],[Sales]]&gt;40000,"Best Sales",Table43[[#This Row],[Sales]]&gt;20000,"Average Sales",Table43[[#This Row],[Sales]]&gt;0,"Poor Sales")</f>
        <v>Average Sales</v>
      </c>
      <c r="L165" s="23">
        <f>YEAR(Table43[[#This Row],[Date]])</f>
        <v>2023</v>
      </c>
      <c r="M165" s="23">
        <f>MONTH(Table43[[#This Row],[Date]])</f>
        <v>4</v>
      </c>
      <c r="N165" s="25">
        <f>DAY(Table43[[#This Row],[Date]])</f>
        <v>2</v>
      </c>
      <c r="O165" s="25" t="str">
        <f>TEXT(DATE(2023,Table43[[#This Row],[Month]],1),"mmm")</f>
        <v>Apr</v>
      </c>
      <c r="P165" s="25"/>
      <c r="Q165" s="25"/>
    </row>
    <row r="166" spans="1:17" x14ac:dyDescent="0.3">
      <c r="A166" s="6">
        <v>165</v>
      </c>
      <c r="B166" s="7">
        <v>45280</v>
      </c>
      <c r="C166" s="8" t="s">
        <v>22</v>
      </c>
      <c r="D166" s="8" t="s">
        <v>22</v>
      </c>
      <c r="E166" s="8" t="s">
        <v>17</v>
      </c>
      <c r="F166" s="8" t="s">
        <v>31</v>
      </c>
      <c r="G166" s="8" t="s">
        <v>39</v>
      </c>
      <c r="H166" s="9">
        <v>24536.3</v>
      </c>
      <c r="I166" s="8">
        <v>4</v>
      </c>
      <c r="J166" s="10">
        <v>4883.58</v>
      </c>
      <c r="K166" s="14" t="str" cm="1">
        <f t="array" ref="K166">_xlfn.IFS(Table43[[#This Row],[Sales]]&gt;40000,"Best Sales",Table43[[#This Row],[Sales]]&gt;20000,"Average Sales",Table43[[#This Row],[Sales]]&gt;0,"Poor Sales")</f>
        <v>Average Sales</v>
      </c>
      <c r="L166" s="23">
        <f>YEAR(Table43[[#This Row],[Date]])</f>
        <v>2023</v>
      </c>
      <c r="M166" s="23">
        <f>MONTH(Table43[[#This Row],[Date]])</f>
        <v>12</v>
      </c>
      <c r="N166" s="25">
        <f>DAY(Table43[[#This Row],[Date]])</f>
        <v>20</v>
      </c>
      <c r="O166" s="25" t="str">
        <f>TEXT(DATE(2023,Table43[[#This Row],[Month]],1),"mmm")</f>
        <v>Dec</v>
      </c>
      <c r="P166" s="25"/>
      <c r="Q166" s="25"/>
    </row>
    <row r="167" spans="1:17" x14ac:dyDescent="0.3">
      <c r="A167" s="11">
        <v>166</v>
      </c>
      <c r="B167" s="12">
        <v>45092</v>
      </c>
      <c r="C167" s="13" t="s">
        <v>26</v>
      </c>
      <c r="D167" s="13" t="s">
        <v>27</v>
      </c>
      <c r="E167" s="13" t="s">
        <v>17</v>
      </c>
      <c r="F167" s="13" t="s">
        <v>13</v>
      </c>
      <c r="G167" s="13" t="s">
        <v>14</v>
      </c>
      <c r="H167" s="14">
        <v>38091.9</v>
      </c>
      <c r="I167" s="13">
        <v>3</v>
      </c>
      <c r="J167" s="15">
        <v>2162.17</v>
      </c>
      <c r="K167" s="14" t="str" cm="1">
        <f t="array" ref="K167">_xlfn.IFS(Table43[[#This Row],[Sales]]&gt;40000,"Best Sales",Table43[[#This Row],[Sales]]&gt;20000,"Average Sales",Table43[[#This Row],[Sales]]&gt;0,"Poor Sales")</f>
        <v>Average Sales</v>
      </c>
      <c r="L167" s="23">
        <f>YEAR(Table43[[#This Row],[Date]])</f>
        <v>2023</v>
      </c>
      <c r="M167" s="23">
        <f>MONTH(Table43[[#This Row],[Date]])</f>
        <v>6</v>
      </c>
      <c r="N167" s="25">
        <f>DAY(Table43[[#This Row],[Date]])</f>
        <v>15</v>
      </c>
      <c r="O167" s="25" t="str">
        <f>TEXT(DATE(2023,Table43[[#This Row],[Month]],1),"mmm")</f>
        <v>Jun</v>
      </c>
      <c r="P167" s="25"/>
      <c r="Q167" s="25"/>
    </row>
    <row r="168" spans="1:17" x14ac:dyDescent="0.3">
      <c r="A168" s="6">
        <v>167</v>
      </c>
      <c r="B168" s="7">
        <v>45066</v>
      </c>
      <c r="C168" s="8" t="s">
        <v>38</v>
      </c>
      <c r="D168" s="8" t="s">
        <v>27</v>
      </c>
      <c r="E168" s="8" t="s">
        <v>17</v>
      </c>
      <c r="F168" s="8" t="s">
        <v>24</v>
      </c>
      <c r="G168" s="8" t="s">
        <v>28</v>
      </c>
      <c r="H168" s="9">
        <v>39598.29</v>
      </c>
      <c r="I168" s="8">
        <v>5</v>
      </c>
      <c r="J168" s="10">
        <v>6403.75</v>
      </c>
      <c r="K168" s="14" t="str" cm="1">
        <f t="array" ref="K168">_xlfn.IFS(Table43[[#This Row],[Sales]]&gt;40000,"Best Sales",Table43[[#This Row],[Sales]]&gt;20000,"Average Sales",Table43[[#This Row],[Sales]]&gt;0,"Poor Sales")</f>
        <v>Average Sales</v>
      </c>
      <c r="L168" s="23">
        <f>YEAR(Table43[[#This Row],[Date]])</f>
        <v>2023</v>
      </c>
      <c r="M168" s="23">
        <f>MONTH(Table43[[#This Row],[Date]])</f>
        <v>5</v>
      </c>
      <c r="N168" s="25">
        <f>DAY(Table43[[#This Row],[Date]])</f>
        <v>20</v>
      </c>
      <c r="O168" s="25" t="str">
        <f>TEXT(DATE(2023,Table43[[#This Row],[Month]],1),"mmm")</f>
        <v>May</v>
      </c>
      <c r="P168" s="25"/>
      <c r="Q168" s="25"/>
    </row>
    <row r="169" spans="1:17" x14ac:dyDescent="0.3">
      <c r="A169" s="11">
        <v>168</v>
      </c>
      <c r="B169" s="12">
        <v>44968</v>
      </c>
      <c r="C169" s="13" t="s">
        <v>38</v>
      </c>
      <c r="D169" s="13" t="s">
        <v>27</v>
      </c>
      <c r="E169" s="13" t="s">
        <v>17</v>
      </c>
      <c r="F169" s="13" t="s">
        <v>13</v>
      </c>
      <c r="G169" s="13" t="s">
        <v>34</v>
      </c>
      <c r="H169" s="14">
        <v>4814.78</v>
      </c>
      <c r="I169" s="13">
        <v>6</v>
      </c>
      <c r="J169" s="15">
        <v>378.7</v>
      </c>
      <c r="K169" s="14" t="str" cm="1">
        <f t="array" ref="K169">_xlfn.IFS(Table43[[#This Row],[Sales]]&gt;40000,"Best Sales",Table43[[#This Row],[Sales]]&gt;20000,"Average Sales",Table43[[#This Row],[Sales]]&gt;0,"Poor Sales")</f>
        <v>Poor Sales</v>
      </c>
      <c r="L169" s="23">
        <f>YEAR(Table43[[#This Row],[Date]])</f>
        <v>2023</v>
      </c>
      <c r="M169" s="23">
        <f>MONTH(Table43[[#This Row],[Date]])</f>
        <v>2</v>
      </c>
      <c r="N169" s="25">
        <f>DAY(Table43[[#This Row],[Date]])</f>
        <v>11</v>
      </c>
      <c r="O169" s="25" t="str">
        <f>TEXT(DATE(2023,Table43[[#This Row],[Month]],1),"mmm")</f>
        <v>Feb</v>
      </c>
      <c r="P169" s="25"/>
      <c r="Q169" s="25"/>
    </row>
    <row r="170" spans="1:17" x14ac:dyDescent="0.3">
      <c r="A170" s="6">
        <v>169</v>
      </c>
      <c r="B170" s="7">
        <v>45237</v>
      </c>
      <c r="C170" s="8" t="s">
        <v>18</v>
      </c>
      <c r="D170" s="8" t="s">
        <v>19</v>
      </c>
      <c r="E170" s="8" t="s">
        <v>17</v>
      </c>
      <c r="F170" s="8" t="s">
        <v>31</v>
      </c>
      <c r="G170" s="8" t="s">
        <v>32</v>
      </c>
      <c r="H170" s="9">
        <v>20072.27</v>
      </c>
      <c r="I170" s="8">
        <v>1</v>
      </c>
      <c r="J170" s="10">
        <v>4794.18</v>
      </c>
      <c r="K170" s="14" t="str" cm="1">
        <f t="array" ref="K170">_xlfn.IFS(Table43[[#This Row],[Sales]]&gt;40000,"Best Sales",Table43[[#This Row],[Sales]]&gt;20000,"Average Sales",Table43[[#This Row],[Sales]]&gt;0,"Poor Sales")</f>
        <v>Average Sales</v>
      </c>
      <c r="L170" s="23">
        <f>YEAR(Table43[[#This Row],[Date]])</f>
        <v>2023</v>
      </c>
      <c r="M170" s="23">
        <f>MONTH(Table43[[#This Row],[Date]])</f>
        <v>11</v>
      </c>
      <c r="N170" s="25">
        <f>DAY(Table43[[#This Row],[Date]])</f>
        <v>7</v>
      </c>
      <c r="O170" s="25" t="str">
        <f>TEXT(DATE(2023,Table43[[#This Row],[Month]],1),"mmm")</f>
        <v>Nov</v>
      </c>
      <c r="P170" s="25"/>
      <c r="Q170" s="25"/>
    </row>
    <row r="171" spans="1:17" x14ac:dyDescent="0.3">
      <c r="A171" s="11">
        <v>170</v>
      </c>
      <c r="B171" s="12">
        <v>45175</v>
      </c>
      <c r="C171" s="13" t="s">
        <v>10</v>
      </c>
      <c r="D171" s="13" t="s">
        <v>11</v>
      </c>
      <c r="E171" s="13" t="s">
        <v>17</v>
      </c>
      <c r="F171" s="13" t="s">
        <v>31</v>
      </c>
      <c r="G171" s="13" t="s">
        <v>32</v>
      </c>
      <c r="H171" s="14">
        <v>23725.51</v>
      </c>
      <c r="I171" s="13">
        <v>1</v>
      </c>
      <c r="J171" s="15">
        <v>1324.6</v>
      </c>
      <c r="K171" s="14" t="str" cm="1">
        <f t="array" ref="K171">_xlfn.IFS(Table43[[#This Row],[Sales]]&gt;40000,"Best Sales",Table43[[#This Row],[Sales]]&gt;20000,"Average Sales",Table43[[#This Row],[Sales]]&gt;0,"Poor Sales")</f>
        <v>Average Sales</v>
      </c>
      <c r="L171" s="23">
        <f>YEAR(Table43[[#This Row],[Date]])</f>
        <v>2023</v>
      </c>
      <c r="M171" s="23">
        <f>MONTH(Table43[[#This Row],[Date]])</f>
        <v>9</v>
      </c>
      <c r="N171" s="25">
        <f>DAY(Table43[[#This Row],[Date]])</f>
        <v>6</v>
      </c>
      <c r="O171" s="25" t="str">
        <f>TEXT(DATE(2023,Table43[[#This Row],[Month]],1),"mmm")</f>
        <v>Sep</v>
      </c>
      <c r="P171" s="25"/>
      <c r="Q171" s="25"/>
    </row>
    <row r="172" spans="1:17" x14ac:dyDescent="0.3">
      <c r="A172" s="6">
        <v>171</v>
      </c>
      <c r="B172" s="7">
        <v>45192</v>
      </c>
      <c r="C172" s="8" t="s">
        <v>18</v>
      </c>
      <c r="D172" s="8" t="s">
        <v>19</v>
      </c>
      <c r="E172" s="8" t="s">
        <v>17</v>
      </c>
      <c r="F172" s="8" t="s">
        <v>13</v>
      </c>
      <c r="G172" s="8" t="s">
        <v>14</v>
      </c>
      <c r="H172" s="9">
        <v>6338.6</v>
      </c>
      <c r="I172" s="8">
        <v>10</v>
      </c>
      <c r="J172" s="10">
        <v>850.83</v>
      </c>
      <c r="K172" s="14" t="str" cm="1">
        <f t="array" ref="K172">_xlfn.IFS(Table43[[#This Row],[Sales]]&gt;40000,"Best Sales",Table43[[#This Row],[Sales]]&gt;20000,"Average Sales",Table43[[#This Row],[Sales]]&gt;0,"Poor Sales")</f>
        <v>Poor Sales</v>
      </c>
      <c r="L172" s="23">
        <f>YEAR(Table43[[#This Row],[Date]])</f>
        <v>2023</v>
      </c>
      <c r="M172" s="23">
        <f>MONTH(Table43[[#This Row],[Date]])</f>
        <v>9</v>
      </c>
      <c r="N172" s="25">
        <f>DAY(Table43[[#This Row],[Date]])</f>
        <v>23</v>
      </c>
      <c r="O172" s="25" t="str">
        <f>TEXT(DATE(2023,Table43[[#This Row],[Month]],1),"mmm")</f>
        <v>Sep</v>
      </c>
      <c r="P172" s="25"/>
      <c r="Q172" s="25"/>
    </row>
    <row r="173" spans="1:17" x14ac:dyDescent="0.3">
      <c r="A173" s="11">
        <v>172</v>
      </c>
      <c r="B173" s="12">
        <v>44934</v>
      </c>
      <c r="C173" s="13" t="s">
        <v>26</v>
      </c>
      <c r="D173" s="13" t="s">
        <v>27</v>
      </c>
      <c r="E173" s="13" t="s">
        <v>17</v>
      </c>
      <c r="F173" s="13" t="s">
        <v>31</v>
      </c>
      <c r="G173" s="13" t="s">
        <v>33</v>
      </c>
      <c r="H173" s="14">
        <v>43340.91</v>
      </c>
      <c r="I173" s="13">
        <v>3</v>
      </c>
      <c r="J173" s="15">
        <v>3409.31</v>
      </c>
      <c r="K173" s="14" t="str" cm="1">
        <f t="array" ref="K173">_xlfn.IFS(Table43[[#This Row],[Sales]]&gt;40000,"Best Sales",Table43[[#This Row],[Sales]]&gt;20000,"Average Sales",Table43[[#This Row],[Sales]]&gt;0,"Poor Sales")</f>
        <v>Best Sales</v>
      </c>
      <c r="L173" s="23">
        <f>YEAR(Table43[[#This Row],[Date]])</f>
        <v>2023</v>
      </c>
      <c r="M173" s="23">
        <f>MONTH(Table43[[#This Row],[Date]])</f>
        <v>1</v>
      </c>
      <c r="N173" s="25">
        <f>DAY(Table43[[#This Row],[Date]])</f>
        <v>8</v>
      </c>
      <c r="O173" s="25" t="str">
        <f>TEXT(DATE(2023,Table43[[#This Row],[Month]],1),"mmm")</f>
        <v>Jan</v>
      </c>
      <c r="P173" s="25"/>
      <c r="Q173" s="25"/>
    </row>
    <row r="174" spans="1:17" x14ac:dyDescent="0.3">
      <c r="A174" s="6">
        <v>173</v>
      </c>
      <c r="B174" s="7">
        <v>45014</v>
      </c>
      <c r="C174" s="8" t="s">
        <v>37</v>
      </c>
      <c r="D174" s="8" t="s">
        <v>27</v>
      </c>
      <c r="E174" s="8" t="s">
        <v>17</v>
      </c>
      <c r="F174" s="8" t="s">
        <v>31</v>
      </c>
      <c r="G174" s="8" t="s">
        <v>39</v>
      </c>
      <c r="H174" s="9">
        <v>5774.71</v>
      </c>
      <c r="I174" s="8">
        <v>6</v>
      </c>
      <c r="J174" s="10">
        <v>1350.62</v>
      </c>
      <c r="K174" s="14" t="str" cm="1">
        <f t="array" ref="K174">_xlfn.IFS(Table43[[#This Row],[Sales]]&gt;40000,"Best Sales",Table43[[#This Row],[Sales]]&gt;20000,"Average Sales",Table43[[#This Row],[Sales]]&gt;0,"Poor Sales")</f>
        <v>Poor Sales</v>
      </c>
      <c r="L174" s="23">
        <f>YEAR(Table43[[#This Row],[Date]])</f>
        <v>2023</v>
      </c>
      <c r="M174" s="23">
        <f>MONTH(Table43[[#This Row],[Date]])</f>
        <v>3</v>
      </c>
      <c r="N174" s="25">
        <f>DAY(Table43[[#This Row],[Date]])</f>
        <v>29</v>
      </c>
      <c r="O174" s="25" t="str">
        <f>TEXT(DATE(2023,Table43[[#This Row],[Month]],1),"mmm")</f>
        <v>Mar</v>
      </c>
      <c r="P174" s="25"/>
      <c r="Q174" s="25"/>
    </row>
    <row r="175" spans="1:17" x14ac:dyDescent="0.3">
      <c r="A175" s="11">
        <v>174</v>
      </c>
      <c r="B175" s="12">
        <v>45178</v>
      </c>
      <c r="C175" s="13" t="s">
        <v>10</v>
      </c>
      <c r="D175" s="13" t="s">
        <v>11</v>
      </c>
      <c r="E175" s="13" t="s">
        <v>17</v>
      </c>
      <c r="F175" s="13" t="s">
        <v>13</v>
      </c>
      <c r="G175" s="13" t="s">
        <v>14</v>
      </c>
      <c r="H175" s="14">
        <v>31543.41</v>
      </c>
      <c r="I175" s="13">
        <v>7</v>
      </c>
      <c r="J175" s="15">
        <v>7095.9</v>
      </c>
      <c r="K175" s="14" t="str" cm="1">
        <f t="array" ref="K175">_xlfn.IFS(Table43[[#This Row],[Sales]]&gt;40000,"Best Sales",Table43[[#This Row],[Sales]]&gt;20000,"Average Sales",Table43[[#This Row],[Sales]]&gt;0,"Poor Sales")</f>
        <v>Average Sales</v>
      </c>
      <c r="L175" s="23">
        <f>YEAR(Table43[[#This Row],[Date]])</f>
        <v>2023</v>
      </c>
      <c r="M175" s="23">
        <f>MONTH(Table43[[#This Row],[Date]])</f>
        <v>9</v>
      </c>
      <c r="N175" s="25">
        <f>DAY(Table43[[#This Row],[Date]])</f>
        <v>9</v>
      </c>
      <c r="O175" s="25" t="str">
        <f>TEXT(DATE(2023,Table43[[#This Row],[Month]],1),"mmm")</f>
        <v>Sep</v>
      </c>
      <c r="P175" s="25"/>
      <c r="Q175" s="25"/>
    </row>
    <row r="176" spans="1:17" x14ac:dyDescent="0.3">
      <c r="A176" s="6">
        <v>175</v>
      </c>
      <c r="B176" s="7">
        <v>45127</v>
      </c>
      <c r="C176" s="8" t="s">
        <v>37</v>
      </c>
      <c r="D176" s="8" t="s">
        <v>27</v>
      </c>
      <c r="E176" s="8" t="s">
        <v>17</v>
      </c>
      <c r="F176" s="8" t="s">
        <v>24</v>
      </c>
      <c r="G176" s="8" t="s">
        <v>28</v>
      </c>
      <c r="H176" s="9">
        <v>48726.25</v>
      </c>
      <c r="I176" s="8">
        <v>6</v>
      </c>
      <c r="J176" s="10">
        <v>9754.02</v>
      </c>
      <c r="K176" s="14" t="str" cm="1">
        <f t="array" ref="K176">_xlfn.IFS(Table43[[#This Row],[Sales]]&gt;40000,"Best Sales",Table43[[#This Row],[Sales]]&gt;20000,"Average Sales",Table43[[#This Row],[Sales]]&gt;0,"Poor Sales")</f>
        <v>Best Sales</v>
      </c>
      <c r="L176" s="23">
        <f>YEAR(Table43[[#This Row],[Date]])</f>
        <v>2023</v>
      </c>
      <c r="M176" s="23">
        <f>MONTH(Table43[[#This Row],[Date]])</f>
        <v>7</v>
      </c>
      <c r="N176" s="25">
        <f>DAY(Table43[[#This Row],[Date]])</f>
        <v>20</v>
      </c>
      <c r="O176" s="25" t="str">
        <f>TEXT(DATE(2023,Table43[[#This Row],[Month]],1),"mmm")</f>
        <v>Jul</v>
      </c>
      <c r="P176" s="25"/>
      <c r="Q176" s="25"/>
    </row>
    <row r="177" spans="1:17" x14ac:dyDescent="0.3">
      <c r="A177" s="11">
        <v>176</v>
      </c>
      <c r="B177" s="12">
        <v>45082</v>
      </c>
      <c r="C177" s="13" t="s">
        <v>22</v>
      </c>
      <c r="D177" s="13" t="s">
        <v>22</v>
      </c>
      <c r="E177" s="13" t="s">
        <v>17</v>
      </c>
      <c r="F177" s="13" t="s">
        <v>13</v>
      </c>
      <c r="G177" s="13" t="s">
        <v>21</v>
      </c>
      <c r="H177" s="14">
        <v>4877.32</v>
      </c>
      <c r="I177" s="13">
        <v>2</v>
      </c>
      <c r="J177" s="15">
        <v>678.04</v>
      </c>
      <c r="K177" s="14" t="str" cm="1">
        <f t="array" ref="K177">_xlfn.IFS(Table43[[#This Row],[Sales]]&gt;40000,"Best Sales",Table43[[#This Row],[Sales]]&gt;20000,"Average Sales",Table43[[#This Row],[Sales]]&gt;0,"Poor Sales")</f>
        <v>Poor Sales</v>
      </c>
      <c r="L177" s="23">
        <f>YEAR(Table43[[#This Row],[Date]])</f>
        <v>2023</v>
      </c>
      <c r="M177" s="23">
        <f>MONTH(Table43[[#This Row],[Date]])</f>
        <v>6</v>
      </c>
      <c r="N177" s="25">
        <f>DAY(Table43[[#This Row],[Date]])</f>
        <v>5</v>
      </c>
      <c r="O177" s="25" t="str">
        <f>TEXT(DATE(2023,Table43[[#This Row],[Month]],1),"mmm")</f>
        <v>Jun</v>
      </c>
      <c r="P177" s="25"/>
      <c r="Q177" s="25"/>
    </row>
    <row r="178" spans="1:17" x14ac:dyDescent="0.3">
      <c r="A178" s="6">
        <v>177</v>
      </c>
      <c r="B178" s="7">
        <v>45227</v>
      </c>
      <c r="C178" s="8" t="s">
        <v>30</v>
      </c>
      <c r="D178" s="8" t="s">
        <v>16</v>
      </c>
      <c r="E178" s="8" t="s">
        <v>17</v>
      </c>
      <c r="F178" s="8" t="s">
        <v>24</v>
      </c>
      <c r="G178" s="8" t="s">
        <v>28</v>
      </c>
      <c r="H178" s="9">
        <v>36632.480000000003</v>
      </c>
      <c r="I178" s="8">
        <v>5</v>
      </c>
      <c r="J178" s="10">
        <v>4419.68</v>
      </c>
      <c r="K178" s="14" t="str" cm="1">
        <f t="array" ref="K178">_xlfn.IFS(Table43[[#This Row],[Sales]]&gt;40000,"Best Sales",Table43[[#This Row],[Sales]]&gt;20000,"Average Sales",Table43[[#This Row],[Sales]]&gt;0,"Poor Sales")</f>
        <v>Average Sales</v>
      </c>
      <c r="L178" s="23">
        <f>YEAR(Table43[[#This Row],[Date]])</f>
        <v>2023</v>
      </c>
      <c r="M178" s="23">
        <f>MONTH(Table43[[#This Row],[Date]])</f>
        <v>10</v>
      </c>
      <c r="N178" s="25">
        <f>DAY(Table43[[#This Row],[Date]])</f>
        <v>28</v>
      </c>
      <c r="O178" s="25" t="str">
        <f>TEXT(DATE(2023,Table43[[#This Row],[Month]],1),"mmm")</f>
        <v>Oct</v>
      </c>
      <c r="P178" s="25"/>
      <c r="Q178" s="25"/>
    </row>
    <row r="179" spans="1:17" x14ac:dyDescent="0.3">
      <c r="A179" s="11">
        <v>178</v>
      </c>
      <c r="B179" s="12">
        <v>44978</v>
      </c>
      <c r="C179" s="13" t="s">
        <v>26</v>
      </c>
      <c r="D179" s="13" t="s">
        <v>27</v>
      </c>
      <c r="E179" s="13" t="s">
        <v>17</v>
      </c>
      <c r="F179" s="13" t="s">
        <v>31</v>
      </c>
      <c r="G179" s="13" t="s">
        <v>32</v>
      </c>
      <c r="H179" s="14">
        <v>7302.34</v>
      </c>
      <c r="I179" s="13">
        <v>10</v>
      </c>
      <c r="J179" s="15">
        <v>909.18</v>
      </c>
      <c r="K179" s="14" t="str" cm="1">
        <f t="array" ref="K179">_xlfn.IFS(Table43[[#This Row],[Sales]]&gt;40000,"Best Sales",Table43[[#This Row],[Sales]]&gt;20000,"Average Sales",Table43[[#This Row],[Sales]]&gt;0,"Poor Sales")</f>
        <v>Poor Sales</v>
      </c>
      <c r="L179" s="23">
        <f>YEAR(Table43[[#This Row],[Date]])</f>
        <v>2023</v>
      </c>
      <c r="M179" s="23">
        <f>MONTH(Table43[[#This Row],[Date]])</f>
        <v>2</v>
      </c>
      <c r="N179" s="25">
        <f>DAY(Table43[[#This Row],[Date]])</f>
        <v>21</v>
      </c>
      <c r="O179" s="25" t="str">
        <f>TEXT(DATE(2023,Table43[[#This Row],[Month]],1),"mmm")</f>
        <v>Feb</v>
      </c>
      <c r="P179" s="25"/>
      <c r="Q179" s="25"/>
    </row>
    <row r="180" spans="1:17" x14ac:dyDescent="0.3">
      <c r="A180" s="6">
        <v>179</v>
      </c>
      <c r="B180" s="7">
        <v>44993</v>
      </c>
      <c r="C180" s="8" t="s">
        <v>15</v>
      </c>
      <c r="D180" s="8" t="s">
        <v>16</v>
      </c>
      <c r="E180" s="8" t="s">
        <v>17</v>
      </c>
      <c r="F180" s="8" t="s">
        <v>31</v>
      </c>
      <c r="G180" s="8" t="s">
        <v>39</v>
      </c>
      <c r="H180" s="9">
        <v>17646.86</v>
      </c>
      <c r="I180" s="8">
        <v>9</v>
      </c>
      <c r="J180" s="10">
        <v>3145.05</v>
      </c>
      <c r="K180" s="14" t="str" cm="1">
        <f t="array" ref="K180">_xlfn.IFS(Table43[[#This Row],[Sales]]&gt;40000,"Best Sales",Table43[[#This Row],[Sales]]&gt;20000,"Average Sales",Table43[[#This Row],[Sales]]&gt;0,"Poor Sales")</f>
        <v>Poor Sales</v>
      </c>
      <c r="L180" s="23">
        <f>YEAR(Table43[[#This Row],[Date]])</f>
        <v>2023</v>
      </c>
      <c r="M180" s="23">
        <f>MONTH(Table43[[#This Row],[Date]])</f>
        <v>3</v>
      </c>
      <c r="N180" s="25">
        <f>DAY(Table43[[#This Row],[Date]])</f>
        <v>8</v>
      </c>
      <c r="O180" s="25" t="str">
        <f>TEXT(DATE(2023,Table43[[#This Row],[Month]],1),"mmm")</f>
        <v>Mar</v>
      </c>
      <c r="P180" s="25"/>
      <c r="Q180" s="25"/>
    </row>
    <row r="181" spans="1:17" x14ac:dyDescent="0.3">
      <c r="A181" s="11">
        <v>180</v>
      </c>
      <c r="B181" s="12">
        <v>45230</v>
      </c>
      <c r="C181" s="13" t="s">
        <v>37</v>
      </c>
      <c r="D181" s="13" t="s">
        <v>27</v>
      </c>
      <c r="E181" s="13" t="s">
        <v>17</v>
      </c>
      <c r="F181" s="13" t="s">
        <v>13</v>
      </c>
      <c r="G181" s="13" t="s">
        <v>14</v>
      </c>
      <c r="H181" s="14">
        <v>18272.21</v>
      </c>
      <c r="I181" s="13">
        <v>9</v>
      </c>
      <c r="J181" s="15">
        <v>4352.6099999999997</v>
      </c>
      <c r="K181" s="14" t="str" cm="1">
        <f t="array" ref="K181">_xlfn.IFS(Table43[[#This Row],[Sales]]&gt;40000,"Best Sales",Table43[[#This Row],[Sales]]&gt;20000,"Average Sales",Table43[[#This Row],[Sales]]&gt;0,"Poor Sales")</f>
        <v>Poor Sales</v>
      </c>
      <c r="L181" s="23">
        <f>YEAR(Table43[[#This Row],[Date]])</f>
        <v>2023</v>
      </c>
      <c r="M181" s="23">
        <f>MONTH(Table43[[#This Row],[Date]])</f>
        <v>10</v>
      </c>
      <c r="N181" s="25">
        <f>DAY(Table43[[#This Row],[Date]])</f>
        <v>31</v>
      </c>
      <c r="O181" s="25" t="str">
        <f>TEXT(DATE(2023,Table43[[#This Row],[Month]],1),"mmm")</f>
        <v>Oct</v>
      </c>
      <c r="P181" s="25"/>
      <c r="Q181" s="25"/>
    </row>
    <row r="182" spans="1:17" x14ac:dyDescent="0.3">
      <c r="A182" s="6">
        <v>181</v>
      </c>
      <c r="B182" s="7">
        <v>45151</v>
      </c>
      <c r="C182" s="8" t="s">
        <v>22</v>
      </c>
      <c r="D182" s="8" t="s">
        <v>22</v>
      </c>
      <c r="E182" s="8" t="s">
        <v>17</v>
      </c>
      <c r="F182" s="8" t="s">
        <v>24</v>
      </c>
      <c r="G182" s="8" t="s">
        <v>29</v>
      </c>
      <c r="H182" s="9">
        <v>30968.38</v>
      </c>
      <c r="I182" s="8">
        <v>7</v>
      </c>
      <c r="J182" s="10">
        <v>4688.1000000000004</v>
      </c>
      <c r="K182" s="14" t="str" cm="1">
        <f t="array" ref="K182">_xlfn.IFS(Table43[[#This Row],[Sales]]&gt;40000,"Best Sales",Table43[[#This Row],[Sales]]&gt;20000,"Average Sales",Table43[[#This Row],[Sales]]&gt;0,"Poor Sales")</f>
        <v>Average Sales</v>
      </c>
      <c r="L182" s="23">
        <f>YEAR(Table43[[#This Row],[Date]])</f>
        <v>2023</v>
      </c>
      <c r="M182" s="23">
        <f>MONTH(Table43[[#This Row],[Date]])</f>
        <v>8</v>
      </c>
      <c r="N182" s="25">
        <f>DAY(Table43[[#This Row],[Date]])</f>
        <v>13</v>
      </c>
      <c r="O182" s="25" t="str">
        <f>TEXT(DATE(2023,Table43[[#This Row],[Month]],1),"mmm")</f>
        <v>Aug</v>
      </c>
      <c r="P182" s="25"/>
      <c r="Q182" s="25"/>
    </row>
    <row r="183" spans="1:17" x14ac:dyDescent="0.3">
      <c r="A183" s="11">
        <v>182</v>
      </c>
      <c r="B183" s="12">
        <v>45080</v>
      </c>
      <c r="C183" s="13" t="s">
        <v>26</v>
      </c>
      <c r="D183" s="13" t="s">
        <v>27</v>
      </c>
      <c r="E183" s="13" t="s">
        <v>17</v>
      </c>
      <c r="F183" s="13" t="s">
        <v>31</v>
      </c>
      <c r="G183" s="13" t="s">
        <v>33</v>
      </c>
      <c r="H183" s="14">
        <v>17745.36</v>
      </c>
      <c r="I183" s="13">
        <v>2</v>
      </c>
      <c r="J183" s="15">
        <v>1736.15</v>
      </c>
      <c r="K183" s="14" t="str" cm="1">
        <f t="array" ref="K183">_xlfn.IFS(Table43[[#This Row],[Sales]]&gt;40000,"Best Sales",Table43[[#This Row],[Sales]]&gt;20000,"Average Sales",Table43[[#This Row],[Sales]]&gt;0,"Poor Sales")</f>
        <v>Poor Sales</v>
      </c>
      <c r="L183" s="23">
        <f>YEAR(Table43[[#This Row],[Date]])</f>
        <v>2023</v>
      </c>
      <c r="M183" s="23">
        <f>MONTH(Table43[[#This Row],[Date]])</f>
        <v>6</v>
      </c>
      <c r="N183" s="25">
        <f>DAY(Table43[[#This Row],[Date]])</f>
        <v>3</v>
      </c>
      <c r="O183" s="25" t="str">
        <f>TEXT(DATE(2023,Table43[[#This Row],[Month]],1),"mmm")</f>
        <v>Jun</v>
      </c>
      <c r="P183" s="25"/>
      <c r="Q183" s="25"/>
    </row>
    <row r="184" spans="1:17" x14ac:dyDescent="0.3">
      <c r="A184" s="6">
        <v>183</v>
      </c>
      <c r="B184" s="7">
        <v>44984</v>
      </c>
      <c r="C184" s="8" t="s">
        <v>26</v>
      </c>
      <c r="D184" s="8" t="s">
        <v>27</v>
      </c>
      <c r="E184" s="8" t="s">
        <v>17</v>
      </c>
      <c r="F184" s="8" t="s">
        <v>13</v>
      </c>
      <c r="G184" s="8" t="s">
        <v>21</v>
      </c>
      <c r="H184" s="9">
        <v>30601.31</v>
      </c>
      <c r="I184" s="8">
        <v>9</v>
      </c>
      <c r="J184" s="10">
        <v>4632.5600000000004</v>
      </c>
      <c r="K184" s="14" t="str" cm="1">
        <f t="array" ref="K184">_xlfn.IFS(Table43[[#This Row],[Sales]]&gt;40000,"Best Sales",Table43[[#This Row],[Sales]]&gt;20000,"Average Sales",Table43[[#This Row],[Sales]]&gt;0,"Poor Sales")</f>
        <v>Average Sales</v>
      </c>
      <c r="L184" s="23">
        <f>YEAR(Table43[[#This Row],[Date]])</f>
        <v>2023</v>
      </c>
      <c r="M184" s="23">
        <f>MONTH(Table43[[#This Row],[Date]])</f>
        <v>2</v>
      </c>
      <c r="N184" s="25">
        <f>DAY(Table43[[#This Row],[Date]])</f>
        <v>27</v>
      </c>
      <c r="O184" s="25" t="str">
        <f>TEXT(DATE(2023,Table43[[#This Row],[Month]],1),"mmm")</f>
        <v>Feb</v>
      </c>
      <c r="P184" s="25"/>
      <c r="Q184" s="25"/>
    </row>
    <row r="185" spans="1:17" x14ac:dyDescent="0.3">
      <c r="A185" s="11">
        <v>184</v>
      </c>
      <c r="B185" s="12">
        <v>45256</v>
      </c>
      <c r="C185" s="13" t="s">
        <v>22</v>
      </c>
      <c r="D185" s="13" t="s">
        <v>22</v>
      </c>
      <c r="E185" s="13" t="s">
        <v>17</v>
      </c>
      <c r="F185" s="13" t="s">
        <v>24</v>
      </c>
      <c r="G185" s="13" t="s">
        <v>25</v>
      </c>
      <c r="H185" s="14">
        <v>27508.720000000001</v>
      </c>
      <c r="I185" s="13">
        <v>4</v>
      </c>
      <c r="J185" s="15">
        <v>2649.16</v>
      </c>
      <c r="K185" s="14" t="str" cm="1">
        <f t="array" ref="K185">_xlfn.IFS(Table43[[#This Row],[Sales]]&gt;40000,"Best Sales",Table43[[#This Row],[Sales]]&gt;20000,"Average Sales",Table43[[#This Row],[Sales]]&gt;0,"Poor Sales")</f>
        <v>Average Sales</v>
      </c>
      <c r="L185" s="23">
        <f>YEAR(Table43[[#This Row],[Date]])</f>
        <v>2023</v>
      </c>
      <c r="M185" s="23">
        <f>MONTH(Table43[[#This Row],[Date]])</f>
        <v>11</v>
      </c>
      <c r="N185" s="25">
        <f>DAY(Table43[[#This Row],[Date]])</f>
        <v>26</v>
      </c>
      <c r="O185" s="25" t="str">
        <f>TEXT(DATE(2023,Table43[[#This Row],[Month]],1),"mmm")</f>
        <v>Nov</v>
      </c>
      <c r="P185" s="25"/>
      <c r="Q185" s="25"/>
    </row>
    <row r="186" spans="1:17" x14ac:dyDescent="0.3">
      <c r="A186" s="6">
        <v>185</v>
      </c>
      <c r="B186" s="7">
        <v>44959</v>
      </c>
      <c r="C186" s="8" t="s">
        <v>35</v>
      </c>
      <c r="D186" s="8" t="s">
        <v>36</v>
      </c>
      <c r="E186" s="8" t="s">
        <v>17</v>
      </c>
      <c r="F186" s="8" t="s">
        <v>24</v>
      </c>
      <c r="G186" s="8" t="s">
        <v>29</v>
      </c>
      <c r="H186" s="9">
        <v>20818.54</v>
      </c>
      <c r="I186" s="8">
        <v>10</v>
      </c>
      <c r="J186" s="10">
        <v>2457.2199999999998</v>
      </c>
      <c r="K186" s="14" t="str" cm="1">
        <f t="array" ref="K186">_xlfn.IFS(Table43[[#This Row],[Sales]]&gt;40000,"Best Sales",Table43[[#This Row],[Sales]]&gt;20000,"Average Sales",Table43[[#This Row],[Sales]]&gt;0,"Poor Sales")</f>
        <v>Average Sales</v>
      </c>
      <c r="L186" s="23">
        <f>YEAR(Table43[[#This Row],[Date]])</f>
        <v>2023</v>
      </c>
      <c r="M186" s="23">
        <f>MONTH(Table43[[#This Row],[Date]])</f>
        <v>2</v>
      </c>
      <c r="N186" s="25">
        <f>DAY(Table43[[#This Row],[Date]])</f>
        <v>2</v>
      </c>
      <c r="O186" s="25" t="str">
        <f>TEXT(DATE(2023,Table43[[#This Row],[Month]],1),"mmm")</f>
        <v>Feb</v>
      </c>
      <c r="P186" s="25"/>
      <c r="Q186" s="25"/>
    </row>
    <row r="187" spans="1:17" x14ac:dyDescent="0.3">
      <c r="A187" s="11">
        <v>186</v>
      </c>
      <c r="B187" s="12">
        <v>44990</v>
      </c>
      <c r="C187" s="13" t="s">
        <v>18</v>
      </c>
      <c r="D187" s="13" t="s">
        <v>19</v>
      </c>
      <c r="E187" s="13" t="s">
        <v>17</v>
      </c>
      <c r="F187" s="13" t="s">
        <v>24</v>
      </c>
      <c r="G187" s="13" t="s">
        <v>29</v>
      </c>
      <c r="H187" s="14">
        <v>49951.15</v>
      </c>
      <c r="I187" s="13">
        <v>8</v>
      </c>
      <c r="J187" s="15">
        <v>9925.48</v>
      </c>
      <c r="K187" s="14" t="str" cm="1">
        <f t="array" ref="K187">_xlfn.IFS(Table43[[#This Row],[Sales]]&gt;40000,"Best Sales",Table43[[#This Row],[Sales]]&gt;20000,"Average Sales",Table43[[#This Row],[Sales]]&gt;0,"Poor Sales")</f>
        <v>Best Sales</v>
      </c>
      <c r="L187" s="23">
        <f>YEAR(Table43[[#This Row],[Date]])</f>
        <v>2023</v>
      </c>
      <c r="M187" s="23">
        <f>MONTH(Table43[[#This Row],[Date]])</f>
        <v>3</v>
      </c>
      <c r="N187" s="25">
        <f>DAY(Table43[[#This Row],[Date]])</f>
        <v>5</v>
      </c>
      <c r="O187" s="25" t="str">
        <f>TEXT(DATE(2023,Table43[[#This Row],[Month]],1),"mmm")</f>
        <v>Mar</v>
      </c>
      <c r="P187" s="25"/>
      <c r="Q187" s="25"/>
    </row>
    <row r="188" spans="1:17" x14ac:dyDescent="0.3">
      <c r="A188" s="6">
        <v>187</v>
      </c>
      <c r="B188" s="7">
        <v>45184</v>
      </c>
      <c r="C188" s="8" t="s">
        <v>26</v>
      </c>
      <c r="D188" s="8" t="s">
        <v>27</v>
      </c>
      <c r="E188" s="8" t="s">
        <v>17</v>
      </c>
      <c r="F188" s="8" t="s">
        <v>31</v>
      </c>
      <c r="G188" s="8" t="s">
        <v>33</v>
      </c>
      <c r="H188" s="9">
        <v>14099.59</v>
      </c>
      <c r="I188" s="8">
        <v>7</v>
      </c>
      <c r="J188" s="10">
        <v>1349.86</v>
      </c>
      <c r="K188" s="14" t="str" cm="1">
        <f t="array" ref="K188">_xlfn.IFS(Table43[[#This Row],[Sales]]&gt;40000,"Best Sales",Table43[[#This Row],[Sales]]&gt;20000,"Average Sales",Table43[[#This Row],[Sales]]&gt;0,"Poor Sales")</f>
        <v>Poor Sales</v>
      </c>
      <c r="L188" s="23">
        <f>YEAR(Table43[[#This Row],[Date]])</f>
        <v>2023</v>
      </c>
      <c r="M188" s="23">
        <f>MONTH(Table43[[#This Row],[Date]])</f>
        <v>9</v>
      </c>
      <c r="N188" s="25">
        <f>DAY(Table43[[#This Row],[Date]])</f>
        <v>15</v>
      </c>
      <c r="O188" s="25" t="str">
        <f>TEXT(DATE(2023,Table43[[#This Row],[Month]],1),"mmm")</f>
        <v>Sep</v>
      </c>
      <c r="P188" s="25"/>
      <c r="Q188" s="25"/>
    </row>
    <row r="189" spans="1:17" x14ac:dyDescent="0.3">
      <c r="A189" s="11">
        <v>188</v>
      </c>
      <c r="B189" s="12">
        <v>45210</v>
      </c>
      <c r="C189" s="13" t="s">
        <v>15</v>
      </c>
      <c r="D189" s="13" t="s">
        <v>16</v>
      </c>
      <c r="E189" s="13" t="s">
        <v>12</v>
      </c>
      <c r="F189" s="13" t="s">
        <v>31</v>
      </c>
      <c r="G189" s="13" t="s">
        <v>33</v>
      </c>
      <c r="H189" s="14">
        <v>30464.74</v>
      </c>
      <c r="I189" s="13">
        <v>6</v>
      </c>
      <c r="J189" s="15">
        <v>7362.23</v>
      </c>
      <c r="K189" s="14" t="str" cm="1">
        <f t="array" ref="K189">_xlfn.IFS(Table43[[#This Row],[Sales]]&gt;40000,"Best Sales",Table43[[#This Row],[Sales]]&gt;20000,"Average Sales",Table43[[#This Row],[Sales]]&gt;0,"Poor Sales")</f>
        <v>Average Sales</v>
      </c>
      <c r="L189" s="23">
        <f>YEAR(Table43[[#This Row],[Date]])</f>
        <v>2023</v>
      </c>
      <c r="M189" s="23">
        <f>MONTH(Table43[[#This Row],[Date]])</f>
        <v>10</v>
      </c>
      <c r="N189" s="25">
        <f>DAY(Table43[[#This Row],[Date]])</f>
        <v>11</v>
      </c>
      <c r="O189" s="25" t="str">
        <f>TEXT(DATE(2023,Table43[[#This Row],[Month]],1),"mmm")</f>
        <v>Oct</v>
      </c>
      <c r="P189" s="25"/>
      <c r="Q189" s="25"/>
    </row>
    <row r="190" spans="1:17" x14ac:dyDescent="0.3">
      <c r="A190" s="6">
        <v>189</v>
      </c>
      <c r="B190" s="7">
        <v>45041</v>
      </c>
      <c r="C190" s="8" t="s">
        <v>18</v>
      </c>
      <c r="D190" s="8" t="s">
        <v>19</v>
      </c>
      <c r="E190" s="8" t="s">
        <v>17</v>
      </c>
      <c r="F190" s="8" t="s">
        <v>13</v>
      </c>
      <c r="G190" s="8" t="s">
        <v>21</v>
      </c>
      <c r="H190" s="9">
        <v>45371.4</v>
      </c>
      <c r="I190" s="8">
        <v>9</v>
      </c>
      <c r="J190" s="10">
        <v>10014.870000000001</v>
      </c>
      <c r="K190" s="14" t="str" cm="1">
        <f t="array" ref="K190">_xlfn.IFS(Table43[[#This Row],[Sales]]&gt;40000,"Best Sales",Table43[[#This Row],[Sales]]&gt;20000,"Average Sales",Table43[[#This Row],[Sales]]&gt;0,"Poor Sales")</f>
        <v>Best Sales</v>
      </c>
      <c r="L190" s="23">
        <f>YEAR(Table43[[#This Row],[Date]])</f>
        <v>2023</v>
      </c>
      <c r="M190" s="23">
        <f>MONTH(Table43[[#This Row],[Date]])</f>
        <v>4</v>
      </c>
      <c r="N190" s="25">
        <f>DAY(Table43[[#This Row],[Date]])</f>
        <v>25</v>
      </c>
      <c r="O190" s="25" t="str">
        <f>TEXT(DATE(2023,Table43[[#This Row],[Month]],1),"mmm")</f>
        <v>Apr</v>
      </c>
      <c r="P190" s="25"/>
      <c r="Q190" s="25"/>
    </row>
    <row r="191" spans="1:17" x14ac:dyDescent="0.3">
      <c r="A191" s="11">
        <v>190</v>
      </c>
      <c r="B191" s="12">
        <v>45082</v>
      </c>
      <c r="C191" s="13" t="s">
        <v>38</v>
      </c>
      <c r="D191" s="13" t="s">
        <v>27</v>
      </c>
      <c r="E191" s="13" t="s">
        <v>12</v>
      </c>
      <c r="F191" s="13" t="s">
        <v>31</v>
      </c>
      <c r="G191" s="13" t="s">
        <v>32</v>
      </c>
      <c r="H191" s="14">
        <v>22118.26</v>
      </c>
      <c r="I191" s="13">
        <v>4</v>
      </c>
      <c r="J191" s="15">
        <v>2171.89</v>
      </c>
      <c r="K191" s="14" t="str" cm="1">
        <f t="array" ref="K191">_xlfn.IFS(Table43[[#This Row],[Sales]]&gt;40000,"Best Sales",Table43[[#This Row],[Sales]]&gt;20000,"Average Sales",Table43[[#This Row],[Sales]]&gt;0,"Poor Sales")</f>
        <v>Average Sales</v>
      </c>
      <c r="L191" s="23">
        <f>YEAR(Table43[[#This Row],[Date]])</f>
        <v>2023</v>
      </c>
      <c r="M191" s="23">
        <f>MONTH(Table43[[#This Row],[Date]])</f>
        <v>6</v>
      </c>
      <c r="N191" s="25">
        <f>DAY(Table43[[#This Row],[Date]])</f>
        <v>5</v>
      </c>
      <c r="O191" s="25" t="str">
        <f>TEXT(DATE(2023,Table43[[#This Row],[Month]],1),"mmm")</f>
        <v>Jun</v>
      </c>
      <c r="P191" s="25"/>
      <c r="Q191" s="25"/>
    </row>
    <row r="192" spans="1:17" x14ac:dyDescent="0.3">
      <c r="A192" s="6">
        <v>191</v>
      </c>
      <c r="B192" s="7">
        <v>45248</v>
      </c>
      <c r="C192" s="8" t="s">
        <v>10</v>
      </c>
      <c r="D192" s="8" t="s">
        <v>11</v>
      </c>
      <c r="E192" s="8" t="s">
        <v>17</v>
      </c>
      <c r="F192" s="8" t="s">
        <v>13</v>
      </c>
      <c r="G192" s="8" t="s">
        <v>21</v>
      </c>
      <c r="H192" s="9">
        <v>37631.99</v>
      </c>
      <c r="I192" s="8">
        <v>10</v>
      </c>
      <c r="J192" s="10">
        <v>2815.66</v>
      </c>
      <c r="K192" s="14" t="str" cm="1">
        <f t="array" ref="K192">_xlfn.IFS(Table43[[#This Row],[Sales]]&gt;40000,"Best Sales",Table43[[#This Row],[Sales]]&gt;20000,"Average Sales",Table43[[#This Row],[Sales]]&gt;0,"Poor Sales")</f>
        <v>Average Sales</v>
      </c>
      <c r="L192" s="23">
        <f>YEAR(Table43[[#This Row],[Date]])</f>
        <v>2023</v>
      </c>
      <c r="M192" s="23">
        <f>MONTH(Table43[[#This Row],[Date]])</f>
        <v>11</v>
      </c>
      <c r="N192" s="25">
        <f>DAY(Table43[[#This Row],[Date]])</f>
        <v>18</v>
      </c>
      <c r="O192" s="25" t="str">
        <f>TEXT(DATE(2023,Table43[[#This Row],[Month]],1),"mmm")</f>
        <v>Nov</v>
      </c>
      <c r="P192" s="25"/>
      <c r="Q192" s="25"/>
    </row>
    <row r="193" spans="1:17" x14ac:dyDescent="0.3">
      <c r="A193" s="11">
        <v>192</v>
      </c>
      <c r="B193" s="12">
        <v>45279</v>
      </c>
      <c r="C193" s="13" t="s">
        <v>15</v>
      </c>
      <c r="D193" s="13" t="s">
        <v>16</v>
      </c>
      <c r="E193" s="13" t="s">
        <v>20</v>
      </c>
      <c r="F193" s="13" t="s">
        <v>13</v>
      </c>
      <c r="G193" s="13" t="s">
        <v>34</v>
      </c>
      <c r="H193" s="14">
        <v>32613.74</v>
      </c>
      <c r="I193" s="13">
        <v>3</v>
      </c>
      <c r="J193" s="15">
        <v>2329.77</v>
      </c>
      <c r="K193" s="14" t="str" cm="1">
        <f t="array" ref="K193">_xlfn.IFS(Table43[[#This Row],[Sales]]&gt;40000,"Best Sales",Table43[[#This Row],[Sales]]&gt;20000,"Average Sales",Table43[[#This Row],[Sales]]&gt;0,"Poor Sales")</f>
        <v>Average Sales</v>
      </c>
      <c r="L193" s="23">
        <f>YEAR(Table43[[#This Row],[Date]])</f>
        <v>2023</v>
      </c>
      <c r="M193" s="23">
        <f>MONTH(Table43[[#This Row],[Date]])</f>
        <v>12</v>
      </c>
      <c r="N193" s="25">
        <f>DAY(Table43[[#This Row],[Date]])</f>
        <v>19</v>
      </c>
      <c r="O193" s="25" t="str">
        <f>TEXT(DATE(2023,Table43[[#This Row],[Month]],1),"mmm")</f>
        <v>Dec</v>
      </c>
      <c r="P193" s="25"/>
      <c r="Q193" s="25"/>
    </row>
    <row r="194" spans="1:17" x14ac:dyDescent="0.3">
      <c r="A194" s="6">
        <v>193</v>
      </c>
      <c r="B194" s="7">
        <v>45031</v>
      </c>
      <c r="C194" s="8" t="s">
        <v>38</v>
      </c>
      <c r="D194" s="8" t="s">
        <v>27</v>
      </c>
      <c r="E194" s="8" t="s">
        <v>20</v>
      </c>
      <c r="F194" s="8" t="s">
        <v>31</v>
      </c>
      <c r="G194" s="8" t="s">
        <v>39</v>
      </c>
      <c r="H194" s="9">
        <v>19402.79</v>
      </c>
      <c r="I194" s="8">
        <v>5</v>
      </c>
      <c r="J194" s="10">
        <v>4070.53</v>
      </c>
      <c r="K194" s="14" t="str" cm="1">
        <f t="array" ref="K194">_xlfn.IFS(Table43[[#This Row],[Sales]]&gt;40000,"Best Sales",Table43[[#This Row],[Sales]]&gt;20000,"Average Sales",Table43[[#This Row],[Sales]]&gt;0,"Poor Sales")</f>
        <v>Poor Sales</v>
      </c>
      <c r="L194" s="23">
        <f>YEAR(Table43[[#This Row],[Date]])</f>
        <v>2023</v>
      </c>
      <c r="M194" s="23">
        <f>MONTH(Table43[[#This Row],[Date]])</f>
        <v>4</v>
      </c>
      <c r="N194" s="25">
        <f>DAY(Table43[[#This Row],[Date]])</f>
        <v>15</v>
      </c>
      <c r="O194" s="25" t="str">
        <f>TEXT(DATE(2023,Table43[[#This Row],[Month]],1),"mmm")</f>
        <v>Apr</v>
      </c>
      <c r="P194" s="25"/>
      <c r="Q194" s="25"/>
    </row>
    <row r="195" spans="1:17" x14ac:dyDescent="0.3">
      <c r="A195" s="11">
        <v>194</v>
      </c>
      <c r="B195" s="12">
        <v>45226</v>
      </c>
      <c r="C195" s="13" t="s">
        <v>37</v>
      </c>
      <c r="D195" s="13" t="s">
        <v>27</v>
      </c>
      <c r="E195" s="13" t="s">
        <v>12</v>
      </c>
      <c r="F195" s="13" t="s">
        <v>13</v>
      </c>
      <c r="G195" s="13" t="s">
        <v>21</v>
      </c>
      <c r="H195" s="14">
        <v>38828.89</v>
      </c>
      <c r="I195" s="13">
        <v>1</v>
      </c>
      <c r="J195" s="15">
        <v>3558.41</v>
      </c>
      <c r="K195" s="14" t="str" cm="1">
        <f t="array" ref="K195">_xlfn.IFS(Table43[[#This Row],[Sales]]&gt;40000,"Best Sales",Table43[[#This Row],[Sales]]&gt;20000,"Average Sales",Table43[[#This Row],[Sales]]&gt;0,"Poor Sales")</f>
        <v>Average Sales</v>
      </c>
      <c r="L195" s="23">
        <f>YEAR(Table43[[#This Row],[Date]])</f>
        <v>2023</v>
      </c>
      <c r="M195" s="23">
        <f>MONTH(Table43[[#This Row],[Date]])</f>
        <v>10</v>
      </c>
      <c r="N195" s="25">
        <f>DAY(Table43[[#This Row],[Date]])</f>
        <v>27</v>
      </c>
      <c r="O195" s="25" t="str">
        <f>TEXT(DATE(2023,Table43[[#This Row],[Month]],1),"mmm")</f>
        <v>Oct</v>
      </c>
      <c r="P195" s="25"/>
      <c r="Q195" s="25"/>
    </row>
    <row r="196" spans="1:17" x14ac:dyDescent="0.3">
      <c r="A196" s="6">
        <v>195</v>
      </c>
      <c r="B196" s="7">
        <v>45285</v>
      </c>
      <c r="C196" s="8" t="s">
        <v>10</v>
      </c>
      <c r="D196" s="8" t="s">
        <v>11</v>
      </c>
      <c r="E196" s="8" t="s">
        <v>17</v>
      </c>
      <c r="F196" s="8" t="s">
        <v>13</v>
      </c>
      <c r="G196" s="8" t="s">
        <v>34</v>
      </c>
      <c r="H196" s="9">
        <v>40947.69</v>
      </c>
      <c r="I196" s="8">
        <v>10</v>
      </c>
      <c r="J196" s="10">
        <v>3402.46</v>
      </c>
      <c r="K196" s="14" t="str" cm="1">
        <f t="array" ref="K196">_xlfn.IFS(Table43[[#This Row],[Sales]]&gt;40000,"Best Sales",Table43[[#This Row],[Sales]]&gt;20000,"Average Sales",Table43[[#This Row],[Sales]]&gt;0,"Poor Sales")</f>
        <v>Best Sales</v>
      </c>
      <c r="L196" s="23">
        <f>YEAR(Table43[[#This Row],[Date]])</f>
        <v>2023</v>
      </c>
      <c r="M196" s="23">
        <f>MONTH(Table43[[#This Row],[Date]])</f>
        <v>12</v>
      </c>
      <c r="N196" s="25">
        <f>DAY(Table43[[#This Row],[Date]])</f>
        <v>25</v>
      </c>
      <c r="O196" s="25" t="str">
        <f>TEXT(DATE(2023,Table43[[#This Row],[Month]],1),"mmm")</f>
        <v>Dec</v>
      </c>
      <c r="P196" s="25"/>
      <c r="Q196" s="25"/>
    </row>
    <row r="197" spans="1:17" x14ac:dyDescent="0.3">
      <c r="A197" s="11">
        <v>196</v>
      </c>
      <c r="B197" s="12">
        <v>45132</v>
      </c>
      <c r="C197" s="13" t="s">
        <v>38</v>
      </c>
      <c r="D197" s="13" t="s">
        <v>27</v>
      </c>
      <c r="E197" s="13" t="s">
        <v>12</v>
      </c>
      <c r="F197" s="13" t="s">
        <v>13</v>
      </c>
      <c r="G197" s="13" t="s">
        <v>34</v>
      </c>
      <c r="H197" s="14">
        <v>42010.67</v>
      </c>
      <c r="I197" s="13">
        <v>2</v>
      </c>
      <c r="J197" s="15">
        <v>11879.89</v>
      </c>
      <c r="K197" s="14" t="str" cm="1">
        <f t="array" ref="K197">_xlfn.IFS(Table43[[#This Row],[Sales]]&gt;40000,"Best Sales",Table43[[#This Row],[Sales]]&gt;20000,"Average Sales",Table43[[#This Row],[Sales]]&gt;0,"Poor Sales")</f>
        <v>Best Sales</v>
      </c>
      <c r="L197" s="23">
        <f>YEAR(Table43[[#This Row],[Date]])</f>
        <v>2023</v>
      </c>
      <c r="M197" s="23">
        <f>MONTH(Table43[[#This Row],[Date]])</f>
        <v>7</v>
      </c>
      <c r="N197" s="25">
        <f>DAY(Table43[[#This Row],[Date]])</f>
        <v>25</v>
      </c>
      <c r="O197" s="25" t="str">
        <f>TEXT(DATE(2023,Table43[[#This Row],[Month]],1),"mmm")</f>
        <v>Jul</v>
      </c>
      <c r="P197" s="25"/>
      <c r="Q197" s="25"/>
    </row>
    <row r="198" spans="1:17" x14ac:dyDescent="0.3">
      <c r="A198" s="6">
        <v>197</v>
      </c>
      <c r="B198" s="7">
        <v>44951</v>
      </c>
      <c r="C198" s="8" t="s">
        <v>10</v>
      </c>
      <c r="D198" s="8" t="s">
        <v>11</v>
      </c>
      <c r="E198" s="8" t="s">
        <v>17</v>
      </c>
      <c r="F198" s="8" t="s">
        <v>31</v>
      </c>
      <c r="G198" s="8" t="s">
        <v>33</v>
      </c>
      <c r="H198" s="9">
        <v>15486.53</v>
      </c>
      <c r="I198" s="8">
        <v>3</v>
      </c>
      <c r="J198" s="10">
        <v>3644.96</v>
      </c>
      <c r="K198" s="14" t="str" cm="1">
        <f t="array" ref="K198">_xlfn.IFS(Table43[[#This Row],[Sales]]&gt;40000,"Best Sales",Table43[[#This Row],[Sales]]&gt;20000,"Average Sales",Table43[[#This Row],[Sales]]&gt;0,"Poor Sales")</f>
        <v>Poor Sales</v>
      </c>
      <c r="L198" s="23">
        <f>YEAR(Table43[[#This Row],[Date]])</f>
        <v>2023</v>
      </c>
      <c r="M198" s="23">
        <f>MONTH(Table43[[#This Row],[Date]])</f>
        <v>1</v>
      </c>
      <c r="N198" s="25">
        <f>DAY(Table43[[#This Row],[Date]])</f>
        <v>25</v>
      </c>
      <c r="O198" s="25" t="str">
        <f>TEXT(DATE(2023,Table43[[#This Row],[Month]],1),"mmm")</f>
        <v>Jan</v>
      </c>
      <c r="P198" s="25"/>
      <c r="Q198" s="25"/>
    </row>
    <row r="199" spans="1:17" x14ac:dyDescent="0.3">
      <c r="A199" s="11">
        <v>198</v>
      </c>
      <c r="B199" s="12">
        <v>44962</v>
      </c>
      <c r="C199" s="13" t="s">
        <v>35</v>
      </c>
      <c r="D199" s="13" t="s">
        <v>36</v>
      </c>
      <c r="E199" s="13" t="s">
        <v>20</v>
      </c>
      <c r="F199" s="13" t="s">
        <v>13</v>
      </c>
      <c r="G199" s="13" t="s">
        <v>34</v>
      </c>
      <c r="H199" s="14">
        <v>30608.400000000001</v>
      </c>
      <c r="I199" s="13">
        <v>1</v>
      </c>
      <c r="J199" s="15">
        <v>2635.57</v>
      </c>
      <c r="K199" s="14" t="str" cm="1">
        <f t="array" ref="K199">_xlfn.IFS(Table43[[#This Row],[Sales]]&gt;40000,"Best Sales",Table43[[#This Row],[Sales]]&gt;20000,"Average Sales",Table43[[#This Row],[Sales]]&gt;0,"Poor Sales")</f>
        <v>Average Sales</v>
      </c>
      <c r="L199" s="23">
        <f>YEAR(Table43[[#This Row],[Date]])</f>
        <v>2023</v>
      </c>
      <c r="M199" s="23">
        <f>MONTH(Table43[[#This Row],[Date]])</f>
        <v>2</v>
      </c>
      <c r="N199" s="25">
        <f>DAY(Table43[[#This Row],[Date]])</f>
        <v>5</v>
      </c>
      <c r="O199" s="25" t="str">
        <f>TEXT(DATE(2023,Table43[[#This Row],[Month]],1),"mmm")</f>
        <v>Feb</v>
      </c>
      <c r="P199" s="25"/>
      <c r="Q199" s="25"/>
    </row>
    <row r="200" spans="1:17" x14ac:dyDescent="0.3">
      <c r="A200" s="6">
        <v>199</v>
      </c>
      <c r="B200" s="7">
        <v>45181</v>
      </c>
      <c r="C200" s="8" t="s">
        <v>18</v>
      </c>
      <c r="D200" s="8" t="s">
        <v>19</v>
      </c>
      <c r="E200" s="8" t="s">
        <v>20</v>
      </c>
      <c r="F200" s="8" t="s">
        <v>31</v>
      </c>
      <c r="G200" s="8" t="s">
        <v>33</v>
      </c>
      <c r="H200" s="9">
        <v>15000.25</v>
      </c>
      <c r="I200" s="8">
        <v>1</v>
      </c>
      <c r="J200" s="10">
        <v>3201.7</v>
      </c>
      <c r="K200" s="14" t="str" cm="1">
        <f t="array" ref="K200">_xlfn.IFS(Table43[[#This Row],[Sales]]&gt;40000,"Best Sales",Table43[[#This Row],[Sales]]&gt;20000,"Average Sales",Table43[[#This Row],[Sales]]&gt;0,"Poor Sales")</f>
        <v>Poor Sales</v>
      </c>
      <c r="L200" s="23">
        <f>YEAR(Table43[[#This Row],[Date]])</f>
        <v>2023</v>
      </c>
      <c r="M200" s="23">
        <f>MONTH(Table43[[#This Row],[Date]])</f>
        <v>9</v>
      </c>
      <c r="N200" s="25">
        <f>DAY(Table43[[#This Row],[Date]])</f>
        <v>12</v>
      </c>
      <c r="O200" s="25" t="str">
        <f>TEXT(DATE(2023,Table43[[#This Row],[Month]],1),"mmm")</f>
        <v>Sep</v>
      </c>
      <c r="P200" s="25"/>
      <c r="Q200" s="25"/>
    </row>
    <row r="201" spans="1:17" x14ac:dyDescent="0.3">
      <c r="A201" s="11">
        <v>200</v>
      </c>
      <c r="B201" s="12">
        <v>45266</v>
      </c>
      <c r="C201" s="13" t="s">
        <v>15</v>
      </c>
      <c r="D201" s="13" t="s">
        <v>16</v>
      </c>
      <c r="E201" s="13" t="s">
        <v>12</v>
      </c>
      <c r="F201" s="13" t="s">
        <v>24</v>
      </c>
      <c r="G201" s="13" t="s">
        <v>25</v>
      </c>
      <c r="H201" s="14">
        <v>30584.37</v>
      </c>
      <c r="I201" s="13">
        <v>4</v>
      </c>
      <c r="J201" s="15">
        <v>5866.07</v>
      </c>
      <c r="K201" s="14" t="str" cm="1">
        <f t="array" ref="K201">_xlfn.IFS(Table43[[#This Row],[Sales]]&gt;40000,"Best Sales",Table43[[#This Row],[Sales]]&gt;20000,"Average Sales",Table43[[#This Row],[Sales]]&gt;0,"Poor Sales")</f>
        <v>Average Sales</v>
      </c>
      <c r="L201" s="23">
        <f>YEAR(Table43[[#This Row],[Date]])</f>
        <v>2023</v>
      </c>
      <c r="M201" s="23">
        <f>MONTH(Table43[[#This Row],[Date]])</f>
        <v>12</v>
      </c>
      <c r="N201" s="25">
        <f>DAY(Table43[[#This Row],[Date]])</f>
        <v>6</v>
      </c>
      <c r="O201" s="25" t="str">
        <f>TEXT(DATE(2023,Table43[[#This Row],[Month]],1),"mmm")</f>
        <v>Dec</v>
      </c>
      <c r="P201" s="25"/>
      <c r="Q201" s="25"/>
    </row>
    <row r="202" spans="1:17" x14ac:dyDescent="0.3">
      <c r="A202" s="6">
        <v>201</v>
      </c>
      <c r="B202" s="7">
        <v>44995</v>
      </c>
      <c r="C202" s="8" t="s">
        <v>30</v>
      </c>
      <c r="D202" s="8" t="s">
        <v>16</v>
      </c>
      <c r="E202" s="8" t="s">
        <v>17</v>
      </c>
      <c r="F202" s="8" t="s">
        <v>24</v>
      </c>
      <c r="G202" s="8" t="s">
        <v>29</v>
      </c>
      <c r="H202" s="9">
        <v>2307.9</v>
      </c>
      <c r="I202" s="8">
        <v>2</v>
      </c>
      <c r="J202" s="10">
        <v>185.88</v>
      </c>
      <c r="K202" s="14" t="str" cm="1">
        <f t="array" ref="K202">_xlfn.IFS(Table43[[#This Row],[Sales]]&gt;40000,"Best Sales",Table43[[#This Row],[Sales]]&gt;20000,"Average Sales",Table43[[#This Row],[Sales]]&gt;0,"Poor Sales")</f>
        <v>Poor Sales</v>
      </c>
      <c r="L202" s="23">
        <f>YEAR(Table43[[#This Row],[Date]])</f>
        <v>2023</v>
      </c>
      <c r="M202" s="23">
        <f>MONTH(Table43[[#This Row],[Date]])</f>
        <v>3</v>
      </c>
      <c r="N202" s="25">
        <f>DAY(Table43[[#This Row],[Date]])</f>
        <v>10</v>
      </c>
      <c r="O202" s="25" t="str">
        <f>TEXT(DATE(2023,Table43[[#This Row],[Month]],1),"mmm")</f>
        <v>Mar</v>
      </c>
      <c r="P202" s="25"/>
      <c r="Q202" s="25"/>
    </row>
    <row r="203" spans="1:17" x14ac:dyDescent="0.3">
      <c r="A203" s="11">
        <v>202</v>
      </c>
      <c r="B203" s="12">
        <v>45210</v>
      </c>
      <c r="C203" s="13" t="s">
        <v>15</v>
      </c>
      <c r="D203" s="13" t="s">
        <v>16</v>
      </c>
      <c r="E203" s="13" t="s">
        <v>12</v>
      </c>
      <c r="F203" s="13" t="s">
        <v>24</v>
      </c>
      <c r="G203" s="13" t="s">
        <v>28</v>
      </c>
      <c r="H203" s="14">
        <v>46291.49</v>
      </c>
      <c r="I203" s="13">
        <v>6</v>
      </c>
      <c r="J203" s="15">
        <v>5632.5</v>
      </c>
      <c r="K203" s="14" t="str" cm="1">
        <f t="array" ref="K203">_xlfn.IFS(Table43[[#This Row],[Sales]]&gt;40000,"Best Sales",Table43[[#This Row],[Sales]]&gt;20000,"Average Sales",Table43[[#This Row],[Sales]]&gt;0,"Poor Sales")</f>
        <v>Best Sales</v>
      </c>
      <c r="L203" s="23">
        <f>YEAR(Table43[[#This Row],[Date]])</f>
        <v>2023</v>
      </c>
      <c r="M203" s="23">
        <f>MONTH(Table43[[#This Row],[Date]])</f>
        <v>10</v>
      </c>
      <c r="N203" s="25">
        <f>DAY(Table43[[#This Row],[Date]])</f>
        <v>11</v>
      </c>
      <c r="O203" s="25" t="str">
        <f>TEXT(DATE(2023,Table43[[#This Row],[Month]],1),"mmm")</f>
        <v>Oct</v>
      </c>
      <c r="P203" s="25"/>
      <c r="Q203" s="25"/>
    </row>
    <row r="204" spans="1:17" x14ac:dyDescent="0.3">
      <c r="A204" s="6">
        <v>203</v>
      </c>
      <c r="B204" s="7">
        <v>44974</v>
      </c>
      <c r="C204" s="8" t="s">
        <v>38</v>
      </c>
      <c r="D204" s="8" t="s">
        <v>27</v>
      </c>
      <c r="E204" s="8" t="s">
        <v>17</v>
      </c>
      <c r="F204" s="8" t="s">
        <v>13</v>
      </c>
      <c r="G204" s="8" t="s">
        <v>21</v>
      </c>
      <c r="H204" s="9">
        <v>14665.44</v>
      </c>
      <c r="I204" s="8">
        <v>7</v>
      </c>
      <c r="J204" s="10">
        <v>2033.06</v>
      </c>
      <c r="K204" s="14" t="str" cm="1">
        <f t="array" ref="K204">_xlfn.IFS(Table43[[#This Row],[Sales]]&gt;40000,"Best Sales",Table43[[#This Row],[Sales]]&gt;20000,"Average Sales",Table43[[#This Row],[Sales]]&gt;0,"Poor Sales")</f>
        <v>Poor Sales</v>
      </c>
      <c r="L204" s="23">
        <f>YEAR(Table43[[#This Row],[Date]])</f>
        <v>2023</v>
      </c>
      <c r="M204" s="23">
        <f>MONTH(Table43[[#This Row],[Date]])</f>
        <v>2</v>
      </c>
      <c r="N204" s="25">
        <f>DAY(Table43[[#This Row],[Date]])</f>
        <v>17</v>
      </c>
      <c r="O204" s="25" t="str">
        <f>TEXT(DATE(2023,Table43[[#This Row],[Month]],1),"mmm")</f>
        <v>Feb</v>
      </c>
      <c r="P204" s="25"/>
      <c r="Q204" s="25"/>
    </row>
    <row r="205" spans="1:17" x14ac:dyDescent="0.3">
      <c r="A205" s="11">
        <v>204</v>
      </c>
      <c r="B205" s="12">
        <v>44982</v>
      </c>
      <c r="C205" s="13" t="s">
        <v>18</v>
      </c>
      <c r="D205" s="13" t="s">
        <v>19</v>
      </c>
      <c r="E205" s="13" t="s">
        <v>20</v>
      </c>
      <c r="F205" s="13" t="s">
        <v>24</v>
      </c>
      <c r="G205" s="13" t="s">
        <v>25</v>
      </c>
      <c r="H205" s="14">
        <v>29742</v>
      </c>
      <c r="I205" s="13">
        <v>1</v>
      </c>
      <c r="J205" s="15">
        <v>5975.9</v>
      </c>
      <c r="K205" s="14" t="str" cm="1">
        <f t="array" ref="K205">_xlfn.IFS(Table43[[#This Row],[Sales]]&gt;40000,"Best Sales",Table43[[#This Row],[Sales]]&gt;20000,"Average Sales",Table43[[#This Row],[Sales]]&gt;0,"Poor Sales")</f>
        <v>Average Sales</v>
      </c>
      <c r="L205" s="23">
        <f>YEAR(Table43[[#This Row],[Date]])</f>
        <v>2023</v>
      </c>
      <c r="M205" s="23">
        <f>MONTH(Table43[[#This Row],[Date]])</f>
        <v>2</v>
      </c>
      <c r="N205" s="25">
        <f>DAY(Table43[[#This Row],[Date]])</f>
        <v>25</v>
      </c>
      <c r="O205" s="25" t="str">
        <f>TEXT(DATE(2023,Table43[[#This Row],[Month]],1),"mmm")</f>
        <v>Feb</v>
      </c>
      <c r="P205" s="25"/>
      <c r="Q205" s="25"/>
    </row>
    <row r="206" spans="1:17" x14ac:dyDescent="0.3">
      <c r="A206" s="6">
        <v>205</v>
      </c>
      <c r="B206" s="7">
        <v>44955</v>
      </c>
      <c r="C206" s="8" t="s">
        <v>15</v>
      </c>
      <c r="D206" s="8" t="s">
        <v>16</v>
      </c>
      <c r="E206" s="8" t="s">
        <v>20</v>
      </c>
      <c r="F206" s="8" t="s">
        <v>13</v>
      </c>
      <c r="G206" s="8" t="s">
        <v>34</v>
      </c>
      <c r="H206" s="9">
        <v>35349.51</v>
      </c>
      <c r="I206" s="8">
        <v>4</v>
      </c>
      <c r="J206" s="10">
        <v>10510.77</v>
      </c>
      <c r="K206" s="14" t="str" cm="1">
        <f t="array" ref="K206">_xlfn.IFS(Table43[[#This Row],[Sales]]&gt;40000,"Best Sales",Table43[[#This Row],[Sales]]&gt;20000,"Average Sales",Table43[[#This Row],[Sales]]&gt;0,"Poor Sales")</f>
        <v>Average Sales</v>
      </c>
      <c r="L206" s="23">
        <f>YEAR(Table43[[#This Row],[Date]])</f>
        <v>2023</v>
      </c>
      <c r="M206" s="23">
        <f>MONTH(Table43[[#This Row],[Date]])</f>
        <v>1</v>
      </c>
      <c r="N206" s="25">
        <f>DAY(Table43[[#This Row],[Date]])</f>
        <v>29</v>
      </c>
      <c r="O206" s="25" t="str">
        <f>TEXT(DATE(2023,Table43[[#This Row],[Month]],1),"mmm")</f>
        <v>Jan</v>
      </c>
      <c r="P206" s="25"/>
      <c r="Q206" s="25"/>
    </row>
    <row r="207" spans="1:17" x14ac:dyDescent="0.3">
      <c r="A207" s="11">
        <v>206</v>
      </c>
      <c r="B207" s="12">
        <v>45253</v>
      </c>
      <c r="C207" s="13" t="s">
        <v>26</v>
      </c>
      <c r="D207" s="13" t="s">
        <v>27</v>
      </c>
      <c r="E207" s="13" t="s">
        <v>12</v>
      </c>
      <c r="F207" s="13" t="s">
        <v>13</v>
      </c>
      <c r="G207" s="13" t="s">
        <v>14</v>
      </c>
      <c r="H207" s="14">
        <v>25985.13</v>
      </c>
      <c r="I207" s="13">
        <v>6</v>
      </c>
      <c r="J207" s="15">
        <v>2350.9299999999998</v>
      </c>
      <c r="K207" s="14" t="str" cm="1">
        <f t="array" ref="K207">_xlfn.IFS(Table43[[#This Row],[Sales]]&gt;40000,"Best Sales",Table43[[#This Row],[Sales]]&gt;20000,"Average Sales",Table43[[#This Row],[Sales]]&gt;0,"Poor Sales")</f>
        <v>Average Sales</v>
      </c>
      <c r="L207" s="23">
        <f>YEAR(Table43[[#This Row],[Date]])</f>
        <v>2023</v>
      </c>
      <c r="M207" s="23">
        <f>MONTH(Table43[[#This Row],[Date]])</f>
        <v>11</v>
      </c>
      <c r="N207" s="25">
        <f>DAY(Table43[[#This Row],[Date]])</f>
        <v>23</v>
      </c>
      <c r="O207" s="25" t="str">
        <f>TEXT(DATE(2023,Table43[[#This Row],[Month]],1),"mmm")</f>
        <v>Nov</v>
      </c>
      <c r="P207" s="25"/>
      <c r="Q207" s="25"/>
    </row>
    <row r="208" spans="1:17" x14ac:dyDescent="0.3">
      <c r="A208" s="6">
        <v>207</v>
      </c>
      <c r="B208" s="7">
        <v>45156</v>
      </c>
      <c r="C208" s="8" t="s">
        <v>30</v>
      </c>
      <c r="D208" s="8" t="s">
        <v>16</v>
      </c>
      <c r="E208" s="8" t="s">
        <v>17</v>
      </c>
      <c r="F208" s="8" t="s">
        <v>24</v>
      </c>
      <c r="G208" s="8" t="s">
        <v>25</v>
      </c>
      <c r="H208" s="9">
        <v>42832.639999999999</v>
      </c>
      <c r="I208" s="8">
        <v>7</v>
      </c>
      <c r="J208" s="10">
        <v>9063.49</v>
      </c>
      <c r="K208" s="14" t="str" cm="1">
        <f t="array" ref="K208">_xlfn.IFS(Table43[[#This Row],[Sales]]&gt;40000,"Best Sales",Table43[[#This Row],[Sales]]&gt;20000,"Average Sales",Table43[[#This Row],[Sales]]&gt;0,"Poor Sales")</f>
        <v>Best Sales</v>
      </c>
      <c r="L208" s="23">
        <f>YEAR(Table43[[#This Row],[Date]])</f>
        <v>2023</v>
      </c>
      <c r="M208" s="23">
        <f>MONTH(Table43[[#This Row],[Date]])</f>
        <v>8</v>
      </c>
      <c r="N208" s="25">
        <f>DAY(Table43[[#This Row],[Date]])</f>
        <v>18</v>
      </c>
      <c r="O208" s="25" t="str">
        <f>TEXT(DATE(2023,Table43[[#This Row],[Month]],1),"mmm")</f>
        <v>Aug</v>
      </c>
      <c r="P208" s="25"/>
      <c r="Q208" s="25"/>
    </row>
    <row r="209" spans="1:17" x14ac:dyDescent="0.3">
      <c r="A209" s="11">
        <v>208</v>
      </c>
      <c r="B209" s="12">
        <v>45079</v>
      </c>
      <c r="C209" s="13" t="s">
        <v>37</v>
      </c>
      <c r="D209" s="13" t="s">
        <v>27</v>
      </c>
      <c r="E209" s="13" t="s">
        <v>12</v>
      </c>
      <c r="F209" s="13" t="s">
        <v>31</v>
      </c>
      <c r="G209" s="13" t="s">
        <v>32</v>
      </c>
      <c r="H209" s="14">
        <v>22629.8</v>
      </c>
      <c r="I209" s="13">
        <v>9</v>
      </c>
      <c r="J209" s="15">
        <v>6097.6</v>
      </c>
      <c r="K209" s="14" t="str" cm="1">
        <f t="array" ref="K209">_xlfn.IFS(Table43[[#This Row],[Sales]]&gt;40000,"Best Sales",Table43[[#This Row],[Sales]]&gt;20000,"Average Sales",Table43[[#This Row],[Sales]]&gt;0,"Poor Sales")</f>
        <v>Average Sales</v>
      </c>
      <c r="L209" s="23">
        <f>YEAR(Table43[[#This Row],[Date]])</f>
        <v>2023</v>
      </c>
      <c r="M209" s="23">
        <f>MONTH(Table43[[#This Row],[Date]])</f>
        <v>6</v>
      </c>
      <c r="N209" s="25">
        <f>DAY(Table43[[#This Row],[Date]])</f>
        <v>2</v>
      </c>
      <c r="O209" s="25" t="str">
        <f>TEXT(DATE(2023,Table43[[#This Row],[Month]],1),"mmm")</f>
        <v>Jun</v>
      </c>
      <c r="P209" s="25"/>
      <c r="Q209" s="25"/>
    </row>
    <row r="210" spans="1:17" x14ac:dyDescent="0.3">
      <c r="A210" s="6">
        <v>209</v>
      </c>
      <c r="B210" s="7">
        <v>45030</v>
      </c>
      <c r="C210" s="8" t="s">
        <v>22</v>
      </c>
      <c r="D210" s="8" t="s">
        <v>22</v>
      </c>
      <c r="E210" s="8" t="s">
        <v>17</v>
      </c>
      <c r="F210" s="8" t="s">
        <v>13</v>
      </c>
      <c r="G210" s="8" t="s">
        <v>34</v>
      </c>
      <c r="H210" s="9">
        <v>13679.99</v>
      </c>
      <c r="I210" s="8">
        <v>6</v>
      </c>
      <c r="J210" s="10">
        <v>3823.09</v>
      </c>
      <c r="K210" s="14" t="str" cm="1">
        <f t="array" ref="K210">_xlfn.IFS(Table43[[#This Row],[Sales]]&gt;40000,"Best Sales",Table43[[#This Row],[Sales]]&gt;20000,"Average Sales",Table43[[#This Row],[Sales]]&gt;0,"Poor Sales")</f>
        <v>Poor Sales</v>
      </c>
      <c r="L210" s="23">
        <f>YEAR(Table43[[#This Row],[Date]])</f>
        <v>2023</v>
      </c>
      <c r="M210" s="23">
        <f>MONTH(Table43[[#This Row],[Date]])</f>
        <v>4</v>
      </c>
      <c r="N210" s="25">
        <f>DAY(Table43[[#This Row],[Date]])</f>
        <v>14</v>
      </c>
      <c r="O210" s="25" t="str">
        <f>TEXT(DATE(2023,Table43[[#This Row],[Month]],1),"mmm")</f>
        <v>Apr</v>
      </c>
      <c r="P210" s="25"/>
      <c r="Q210" s="25"/>
    </row>
    <row r="211" spans="1:17" x14ac:dyDescent="0.3">
      <c r="A211" s="11">
        <v>210</v>
      </c>
      <c r="B211" s="12">
        <v>45183</v>
      </c>
      <c r="C211" s="13" t="s">
        <v>15</v>
      </c>
      <c r="D211" s="13" t="s">
        <v>16</v>
      </c>
      <c r="E211" s="13" t="s">
        <v>20</v>
      </c>
      <c r="F211" s="13" t="s">
        <v>24</v>
      </c>
      <c r="G211" s="13" t="s">
        <v>28</v>
      </c>
      <c r="H211" s="14">
        <v>36043.949999999997</v>
      </c>
      <c r="I211" s="13">
        <v>8</v>
      </c>
      <c r="J211" s="15">
        <v>5946.66</v>
      </c>
      <c r="K211" s="14" t="str" cm="1">
        <f t="array" ref="K211">_xlfn.IFS(Table43[[#This Row],[Sales]]&gt;40000,"Best Sales",Table43[[#This Row],[Sales]]&gt;20000,"Average Sales",Table43[[#This Row],[Sales]]&gt;0,"Poor Sales")</f>
        <v>Average Sales</v>
      </c>
      <c r="L211" s="23">
        <f>YEAR(Table43[[#This Row],[Date]])</f>
        <v>2023</v>
      </c>
      <c r="M211" s="23">
        <f>MONTH(Table43[[#This Row],[Date]])</f>
        <v>9</v>
      </c>
      <c r="N211" s="25">
        <f>DAY(Table43[[#This Row],[Date]])</f>
        <v>14</v>
      </c>
      <c r="O211" s="25" t="str">
        <f>TEXT(DATE(2023,Table43[[#This Row],[Month]],1),"mmm")</f>
        <v>Sep</v>
      </c>
      <c r="P211" s="25"/>
      <c r="Q211" s="25"/>
    </row>
    <row r="212" spans="1:17" x14ac:dyDescent="0.3">
      <c r="A212" s="6">
        <v>211</v>
      </c>
      <c r="B212" s="7">
        <v>45220</v>
      </c>
      <c r="C212" s="8" t="s">
        <v>18</v>
      </c>
      <c r="D212" s="8" t="s">
        <v>19</v>
      </c>
      <c r="E212" s="8" t="s">
        <v>20</v>
      </c>
      <c r="F212" s="8" t="s">
        <v>31</v>
      </c>
      <c r="G212" s="8" t="s">
        <v>33</v>
      </c>
      <c r="H212" s="9">
        <v>8717.0400000000009</v>
      </c>
      <c r="I212" s="8">
        <v>7</v>
      </c>
      <c r="J212" s="10">
        <v>550.32000000000005</v>
      </c>
      <c r="K212" s="14" t="str" cm="1">
        <f t="array" ref="K212">_xlfn.IFS(Table43[[#This Row],[Sales]]&gt;40000,"Best Sales",Table43[[#This Row],[Sales]]&gt;20000,"Average Sales",Table43[[#This Row],[Sales]]&gt;0,"Poor Sales")</f>
        <v>Poor Sales</v>
      </c>
      <c r="L212" s="23">
        <f>YEAR(Table43[[#This Row],[Date]])</f>
        <v>2023</v>
      </c>
      <c r="M212" s="23">
        <f>MONTH(Table43[[#This Row],[Date]])</f>
        <v>10</v>
      </c>
      <c r="N212" s="25">
        <f>DAY(Table43[[#This Row],[Date]])</f>
        <v>21</v>
      </c>
      <c r="O212" s="25" t="str">
        <f>TEXT(DATE(2023,Table43[[#This Row],[Month]],1),"mmm")</f>
        <v>Oct</v>
      </c>
      <c r="P212" s="25"/>
      <c r="Q212" s="25"/>
    </row>
    <row r="213" spans="1:17" x14ac:dyDescent="0.3">
      <c r="A213" s="11">
        <v>212</v>
      </c>
      <c r="B213" s="12">
        <v>45238</v>
      </c>
      <c r="C213" s="13" t="s">
        <v>15</v>
      </c>
      <c r="D213" s="13" t="s">
        <v>16</v>
      </c>
      <c r="E213" s="13" t="s">
        <v>12</v>
      </c>
      <c r="F213" s="13" t="s">
        <v>24</v>
      </c>
      <c r="G213" s="13" t="s">
        <v>28</v>
      </c>
      <c r="H213" s="14">
        <v>49857.23</v>
      </c>
      <c r="I213" s="13">
        <v>1</v>
      </c>
      <c r="J213" s="15">
        <v>9642.2000000000007</v>
      </c>
      <c r="K213" s="14" t="str" cm="1">
        <f t="array" ref="K213">_xlfn.IFS(Table43[[#This Row],[Sales]]&gt;40000,"Best Sales",Table43[[#This Row],[Sales]]&gt;20000,"Average Sales",Table43[[#This Row],[Sales]]&gt;0,"Poor Sales")</f>
        <v>Best Sales</v>
      </c>
      <c r="L213" s="23">
        <f>YEAR(Table43[[#This Row],[Date]])</f>
        <v>2023</v>
      </c>
      <c r="M213" s="23">
        <f>MONTH(Table43[[#This Row],[Date]])</f>
        <v>11</v>
      </c>
      <c r="N213" s="25">
        <f>DAY(Table43[[#This Row],[Date]])</f>
        <v>8</v>
      </c>
      <c r="O213" s="25" t="str">
        <f>TEXT(DATE(2023,Table43[[#This Row],[Month]],1),"mmm")</f>
        <v>Nov</v>
      </c>
      <c r="P213" s="25"/>
      <c r="Q213" s="25"/>
    </row>
    <row r="214" spans="1:17" x14ac:dyDescent="0.3">
      <c r="A214" s="6">
        <v>213</v>
      </c>
      <c r="B214" s="7">
        <v>45287</v>
      </c>
      <c r="C214" s="8" t="s">
        <v>30</v>
      </c>
      <c r="D214" s="8" t="s">
        <v>16</v>
      </c>
      <c r="E214" s="8" t="s">
        <v>17</v>
      </c>
      <c r="F214" s="8" t="s">
        <v>13</v>
      </c>
      <c r="G214" s="8" t="s">
        <v>14</v>
      </c>
      <c r="H214" s="9">
        <v>11971.17</v>
      </c>
      <c r="I214" s="8">
        <v>4</v>
      </c>
      <c r="J214" s="10">
        <v>2338.79</v>
      </c>
      <c r="K214" s="14" t="str" cm="1">
        <f t="array" ref="K214">_xlfn.IFS(Table43[[#This Row],[Sales]]&gt;40000,"Best Sales",Table43[[#This Row],[Sales]]&gt;20000,"Average Sales",Table43[[#This Row],[Sales]]&gt;0,"Poor Sales")</f>
        <v>Poor Sales</v>
      </c>
      <c r="L214" s="23">
        <f>YEAR(Table43[[#This Row],[Date]])</f>
        <v>2023</v>
      </c>
      <c r="M214" s="23">
        <f>MONTH(Table43[[#This Row],[Date]])</f>
        <v>12</v>
      </c>
      <c r="N214" s="25">
        <f>DAY(Table43[[#This Row],[Date]])</f>
        <v>27</v>
      </c>
      <c r="O214" s="25" t="str">
        <f>TEXT(DATE(2023,Table43[[#This Row],[Month]],1),"mmm")</f>
        <v>Dec</v>
      </c>
      <c r="P214" s="25"/>
      <c r="Q214" s="25"/>
    </row>
    <row r="215" spans="1:17" x14ac:dyDescent="0.3">
      <c r="A215" s="11">
        <v>214</v>
      </c>
      <c r="B215" s="12">
        <v>45252</v>
      </c>
      <c r="C215" s="13" t="s">
        <v>10</v>
      </c>
      <c r="D215" s="13" t="s">
        <v>11</v>
      </c>
      <c r="E215" s="13" t="s">
        <v>12</v>
      </c>
      <c r="F215" s="13" t="s">
        <v>13</v>
      </c>
      <c r="G215" s="13" t="s">
        <v>14</v>
      </c>
      <c r="H215" s="14">
        <v>35720.53</v>
      </c>
      <c r="I215" s="13">
        <v>2</v>
      </c>
      <c r="J215" s="15">
        <v>7171.98</v>
      </c>
      <c r="K215" s="14" t="str" cm="1">
        <f t="array" ref="K215">_xlfn.IFS(Table43[[#This Row],[Sales]]&gt;40000,"Best Sales",Table43[[#This Row],[Sales]]&gt;20000,"Average Sales",Table43[[#This Row],[Sales]]&gt;0,"Poor Sales")</f>
        <v>Average Sales</v>
      </c>
      <c r="L215" s="23">
        <f>YEAR(Table43[[#This Row],[Date]])</f>
        <v>2023</v>
      </c>
      <c r="M215" s="23">
        <f>MONTH(Table43[[#This Row],[Date]])</f>
        <v>11</v>
      </c>
      <c r="N215" s="25">
        <f>DAY(Table43[[#This Row],[Date]])</f>
        <v>22</v>
      </c>
      <c r="O215" s="25" t="str">
        <f>TEXT(DATE(2023,Table43[[#This Row],[Month]],1),"mmm")</f>
        <v>Nov</v>
      </c>
      <c r="P215" s="25"/>
      <c r="Q215" s="25"/>
    </row>
    <row r="216" spans="1:17" x14ac:dyDescent="0.3">
      <c r="A216" s="6">
        <v>215</v>
      </c>
      <c r="B216" s="7">
        <v>45167</v>
      </c>
      <c r="C216" s="8" t="s">
        <v>10</v>
      </c>
      <c r="D216" s="8" t="s">
        <v>11</v>
      </c>
      <c r="E216" s="8" t="s">
        <v>17</v>
      </c>
      <c r="F216" s="8" t="s">
        <v>13</v>
      </c>
      <c r="G216" s="8" t="s">
        <v>21</v>
      </c>
      <c r="H216" s="9">
        <v>15091</v>
      </c>
      <c r="I216" s="8">
        <v>10</v>
      </c>
      <c r="J216" s="10">
        <v>4408.8599999999997</v>
      </c>
      <c r="K216" s="14" t="str" cm="1">
        <f t="array" ref="K216">_xlfn.IFS(Table43[[#This Row],[Sales]]&gt;40000,"Best Sales",Table43[[#This Row],[Sales]]&gt;20000,"Average Sales",Table43[[#This Row],[Sales]]&gt;0,"Poor Sales")</f>
        <v>Poor Sales</v>
      </c>
      <c r="L216" s="23">
        <f>YEAR(Table43[[#This Row],[Date]])</f>
        <v>2023</v>
      </c>
      <c r="M216" s="23">
        <f>MONTH(Table43[[#This Row],[Date]])</f>
        <v>8</v>
      </c>
      <c r="N216" s="25">
        <f>DAY(Table43[[#This Row],[Date]])</f>
        <v>29</v>
      </c>
      <c r="O216" s="25" t="str">
        <f>TEXT(DATE(2023,Table43[[#This Row],[Month]],1),"mmm")</f>
        <v>Aug</v>
      </c>
      <c r="P216" s="25"/>
      <c r="Q216" s="25"/>
    </row>
    <row r="217" spans="1:17" x14ac:dyDescent="0.3">
      <c r="A217" s="11">
        <v>216</v>
      </c>
      <c r="B217" s="12">
        <v>45142</v>
      </c>
      <c r="C217" s="13" t="s">
        <v>38</v>
      </c>
      <c r="D217" s="13" t="s">
        <v>27</v>
      </c>
      <c r="E217" s="13" t="s">
        <v>20</v>
      </c>
      <c r="F217" s="13" t="s">
        <v>13</v>
      </c>
      <c r="G217" s="13" t="s">
        <v>21</v>
      </c>
      <c r="H217" s="14">
        <v>1464.91</v>
      </c>
      <c r="I217" s="13">
        <v>2</v>
      </c>
      <c r="J217" s="15">
        <v>166.33</v>
      </c>
      <c r="K217" s="14" t="str" cm="1">
        <f t="array" ref="K217">_xlfn.IFS(Table43[[#This Row],[Sales]]&gt;40000,"Best Sales",Table43[[#This Row],[Sales]]&gt;20000,"Average Sales",Table43[[#This Row],[Sales]]&gt;0,"Poor Sales")</f>
        <v>Poor Sales</v>
      </c>
      <c r="L217" s="23">
        <f>YEAR(Table43[[#This Row],[Date]])</f>
        <v>2023</v>
      </c>
      <c r="M217" s="23">
        <f>MONTH(Table43[[#This Row],[Date]])</f>
        <v>8</v>
      </c>
      <c r="N217" s="25">
        <f>DAY(Table43[[#This Row],[Date]])</f>
        <v>4</v>
      </c>
      <c r="O217" s="25" t="str">
        <f>TEXT(DATE(2023,Table43[[#This Row],[Month]],1),"mmm")</f>
        <v>Aug</v>
      </c>
      <c r="P217" s="25"/>
      <c r="Q217" s="25"/>
    </row>
    <row r="218" spans="1:17" x14ac:dyDescent="0.3">
      <c r="A218" s="6">
        <v>217</v>
      </c>
      <c r="B218" s="7">
        <v>45057</v>
      </c>
      <c r="C218" s="8" t="s">
        <v>38</v>
      </c>
      <c r="D218" s="8" t="s">
        <v>27</v>
      </c>
      <c r="E218" s="8" t="s">
        <v>20</v>
      </c>
      <c r="F218" s="8" t="s">
        <v>13</v>
      </c>
      <c r="G218" s="8" t="s">
        <v>14</v>
      </c>
      <c r="H218" s="9">
        <v>20871</v>
      </c>
      <c r="I218" s="8">
        <v>6</v>
      </c>
      <c r="J218" s="10">
        <v>1123.25</v>
      </c>
      <c r="K218" s="14" t="str" cm="1">
        <f t="array" ref="K218">_xlfn.IFS(Table43[[#This Row],[Sales]]&gt;40000,"Best Sales",Table43[[#This Row],[Sales]]&gt;20000,"Average Sales",Table43[[#This Row],[Sales]]&gt;0,"Poor Sales")</f>
        <v>Average Sales</v>
      </c>
      <c r="L218" s="23">
        <f>YEAR(Table43[[#This Row],[Date]])</f>
        <v>2023</v>
      </c>
      <c r="M218" s="23">
        <f>MONTH(Table43[[#This Row],[Date]])</f>
        <v>5</v>
      </c>
      <c r="N218" s="25">
        <f>DAY(Table43[[#This Row],[Date]])</f>
        <v>11</v>
      </c>
      <c r="O218" s="25" t="str">
        <f>TEXT(DATE(2023,Table43[[#This Row],[Month]],1),"mmm")</f>
        <v>May</v>
      </c>
      <c r="P218" s="25"/>
      <c r="Q218" s="25"/>
    </row>
    <row r="219" spans="1:17" x14ac:dyDescent="0.3">
      <c r="A219" s="11">
        <v>218</v>
      </c>
      <c r="B219" s="12">
        <v>45060</v>
      </c>
      <c r="C219" s="13" t="s">
        <v>10</v>
      </c>
      <c r="D219" s="13" t="s">
        <v>11</v>
      </c>
      <c r="E219" s="13" t="s">
        <v>12</v>
      </c>
      <c r="F219" s="13" t="s">
        <v>31</v>
      </c>
      <c r="G219" s="13" t="s">
        <v>39</v>
      </c>
      <c r="H219" s="14">
        <v>16475.830000000002</v>
      </c>
      <c r="I219" s="13">
        <v>3</v>
      </c>
      <c r="J219" s="15">
        <v>2544.4499999999998</v>
      </c>
      <c r="K219" s="14" t="str" cm="1">
        <f t="array" ref="K219">_xlfn.IFS(Table43[[#This Row],[Sales]]&gt;40000,"Best Sales",Table43[[#This Row],[Sales]]&gt;20000,"Average Sales",Table43[[#This Row],[Sales]]&gt;0,"Poor Sales")</f>
        <v>Poor Sales</v>
      </c>
      <c r="L219" s="23">
        <f>YEAR(Table43[[#This Row],[Date]])</f>
        <v>2023</v>
      </c>
      <c r="M219" s="23">
        <f>MONTH(Table43[[#This Row],[Date]])</f>
        <v>5</v>
      </c>
      <c r="N219" s="25">
        <f>DAY(Table43[[#This Row],[Date]])</f>
        <v>14</v>
      </c>
      <c r="O219" s="25" t="str">
        <f>TEXT(DATE(2023,Table43[[#This Row],[Month]],1),"mmm")</f>
        <v>May</v>
      </c>
      <c r="P219" s="25"/>
      <c r="Q219" s="25"/>
    </row>
    <row r="220" spans="1:17" x14ac:dyDescent="0.3">
      <c r="A220" s="6">
        <v>219</v>
      </c>
      <c r="B220" s="7">
        <v>45166</v>
      </c>
      <c r="C220" s="8" t="s">
        <v>15</v>
      </c>
      <c r="D220" s="8" t="s">
        <v>16</v>
      </c>
      <c r="E220" s="8" t="s">
        <v>17</v>
      </c>
      <c r="F220" s="8" t="s">
        <v>13</v>
      </c>
      <c r="G220" s="8" t="s">
        <v>21</v>
      </c>
      <c r="H220" s="9">
        <v>40284</v>
      </c>
      <c r="I220" s="8">
        <v>5</v>
      </c>
      <c r="J220" s="10">
        <v>10032.85</v>
      </c>
      <c r="K220" s="14" t="str" cm="1">
        <f t="array" ref="K220">_xlfn.IFS(Table43[[#This Row],[Sales]]&gt;40000,"Best Sales",Table43[[#This Row],[Sales]]&gt;20000,"Average Sales",Table43[[#This Row],[Sales]]&gt;0,"Poor Sales")</f>
        <v>Best Sales</v>
      </c>
      <c r="L220" s="23">
        <f>YEAR(Table43[[#This Row],[Date]])</f>
        <v>2023</v>
      </c>
      <c r="M220" s="23">
        <f>MONTH(Table43[[#This Row],[Date]])</f>
        <v>8</v>
      </c>
      <c r="N220" s="25">
        <f>DAY(Table43[[#This Row],[Date]])</f>
        <v>28</v>
      </c>
      <c r="O220" s="25" t="str">
        <f>TEXT(DATE(2023,Table43[[#This Row],[Month]],1),"mmm")</f>
        <v>Aug</v>
      </c>
      <c r="P220" s="25"/>
      <c r="Q220" s="25"/>
    </row>
    <row r="221" spans="1:17" x14ac:dyDescent="0.3">
      <c r="A221" s="11">
        <v>220</v>
      </c>
      <c r="B221" s="12">
        <v>45188</v>
      </c>
      <c r="C221" s="13" t="s">
        <v>35</v>
      </c>
      <c r="D221" s="13" t="s">
        <v>36</v>
      </c>
      <c r="E221" s="13" t="s">
        <v>12</v>
      </c>
      <c r="F221" s="13" t="s">
        <v>13</v>
      </c>
      <c r="G221" s="13" t="s">
        <v>14</v>
      </c>
      <c r="H221" s="14">
        <v>8686.2199999999993</v>
      </c>
      <c r="I221" s="13">
        <v>2</v>
      </c>
      <c r="J221" s="15">
        <v>929.05</v>
      </c>
      <c r="K221" s="14" t="str" cm="1">
        <f t="array" ref="K221">_xlfn.IFS(Table43[[#This Row],[Sales]]&gt;40000,"Best Sales",Table43[[#This Row],[Sales]]&gt;20000,"Average Sales",Table43[[#This Row],[Sales]]&gt;0,"Poor Sales")</f>
        <v>Poor Sales</v>
      </c>
      <c r="L221" s="23">
        <f>YEAR(Table43[[#This Row],[Date]])</f>
        <v>2023</v>
      </c>
      <c r="M221" s="23">
        <f>MONTH(Table43[[#This Row],[Date]])</f>
        <v>9</v>
      </c>
      <c r="N221" s="25">
        <f>DAY(Table43[[#This Row],[Date]])</f>
        <v>19</v>
      </c>
      <c r="O221" s="25" t="str">
        <f>TEXT(DATE(2023,Table43[[#This Row],[Month]],1),"mmm")</f>
        <v>Sep</v>
      </c>
      <c r="P221" s="25"/>
      <c r="Q221" s="25"/>
    </row>
    <row r="222" spans="1:17" x14ac:dyDescent="0.3">
      <c r="A222" s="6">
        <v>221</v>
      </c>
      <c r="B222" s="7">
        <v>44991</v>
      </c>
      <c r="C222" s="8" t="s">
        <v>37</v>
      </c>
      <c r="D222" s="8" t="s">
        <v>27</v>
      </c>
      <c r="E222" s="8" t="s">
        <v>17</v>
      </c>
      <c r="F222" s="8" t="s">
        <v>24</v>
      </c>
      <c r="G222" s="8" t="s">
        <v>25</v>
      </c>
      <c r="H222" s="9">
        <v>6913.56</v>
      </c>
      <c r="I222" s="8">
        <v>3</v>
      </c>
      <c r="J222" s="10">
        <v>1983.12</v>
      </c>
      <c r="K222" s="14" t="str" cm="1">
        <f t="array" ref="K222">_xlfn.IFS(Table43[[#This Row],[Sales]]&gt;40000,"Best Sales",Table43[[#This Row],[Sales]]&gt;20000,"Average Sales",Table43[[#This Row],[Sales]]&gt;0,"Poor Sales")</f>
        <v>Poor Sales</v>
      </c>
      <c r="L222" s="23">
        <f>YEAR(Table43[[#This Row],[Date]])</f>
        <v>2023</v>
      </c>
      <c r="M222" s="23">
        <f>MONTH(Table43[[#This Row],[Date]])</f>
        <v>3</v>
      </c>
      <c r="N222" s="25">
        <f>DAY(Table43[[#This Row],[Date]])</f>
        <v>6</v>
      </c>
      <c r="O222" s="25" t="str">
        <f>TEXT(DATE(2023,Table43[[#This Row],[Month]],1),"mmm")</f>
        <v>Mar</v>
      </c>
      <c r="P222" s="25"/>
      <c r="Q222" s="25"/>
    </row>
    <row r="223" spans="1:17" x14ac:dyDescent="0.3">
      <c r="A223" s="11">
        <v>222</v>
      </c>
      <c r="B223" s="12">
        <v>45022</v>
      </c>
      <c r="C223" s="13" t="s">
        <v>22</v>
      </c>
      <c r="D223" s="13" t="s">
        <v>22</v>
      </c>
      <c r="E223" s="13" t="s">
        <v>20</v>
      </c>
      <c r="F223" s="13" t="s">
        <v>24</v>
      </c>
      <c r="G223" s="13" t="s">
        <v>28</v>
      </c>
      <c r="H223" s="14">
        <v>37149.339999999997</v>
      </c>
      <c r="I223" s="13">
        <v>10</v>
      </c>
      <c r="J223" s="15">
        <v>10843.22</v>
      </c>
      <c r="K223" s="14" t="str" cm="1">
        <f t="array" ref="K223">_xlfn.IFS(Table43[[#This Row],[Sales]]&gt;40000,"Best Sales",Table43[[#This Row],[Sales]]&gt;20000,"Average Sales",Table43[[#This Row],[Sales]]&gt;0,"Poor Sales")</f>
        <v>Average Sales</v>
      </c>
      <c r="L223" s="23">
        <f>YEAR(Table43[[#This Row],[Date]])</f>
        <v>2023</v>
      </c>
      <c r="M223" s="23">
        <f>MONTH(Table43[[#This Row],[Date]])</f>
        <v>4</v>
      </c>
      <c r="N223" s="25">
        <f>DAY(Table43[[#This Row],[Date]])</f>
        <v>6</v>
      </c>
      <c r="O223" s="25" t="str">
        <f>TEXT(DATE(2023,Table43[[#This Row],[Month]],1),"mmm")</f>
        <v>Apr</v>
      </c>
      <c r="P223" s="25"/>
      <c r="Q223" s="25"/>
    </row>
    <row r="224" spans="1:17" x14ac:dyDescent="0.3">
      <c r="A224" s="6">
        <v>223</v>
      </c>
      <c r="B224" s="7">
        <v>45146</v>
      </c>
      <c r="C224" s="8" t="s">
        <v>26</v>
      </c>
      <c r="D224" s="8" t="s">
        <v>27</v>
      </c>
      <c r="E224" s="8" t="s">
        <v>20</v>
      </c>
      <c r="F224" s="8" t="s">
        <v>13</v>
      </c>
      <c r="G224" s="8" t="s">
        <v>34</v>
      </c>
      <c r="H224" s="9">
        <v>16640.29</v>
      </c>
      <c r="I224" s="8">
        <v>3</v>
      </c>
      <c r="J224" s="10">
        <v>1393.49</v>
      </c>
      <c r="K224" s="14" t="str" cm="1">
        <f t="array" ref="K224">_xlfn.IFS(Table43[[#This Row],[Sales]]&gt;40000,"Best Sales",Table43[[#This Row],[Sales]]&gt;20000,"Average Sales",Table43[[#This Row],[Sales]]&gt;0,"Poor Sales")</f>
        <v>Poor Sales</v>
      </c>
      <c r="L224" s="23">
        <f>YEAR(Table43[[#This Row],[Date]])</f>
        <v>2023</v>
      </c>
      <c r="M224" s="23">
        <f>MONTH(Table43[[#This Row],[Date]])</f>
        <v>8</v>
      </c>
      <c r="N224" s="25">
        <f>DAY(Table43[[#This Row],[Date]])</f>
        <v>8</v>
      </c>
      <c r="O224" s="25" t="str">
        <f>TEXT(DATE(2023,Table43[[#This Row],[Month]],1),"mmm")</f>
        <v>Aug</v>
      </c>
      <c r="P224" s="25"/>
      <c r="Q224" s="25"/>
    </row>
    <row r="225" spans="1:17" x14ac:dyDescent="0.3">
      <c r="A225" s="11">
        <v>224</v>
      </c>
      <c r="B225" s="12">
        <v>44939</v>
      </c>
      <c r="C225" s="13" t="s">
        <v>10</v>
      </c>
      <c r="D225" s="13" t="s">
        <v>11</v>
      </c>
      <c r="E225" s="13" t="s">
        <v>12</v>
      </c>
      <c r="F225" s="13" t="s">
        <v>24</v>
      </c>
      <c r="G225" s="13" t="s">
        <v>28</v>
      </c>
      <c r="H225" s="14">
        <v>21947.32</v>
      </c>
      <c r="I225" s="13">
        <v>3</v>
      </c>
      <c r="J225" s="15">
        <v>6382.79</v>
      </c>
      <c r="K225" s="14" t="str" cm="1">
        <f t="array" ref="K225">_xlfn.IFS(Table43[[#This Row],[Sales]]&gt;40000,"Best Sales",Table43[[#This Row],[Sales]]&gt;20000,"Average Sales",Table43[[#This Row],[Sales]]&gt;0,"Poor Sales")</f>
        <v>Average Sales</v>
      </c>
      <c r="L225" s="23">
        <f>YEAR(Table43[[#This Row],[Date]])</f>
        <v>2023</v>
      </c>
      <c r="M225" s="23">
        <f>MONTH(Table43[[#This Row],[Date]])</f>
        <v>1</v>
      </c>
      <c r="N225" s="25">
        <f>DAY(Table43[[#This Row],[Date]])</f>
        <v>13</v>
      </c>
      <c r="O225" s="25" t="str">
        <f>TEXT(DATE(2023,Table43[[#This Row],[Month]],1),"mmm")</f>
        <v>Jan</v>
      </c>
      <c r="P225" s="25"/>
      <c r="Q225" s="25"/>
    </row>
    <row r="226" spans="1:17" x14ac:dyDescent="0.3">
      <c r="A226" s="6">
        <v>225</v>
      </c>
      <c r="B226" s="7">
        <v>44957</v>
      </c>
      <c r="C226" s="8" t="s">
        <v>10</v>
      </c>
      <c r="D226" s="8" t="s">
        <v>11</v>
      </c>
      <c r="E226" s="8" t="s">
        <v>17</v>
      </c>
      <c r="F226" s="8" t="s">
        <v>31</v>
      </c>
      <c r="G226" s="8" t="s">
        <v>39</v>
      </c>
      <c r="H226" s="9">
        <v>24075.200000000001</v>
      </c>
      <c r="I226" s="8">
        <v>10</v>
      </c>
      <c r="J226" s="10">
        <v>5340.35</v>
      </c>
      <c r="K226" s="14" t="str" cm="1">
        <f t="array" ref="K226">_xlfn.IFS(Table43[[#This Row],[Sales]]&gt;40000,"Best Sales",Table43[[#This Row],[Sales]]&gt;20000,"Average Sales",Table43[[#This Row],[Sales]]&gt;0,"Poor Sales")</f>
        <v>Average Sales</v>
      </c>
      <c r="L226" s="23">
        <f>YEAR(Table43[[#This Row],[Date]])</f>
        <v>2023</v>
      </c>
      <c r="M226" s="23">
        <f>MONTH(Table43[[#This Row],[Date]])</f>
        <v>1</v>
      </c>
      <c r="N226" s="25">
        <f>DAY(Table43[[#This Row],[Date]])</f>
        <v>31</v>
      </c>
      <c r="O226" s="25" t="str">
        <f>TEXT(DATE(2023,Table43[[#This Row],[Month]],1),"mmm")</f>
        <v>Jan</v>
      </c>
      <c r="P226" s="25"/>
      <c r="Q226" s="25"/>
    </row>
    <row r="227" spans="1:17" x14ac:dyDescent="0.3">
      <c r="A227" s="11">
        <v>226</v>
      </c>
      <c r="B227" s="12">
        <v>44969</v>
      </c>
      <c r="C227" s="13" t="s">
        <v>26</v>
      </c>
      <c r="D227" s="13" t="s">
        <v>27</v>
      </c>
      <c r="E227" s="13" t="s">
        <v>12</v>
      </c>
      <c r="F227" s="13" t="s">
        <v>24</v>
      </c>
      <c r="G227" s="13" t="s">
        <v>25</v>
      </c>
      <c r="H227" s="14">
        <v>44542.65</v>
      </c>
      <c r="I227" s="13">
        <v>6</v>
      </c>
      <c r="J227" s="15">
        <v>12094.77</v>
      </c>
      <c r="K227" s="14" t="str" cm="1">
        <f t="array" ref="K227">_xlfn.IFS(Table43[[#This Row],[Sales]]&gt;40000,"Best Sales",Table43[[#This Row],[Sales]]&gt;20000,"Average Sales",Table43[[#This Row],[Sales]]&gt;0,"Poor Sales")</f>
        <v>Best Sales</v>
      </c>
      <c r="L227" s="23">
        <f>YEAR(Table43[[#This Row],[Date]])</f>
        <v>2023</v>
      </c>
      <c r="M227" s="23">
        <f>MONTH(Table43[[#This Row],[Date]])</f>
        <v>2</v>
      </c>
      <c r="N227" s="25">
        <f>DAY(Table43[[#This Row],[Date]])</f>
        <v>12</v>
      </c>
      <c r="O227" s="25" t="str">
        <f>TEXT(DATE(2023,Table43[[#This Row],[Month]],1),"mmm")</f>
        <v>Feb</v>
      </c>
      <c r="P227" s="25"/>
      <c r="Q227" s="25"/>
    </row>
    <row r="228" spans="1:17" x14ac:dyDescent="0.3">
      <c r="A228" s="6">
        <v>227</v>
      </c>
      <c r="B228" s="7">
        <v>44927</v>
      </c>
      <c r="C228" s="8" t="s">
        <v>35</v>
      </c>
      <c r="D228" s="8" t="s">
        <v>36</v>
      </c>
      <c r="E228" s="8" t="s">
        <v>17</v>
      </c>
      <c r="F228" s="8" t="s">
        <v>31</v>
      </c>
      <c r="G228" s="8" t="s">
        <v>39</v>
      </c>
      <c r="H228" s="9">
        <v>42137.27</v>
      </c>
      <c r="I228" s="8">
        <v>5</v>
      </c>
      <c r="J228" s="10">
        <v>5097.54</v>
      </c>
      <c r="K228" s="14" t="str" cm="1">
        <f t="array" ref="K228">_xlfn.IFS(Table43[[#This Row],[Sales]]&gt;40000,"Best Sales",Table43[[#This Row],[Sales]]&gt;20000,"Average Sales",Table43[[#This Row],[Sales]]&gt;0,"Poor Sales")</f>
        <v>Best Sales</v>
      </c>
      <c r="L228" s="23">
        <f>YEAR(Table43[[#This Row],[Date]])</f>
        <v>2023</v>
      </c>
      <c r="M228" s="23">
        <f>MONTH(Table43[[#This Row],[Date]])</f>
        <v>1</v>
      </c>
      <c r="N228" s="25">
        <f>DAY(Table43[[#This Row],[Date]])</f>
        <v>1</v>
      </c>
      <c r="O228" s="25" t="str">
        <f>TEXT(DATE(2023,Table43[[#This Row],[Month]],1),"mmm")</f>
        <v>Jan</v>
      </c>
      <c r="P228" s="25"/>
      <c r="Q228" s="25"/>
    </row>
    <row r="229" spans="1:17" x14ac:dyDescent="0.3">
      <c r="A229" s="11">
        <v>228</v>
      </c>
      <c r="B229" s="12">
        <v>45121</v>
      </c>
      <c r="C229" s="13" t="s">
        <v>30</v>
      </c>
      <c r="D229" s="13" t="s">
        <v>16</v>
      </c>
      <c r="E229" s="13" t="s">
        <v>20</v>
      </c>
      <c r="F229" s="13" t="s">
        <v>31</v>
      </c>
      <c r="G229" s="13" t="s">
        <v>33</v>
      </c>
      <c r="H229" s="14">
        <v>33630.86</v>
      </c>
      <c r="I229" s="13">
        <v>5</v>
      </c>
      <c r="J229" s="15">
        <v>2900.81</v>
      </c>
      <c r="K229" s="14" t="str" cm="1">
        <f t="array" ref="K229">_xlfn.IFS(Table43[[#This Row],[Sales]]&gt;40000,"Best Sales",Table43[[#This Row],[Sales]]&gt;20000,"Average Sales",Table43[[#This Row],[Sales]]&gt;0,"Poor Sales")</f>
        <v>Average Sales</v>
      </c>
      <c r="L229" s="23">
        <f>YEAR(Table43[[#This Row],[Date]])</f>
        <v>2023</v>
      </c>
      <c r="M229" s="23">
        <f>MONTH(Table43[[#This Row],[Date]])</f>
        <v>7</v>
      </c>
      <c r="N229" s="25">
        <f>DAY(Table43[[#This Row],[Date]])</f>
        <v>14</v>
      </c>
      <c r="O229" s="25" t="str">
        <f>TEXT(DATE(2023,Table43[[#This Row],[Month]],1),"mmm")</f>
        <v>Jul</v>
      </c>
      <c r="P229" s="25"/>
      <c r="Q229" s="25"/>
    </row>
    <row r="230" spans="1:17" x14ac:dyDescent="0.3">
      <c r="A230" s="6">
        <v>229</v>
      </c>
      <c r="B230" s="7">
        <v>45263</v>
      </c>
      <c r="C230" s="8" t="s">
        <v>35</v>
      </c>
      <c r="D230" s="8" t="s">
        <v>36</v>
      </c>
      <c r="E230" s="8" t="s">
        <v>20</v>
      </c>
      <c r="F230" s="8" t="s">
        <v>24</v>
      </c>
      <c r="G230" s="8" t="s">
        <v>28</v>
      </c>
      <c r="H230" s="9">
        <v>1156.72</v>
      </c>
      <c r="I230" s="8">
        <v>2</v>
      </c>
      <c r="J230" s="10">
        <v>281.39</v>
      </c>
      <c r="K230" s="14" t="str" cm="1">
        <f t="array" ref="K230">_xlfn.IFS(Table43[[#This Row],[Sales]]&gt;40000,"Best Sales",Table43[[#This Row],[Sales]]&gt;20000,"Average Sales",Table43[[#This Row],[Sales]]&gt;0,"Poor Sales")</f>
        <v>Poor Sales</v>
      </c>
      <c r="L230" s="23">
        <f>YEAR(Table43[[#This Row],[Date]])</f>
        <v>2023</v>
      </c>
      <c r="M230" s="23">
        <f>MONTH(Table43[[#This Row],[Date]])</f>
        <v>12</v>
      </c>
      <c r="N230" s="25">
        <f>DAY(Table43[[#This Row],[Date]])</f>
        <v>3</v>
      </c>
      <c r="O230" s="25" t="str">
        <f>TEXT(DATE(2023,Table43[[#This Row],[Month]],1),"mmm")</f>
        <v>Dec</v>
      </c>
      <c r="P230" s="25"/>
      <c r="Q230" s="25"/>
    </row>
    <row r="231" spans="1:17" x14ac:dyDescent="0.3">
      <c r="A231" s="11">
        <v>230</v>
      </c>
      <c r="B231" s="12">
        <v>45163</v>
      </c>
      <c r="C231" s="13" t="s">
        <v>26</v>
      </c>
      <c r="D231" s="13" t="s">
        <v>27</v>
      </c>
      <c r="E231" s="13" t="s">
        <v>12</v>
      </c>
      <c r="F231" s="13" t="s">
        <v>13</v>
      </c>
      <c r="G231" s="13" t="s">
        <v>21</v>
      </c>
      <c r="H231" s="14">
        <v>28988.87</v>
      </c>
      <c r="I231" s="13">
        <v>4</v>
      </c>
      <c r="J231" s="15">
        <v>8348.4500000000007</v>
      </c>
      <c r="K231" s="14" t="str" cm="1">
        <f t="array" ref="K231">_xlfn.IFS(Table43[[#This Row],[Sales]]&gt;40000,"Best Sales",Table43[[#This Row],[Sales]]&gt;20000,"Average Sales",Table43[[#This Row],[Sales]]&gt;0,"Poor Sales")</f>
        <v>Average Sales</v>
      </c>
      <c r="L231" s="23">
        <f>YEAR(Table43[[#This Row],[Date]])</f>
        <v>2023</v>
      </c>
      <c r="M231" s="23">
        <f>MONTH(Table43[[#This Row],[Date]])</f>
        <v>8</v>
      </c>
      <c r="N231" s="25">
        <f>DAY(Table43[[#This Row],[Date]])</f>
        <v>25</v>
      </c>
      <c r="O231" s="25" t="str">
        <f>TEXT(DATE(2023,Table43[[#This Row],[Month]],1),"mmm")</f>
        <v>Aug</v>
      </c>
      <c r="P231" s="25"/>
      <c r="Q231" s="25"/>
    </row>
    <row r="232" spans="1:17" x14ac:dyDescent="0.3">
      <c r="A232" s="6">
        <v>231</v>
      </c>
      <c r="B232" s="7">
        <v>45227</v>
      </c>
      <c r="C232" s="8" t="s">
        <v>10</v>
      </c>
      <c r="D232" s="8" t="s">
        <v>11</v>
      </c>
      <c r="E232" s="8" t="s">
        <v>17</v>
      </c>
      <c r="F232" s="8" t="s">
        <v>24</v>
      </c>
      <c r="G232" s="8" t="s">
        <v>28</v>
      </c>
      <c r="H232" s="9">
        <v>40961.07</v>
      </c>
      <c r="I232" s="8">
        <v>7</v>
      </c>
      <c r="J232" s="10">
        <v>11511.53</v>
      </c>
      <c r="K232" s="14" t="str" cm="1">
        <f t="array" ref="K232">_xlfn.IFS(Table43[[#This Row],[Sales]]&gt;40000,"Best Sales",Table43[[#This Row],[Sales]]&gt;20000,"Average Sales",Table43[[#This Row],[Sales]]&gt;0,"Poor Sales")</f>
        <v>Best Sales</v>
      </c>
      <c r="L232" s="23">
        <f>YEAR(Table43[[#This Row],[Date]])</f>
        <v>2023</v>
      </c>
      <c r="M232" s="23">
        <f>MONTH(Table43[[#This Row],[Date]])</f>
        <v>10</v>
      </c>
      <c r="N232" s="25">
        <f>DAY(Table43[[#This Row],[Date]])</f>
        <v>28</v>
      </c>
      <c r="O232" s="25" t="str">
        <f>TEXT(DATE(2023,Table43[[#This Row],[Month]],1),"mmm")</f>
        <v>Oct</v>
      </c>
      <c r="P232" s="25"/>
      <c r="Q232" s="25"/>
    </row>
    <row r="233" spans="1:17" x14ac:dyDescent="0.3">
      <c r="A233" s="11">
        <v>232</v>
      </c>
      <c r="B233" s="12">
        <v>45215</v>
      </c>
      <c r="C233" s="13" t="s">
        <v>10</v>
      </c>
      <c r="D233" s="13" t="s">
        <v>11</v>
      </c>
      <c r="E233" s="13" t="s">
        <v>12</v>
      </c>
      <c r="F233" s="13" t="s">
        <v>31</v>
      </c>
      <c r="G233" s="13" t="s">
        <v>32</v>
      </c>
      <c r="H233" s="14">
        <v>44103.15</v>
      </c>
      <c r="I233" s="13">
        <v>8</v>
      </c>
      <c r="J233" s="15">
        <v>7622.06</v>
      </c>
      <c r="K233" s="14" t="str" cm="1">
        <f t="array" ref="K233">_xlfn.IFS(Table43[[#This Row],[Sales]]&gt;40000,"Best Sales",Table43[[#This Row],[Sales]]&gt;20000,"Average Sales",Table43[[#This Row],[Sales]]&gt;0,"Poor Sales")</f>
        <v>Best Sales</v>
      </c>
      <c r="L233" s="23">
        <f>YEAR(Table43[[#This Row],[Date]])</f>
        <v>2023</v>
      </c>
      <c r="M233" s="23">
        <f>MONTH(Table43[[#This Row],[Date]])</f>
        <v>10</v>
      </c>
      <c r="N233" s="25">
        <f>DAY(Table43[[#This Row],[Date]])</f>
        <v>16</v>
      </c>
      <c r="O233" s="25" t="str">
        <f>TEXT(DATE(2023,Table43[[#This Row],[Month]],1),"mmm")</f>
        <v>Oct</v>
      </c>
      <c r="P233" s="25"/>
      <c r="Q233" s="25"/>
    </row>
    <row r="234" spans="1:17" x14ac:dyDescent="0.3">
      <c r="A234" s="6">
        <v>233</v>
      </c>
      <c r="B234" s="7">
        <v>45205</v>
      </c>
      <c r="C234" s="8" t="s">
        <v>30</v>
      </c>
      <c r="D234" s="8" t="s">
        <v>16</v>
      </c>
      <c r="E234" s="8" t="s">
        <v>17</v>
      </c>
      <c r="F234" s="8" t="s">
        <v>24</v>
      </c>
      <c r="G234" s="8" t="s">
        <v>28</v>
      </c>
      <c r="H234" s="9">
        <v>40991.879999999997</v>
      </c>
      <c r="I234" s="8">
        <v>3</v>
      </c>
      <c r="J234" s="10">
        <v>10571.44</v>
      </c>
      <c r="K234" s="14" t="str" cm="1">
        <f t="array" ref="K234">_xlfn.IFS(Table43[[#This Row],[Sales]]&gt;40000,"Best Sales",Table43[[#This Row],[Sales]]&gt;20000,"Average Sales",Table43[[#This Row],[Sales]]&gt;0,"Poor Sales")</f>
        <v>Best Sales</v>
      </c>
      <c r="L234" s="23">
        <f>YEAR(Table43[[#This Row],[Date]])</f>
        <v>2023</v>
      </c>
      <c r="M234" s="23">
        <f>MONTH(Table43[[#This Row],[Date]])</f>
        <v>10</v>
      </c>
      <c r="N234" s="25">
        <f>DAY(Table43[[#This Row],[Date]])</f>
        <v>6</v>
      </c>
      <c r="O234" s="25" t="str">
        <f>TEXT(DATE(2023,Table43[[#This Row],[Month]],1),"mmm")</f>
        <v>Oct</v>
      </c>
      <c r="P234" s="25"/>
      <c r="Q234" s="25"/>
    </row>
    <row r="235" spans="1:17" x14ac:dyDescent="0.3">
      <c r="A235" s="11">
        <v>234</v>
      </c>
      <c r="B235" s="12">
        <v>45094</v>
      </c>
      <c r="C235" s="13" t="s">
        <v>37</v>
      </c>
      <c r="D235" s="13" t="s">
        <v>27</v>
      </c>
      <c r="E235" s="13" t="s">
        <v>20</v>
      </c>
      <c r="F235" s="13" t="s">
        <v>31</v>
      </c>
      <c r="G235" s="13" t="s">
        <v>32</v>
      </c>
      <c r="H235" s="14">
        <v>22770.06</v>
      </c>
      <c r="I235" s="13">
        <v>9</v>
      </c>
      <c r="J235" s="15">
        <v>3327.09</v>
      </c>
      <c r="K235" s="14" t="str" cm="1">
        <f t="array" ref="K235">_xlfn.IFS(Table43[[#This Row],[Sales]]&gt;40000,"Best Sales",Table43[[#This Row],[Sales]]&gt;20000,"Average Sales",Table43[[#This Row],[Sales]]&gt;0,"Poor Sales")</f>
        <v>Average Sales</v>
      </c>
      <c r="L235" s="23">
        <f>YEAR(Table43[[#This Row],[Date]])</f>
        <v>2023</v>
      </c>
      <c r="M235" s="23">
        <f>MONTH(Table43[[#This Row],[Date]])</f>
        <v>6</v>
      </c>
      <c r="N235" s="25">
        <f>DAY(Table43[[#This Row],[Date]])</f>
        <v>17</v>
      </c>
      <c r="O235" s="25" t="str">
        <f>TEXT(DATE(2023,Table43[[#This Row],[Month]],1),"mmm")</f>
        <v>Jun</v>
      </c>
      <c r="P235" s="25"/>
      <c r="Q235" s="25"/>
    </row>
    <row r="236" spans="1:17" x14ac:dyDescent="0.3">
      <c r="A236" s="6">
        <v>235</v>
      </c>
      <c r="B236" s="7">
        <v>45133</v>
      </c>
      <c r="C236" s="8" t="s">
        <v>26</v>
      </c>
      <c r="D236" s="8" t="s">
        <v>27</v>
      </c>
      <c r="E236" s="8" t="s">
        <v>20</v>
      </c>
      <c r="F236" s="8" t="s">
        <v>31</v>
      </c>
      <c r="G236" s="8" t="s">
        <v>33</v>
      </c>
      <c r="H236" s="9">
        <v>32866.050000000003</v>
      </c>
      <c r="I236" s="8">
        <v>5</v>
      </c>
      <c r="J236" s="10">
        <v>7169.07</v>
      </c>
      <c r="K236" s="14" t="str" cm="1">
        <f t="array" ref="K236">_xlfn.IFS(Table43[[#This Row],[Sales]]&gt;40000,"Best Sales",Table43[[#This Row],[Sales]]&gt;20000,"Average Sales",Table43[[#This Row],[Sales]]&gt;0,"Poor Sales")</f>
        <v>Average Sales</v>
      </c>
      <c r="L236" s="23">
        <f>YEAR(Table43[[#This Row],[Date]])</f>
        <v>2023</v>
      </c>
      <c r="M236" s="23">
        <f>MONTH(Table43[[#This Row],[Date]])</f>
        <v>7</v>
      </c>
      <c r="N236" s="25">
        <f>DAY(Table43[[#This Row],[Date]])</f>
        <v>26</v>
      </c>
      <c r="O236" s="25" t="str">
        <f>TEXT(DATE(2023,Table43[[#This Row],[Month]],1),"mmm")</f>
        <v>Jul</v>
      </c>
      <c r="P236" s="25"/>
      <c r="Q236" s="25"/>
    </row>
    <row r="237" spans="1:17" x14ac:dyDescent="0.3">
      <c r="A237" s="11">
        <v>236</v>
      </c>
      <c r="B237" s="12">
        <v>45158</v>
      </c>
      <c r="C237" s="13" t="s">
        <v>37</v>
      </c>
      <c r="D237" s="13" t="s">
        <v>27</v>
      </c>
      <c r="E237" s="13" t="s">
        <v>12</v>
      </c>
      <c r="F237" s="13" t="s">
        <v>31</v>
      </c>
      <c r="G237" s="13" t="s">
        <v>32</v>
      </c>
      <c r="H237" s="14">
        <v>10663.17</v>
      </c>
      <c r="I237" s="13">
        <v>2</v>
      </c>
      <c r="J237" s="15">
        <v>2411.1799999999998</v>
      </c>
      <c r="K237" s="14" t="str" cm="1">
        <f t="array" ref="K237">_xlfn.IFS(Table43[[#This Row],[Sales]]&gt;40000,"Best Sales",Table43[[#This Row],[Sales]]&gt;20000,"Average Sales",Table43[[#This Row],[Sales]]&gt;0,"Poor Sales")</f>
        <v>Poor Sales</v>
      </c>
      <c r="L237" s="23">
        <f>YEAR(Table43[[#This Row],[Date]])</f>
        <v>2023</v>
      </c>
      <c r="M237" s="23">
        <f>MONTH(Table43[[#This Row],[Date]])</f>
        <v>8</v>
      </c>
      <c r="N237" s="25">
        <f>DAY(Table43[[#This Row],[Date]])</f>
        <v>20</v>
      </c>
      <c r="O237" s="25" t="str">
        <f>TEXT(DATE(2023,Table43[[#This Row],[Month]],1),"mmm")</f>
        <v>Aug</v>
      </c>
      <c r="P237" s="25"/>
      <c r="Q237" s="25"/>
    </row>
    <row r="238" spans="1:17" x14ac:dyDescent="0.3">
      <c r="A238" s="6">
        <v>237</v>
      </c>
      <c r="B238" s="7">
        <v>45067</v>
      </c>
      <c r="C238" s="8" t="s">
        <v>35</v>
      </c>
      <c r="D238" s="8" t="s">
        <v>36</v>
      </c>
      <c r="E238" s="8" t="s">
        <v>17</v>
      </c>
      <c r="F238" s="8" t="s">
        <v>31</v>
      </c>
      <c r="G238" s="8" t="s">
        <v>39</v>
      </c>
      <c r="H238" s="9">
        <v>25820.27</v>
      </c>
      <c r="I238" s="8">
        <v>6</v>
      </c>
      <c r="J238" s="10">
        <v>1912.88</v>
      </c>
      <c r="K238" s="14" t="str" cm="1">
        <f t="array" ref="K238">_xlfn.IFS(Table43[[#This Row],[Sales]]&gt;40000,"Best Sales",Table43[[#This Row],[Sales]]&gt;20000,"Average Sales",Table43[[#This Row],[Sales]]&gt;0,"Poor Sales")</f>
        <v>Average Sales</v>
      </c>
      <c r="L238" s="23">
        <f>YEAR(Table43[[#This Row],[Date]])</f>
        <v>2023</v>
      </c>
      <c r="M238" s="23">
        <f>MONTH(Table43[[#This Row],[Date]])</f>
        <v>5</v>
      </c>
      <c r="N238" s="25">
        <f>DAY(Table43[[#This Row],[Date]])</f>
        <v>21</v>
      </c>
      <c r="O238" s="25" t="str">
        <f>TEXT(DATE(2023,Table43[[#This Row],[Month]],1),"mmm")</f>
        <v>May</v>
      </c>
      <c r="P238" s="25"/>
      <c r="Q238" s="25"/>
    </row>
    <row r="239" spans="1:17" x14ac:dyDescent="0.3">
      <c r="A239" s="11">
        <v>238</v>
      </c>
      <c r="B239" s="12">
        <v>44941</v>
      </c>
      <c r="C239" s="13" t="s">
        <v>15</v>
      </c>
      <c r="D239" s="13" t="s">
        <v>16</v>
      </c>
      <c r="E239" s="13" t="s">
        <v>12</v>
      </c>
      <c r="F239" s="13" t="s">
        <v>31</v>
      </c>
      <c r="G239" s="13" t="s">
        <v>32</v>
      </c>
      <c r="H239" s="14">
        <v>18390.77</v>
      </c>
      <c r="I239" s="13">
        <v>10</v>
      </c>
      <c r="J239" s="15">
        <v>2737.63</v>
      </c>
      <c r="K239" s="14" t="str" cm="1">
        <f t="array" ref="K239">_xlfn.IFS(Table43[[#This Row],[Sales]]&gt;40000,"Best Sales",Table43[[#This Row],[Sales]]&gt;20000,"Average Sales",Table43[[#This Row],[Sales]]&gt;0,"Poor Sales")</f>
        <v>Poor Sales</v>
      </c>
      <c r="L239" s="23">
        <f>YEAR(Table43[[#This Row],[Date]])</f>
        <v>2023</v>
      </c>
      <c r="M239" s="23">
        <f>MONTH(Table43[[#This Row],[Date]])</f>
        <v>1</v>
      </c>
      <c r="N239" s="25">
        <f>DAY(Table43[[#This Row],[Date]])</f>
        <v>15</v>
      </c>
      <c r="O239" s="25" t="str">
        <f>TEXT(DATE(2023,Table43[[#This Row],[Month]],1),"mmm")</f>
        <v>Jan</v>
      </c>
      <c r="P239" s="25"/>
      <c r="Q239" s="25"/>
    </row>
    <row r="240" spans="1:17" x14ac:dyDescent="0.3">
      <c r="A240" s="6">
        <v>239</v>
      </c>
      <c r="B240" s="7">
        <v>44947</v>
      </c>
      <c r="C240" s="8" t="s">
        <v>37</v>
      </c>
      <c r="D240" s="8" t="s">
        <v>27</v>
      </c>
      <c r="E240" s="8" t="s">
        <v>17</v>
      </c>
      <c r="F240" s="8" t="s">
        <v>24</v>
      </c>
      <c r="G240" s="8" t="s">
        <v>25</v>
      </c>
      <c r="H240" s="9">
        <v>9511</v>
      </c>
      <c r="I240" s="8">
        <v>2</v>
      </c>
      <c r="J240" s="10">
        <v>1162.99</v>
      </c>
      <c r="K240" s="14" t="str" cm="1">
        <f t="array" ref="K240">_xlfn.IFS(Table43[[#This Row],[Sales]]&gt;40000,"Best Sales",Table43[[#This Row],[Sales]]&gt;20000,"Average Sales",Table43[[#This Row],[Sales]]&gt;0,"Poor Sales")</f>
        <v>Poor Sales</v>
      </c>
      <c r="L240" s="23">
        <f>YEAR(Table43[[#This Row],[Date]])</f>
        <v>2023</v>
      </c>
      <c r="M240" s="23">
        <f>MONTH(Table43[[#This Row],[Date]])</f>
        <v>1</v>
      </c>
      <c r="N240" s="25">
        <f>DAY(Table43[[#This Row],[Date]])</f>
        <v>21</v>
      </c>
      <c r="O240" s="25" t="str">
        <f>TEXT(DATE(2023,Table43[[#This Row],[Month]],1),"mmm")</f>
        <v>Jan</v>
      </c>
      <c r="P240" s="25"/>
      <c r="Q240" s="25"/>
    </row>
    <row r="241" spans="1:17" x14ac:dyDescent="0.3">
      <c r="A241" s="11">
        <v>240</v>
      </c>
      <c r="B241" s="12">
        <v>45001</v>
      </c>
      <c r="C241" s="13" t="s">
        <v>10</v>
      </c>
      <c r="D241" s="13" t="s">
        <v>11</v>
      </c>
      <c r="E241" s="13" t="s">
        <v>20</v>
      </c>
      <c r="F241" s="13" t="s">
        <v>13</v>
      </c>
      <c r="G241" s="13" t="s">
        <v>21</v>
      </c>
      <c r="H241" s="14">
        <v>36211.370000000003</v>
      </c>
      <c r="I241" s="13">
        <v>6</v>
      </c>
      <c r="J241" s="15">
        <v>7076.58</v>
      </c>
      <c r="K241" s="14" t="str" cm="1">
        <f t="array" ref="K241">_xlfn.IFS(Table43[[#This Row],[Sales]]&gt;40000,"Best Sales",Table43[[#This Row],[Sales]]&gt;20000,"Average Sales",Table43[[#This Row],[Sales]]&gt;0,"Poor Sales")</f>
        <v>Average Sales</v>
      </c>
      <c r="L241" s="23">
        <f>YEAR(Table43[[#This Row],[Date]])</f>
        <v>2023</v>
      </c>
      <c r="M241" s="23">
        <f>MONTH(Table43[[#This Row],[Date]])</f>
        <v>3</v>
      </c>
      <c r="N241" s="25">
        <f>DAY(Table43[[#This Row],[Date]])</f>
        <v>16</v>
      </c>
      <c r="O241" s="25" t="str">
        <f>TEXT(DATE(2023,Table43[[#This Row],[Month]],1),"mmm")</f>
        <v>Mar</v>
      </c>
      <c r="P241" s="25"/>
      <c r="Q241" s="25"/>
    </row>
    <row r="242" spans="1:17" x14ac:dyDescent="0.3">
      <c r="A242" s="6">
        <v>241</v>
      </c>
      <c r="B242" s="7">
        <v>45034</v>
      </c>
      <c r="C242" s="8" t="s">
        <v>15</v>
      </c>
      <c r="D242" s="8" t="s">
        <v>16</v>
      </c>
      <c r="E242" s="8" t="s">
        <v>20</v>
      </c>
      <c r="F242" s="8" t="s">
        <v>13</v>
      </c>
      <c r="G242" s="8" t="s">
        <v>21</v>
      </c>
      <c r="H242" s="9">
        <v>38204.660000000003</v>
      </c>
      <c r="I242" s="8">
        <v>1</v>
      </c>
      <c r="J242" s="10">
        <v>10074.93</v>
      </c>
      <c r="K242" s="14" t="str" cm="1">
        <f t="array" ref="K242">_xlfn.IFS(Table43[[#This Row],[Sales]]&gt;40000,"Best Sales",Table43[[#This Row],[Sales]]&gt;20000,"Average Sales",Table43[[#This Row],[Sales]]&gt;0,"Poor Sales")</f>
        <v>Average Sales</v>
      </c>
      <c r="L242" s="23">
        <f>YEAR(Table43[[#This Row],[Date]])</f>
        <v>2023</v>
      </c>
      <c r="M242" s="23">
        <f>MONTH(Table43[[#This Row],[Date]])</f>
        <v>4</v>
      </c>
      <c r="N242" s="25">
        <f>DAY(Table43[[#This Row],[Date]])</f>
        <v>18</v>
      </c>
      <c r="O242" s="25" t="str">
        <f>TEXT(DATE(2023,Table43[[#This Row],[Month]],1),"mmm")</f>
        <v>Apr</v>
      </c>
      <c r="P242" s="25"/>
      <c r="Q242" s="25"/>
    </row>
    <row r="243" spans="1:17" x14ac:dyDescent="0.3">
      <c r="A243" s="11">
        <v>242</v>
      </c>
      <c r="B243" s="12">
        <v>44930</v>
      </c>
      <c r="C243" s="13" t="s">
        <v>38</v>
      </c>
      <c r="D243" s="13" t="s">
        <v>27</v>
      </c>
      <c r="E243" s="13" t="s">
        <v>12</v>
      </c>
      <c r="F243" s="13" t="s">
        <v>24</v>
      </c>
      <c r="G243" s="13" t="s">
        <v>25</v>
      </c>
      <c r="H243" s="14">
        <v>40939.94</v>
      </c>
      <c r="I243" s="13">
        <v>7</v>
      </c>
      <c r="J243" s="15">
        <v>7280.08</v>
      </c>
      <c r="K243" s="14" t="str" cm="1">
        <f t="array" ref="K243">_xlfn.IFS(Table43[[#This Row],[Sales]]&gt;40000,"Best Sales",Table43[[#This Row],[Sales]]&gt;20000,"Average Sales",Table43[[#This Row],[Sales]]&gt;0,"Poor Sales")</f>
        <v>Best Sales</v>
      </c>
      <c r="L243" s="23">
        <f>YEAR(Table43[[#This Row],[Date]])</f>
        <v>2023</v>
      </c>
      <c r="M243" s="23">
        <f>MONTH(Table43[[#This Row],[Date]])</f>
        <v>1</v>
      </c>
      <c r="N243" s="25">
        <f>DAY(Table43[[#This Row],[Date]])</f>
        <v>4</v>
      </c>
      <c r="O243" s="25" t="str">
        <f>TEXT(DATE(2023,Table43[[#This Row],[Month]],1),"mmm")</f>
        <v>Jan</v>
      </c>
      <c r="P243" s="25"/>
      <c r="Q243" s="25"/>
    </row>
    <row r="244" spans="1:17" x14ac:dyDescent="0.3">
      <c r="A244" s="6">
        <v>243</v>
      </c>
      <c r="B244" s="7">
        <v>45019</v>
      </c>
      <c r="C244" s="8" t="s">
        <v>22</v>
      </c>
      <c r="D244" s="8" t="s">
        <v>22</v>
      </c>
      <c r="E244" s="8" t="s">
        <v>17</v>
      </c>
      <c r="F244" s="8" t="s">
        <v>24</v>
      </c>
      <c r="G244" s="8" t="s">
        <v>29</v>
      </c>
      <c r="H244" s="9">
        <v>26046.11</v>
      </c>
      <c r="I244" s="8">
        <v>2</v>
      </c>
      <c r="J244" s="10">
        <v>3289.52</v>
      </c>
      <c r="K244" s="14" t="str" cm="1">
        <f t="array" ref="K244">_xlfn.IFS(Table43[[#This Row],[Sales]]&gt;40000,"Best Sales",Table43[[#This Row],[Sales]]&gt;20000,"Average Sales",Table43[[#This Row],[Sales]]&gt;0,"Poor Sales")</f>
        <v>Average Sales</v>
      </c>
      <c r="L244" s="23">
        <f>YEAR(Table43[[#This Row],[Date]])</f>
        <v>2023</v>
      </c>
      <c r="M244" s="23">
        <f>MONTH(Table43[[#This Row],[Date]])</f>
        <v>4</v>
      </c>
      <c r="N244" s="25">
        <f>DAY(Table43[[#This Row],[Date]])</f>
        <v>3</v>
      </c>
      <c r="O244" s="25" t="str">
        <f>TEXT(DATE(2023,Table43[[#This Row],[Month]],1),"mmm")</f>
        <v>Apr</v>
      </c>
      <c r="P244" s="25"/>
      <c r="Q244" s="25"/>
    </row>
    <row r="245" spans="1:17" x14ac:dyDescent="0.3">
      <c r="A245" s="11">
        <v>244</v>
      </c>
      <c r="B245" s="12">
        <v>45000</v>
      </c>
      <c r="C245" s="13" t="s">
        <v>26</v>
      </c>
      <c r="D245" s="13" t="s">
        <v>27</v>
      </c>
      <c r="E245" s="13" t="s">
        <v>12</v>
      </c>
      <c r="F245" s="13" t="s">
        <v>31</v>
      </c>
      <c r="G245" s="13" t="s">
        <v>33</v>
      </c>
      <c r="H245" s="14">
        <v>40691.96</v>
      </c>
      <c r="I245" s="13">
        <v>4</v>
      </c>
      <c r="J245" s="15">
        <v>2624.84</v>
      </c>
      <c r="K245" s="14" t="str" cm="1">
        <f t="array" ref="K245">_xlfn.IFS(Table43[[#This Row],[Sales]]&gt;40000,"Best Sales",Table43[[#This Row],[Sales]]&gt;20000,"Average Sales",Table43[[#This Row],[Sales]]&gt;0,"Poor Sales")</f>
        <v>Best Sales</v>
      </c>
      <c r="L245" s="23">
        <f>YEAR(Table43[[#This Row],[Date]])</f>
        <v>2023</v>
      </c>
      <c r="M245" s="23">
        <f>MONTH(Table43[[#This Row],[Date]])</f>
        <v>3</v>
      </c>
      <c r="N245" s="25">
        <f>DAY(Table43[[#This Row],[Date]])</f>
        <v>15</v>
      </c>
      <c r="O245" s="25" t="str">
        <f>TEXT(DATE(2023,Table43[[#This Row],[Month]],1),"mmm")</f>
        <v>Mar</v>
      </c>
      <c r="P245" s="25"/>
      <c r="Q245" s="25"/>
    </row>
    <row r="246" spans="1:17" x14ac:dyDescent="0.3">
      <c r="A246" s="6">
        <v>245</v>
      </c>
      <c r="B246" s="7">
        <v>45053</v>
      </c>
      <c r="C246" s="8" t="s">
        <v>22</v>
      </c>
      <c r="D246" s="8" t="s">
        <v>22</v>
      </c>
      <c r="E246" s="8" t="s">
        <v>17</v>
      </c>
      <c r="F246" s="8" t="s">
        <v>24</v>
      </c>
      <c r="G246" s="8" t="s">
        <v>29</v>
      </c>
      <c r="H246" s="9">
        <v>49598.16</v>
      </c>
      <c r="I246" s="8">
        <v>2</v>
      </c>
      <c r="J246" s="10">
        <v>8746.65</v>
      </c>
      <c r="K246" s="14" t="str" cm="1">
        <f t="array" ref="K246">_xlfn.IFS(Table43[[#This Row],[Sales]]&gt;40000,"Best Sales",Table43[[#This Row],[Sales]]&gt;20000,"Average Sales",Table43[[#This Row],[Sales]]&gt;0,"Poor Sales")</f>
        <v>Best Sales</v>
      </c>
      <c r="L246" s="23">
        <f>YEAR(Table43[[#This Row],[Date]])</f>
        <v>2023</v>
      </c>
      <c r="M246" s="23">
        <f>MONTH(Table43[[#This Row],[Date]])</f>
        <v>5</v>
      </c>
      <c r="N246" s="25">
        <f>DAY(Table43[[#This Row],[Date]])</f>
        <v>7</v>
      </c>
      <c r="O246" s="25" t="str">
        <f>TEXT(DATE(2023,Table43[[#This Row],[Month]],1),"mmm")</f>
        <v>May</v>
      </c>
      <c r="P246" s="25"/>
      <c r="Q246" s="25"/>
    </row>
    <row r="247" spans="1:17" x14ac:dyDescent="0.3">
      <c r="A247" s="11">
        <v>246</v>
      </c>
      <c r="B247" s="12">
        <v>45088</v>
      </c>
      <c r="C247" s="13" t="s">
        <v>26</v>
      </c>
      <c r="D247" s="13" t="s">
        <v>27</v>
      </c>
      <c r="E247" s="13" t="s">
        <v>20</v>
      </c>
      <c r="F247" s="13" t="s">
        <v>24</v>
      </c>
      <c r="G247" s="13" t="s">
        <v>25</v>
      </c>
      <c r="H247" s="14">
        <v>13177.69</v>
      </c>
      <c r="I247" s="13">
        <v>2</v>
      </c>
      <c r="J247" s="15">
        <v>1536.55</v>
      </c>
      <c r="K247" s="14" t="str" cm="1">
        <f t="array" ref="K247">_xlfn.IFS(Table43[[#This Row],[Sales]]&gt;40000,"Best Sales",Table43[[#This Row],[Sales]]&gt;20000,"Average Sales",Table43[[#This Row],[Sales]]&gt;0,"Poor Sales")</f>
        <v>Poor Sales</v>
      </c>
      <c r="L247" s="23">
        <f>YEAR(Table43[[#This Row],[Date]])</f>
        <v>2023</v>
      </c>
      <c r="M247" s="23">
        <f>MONTH(Table43[[#This Row],[Date]])</f>
        <v>6</v>
      </c>
      <c r="N247" s="25">
        <f>DAY(Table43[[#This Row],[Date]])</f>
        <v>11</v>
      </c>
      <c r="O247" s="25" t="str">
        <f>TEXT(DATE(2023,Table43[[#This Row],[Month]],1),"mmm")</f>
        <v>Jun</v>
      </c>
      <c r="P247" s="25"/>
      <c r="Q247" s="25"/>
    </row>
    <row r="248" spans="1:17" x14ac:dyDescent="0.3">
      <c r="A248" s="6">
        <v>247</v>
      </c>
      <c r="B248" s="7">
        <v>45204</v>
      </c>
      <c r="C248" s="8" t="s">
        <v>38</v>
      </c>
      <c r="D248" s="8" t="s">
        <v>27</v>
      </c>
      <c r="E248" s="8" t="s">
        <v>20</v>
      </c>
      <c r="F248" s="8" t="s">
        <v>13</v>
      </c>
      <c r="G248" s="8" t="s">
        <v>21</v>
      </c>
      <c r="H248" s="9">
        <v>25816.6</v>
      </c>
      <c r="I248" s="8">
        <v>1</v>
      </c>
      <c r="J248" s="10">
        <v>6376.67</v>
      </c>
      <c r="K248" s="14" t="str" cm="1">
        <f t="array" ref="K248">_xlfn.IFS(Table43[[#This Row],[Sales]]&gt;40000,"Best Sales",Table43[[#This Row],[Sales]]&gt;20000,"Average Sales",Table43[[#This Row],[Sales]]&gt;0,"Poor Sales")</f>
        <v>Average Sales</v>
      </c>
      <c r="L248" s="23">
        <f>YEAR(Table43[[#This Row],[Date]])</f>
        <v>2023</v>
      </c>
      <c r="M248" s="23">
        <f>MONTH(Table43[[#This Row],[Date]])</f>
        <v>10</v>
      </c>
      <c r="N248" s="25">
        <f>DAY(Table43[[#This Row],[Date]])</f>
        <v>5</v>
      </c>
      <c r="O248" s="25" t="str">
        <f>TEXT(DATE(2023,Table43[[#This Row],[Month]],1),"mmm")</f>
        <v>Oct</v>
      </c>
      <c r="P248" s="25"/>
      <c r="Q248" s="25"/>
    </row>
    <row r="249" spans="1:17" x14ac:dyDescent="0.3">
      <c r="A249" s="11">
        <v>248</v>
      </c>
      <c r="B249" s="12">
        <v>44981</v>
      </c>
      <c r="C249" s="13" t="s">
        <v>26</v>
      </c>
      <c r="D249" s="13" t="s">
        <v>27</v>
      </c>
      <c r="E249" s="13" t="s">
        <v>12</v>
      </c>
      <c r="F249" s="13" t="s">
        <v>13</v>
      </c>
      <c r="G249" s="13" t="s">
        <v>34</v>
      </c>
      <c r="H249" s="14">
        <v>4142.42</v>
      </c>
      <c r="I249" s="13">
        <v>7</v>
      </c>
      <c r="J249" s="15">
        <v>987.96</v>
      </c>
      <c r="K249" s="14" t="str" cm="1">
        <f t="array" ref="K249">_xlfn.IFS(Table43[[#This Row],[Sales]]&gt;40000,"Best Sales",Table43[[#This Row],[Sales]]&gt;20000,"Average Sales",Table43[[#This Row],[Sales]]&gt;0,"Poor Sales")</f>
        <v>Poor Sales</v>
      </c>
      <c r="L249" s="23">
        <f>YEAR(Table43[[#This Row],[Date]])</f>
        <v>2023</v>
      </c>
      <c r="M249" s="23">
        <f>MONTH(Table43[[#This Row],[Date]])</f>
        <v>2</v>
      </c>
      <c r="N249" s="25">
        <f>DAY(Table43[[#This Row],[Date]])</f>
        <v>24</v>
      </c>
      <c r="O249" s="25" t="str">
        <f>TEXT(DATE(2023,Table43[[#This Row],[Month]],1),"mmm")</f>
        <v>Feb</v>
      </c>
      <c r="P249" s="25"/>
      <c r="Q249" s="25"/>
    </row>
    <row r="250" spans="1:17" x14ac:dyDescent="0.3">
      <c r="A250" s="6">
        <v>249</v>
      </c>
      <c r="B250" s="7">
        <v>45149</v>
      </c>
      <c r="C250" s="8" t="s">
        <v>26</v>
      </c>
      <c r="D250" s="8" t="s">
        <v>27</v>
      </c>
      <c r="E250" s="8" t="s">
        <v>17</v>
      </c>
      <c r="F250" s="8" t="s">
        <v>13</v>
      </c>
      <c r="G250" s="8" t="s">
        <v>34</v>
      </c>
      <c r="H250" s="9">
        <v>48741.85</v>
      </c>
      <c r="I250" s="8">
        <v>2</v>
      </c>
      <c r="J250" s="10">
        <v>6991.38</v>
      </c>
      <c r="K250" s="14" t="str" cm="1">
        <f t="array" ref="K250">_xlfn.IFS(Table43[[#This Row],[Sales]]&gt;40000,"Best Sales",Table43[[#This Row],[Sales]]&gt;20000,"Average Sales",Table43[[#This Row],[Sales]]&gt;0,"Poor Sales")</f>
        <v>Best Sales</v>
      </c>
      <c r="L250" s="23">
        <f>YEAR(Table43[[#This Row],[Date]])</f>
        <v>2023</v>
      </c>
      <c r="M250" s="23">
        <f>MONTH(Table43[[#This Row],[Date]])</f>
        <v>8</v>
      </c>
      <c r="N250" s="25">
        <f>DAY(Table43[[#This Row],[Date]])</f>
        <v>11</v>
      </c>
      <c r="O250" s="25" t="str">
        <f>TEXT(DATE(2023,Table43[[#This Row],[Month]],1),"mmm")</f>
        <v>Aug</v>
      </c>
      <c r="P250" s="25"/>
      <c r="Q250" s="25"/>
    </row>
    <row r="251" spans="1:17" x14ac:dyDescent="0.3">
      <c r="A251" s="11">
        <v>250</v>
      </c>
      <c r="B251" s="12">
        <v>45268</v>
      </c>
      <c r="C251" s="13" t="s">
        <v>30</v>
      </c>
      <c r="D251" s="13" t="s">
        <v>16</v>
      </c>
      <c r="E251" s="13" t="s">
        <v>12</v>
      </c>
      <c r="F251" s="13" t="s">
        <v>13</v>
      </c>
      <c r="G251" s="13" t="s">
        <v>34</v>
      </c>
      <c r="H251" s="14">
        <v>22157.78</v>
      </c>
      <c r="I251" s="13">
        <v>2</v>
      </c>
      <c r="J251" s="15">
        <v>4517.67</v>
      </c>
      <c r="K251" s="14" t="str" cm="1">
        <f t="array" ref="K251">_xlfn.IFS(Table43[[#This Row],[Sales]]&gt;40000,"Best Sales",Table43[[#This Row],[Sales]]&gt;20000,"Average Sales",Table43[[#This Row],[Sales]]&gt;0,"Poor Sales")</f>
        <v>Average Sales</v>
      </c>
      <c r="L251" s="23">
        <f>YEAR(Table43[[#This Row],[Date]])</f>
        <v>2023</v>
      </c>
      <c r="M251" s="23">
        <f>MONTH(Table43[[#This Row],[Date]])</f>
        <v>12</v>
      </c>
      <c r="N251" s="25">
        <f>DAY(Table43[[#This Row],[Date]])</f>
        <v>8</v>
      </c>
      <c r="O251" s="25" t="str">
        <f>TEXT(DATE(2023,Table43[[#This Row],[Month]],1),"mmm")</f>
        <v>Dec</v>
      </c>
      <c r="P251" s="25"/>
      <c r="Q251" s="25"/>
    </row>
    <row r="252" spans="1:17" x14ac:dyDescent="0.3">
      <c r="A252" s="6">
        <v>251</v>
      </c>
      <c r="B252" s="7">
        <v>45094</v>
      </c>
      <c r="C252" s="8" t="s">
        <v>15</v>
      </c>
      <c r="D252" s="8" t="s">
        <v>16</v>
      </c>
      <c r="E252" s="8" t="s">
        <v>17</v>
      </c>
      <c r="F252" s="8" t="s">
        <v>24</v>
      </c>
      <c r="G252" s="8" t="s">
        <v>25</v>
      </c>
      <c r="H252" s="9">
        <v>17751.919999999998</v>
      </c>
      <c r="I252" s="8">
        <v>7</v>
      </c>
      <c r="J252" s="10">
        <v>4931.21</v>
      </c>
      <c r="K252" s="14" t="str" cm="1">
        <f t="array" ref="K252">_xlfn.IFS(Table43[[#This Row],[Sales]]&gt;40000,"Best Sales",Table43[[#This Row],[Sales]]&gt;20000,"Average Sales",Table43[[#This Row],[Sales]]&gt;0,"Poor Sales")</f>
        <v>Poor Sales</v>
      </c>
      <c r="L252" s="23">
        <f>YEAR(Table43[[#This Row],[Date]])</f>
        <v>2023</v>
      </c>
      <c r="M252" s="23">
        <f>MONTH(Table43[[#This Row],[Date]])</f>
        <v>6</v>
      </c>
      <c r="N252" s="25">
        <f>DAY(Table43[[#This Row],[Date]])</f>
        <v>17</v>
      </c>
      <c r="O252" s="25" t="str">
        <f>TEXT(DATE(2023,Table43[[#This Row],[Month]],1),"mmm")</f>
        <v>Jun</v>
      </c>
      <c r="P252" s="25"/>
      <c r="Q252" s="25"/>
    </row>
    <row r="253" spans="1:17" x14ac:dyDescent="0.3">
      <c r="A253" s="11">
        <v>252</v>
      </c>
      <c r="B253" s="12">
        <v>45011</v>
      </c>
      <c r="C253" s="13" t="s">
        <v>38</v>
      </c>
      <c r="D253" s="13" t="s">
        <v>27</v>
      </c>
      <c r="E253" s="13" t="s">
        <v>20</v>
      </c>
      <c r="F253" s="13" t="s">
        <v>31</v>
      </c>
      <c r="G253" s="13" t="s">
        <v>39</v>
      </c>
      <c r="H253" s="14">
        <v>11067.21</v>
      </c>
      <c r="I253" s="13">
        <v>3</v>
      </c>
      <c r="J253" s="15">
        <v>2057.92</v>
      </c>
      <c r="K253" s="14" t="str" cm="1">
        <f t="array" ref="K253">_xlfn.IFS(Table43[[#This Row],[Sales]]&gt;40000,"Best Sales",Table43[[#This Row],[Sales]]&gt;20000,"Average Sales",Table43[[#This Row],[Sales]]&gt;0,"Poor Sales")</f>
        <v>Poor Sales</v>
      </c>
      <c r="L253" s="23">
        <f>YEAR(Table43[[#This Row],[Date]])</f>
        <v>2023</v>
      </c>
      <c r="M253" s="23">
        <f>MONTH(Table43[[#This Row],[Date]])</f>
        <v>3</v>
      </c>
      <c r="N253" s="25">
        <f>DAY(Table43[[#This Row],[Date]])</f>
        <v>26</v>
      </c>
      <c r="O253" s="25" t="str">
        <f>TEXT(DATE(2023,Table43[[#This Row],[Month]],1),"mmm")</f>
        <v>Mar</v>
      </c>
      <c r="P253" s="25"/>
      <c r="Q253" s="25"/>
    </row>
    <row r="254" spans="1:17" x14ac:dyDescent="0.3">
      <c r="A254" s="6">
        <v>253</v>
      </c>
      <c r="B254" s="7">
        <v>45131</v>
      </c>
      <c r="C254" s="8" t="s">
        <v>38</v>
      </c>
      <c r="D254" s="8" t="s">
        <v>27</v>
      </c>
      <c r="E254" s="8" t="s">
        <v>20</v>
      </c>
      <c r="F254" s="8" t="s">
        <v>24</v>
      </c>
      <c r="G254" s="8" t="s">
        <v>29</v>
      </c>
      <c r="H254" s="9">
        <v>13954.05</v>
      </c>
      <c r="I254" s="8">
        <v>10</v>
      </c>
      <c r="J254" s="10">
        <v>3139.56</v>
      </c>
      <c r="K254" s="14" t="str" cm="1">
        <f t="array" ref="K254">_xlfn.IFS(Table43[[#This Row],[Sales]]&gt;40000,"Best Sales",Table43[[#This Row],[Sales]]&gt;20000,"Average Sales",Table43[[#This Row],[Sales]]&gt;0,"Poor Sales")</f>
        <v>Poor Sales</v>
      </c>
      <c r="L254" s="23">
        <f>YEAR(Table43[[#This Row],[Date]])</f>
        <v>2023</v>
      </c>
      <c r="M254" s="23">
        <f>MONTH(Table43[[#This Row],[Date]])</f>
        <v>7</v>
      </c>
      <c r="N254" s="25">
        <f>DAY(Table43[[#This Row],[Date]])</f>
        <v>24</v>
      </c>
      <c r="O254" s="25" t="str">
        <f>TEXT(DATE(2023,Table43[[#This Row],[Month]],1),"mmm")</f>
        <v>Jul</v>
      </c>
      <c r="P254" s="25"/>
      <c r="Q254" s="25"/>
    </row>
    <row r="255" spans="1:17" x14ac:dyDescent="0.3">
      <c r="A255" s="11">
        <v>254</v>
      </c>
      <c r="B255" s="12">
        <v>44976</v>
      </c>
      <c r="C255" s="13" t="s">
        <v>22</v>
      </c>
      <c r="D255" s="13" t="s">
        <v>22</v>
      </c>
      <c r="E255" s="13" t="s">
        <v>12</v>
      </c>
      <c r="F255" s="13" t="s">
        <v>24</v>
      </c>
      <c r="G255" s="13" t="s">
        <v>25</v>
      </c>
      <c r="H255" s="14">
        <v>10782.97</v>
      </c>
      <c r="I255" s="13">
        <v>7</v>
      </c>
      <c r="J255" s="15">
        <v>772.84</v>
      </c>
      <c r="K255" s="14" t="str" cm="1">
        <f t="array" ref="K255">_xlfn.IFS(Table43[[#This Row],[Sales]]&gt;40000,"Best Sales",Table43[[#This Row],[Sales]]&gt;20000,"Average Sales",Table43[[#This Row],[Sales]]&gt;0,"Poor Sales")</f>
        <v>Poor Sales</v>
      </c>
      <c r="L255" s="23">
        <f>YEAR(Table43[[#This Row],[Date]])</f>
        <v>2023</v>
      </c>
      <c r="M255" s="23">
        <f>MONTH(Table43[[#This Row],[Date]])</f>
        <v>2</v>
      </c>
      <c r="N255" s="25">
        <f>DAY(Table43[[#This Row],[Date]])</f>
        <v>19</v>
      </c>
      <c r="O255" s="25" t="str">
        <f>TEXT(DATE(2023,Table43[[#This Row],[Month]],1),"mmm")</f>
        <v>Feb</v>
      </c>
      <c r="P255" s="25"/>
      <c r="Q255" s="25"/>
    </row>
    <row r="256" spans="1:17" x14ac:dyDescent="0.3">
      <c r="A256" s="6">
        <v>255</v>
      </c>
      <c r="B256" s="7">
        <v>45247</v>
      </c>
      <c r="C256" s="8" t="s">
        <v>35</v>
      </c>
      <c r="D256" s="8" t="s">
        <v>36</v>
      </c>
      <c r="E256" s="8" t="s">
        <v>17</v>
      </c>
      <c r="F256" s="8" t="s">
        <v>31</v>
      </c>
      <c r="G256" s="8" t="s">
        <v>32</v>
      </c>
      <c r="H256" s="9">
        <v>49437.25</v>
      </c>
      <c r="I256" s="8">
        <v>8</v>
      </c>
      <c r="J256" s="10">
        <v>14199.96</v>
      </c>
      <c r="K256" s="14" t="str" cm="1">
        <f t="array" ref="K256">_xlfn.IFS(Table43[[#This Row],[Sales]]&gt;40000,"Best Sales",Table43[[#This Row],[Sales]]&gt;20000,"Average Sales",Table43[[#This Row],[Sales]]&gt;0,"Poor Sales")</f>
        <v>Best Sales</v>
      </c>
      <c r="L256" s="23">
        <f>YEAR(Table43[[#This Row],[Date]])</f>
        <v>2023</v>
      </c>
      <c r="M256" s="23">
        <f>MONTH(Table43[[#This Row],[Date]])</f>
        <v>11</v>
      </c>
      <c r="N256" s="25">
        <f>DAY(Table43[[#This Row],[Date]])</f>
        <v>17</v>
      </c>
      <c r="O256" s="25" t="str">
        <f>TEXT(DATE(2023,Table43[[#This Row],[Month]],1),"mmm")</f>
        <v>Nov</v>
      </c>
      <c r="P256" s="25"/>
      <c r="Q256" s="25"/>
    </row>
    <row r="257" spans="1:17" x14ac:dyDescent="0.3">
      <c r="A257" s="11">
        <v>256</v>
      </c>
      <c r="B257" s="12">
        <v>45195</v>
      </c>
      <c r="C257" s="13" t="s">
        <v>35</v>
      </c>
      <c r="D257" s="13" t="s">
        <v>36</v>
      </c>
      <c r="E257" s="13" t="s">
        <v>12</v>
      </c>
      <c r="F257" s="13" t="s">
        <v>13</v>
      </c>
      <c r="G257" s="13" t="s">
        <v>21</v>
      </c>
      <c r="H257" s="14">
        <v>31032.49</v>
      </c>
      <c r="I257" s="13">
        <v>9</v>
      </c>
      <c r="J257" s="15">
        <v>7395</v>
      </c>
      <c r="K257" s="14" t="str" cm="1">
        <f t="array" ref="K257">_xlfn.IFS(Table43[[#This Row],[Sales]]&gt;40000,"Best Sales",Table43[[#This Row],[Sales]]&gt;20000,"Average Sales",Table43[[#This Row],[Sales]]&gt;0,"Poor Sales")</f>
        <v>Average Sales</v>
      </c>
      <c r="L257" s="23">
        <f>YEAR(Table43[[#This Row],[Date]])</f>
        <v>2023</v>
      </c>
      <c r="M257" s="23">
        <f>MONTH(Table43[[#This Row],[Date]])</f>
        <v>9</v>
      </c>
      <c r="N257" s="25">
        <f>DAY(Table43[[#This Row],[Date]])</f>
        <v>26</v>
      </c>
      <c r="O257" s="25" t="str">
        <f>TEXT(DATE(2023,Table43[[#This Row],[Month]],1),"mmm")</f>
        <v>Sep</v>
      </c>
      <c r="P257" s="25"/>
      <c r="Q257" s="25"/>
    </row>
    <row r="258" spans="1:17" x14ac:dyDescent="0.3">
      <c r="A258" s="6">
        <v>257</v>
      </c>
      <c r="B258" s="7">
        <v>45158</v>
      </c>
      <c r="C258" s="8" t="s">
        <v>30</v>
      </c>
      <c r="D258" s="8" t="s">
        <v>16</v>
      </c>
      <c r="E258" s="8" t="s">
        <v>17</v>
      </c>
      <c r="F258" s="8" t="s">
        <v>24</v>
      </c>
      <c r="G258" s="8" t="s">
        <v>25</v>
      </c>
      <c r="H258" s="9">
        <v>27868.7</v>
      </c>
      <c r="I258" s="8">
        <v>2</v>
      </c>
      <c r="J258" s="10">
        <v>6973.6</v>
      </c>
      <c r="K258" s="14" t="str" cm="1">
        <f t="array" ref="K258">_xlfn.IFS(Table43[[#This Row],[Sales]]&gt;40000,"Best Sales",Table43[[#This Row],[Sales]]&gt;20000,"Average Sales",Table43[[#This Row],[Sales]]&gt;0,"Poor Sales")</f>
        <v>Average Sales</v>
      </c>
      <c r="L258" s="23">
        <f>YEAR(Table43[[#This Row],[Date]])</f>
        <v>2023</v>
      </c>
      <c r="M258" s="23">
        <f>MONTH(Table43[[#This Row],[Date]])</f>
        <v>8</v>
      </c>
      <c r="N258" s="25">
        <f>DAY(Table43[[#This Row],[Date]])</f>
        <v>20</v>
      </c>
      <c r="O258" s="25" t="str">
        <f>TEXT(DATE(2023,Table43[[#This Row],[Month]],1),"mmm")</f>
        <v>Aug</v>
      </c>
      <c r="P258" s="25"/>
      <c r="Q258" s="25"/>
    </row>
    <row r="259" spans="1:17" x14ac:dyDescent="0.3">
      <c r="A259" s="11">
        <v>258</v>
      </c>
      <c r="B259" s="12">
        <v>45269</v>
      </c>
      <c r="C259" s="13" t="s">
        <v>10</v>
      </c>
      <c r="D259" s="13" t="s">
        <v>11</v>
      </c>
      <c r="E259" s="13" t="s">
        <v>20</v>
      </c>
      <c r="F259" s="13" t="s">
        <v>31</v>
      </c>
      <c r="G259" s="13" t="s">
        <v>39</v>
      </c>
      <c r="H259" s="14">
        <v>40634.300000000003</v>
      </c>
      <c r="I259" s="13">
        <v>10</v>
      </c>
      <c r="J259" s="15">
        <v>11614.53</v>
      </c>
      <c r="K259" s="14" t="str" cm="1">
        <f t="array" ref="K259">_xlfn.IFS(Table43[[#This Row],[Sales]]&gt;40000,"Best Sales",Table43[[#This Row],[Sales]]&gt;20000,"Average Sales",Table43[[#This Row],[Sales]]&gt;0,"Poor Sales")</f>
        <v>Best Sales</v>
      </c>
      <c r="L259" s="23">
        <f>YEAR(Table43[[#This Row],[Date]])</f>
        <v>2023</v>
      </c>
      <c r="M259" s="23">
        <f>MONTH(Table43[[#This Row],[Date]])</f>
        <v>12</v>
      </c>
      <c r="N259" s="25">
        <f>DAY(Table43[[#This Row],[Date]])</f>
        <v>9</v>
      </c>
      <c r="O259" s="25" t="str">
        <f>TEXT(DATE(2023,Table43[[#This Row],[Month]],1),"mmm")</f>
        <v>Dec</v>
      </c>
      <c r="P259" s="25"/>
      <c r="Q259" s="25"/>
    </row>
    <row r="260" spans="1:17" x14ac:dyDescent="0.3">
      <c r="A260" s="6">
        <v>259</v>
      </c>
      <c r="B260" s="7">
        <v>45164</v>
      </c>
      <c r="C260" s="8" t="s">
        <v>26</v>
      </c>
      <c r="D260" s="8" t="s">
        <v>27</v>
      </c>
      <c r="E260" s="8" t="s">
        <v>20</v>
      </c>
      <c r="F260" s="8" t="s">
        <v>31</v>
      </c>
      <c r="G260" s="8" t="s">
        <v>32</v>
      </c>
      <c r="H260" s="9">
        <v>2252.35</v>
      </c>
      <c r="I260" s="8">
        <v>2</v>
      </c>
      <c r="J260" s="10">
        <v>469.57</v>
      </c>
      <c r="K260" s="14" t="str" cm="1">
        <f t="array" ref="K260">_xlfn.IFS(Table43[[#This Row],[Sales]]&gt;40000,"Best Sales",Table43[[#This Row],[Sales]]&gt;20000,"Average Sales",Table43[[#This Row],[Sales]]&gt;0,"Poor Sales")</f>
        <v>Poor Sales</v>
      </c>
      <c r="L260" s="23">
        <f>YEAR(Table43[[#This Row],[Date]])</f>
        <v>2023</v>
      </c>
      <c r="M260" s="23">
        <f>MONTH(Table43[[#This Row],[Date]])</f>
        <v>8</v>
      </c>
      <c r="N260" s="25">
        <f>DAY(Table43[[#This Row],[Date]])</f>
        <v>26</v>
      </c>
      <c r="O260" s="25" t="str">
        <f>TEXT(DATE(2023,Table43[[#This Row],[Month]],1),"mmm")</f>
        <v>Aug</v>
      </c>
      <c r="P260" s="25"/>
      <c r="Q260" s="25"/>
    </row>
    <row r="261" spans="1:17" x14ac:dyDescent="0.3">
      <c r="A261" s="11">
        <v>260</v>
      </c>
      <c r="B261" s="12">
        <v>45289</v>
      </c>
      <c r="C261" s="13" t="s">
        <v>15</v>
      </c>
      <c r="D261" s="13" t="s">
        <v>16</v>
      </c>
      <c r="E261" s="13" t="s">
        <v>12</v>
      </c>
      <c r="F261" s="13" t="s">
        <v>24</v>
      </c>
      <c r="G261" s="13" t="s">
        <v>29</v>
      </c>
      <c r="H261" s="14">
        <v>24406.17</v>
      </c>
      <c r="I261" s="13">
        <v>2</v>
      </c>
      <c r="J261" s="15">
        <v>1809.18</v>
      </c>
      <c r="K261" s="14" t="str" cm="1">
        <f t="array" ref="K261">_xlfn.IFS(Table43[[#This Row],[Sales]]&gt;40000,"Best Sales",Table43[[#This Row],[Sales]]&gt;20000,"Average Sales",Table43[[#This Row],[Sales]]&gt;0,"Poor Sales")</f>
        <v>Average Sales</v>
      </c>
      <c r="L261" s="23">
        <f>YEAR(Table43[[#This Row],[Date]])</f>
        <v>2023</v>
      </c>
      <c r="M261" s="23">
        <f>MONTH(Table43[[#This Row],[Date]])</f>
        <v>12</v>
      </c>
      <c r="N261" s="25">
        <f>DAY(Table43[[#This Row],[Date]])</f>
        <v>29</v>
      </c>
      <c r="O261" s="25" t="str">
        <f>TEXT(DATE(2023,Table43[[#This Row],[Month]],1),"mmm")</f>
        <v>Dec</v>
      </c>
      <c r="P261" s="25"/>
      <c r="Q261" s="25"/>
    </row>
    <row r="262" spans="1:17" x14ac:dyDescent="0.3">
      <c r="A262" s="6">
        <v>261</v>
      </c>
      <c r="B262" s="7">
        <v>45238</v>
      </c>
      <c r="C262" s="8" t="s">
        <v>22</v>
      </c>
      <c r="D262" s="8" t="s">
        <v>22</v>
      </c>
      <c r="E262" s="8" t="s">
        <v>17</v>
      </c>
      <c r="F262" s="8" t="s">
        <v>13</v>
      </c>
      <c r="G262" s="8" t="s">
        <v>34</v>
      </c>
      <c r="H262" s="9">
        <v>14529.22</v>
      </c>
      <c r="I262" s="8">
        <v>8</v>
      </c>
      <c r="J262" s="10">
        <v>3777.18</v>
      </c>
      <c r="K262" s="14" t="str" cm="1">
        <f t="array" ref="K262">_xlfn.IFS(Table43[[#This Row],[Sales]]&gt;40000,"Best Sales",Table43[[#This Row],[Sales]]&gt;20000,"Average Sales",Table43[[#This Row],[Sales]]&gt;0,"Poor Sales")</f>
        <v>Poor Sales</v>
      </c>
      <c r="L262" s="23">
        <f>YEAR(Table43[[#This Row],[Date]])</f>
        <v>2023</v>
      </c>
      <c r="M262" s="23">
        <f>MONTH(Table43[[#This Row],[Date]])</f>
        <v>11</v>
      </c>
      <c r="N262" s="25">
        <f>DAY(Table43[[#This Row],[Date]])</f>
        <v>8</v>
      </c>
      <c r="O262" s="25" t="str">
        <f>TEXT(DATE(2023,Table43[[#This Row],[Month]],1),"mmm")</f>
        <v>Nov</v>
      </c>
      <c r="P262" s="25"/>
      <c r="Q262" s="25"/>
    </row>
    <row r="263" spans="1:17" x14ac:dyDescent="0.3">
      <c r="A263" s="11">
        <v>262</v>
      </c>
      <c r="B263" s="12">
        <v>45013</v>
      </c>
      <c r="C263" s="13" t="s">
        <v>37</v>
      </c>
      <c r="D263" s="13" t="s">
        <v>27</v>
      </c>
      <c r="E263" s="13" t="s">
        <v>12</v>
      </c>
      <c r="F263" s="13" t="s">
        <v>13</v>
      </c>
      <c r="G263" s="13" t="s">
        <v>14</v>
      </c>
      <c r="H263" s="14">
        <v>19364.93</v>
      </c>
      <c r="I263" s="13">
        <v>3</v>
      </c>
      <c r="J263" s="15">
        <v>5725.87</v>
      </c>
      <c r="K263" s="14" t="str" cm="1">
        <f t="array" ref="K263">_xlfn.IFS(Table43[[#This Row],[Sales]]&gt;40000,"Best Sales",Table43[[#This Row],[Sales]]&gt;20000,"Average Sales",Table43[[#This Row],[Sales]]&gt;0,"Poor Sales")</f>
        <v>Poor Sales</v>
      </c>
      <c r="L263" s="23">
        <f>YEAR(Table43[[#This Row],[Date]])</f>
        <v>2023</v>
      </c>
      <c r="M263" s="23">
        <f>MONTH(Table43[[#This Row],[Date]])</f>
        <v>3</v>
      </c>
      <c r="N263" s="25">
        <f>DAY(Table43[[#This Row],[Date]])</f>
        <v>28</v>
      </c>
      <c r="O263" s="25" t="str">
        <f>TEXT(DATE(2023,Table43[[#This Row],[Month]],1),"mmm")</f>
        <v>Mar</v>
      </c>
      <c r="P263" s="25"/>
      <c r="Q263" s="25"/>
    </row>
    <row r="264" spans="1:17" x14ac:dyDescent="0.3">
      <c r="A264" s="6">
        <v>263</v>
      </c>
      <c r="B264" s="7">
        <v>45214</v>
      </c>
      <c r="C264" s="8" t="s">
        <v>30</v>
      </c>
      <c r="D264" s="8" t="s">
        <v>16</v>
      </c>
      <c r="E264" s="8" t="s">
        <v>17</v>
      </c>
      <c r="F264" s="8" t="s">
        <v>31</v>
      </c>
      <c r="G264" s="8" t="s">
        <v>32</v>
      </c>
      <c r="H264" s="9">
        <v>39741.019999999997</v>
      </c>
      <c r="I264" s="8">
        <v>6</v>
      </c>
      <c r="J264" s="10">
        <v>11691.37</v>
      </c>
      <c r="K264" s="14" t="str" cm="1">
        <f t="array" ref="K264">_xlfn.IFS(Table43[[#This Row],[Sales]]&gt;40000,"Best Sales",Table43[[#This Row],[Sales]]&gt;20000,"Average Sales",Table43[[#This Row],[Sales]]&gt;0,"Poor Sales")</f>
        <v>Average Sales</v>
      </c>
      <c r="L264" s="23">
        <f>YEAR(Table43[[#This Row],[Date]])</f>
        <v>2023</v>
      </c>
      <c r="M264" s="23">
        <f>MONTH(Table43[[#This Row],[Date]])</f>
        <v>10</v>
      </c>
      <c r="N264" s="25">
        <f>DAY(Table43[[#This Row],[Date]])</f>
        <v>15</v>
      </c>
      <c r="O264" s="25" t="str">
        <f>TEXT(DATE(2023,Table43[[#This Row],[Month]],1),"mmm")</f>
        <v>Oct</v>
      </c>
      <c r="P264" s="25"/>
      <c r="Q264" s="25"/>
    </row>
    <row r="265" spans="1:17" x14ac:dyDescent="0.3">
      <c r="A265" s="11">
        <v>264</v>
      </c>
      <c r="B265" s="12">
        <v>45114</v>
      </c>
      <c r="C265" s="13" t="s">
        <v>22</v>
      </c>
      <c r="D265" s="13" t="s">
        <v>22</v>
      </c>
      <c r="E265" s="13" t="s">
        <v>20</v>
      </c>
      <c r="F265" s="13" t="s">
        <v>24</v>
      </c>
      <c r="G265" s="13" t="s">
        <v>29</v>
      </c>
      <c r="H265" s="14">
        <v>28526.5</v>
      </c>
      <c r="I265" s="13">
        <v>9</v>
      </c>
      <c r="J265" s="15">
        <v>2168.42</v>
      </c>
      <c r="K265" s="14" t="str" cm="1">
        <f t="array" ref="K265">_xlfn.IFS(Table43[[#This Row],[Sales]]&gt;40000,"Best Sales",Table43[[#This Row],[Sales]]&gt;20000,"Average Sales",Table43[[#This Row],[Sales]]&gt;0,"Poor Sales")</f>
        <v>Average Sales</v>
      </c>
      <c r="L265" s="23">
        <f>YEAR(Table43[[#This Row],[Date]])</f>
        <v>2023</v>
      </c>
      <c r="M265" s="23">
        <f>MONTH(Table43[[#This Row],[Date]])</f>
        <v>7</v>
      </c>
      <c r="N265" s="25">
        <f>DAY(Table43[[#This Row],[Date]])</f>
        <v>7</v>
      </c>
      <c r="O265" s="25" t="str">
        <f>TEXT(DATE(2023,Table43[[#This Row],[Month]],1),"mmm")</f>
        <v>Jul</v>
      </c>
      <c r="P265" s="25"/>
      <c r="Q265" s="25"/>
    </row>
    <row r="266" spans="1:17" x14ac:dyDescent="0.3">
      <c r="A266" s="6">
        <v>265</v>
      </c>
      <c r="B266" s="7">
        <v>45156</v>
      </c>
      <c r="C266" s="8" t="s">
        <v>26</v>
      </c>
      <c r="D266" s="8" t="s">
        <v>27</v>
      </c>
      <c r="E266" s="8" t="s">
        <v>20</v>
      </c>
      <c r="F266" s="8" t="s">
        <v>24</v>
      </c>
      <c r="G266" s="8" t="s">
        <v>28</v>
      </c>
      <c r="H266" s="9">
        <v>23711.97</v>
      </c>
      <c r="I266" s="8">
        <v>10</v>
      </c>
      <c r="J266" s="10">
        <v>3673.28</v>
      </c>
      <c r="K266" s="14" t="str" cm="1">
        <f t="array" ref="K266">_xlfn.IFS(Table43[[#This Row],[Sales]]&gt;40000,"Best Sales",Table43[[#This Row],[Sales]]&gt;20000,"Average Sales",Table43[[#This Row],[Sales]]&gt;0,"Poor Sales")</f>
        <v>Average Sales</v>
      </c>
      <c r="L266" s="23">
        <f>YEAR(Table43[[#This Row],[Date]])</f>
        <v>2023</v>
      </c>
      <c r="M266" s="23">
        <f>MONTH(Table43[[#This Row],[Date]])</f>
        <v>8</v>
      </c>
      <c r="N266" s="25">
        <f>DAY(Table43[[#This Row],[Date]])</f>
        <v>18</v>
      </c>
      <c r="O266" s="25" t="str">
        <f>TEXT(DATE(2023,Table43[[#This Row],[Month]],1),"mmm")</f>
        <v>Aug</v>
      </c>
      <c r="P266" s="25"/>
      <c r="Q266" s="25"/>
    </row>
    <row r="267" spans="1:17" x14ac:dyDescent="0.3">
      <c r="A267" s="11">
        <v>266</v>
      </c>
      <c r="B267" s="12">
        <v>45127</v>
      </c>
      <c r="C267" s="13" t="s">
        <v>26</v>
      </c>
      <c r="D267" s="13" t="s">
        <v>27</v>
      </c>
      <c r="E267" s="13" t="s">
        <v>12</v>
      </c>
      <c r="F267" s="13" t="s">
        <v>31</v>
      </c>
      <c r="G267" s="13" t="s">
        <v>39</v>
      </c>
      <c r="H267" s="14">
        <v>28029.09</v>
      </c>
      <c r="I267" s="13">
        <v>2</v>
      </c>
      <c r="J267" s="15">
        <v>5086.72</v>
      </c>
      <c r="K267" s="14" t="str" cm="1">
        <f t="array" ref="K267">_xlfn.IFS(Table43[[#This Row],[Sales]]&gt;40000,"Best Sales",Table43[[#This Row],[Sales]]&gt;20000,"Average Sales",Table43[[#This Row],[Sales]]&gt;0,"Poor Sales")</f>
        <v>Average Sales</v>
      </c>
      <c r="L267" s="23">
        <f>YEAR(Table43[[#This Row],[Date]])</f>
        <v>2023</v>
      </c>
      <c r="M267" s="23">
        <f>MONTH(Table43[[#This Row],[Date]])</f>
        <v>7</v>
      </c>
      <c r="N267" s="25">
        <f>DAY(Table43[[#This Row],[Date]])</f>
        <v>20</v>
      </c>
      <c r="O267" s="25" t="str">
        <f>TEXT(DATE(2023,Table43[[#This Row],[Month]],1),"mmm")</f>
        <v>Jul</v>
      </c>
      <c r="P267" s="25"/>
      <c r="Q267" s="25"/>
    </row>
    <row r="268" spans="1:17" x14ac:dyDescent="0.3">
      <c r="A268" s="6">
        <v>267</v>
      </c>
      <c r="B268" s="7">
        <v>45268</v>
      </c>
      <c r="C268" s="8" t="s">
        <v>37</v>
      </c>
      <c r="D268" s="8" t="s">
        <v>27</v>
      </c>
      <c r="E268" s="8" t="s">
        <v>17</v>
      </c>
      <c r="F268" s="8" t="s">
        <v>31</v>
      </c>
      <c r="G268" s="8" t="s">
        <v>39</v>
      </c>
      <c r="H268" s="9">
        <v>5734.42</v>
      </c>
      <c r="I268" s="8">
        <v>4</v>
      </c>
      <c r="J268" s="10">
        <v>1489.22</v>
      </c>
      <c r="K268" s="14" t="str" cm="1">
        <f t="array" ref="K268">_xlfn.IFS(Table43[[#This Row],[Sales]]&gt;40000,"Best Sales",Table43[[#This Row],[Sales]]&gt;20000,"Average Sales",Table43[[#This Row],[Sales]]&gt;0,"Poor Sales")</f>
        <v>Poor Sales</v>
      </c>
      <c r="L268" s="23">
        <f>YEAR(Table43[[#This Row],[Date]])</f>
        <v>2023</v>
      </c>
      <c r="M268" s="23">
        <f>MONTH(Table43[[#This Row],[Date]])</f>
        <v>12</v>
      </c>
      <c r="N268" s="25">
        <f>DAY(Table43[[#This Row],[Date]])</f>
        <v>8</v>
      </c>
      <c r="O268" s="25" t="str">
        <f>TEXT(DATE(2023,Table43[[#This Row],[Month]],1),"mmm")</f>
        <v>Dec</v>
      </c>
      <c r="P268" s="25"/>
      <c r="Q268" s="25"/>
    </row>
    <row r="269" spans="1:17" x14ac:dyDescent="0.3">
      <c r="A269" s="11">
        <v>268</v>
      </c>
      <c r="B269" s="12">
        <v>45136</v>
      </c>
      <c r="C269" s="13" t="s">
        <v>30</v>
      </c>
      <c r="D269" s="13" t="s">
        <v>16</v>
      </c>
      <c r="E269" s="13" t="s">
        <v>12</v>
      </c>
      <c r="F269" s="13" t="s">
        <v>31</v>
      </c>
      <c r="G269" s="13" t="s">
        <v>32</v>
      </c>
      <c r="H269" s="14">
        <v>39653.46</v>
      </c>
      <c r="I269" s="13">
        <v>5</v>
      </c>
      <c r="J269" s="15">
        <v>11436.72</v>
      </c>
      <c r="K269" s="14" t="str" cm="1">
        <f t="array" ref="K269">_xlfn.IFS(Table43[[#This Row],[Sales]]&gt;40000,"Best Sales",Table43[[#This Row],[Sales]]&gt;20000,"Average Sales",Table43[[#This Row],[Sales]]&gt;0,"Poor Sales")</f>
        <v>Average Sales</v>
      </c>
      <c r="L269" s="23">
        <f>YEAR(Table43[[#This Row],[Date]])</f>
        <v>2023</v>
      </c>
      <c r="M269" s="23">
        <f>MONTH(Table43[[#This Row],[Date]])</f>
        <v>7</v>
      </c>
      <c r="N269" s="25">
        <f>DAY(Table43[[#This Row],[Date]])</f>
        <v>29</v>
      </c>
      <c r="O269" s="25" t="str">
        <f>TEXT(DATE(2023,Table43[[#This Row],[Month]],1),"mmm")</f>
        <v>Jul</v>
      </c>
      <c r="P269" s="25"/>
      <c r="Q269" s="25"/>
    </row>
    <row r="270" spans="1:17" x14ac:dyDescent="0.3">
      <c r="A270" s="6">
        <v>269</v>
      </c>
      <c r="B270" s="7">
        <v>45100</v>
      </c>
      <c r="C270" s="8" t="s">
        <v>30</v>
      </c>
      <c r="D270" s="8" t="s">
        <v>16</v>
      </c>
      <c r="E270" s="8" t="s">
        <v>17</v>
      </c>
      <c r="F270" s="8" t="s">
        <v>24</v>
      </c>
      <c r="G270" s="8" t="s">
        <v>28</v>
      </c>
      <c r="H270" s="9">
        <v>31139.39</v>
      </c>
      <c r="I270" s="8">
        <v>5</v>
      </c>
      <c r="J270" s="10">
        <v>5027.6499999999996</v>
      </c>
      <c r="K270" s="14" t="str" cm="1">
        <f t="array" ref="K270">_xlfn.IFS(Table43[[#This Row],[Sales]]&gt;40000,"Best Sales",Table43[[#This Row],[Sales]]&gt;20000,"Average Sales",Table43[[#This Row],[Sales]]&gt;0,"Poor Sales")</f>
        <v>Average Sales</v>
      </c>
      <c r="L270" s="23">
        <f>YEAR(Table43[[#This Row],[Date]])</f>
        <v>2023</v>
      </c>
      <c r="M270" s="23">
        <f>MONTH(Table43[[#This Row],[Date]])</f>
        <v>6</v>
      </c>
      <c r="N270" s="25">
        <f>DAY(Table43[[#This Row],[Date]])</f>
        <v>23</v>
      </c>
      <c r="O270" s="25" t="str">
        <f>TEXT(DATE(2023,Table43[[#This Row],[Month]],1),"mmm")</f>
        <v>Jun</v>
      </c>
      <c r="P270" s="25"/>
      <c r="Q270" s="25"/>
    </row>
    <row r="271" spans="1:17" x14ac:dyDescent="0.3">
      <c r="A271" s="11">
        <v>270</v>
      </c>
      <c r="B271" s="12">
        <v>44981</v>
      </c>
      <c r="C271" s="13" t="s">
        <v>30</v>
      </c>
      <c r="D271" s="13" t="s">
        <v>16</v>
      </c>
      <c r="E271" s="13" t="s">
        <v>20</v>
      </c>
      <c r="F271" s="13" t="s">
        <v>24</v>
      </c>
      <c r="G271" s="13" t="s">
        <v>28</v>
      </c>
      <c r="H271" s="14">
        <v>22141.33</v>
      </c>
      <c r="I271" s="13">
        <v>7</v>
      </c>
      <c r="J271" s="15">
        <v>4473.1400000000003</v>
      </c>
      <c r="K271" s="14" t="str" cm="1">
        <f t="array" ref="K271">_xlfn.IFS(Table43[[#This Row],[Sales]]&gt;40000,"Best Sales",Table43[[#This Row],[Sales]]&gt;20000,"Average Sales",Table43[[#This Row],[Sales]]&gt;0,"Poor Sales")</f>
        <v>Average Sales</v>
      </c>
      <c r="L271" s="23">
        <f>YEAR(Table43[[#This Row],[Date]])</f>
        <v>2023</v>
      </c>
      <c r="M271" s="23">
        <f>MONTH(Table43[[#This Row],[Date]])</f>
        <v>2</v>
      </c>
      <c r="N271" s="25">
        <f>DAY(Table43[[#This Row],[Date]])</f>
        <v>24</v>
      </c>
      <c r="O271" s="25" t="str">
        <f>TEXT(DATE(2023,Table43[[#This Row],[Month]],1),"mmm")</f>
        <v>Feb</v>
      </c>
      <c r="P271" s="25"/>
      <c r="Q271" s="25"/>
    </row>
    <row r="272" spans="1:17" x14ac:dyDescent="0.3">
      <c r="A272" s="6">
        <v>271</v>
      </c>
      <c r="B272" s="7">
        <v>45238</v>
      </c>
      <c r="C272" s="8" t="s">
        <v>15</v>
      </c>
      <c r="D272" s="8" t="s">
        <v>16</v>
      </c>
      <c r="E272" s="8" t="s">
        <v>20</v>
      </c>
      <c r="F272" s="8" t="s">
        <v>13</v>
      </c>
      <c r="G272" s="8" t="s">
        <v>34</v>
      </c>
      <c r="H272" s="9">
        <v>44279.01</v>
      </c>
      <c r="I272" s="8">
        <v>7</v>
      </c>
      <c r="J272" s="10">
        <v>6441.93</v>
      </c>
      <c r="K272" s="14" t="str" cm="1">
        <f t="array" ref="K272">_xlfn.IFS(Table43[[#This Row],[Sales]]&gt;40000,"Best Sales",Table43[[#This Row],[Sales]]&gt;20000,"Average Sales",Table43[[#This Row],[Sales]]&gt;0,"Poor Sales")</f>
        <v>Best Sales</v>
      </c>
      <c r="L272" s="23">
        <f>YEAR(Table43[[#This Row],[Date]])</f>
        <v>2023</v>
      </c>
      <c r="M272" s="23">
        <f>MONTH(Table43[[#This Row],[Date]])</f>
        <v>11</v>
      </c>
      <c r="N272" s="25">
        <f>DAY(Table43[[#This Row],[Date]])</f>
        <v>8</v>
      </c>
      <c r="O272" s="25" t="str">
        <f>TEXT(DATE(2023,Table43[[#This Row],[Month]],1),"mmm")</f>
        <v>Nov</v>
      </c>
      <c r="P272" s="25"/>
      <c r="Q272" s="25"/>
    </row>
    <row r="273" spans="1:17" x14ac:dyDescent="0.3">
      <c r="A273" s="11">
        <v>272</v>
      </c>
      <c r="B273" s="12">
        <v>44927</v>
      </c>
      <c r="C273" s="13" t="s">
        <v>35</v>
      </c>
      <c r="D273" s="13" t="s">
        <v>36</v>
      </c>
      <c r="E273" s="13" t="s">
        <v>12</v>
      </c>
      <c r="F273" s="13" t="s">
        <v>24</v>
      </c>
      <c r="G273" s="13" t="s">
        <v>25</v>
      </c>
      <c r="H273" s="14">
        <v>34850.58</v>
      </c>
      <c r="I273" s="13">
        <v>6</v>
      </c>
      <c r="J273" s="15">
        <v>7187.87</v>
      </c>
      <c r="K273" s="14" t="str" cm="1">
        <f t="array" ref="K273">_xlfn.IFS(Table43[[#This Row],[Sales]]&gt;40000,"Best Sales",Table43[[#This Row],[Sales]]&gt;20000,"Average Sales",Table43[[#This Row],[Sales]]&gt;0,"Poor Sales")</f>
        <v>Average Sales</v>
      </c>
      <c r="L273" s="23">
        <f>YEAR(Table43[[#This Row],[Date]])</f>
        <v>2023</v>
      </c>
      <c r="M273" s="23">
        <f>MONTH(Table43[[#This Row],[Date]])</f>
        <v>1</v>
      </c>
      <c r="N273" s="25">
        <f>DAY(Table43[[#This Row],[Date]])</f>
        <v>1</v>
      </c>
      <c r="O273" s="25" t="str">
        <f>TEXT(DATE(2023,Table43[[#This Row],[Month]],1),"mmm")</f>
        <v>Jan</v>
      </c>
      <c r="P273" s="25"/>
      <c r="Q273" s="25"/>
    </row>
    <row r="274" spans="1:17" x14ac:dyDescent="0.3">
      <c r="A274" s="6">
        <v>273</v>
      </c>
      <c r="B274" s="7">
        <v>45155</v>
      </c>
      <c r="C274" s="8" t="s">
        <v>22</v>
      </c>
      <c r="D274" s="8" t="s">
        <v>22</v>
      </c>
      <c r="E274" s="8" t="s">
        <v>17</v>
      </c>
      <c r="F274" s="8" t="s">
        <v>31</v>
      </c>
      <c r="G274" s="8" t="s">
        <v>33</v>
      </c>
      <c r="H274" s="9">
        <v>5858.59</v>
      </c>
      <c r="I274" s="8">
        <v>3</v>
      </c>
      <c r="J274" s="10">
        <v>796.7</v>
      </c>
      <c r="K274" s="14" t="str" cm="1">
        <f t="array" ref="K274">_xlfn.IFS(Table43[[#This Row],[Sales]]&gt;40000,"Best Sales",Table43[[#This Row],[Sales]]&gt;20000,"Average Sales",Table43[[#This Row],[Sales]]&gt;0,"Poor Sales")</f>
        <v>Poor Sales</v>
      </c>
      <c r="L274" s="23">
        <f>YEAR(Table43[[#This Row],[Date]])</f>
        <v>2023</v>
      </c>
      <c r="M274" s="23">
        <f>MONTH(Table43[[#This Row],[Date]])</f>
        <v>8</v>
      </c>
      <c r="N274" s="25">
        <f>DAY(Table43[[#This Row],[Date]])</f>
        <v>17</v>
      </c>
      <c r="O274" s="25" t="str">
        <f>TEXT(DATE(2023,Table43[[#This Row],[Month]],1),"mmm")</f>
        <v>Aug</v>
      </c>
      <c r="P274" s="25"/>
      <c r="Q274" s="25"/>
    </row>
    <row r="275" spans="1:17" x14ac:dyDescent="0.3">
      <c r="A275" s="11">
        <v>274</v>
      </c>
      <c r="B275" s="12">
        <v>45162</v>
      </c>
      <c r="C275" s="13" t="s">
        <v>38</v>
      </c>
      <c r="D275" s="13" t="s">
        <v>27</v>
      </c>
      <c r="E275" s="13" t="s">
        <v>12</v>
      </c>
      <c r="F275" s="13" t="s">
        <v>31</v>
      </c>
      <c r="G275" s="13" t="s">
        <v>39</v>
      </c>
      <c r="H275" s="14">
        <v>48376.78</v>
      </c>
      <c r="I275" s="13">
        <v>2</v>
      </c>
      <c r="J275" s="15">
        <v>6380.96</v>
      </c>
      <c r="K275" s="14" t="str" cm="1">
        <f t="array" ref="K275">_xlfn.IFS(Table43[[#This Row],[Sales]]&gt;40000,"Best Sales",Table43[[#This Row],[Sales]]&gt;20000,"Average Sales",Table43[[#This Row],[Sales]]&gt;0,"Poor Sales")</f>
        <v>Best Sales</v>
      </c>
      <c r="L275" s="23">
        <f>YEAR(Table43[[#This Row],[Date]])</f>
        <v>2023</v>
      </c>
      <c r="M275" s="23">
        <f>MONTH(Table43[[#This Row],[Date]])</f>
        <v>8</v>
      </c>
      <c r="N275" s="25">
        <f>DAY(Table43[[#This Row],[Date]])</f>
        <v>24</v>
      </c>
      <c r="O275" s="25" t="str">
        <f>TEXT(DATE(2023,Table43[[#This Row],[Month]],1),"mmm")</f>
        <v>Aug</v>
      </c>
      <c r="P275" s="25"/>
      <c r="Q275" s="25"/>
    </row>
    <row r="276" spans="1:17" x14ac:dyDescent="0.3">
      <c r="A276" s="6">
        <v>275</v>
      </c>
      <c r="B276" s="7">
        <v>45003</v>
      </c>
      <c r="C276" s="8" t="s">
        <v>37</v>
      </c>
      <c r="D276" s="8" t="s">
        <v>27</v>
      </c>
      <c r="E276" s="8" t="s">
        <v>17</v>
      </c>
      <c r="F276" s="8" t="s">
        <v>31</v>
      </c>
      <c r="G276" s="8" t="s">
        <v>39</v>
      </c>
      <c r="H276" s="9">
        <v>45474.51</v>
      </c>
      <c r="I276" s="8">
        <v>5</v>
      </c>
      <c r="J276" s="10">
        <v>10209.879999999999</v>
      </c>
      <c r="K276" s="14" t="str" cm="1">
        <f t="array" ref="K276">_xlfn.IFS(Table43[[#This Row],[Sales]]&gt;40000,"Best Sales",Table43[[#This Row],[Sales]]&gt;20000,"Average Sales",Table43[[#This Row],[Sales]]&gt;0,"Poor Sales")</f>
        <v>Best Sales</v>
      </c>
      <c r="L276" s="23">
        <f>YEAR(Table43[[#This Row],[Date]])</f>
        <v>2023</v>
      </c>
      <c r="M276" s="23">
        <f>MONTH(Table43[[#This Row],[Date]])</f>
        <v>3</v>
      </c>
      <c r="N276" s="25">
        <f>DAY(Table43[[#This Row],[Date]])</f>
        <v>18</v>
      </c>
      <c r="O276" s="25" t="str">
        <f>TEXT(DATE(2023,Table43[[#This Row],[Month]],1),"mmm")</f>
        <v>Mar</v>
      </c>
      <c r="P276" s="25"/>
      <c r="Q276" s="25"/>
    </row>
    <row r="277" spans="1:17" x14ac:dyDescent="0.3">
      <c r="A277" s="11">
        <v>276</v>
      </c>
      <c r="B277" s="12">
        <v>45184</v>
      </c>
      <c r="C277" s="13" t="s">
        <v>38</v>
      </c>
      <c r="D277" s="13" t="s">
        <v>27</v>
      </c>
      <c r="E277" s="13" t="s">
        <v>20</v>
      </c>
      <c r="F277" s="13" t="s">
        <v>31</v>
      </c>
      <c r="G277" s="13" t="s">
        <v>32</v>
      </c>
      <c r="H277" s="14">
        <v>38210.57</v>
      </c>
      <c r="I277" s="13">
        <v>1</v>
      </c>
      <c r="J277" s="15">
        <v>8172.28</v>
      </c>
      <c r="K277" s="14" t="str" cm="1">
        <f t="array" ref="K277">_xlfn.IFS(Table43[[#This Row],[Sales]]&gt;40000,"Best Sales",Table43[[#This Row],[Sales]]&gt;20000,"Average Sales",Table43[[#This Row],[Sales]]&gt;0,"Poor Sales")</f>
        <v>Average Sales</v>
      </c>
      <c r="L277" s="23">
        <f>YEAR(Table43[[#This Row],[Date]])</f>
        <v>2023</v>
      </c>
      <c r="M277" s="23">
        <f>MONTH(Table43[[#This Row],[Date]])</f>
        <v>9</v>
      </c>
      <c r="N277" s="25">
        <f>DAY(Table43[[#This Row],[Date]])</f>
        <v>15</v>
      </c>
      <c r="O277" s="25" t="str">
        <f>TEXT(DATE(2023,Table43[[#This Row],[Month]],1),"mmm")</f>
        <v>Sep</v>
      </c>
      <c r="P277" s="25"/>
      <c r="Q277" s="25"/>
    </row>
    <row r="278" spans="1:17" x14ac:dyDescent="0.3">
      <c r="A278" s="6">
        <v>277</v>
      </c>
      <c r="B278" s="7">
        <v>45064</v>
      </c>
      <c r="C278" s="8" t="s">
        <v>35</v>
      </c>
      <c r="D278" s="8" t="s">
        <v>36</v>
      </c>
      <c r="E278" s="8" t="s">
        <v>20</v>
      </c>
      <c r="F278" s="8" t="s">
        <v>24</v>
      </c>
      <c r="G278" s="8" t="s">
        <v>28</v>
      </c>
      <c r="H278" s="9">
        <v>2743.4</v>
      </c>
      <c r="I278" s="8">
        <v>2</v>
      </c>
      <c r="J278" s="10">
        <v>324.44</v>
      </c>
      <c r="K278" s="14" t="str" cm="1">
        <f t="array" ref="K278">_xlfn.IFS(Table43[[#This Row],[Sales]]&gt;40000,"Best Sales",Table43[[#This Row],[Sales]]&gt;20000,"Average Sales",Table43[[#This Row],[Sales]]&gt;0,"Poor Sales")</f>
        <v>Poor Sales</v>
      </c>
      <c r="L278" s="23">
        <f>YEAR(Table43[[#This Row],[Date]])</f>
        <v>2023</v>
      </c>
      <c r="M278" s="23">
        <f>MONTH(Table43[[#This Row],[Date]])</f>
        <v>5</v>
      </c>
      <c r="N278" s="25">
        <f>DAY(Table43[[#This Row],[Date]])</f>
        <v>18</v>
      </c>
      <c r="O278" s="25" t="str">
        <f>TEXT(DATE(2023,Table43[[#This Row],[Month]],1),"mmm")</f>
        <v>May</v>
      </c>
      <c r="P278" s="25"/>
      <c r="Q278" s="25"/>
    </row>
    <row r="279" spans="1:17" x14ac:dyDescent="0.3">
      <c r="A279" s="11">
        <v>278</v>
      </c>
      <c r="B279" s="12">
        <v>45010</v>
      </c>
      <c r="C279" s="13" t="s">
        <v>15</v>
      </c>
      <c r="D279" s="13" t="s">
        <v>16</v>
      </c>
      <c r="E279" s="13" t="s">
        <v>12</v>
      </c>
      <c r="F279" s="13" t="s">
        <v>31</v>
      </c>
      <c r="G279" s="13" t="s">
        <v>32</v>
      </c>
      <c r="H279" s="14">
        <v>17723.98</v>
      </c>
      <c r="I279" s="13">
        <v>3</v>
      </c>
      <c r="J279" s="15">
        <v>3188.41</v>
      </c>
      <c r="K279" s="14" t="str" cm="1">
        <f t="array" ref="K279">_xlfn.IFS(Table43[[#This Row],[Sales]]&gt;40000,"Best Sales",Table43[[#This Row],[Sales]]&gt;20000,"Average Sales",Table43[[#This Row],[Sales]]&gt;0,"Poor Sales")</f>
        <v>Poor Sales</v>
      </c>
      <c r="L279" s="23">
        <f>YEAR(Table43[[#This Row],[Date]])</f>
        <v>2023</v>
      </c>
      <c r="M279" s="23">
        <f>MONTH(Table43[[#This Row],[Date]])</f>
        <v>3</v>
      </c>
      <c r="N279" s="25">
        <f>DAY(Table43[[#This Row],[Date]])</f>
        <v>25</v>
      </c>
      <c r="O279" s="25" t="str">
        <f>TEXT(DATE(2023,Table43[[#This Row],[Month]],1),"mmm")</f>
        <v>Mar</v>
      </c>
      <c r="P279" s="25"/>
      <c r="Q279" s="25"/>
    </row>
    <row r="280" spans="1:17" x14ac:dyDescent="0.3">
      <c r="A280" s="6">
        <v>279</v>
      </c>
      <c r="B280" s="7">
        <v>44973</v>
      </c>
      <c r="C280" s="8" t="s">
        <v>15</v>
      </c>
      <c r="D280" s="8" t="s">
        <v>16</v>
      </c>
      <c r="E280" s="8" t="s">
        <v>17</v>
      </c>
      <c r="F280" s="8" t="s">
        <v>13</v>
      </c>
      <c r="G280" s="8" t="s">
        <v>21</v>
      </c>
      <c r="H280" s="9">
        <v>37126.15</v>
      </c>
      <c r="I280" s="8">
        <v>7</v>
      </c>
      <c r="J280" s="10">
        <v>7778.08</v>
      </c>
      <c r="K280" s="14" t="str" cm="1">
        <f t="array" ref="K280">_xlfn.IFS(Table43[[#This Row],[Sales]]&gt;40000,"Best Sales",Table43[[#This Row],[Sales]]&gt;20000,"Average Sales",Table43[[#This Row],[Sales]]&gt;0,"Poor Sales")</f>
        <v>Average Sales</v>
      </c>
      <c r="L280" s="23">
        <f>YEAR(Table43[[#This Row],[Date]])</f>
        <v>2023</v>
      </c>
      <c r="M280" s="23">
        <f>MONTH(Table43[[#This Row],[Date]])</f>
        <v>2</v>
      </c>
      <c r="N280" s="25">
        <f>DAY(Table43[[#This Row],[Date]])</f>
        <v>16</v>
      </c>
      <c r="O280" s="25" t="str">
        <f>TEXT(DATE(2023,Table43[[#This Row],[Month]],1),"mmm")</f>
        <v>Feb</v>
      </c>
      <c r="P280" s="25"/>
      <c r="Q280" s="25"/>
    </row>
    <row r="281" spans="1:17" x14ac:dyDescent="0.3">
      <c r="A281" s="11">
        <v>280</v>
      </c>
      <c r="B281" s="12">
        <v>45043</v>
      </c>
      <c r="C281" s="13" t="s">
        <v>10</v>
      </c>
      <c r="D281" s="13" t="s">
        <v>11</v>
      </c>
      <c r="E281" s="13" t="s">
        <v>12</v>
      </c>
      <c r="F281" s="13" t="s">
        <v>13</v>
      </c>
      <c r="G281" s="13" t="s">
        <v>14</v>
      </c>
      <c r="H281" s="14">
        <v>33645.160000000003</v>
      </c>
      <c r="I281" s="13">
        <v>9</v>
      </c>
      <c r="J281" s="15">
        <v>3910.56</v>
      </c>
      <c r="K281" s="14" t="str" cm="1">
        <f t="array" ref="K281">_xlfn.IFS(Table43[[#This Row],[Sales]]&gt;40000,"Best Sales",Table43[[#This Row],[Sales]]&gt;20000,"Average Sales",Table43[[#This Row],[Sales]]&gt;0,"Poor Sales")</f>
        <v>Average Sales</v>
      </c>
      <c r="L281" s="23">
        <f>YEAR(Table43[[#This Row],[Date]])</f>
        <v>2023</v>
      </c>
      <c r="M281" s="23">
        <f>MONTH(Table43[[#This Row],[Date]])</f>
        <v>4</v>
      </c>
      <c r="N281" s="25">
        <f>DAY(Table43[[#This Row],[Date]])</f>
        <v>27</v>
      </c>
      <c r="O281" s="25" t="str">
        <f>TEXT(DATE(2023,Table43[[#This Row],[Month]],1),"mmm")</f>
        <v>Apr</v>
      </c>
      <c r="P281" s="25"/>
      <c r="Q281" s="25"/>
    </row>
    <row r="282" spans="1:17" x14ac:dyDescent="0.3">
      <c r="A282" s="6">
        <v>281</v>
      </c>
      <c r="B282" s="7">
        <v>44956</v>
      </c>
      <c r="C282" s="8" t="s">
        <v>35</v>
      </c>
      <c r="D282" s="8" t="s">
        <v>36</v>
      </c>
      <c r="E282" s="8" t="s">
        <v>17</v>
      </c>
      <c r="F282" s="8" t="s">
        <v>24</v>
      </c>
      <c r="G282" s="8" t="s">
        <v>25</v>
      </c>
      <c r="H282" s="9">
        <v>16719.09</v>
      </c>
      <c r="I282" s="8">
        <v>4</v>
      </c>
      <c r="J282" s="10">
        <v>1211.3699999999999</v>
      </c>
      <c r="K282" s="14" t="str" cm="1">
        <f t="array" ref="K282">_xlfn.IFS(Table43[[#This Row],[Sales]]&gt;40000,"Best Sales",Table43[[#This Row],[Sales]]&gt;20000,"Average Sales",Table43[[#This Row],[Sales]]&gt;0,"Poor Sales")</f>
        <v>Poor Sales</v>
      </c>
      <c r="L282" s="23">
        <f>YEAR(Table43[[#This Row],[Date]])</f>
        <v>2023</v>
      </c>
      <c r="M282" s="23">
        <f>MONTH(Table43[[#This Row],[Date]])</f>
        <v>1</v>
      </c>
      <c r="N282" s="25">
        <f>DAY(Table43[[#This Row],[Date]])</f>
        <v>30</v>
      </c>
      <c r="O282" s="25" t="str">
        <f>TEXT(DATE(2023,Table43[[#This Row],[Month]],1),"mmm")</f>
        <v>Jan</v>
      </c>
      <c r="P282" s="25"/>
      <c r="Q282" s="25"/>
    </row>
    <row r="283" spans="1:17" x14ac:dyDescent="0.3">
      <c r="A283" s="11">
        <v>282</v>
      </c>
      <c r="B283" s="12">
        <v>45046</v>
      </c>
      <c r="C283" s="13" t="s">
        <v>10</v>
      </c>
      <c r="D283" s="13" t="s">
        <v>11</v>
      </c>
      <c r="E283" s="13" t="s">
        <v>20</v>
      </c>
      <c r="F283" s="13" t="s">
        <v>31</v>
      </c>
      <c r="G283" s="13" t="s">
        <v>32</v>
      </c>
      <c r="H283" s="14">
        <v>25813.7</v>
      </c>
      <c r="I283" s="13">
        <v>4</v>
      </c>
      <c r="J283" s="15">
        <v>5481.41</v>
      </c>
      <c r="K283" s="14" t="str" cm="1">
        <f t="array" ref="K283">_xlfn.IFS(Table43[[#This Row],[Sales]]&gt;40000,"Best Sales",Table43[[#This Row],[Sales]]&gt;20000,"Average Sales",Table43[[#This Row],[Sales]]&gt;0,"Poor Sales")</f>
        <v>Average Sales</v>
      </c>
      <c r="L283" s="23">
        <f>YEAR(Table43[[#This Row],[Date]])</f>
        <v>2023</v>
      </c>
      <c r="M283" s="23">
        <f>MONTH(Table43[[#This Row],[Date]])</f>
        <v>4</v>
      </c>
      <c r="N283" s="25">
        <f>DAY(Table43[[#This Row],[Date]])</f>
        <v>30</v>
      </c>
      <c r="O283" s="25" t="str">
        <f>TEXT(DATE(2023,Table43[[#This Row],[Month]],1),"mmm")</f>
        <v>Apr</v>
      </c>
      <c r="P283" s="25"/>
      <c r="Q283" s="25"/>
    </row>
    <row r="284" spans="1:17" x14ac:dyDescent="0.3">
      <c r="A284" s="6">
        <v>283</v>
      </c>
      <c r="B284" s="7">
        <v>45087</v>
      </c>
      <c r="C284" s="8" t="s">
        <v>37</v>
      </c>
      <c r="D284" s="8" t="s">
        <v>27</v>
      </c>
      <c r="E284" s="8" t="s">
        <v>20</v>
      </c>
      <c r="F284" s="8" t="s">
        <v>13</v>
      </c>
      <c r="G284" s="8" t="s">
        <v>21</v>
      </c>
      <c r="H284" s="9">
        <v>4086.81</v>
      </c>
      <c r="I284" s="8">
        <v>4</v>
      </c>
      <c r="J284" s="10">
        <v>760.68</v>
      </c>
      <c r="K284" s="14" t="str" cm="1">
        <f t="array" ref="K284">_xlfn.IFS(Table43[[#This Row],[Sales]]&gt;40000,"Best Sales",Table43[[#This Row],[Sales]]&gt;20000,"Average Sales",Table43[[#This Row],[Sales]]&gt;0,"Poor Sales")</f>
        <v>Poor Sales</v>
      </c>
      <c r="L284" s="23">
        <f>YEAR(Table43[[#This Row],[Date]])</f>
        <v>2023</v>
      </c>
      <c r="M284" s="23">
        <f>MONTH(Table43[[#This Row],[Date]])</f>
        <v>6</v>
      </c>
      <c r="N284" s="25">
        <f>DAY(Table43[[#This Row],[Date]])</f>
        <v>10</v>
      </c>
      <c r="O284" s="25" t="str">
        <f>TEXT(DATE(2023,Table43[[#This Row],[Month]],1),"mmm")</f>
        <v>Jun</v>
      </c>
      <c r="P284" s="25"/>
      <c r="Q284" s="25"/>
    </row>
    <row r="285" spans="1:17" x14ac:dyDescent="0.3">
      <c r="A285" s="11">
        <v>284</v>
      </c>
      <c r="B285" s="12">
        <v>45145</v>
      </c>
      <c r="C285" s="13" t="s">
        <v>38</v>
      </c>
      <c r="D285" s="13" t="s">
        <v>27</v>
      </c>
      <c r="E285" s="13" t="s">
        <v>12</v>
      </c>
      <c r="F285" s="13" t="s">
        <v>13</v>
      </c>
      <c r="G285" s="13" t="s">
        <v>21</v>
      </c>
      <c r="H285" s="14">
        <v>18521.38</v>
      </c>
      <c r="I285" s="13">
        <v>1</v>
      </c>
      <c r="J285" s="15">
        <v>1946.16</v>
      </c>
      <c r="K285" s="14" t="str" cm="1">
        <f t="array" ref="K285">_xlfn.IFS(Table43[[#This Row],[Sales]]&gt;40000,"Best Sales",Table43[[#This Row],[Sales]]&gt;20000,"Average Sales",Table43[[#This Row],[Sales]]&gt;0,"Poor Sales")</f>
        <v>Poor Sales</v>
      </c>
      <c r="L285" s="23">
        <f>YEAR(Table43[[#This Row],[Date]])</f>
        <v>2023</v>
      </c>
      <c r="M285" s="23">
        <f>MONTH(Table43[[#This Row],[Date]])</f>
        <v>8</v>
      </c>
      <c r="N285" s="25">
        <f>DAY(Table43[[#This Row],[Date]])</f>
        <v>7</v>
      </c>
      <c r="O285" s="25" t="str">
        <f>TEXT(DATE(2023,Table43[[#This Row],[Month]],1),"mmm")</f>
        <v>Aug</v>
      </c>
      <c r="P285" s="25"/>
      <c r="Q285" s="25"/>
    </row>
    <row r="286" spans="1:17" x14ac:dyDescent="0.3">
      <c r="A286" s="6">
        <v>285</v>
      </c>
      <c r="B286" s="7">
        <v>45165</v>
      </c>
      <c r="C286" s="8" t="s">
        <v>37</v>
      </c>
      <c r="D286" s="8" t="s">
        <v>27</v>
      </c>
      <c r="E286" s="8" t="s">
        <v>17</v>
      </c>
      <c r="F286" s="8" t="s">
        <v>24</v>
      </c>
      <c r="G286" s="8" t="s">
        <v>29</v>
      </c>
      <c r="H286" s="9">
        <v>35464.68</v>
      </c>
      <c r="I286" s="8">
        <v>3</v>
      </c>
      <c r="J286" s="10">
        <v>4946.6099999999997</v>
      </c>
      <c r="K286" s="14" t="str" cm="1">
        <f t="array" ref="K286">_xlfn.IFS(Table43[[#This Row],[Sales]]&gt;40000,"Best Sales",Table43[[#This Row],[Sales]]&gt;20000,"Average Sales",Table43[[#This Row],[Sales]]&gt;0,"Poor Sales")</f>
        <v>Average Sales</v>
      </c>
      <c r="L286" s="23">
        <f>YEAR(Table43[[#This Row],[Date]])</f>
        <v>2023</v>
      </c>
      <c r="M286" s="23">
        <f>MONTH(Table43[[#This Row],[Date]])</f>
        <v>8</v>
      </c>
      <c r="N286" s="25">
        <f>DAY(Table43[[#This Row],[Date]])</f>
        <v>27</v>
      </c>
      <c r="O286" s="25" t="str">
        <f>TEXT(DATE(2023,Table43[[#This Row],[Month]],1),"mmm")</f>
        <v>Aug</v>
      </c>
      <c r="P286" s="25"/>
      <c r="Q286" s="25"/>
    </row>
    <row r="287" spans="1:17" x14ac:dyDescent="0.3">
      <c r="A287" s="11">
        <v>286</v>
      </c>
      <c r="B287" s="12">
        <v>45228</v>
      </c>
      <c r="C287" s="13" t="s">
        <v>35</v>
      </c>
      <c r="D287" s="13" t="s">
        <v>36</v>
      </c>
      <c r="E287" s="13" t="s">
        <v>12</v>
      </c>
      <c r="F287" s="13" t="s">
        <v>13</v>
      </c>
      <c r="G287" s="13" t="s">
        <v>34</v>
      </c>
      <c r="H287" s="14">
        <v>49796.639999999999</v>
      </c>
      <c r="I287" s="13">
        <v>9</v>
      </c>
      <c r="J287" s="15">
        <v>11826.36</v>
      </c>
      <c r="K287" s="14" t="str" cm="1">
        <f t="array" ref="K287">_xlfn.IFS(Table43[[#This Row],[Sales]]&gt;40000,"Best Sales",Table43[[#This Row],[Sales]]&gt;20000,"Average Sales",Table43[[#This Row],[Sales]]&gt;0,"Poor Sales")</f>
        <v>Best Sales</v>
      </c>
      <c r="L287" s="23">
        <f>YEAR(Table43[[#This Row],[Date]])</f>
        <v>2023</v>
      </c>
      <c r="M287" s="23">
        <f>MONTH(Table43[[#This Row],[Date]])</f>
        <v>10</v>
      </c>
      <c r="N287" s="25">
        <f>DAY(Table43[[#This Row],[Date]])</f>
        <v>29</v>
      </c>
      <c r="O287" s="25" t="str">
        <f>TEXT(DATE(2023,Table43[[#This Row],[Month]],1),"mmm")</f>
        <v>Oct</v>
      </c>
      <c r="P287" s="25"/>
      <c r="Q287" s="25"/>
    </row>
    <row r="288" spans="1:17" x14ac:dyDescent="0.3">
      <c r="A288" s="6">
        <v>287</v>
      </c>
      <c r="B288" s="7">
        <v>45075</v>
      </c>
      <c r="C288" s="8" t="s">
        <v>26</v>
      </c>
      <c r="D288" s="8" t="s">
        <v>27</v>
      </c>
      <c r="E288" s="8" t="s">
        <v>17</v>
      </c>
      <c r="F288" s="8" t="s">
        <v>24</v>
      </c>
      <c r="G288" s="8" t="s">
        <v>25</v>
      </c>
      <c r="H288" s="9">
        <v>6484.96</v>
      </c>
      <c r="I288" s="8">
        <v>3</v>
      </c>
      <c r="J288" s="10">
        <v>1208.78</v>
      </c>
      <c r="K288" s="14" t="str" cm="1">
        <f t="array" ref="K288">_xlfn.IFS(Table43[[#This Row],[Sales]]&gt;40000,"Best Sales",Table43[[#This Row],[Sales]]&gt;20000,"Average Sales",Table43[[#This Row],[Sales]]&gt;0,"Poor Sales")</f>
        <v>Poor Sales</v>
      </c>
      <c r="L288" s="23">
        <f>YEAR(Table43[[#This Row],[Date]])</f>
        <v>2023</v>
      </c>
      <c r="M288" s="23">
        <f>MONTH(Table43[[#This Row],[Date]])</f>
        <v>5</v>
      </c>
      <c r="N288" s="25">
        <f>DAY(Table43[[#This Row],[Date]])</f>
        <v>29</v>
      </c>
      <c r="O288" s="25" t="str">
        <f>TEXT(DATE(2023,Table43[[#This Row],[Month]],1),"mmm")</f>
        <v>May</v>
      </c>
      <c r="P288" s="25"/>
      <c r="Q288" s="25"/>
    </row>
    <row r="289" spans="1:17" x14ac:dyDescent="0.3">
      <c r="A289" s="11">
        <v>288</v>
      </c>
      <c r="B289" s="12">
        <v>45197</v>
      </c>
      <c r="C289" s="13" t="s">
        <v>35</v>
      </c>
      <c r="D289" s="13" t="s">
        <v>36</v>
      </c>
      <c r="E289" s="13" t="s">
        <v>20</v>
      </c>
      <c r="F289" s="13" t="s">
        <v>13</v>
      </c>
      <c r="G289" s="13" t="s">
        <v>21</v>
      </c>
      <c r="H289" s="14">
        <v>33163.33</v>
      </c>
      <c r="I289" s="13">
        <v>10</v>
      </c>
      <c r="J289" s="15">
        <v>7488.7</v>
      </c>
      <c r="K289" s="14" t="str" cm="1">
        <f t="array" ref="K289">_xlfn.IFS(Table43[[#This Row],[Sales]]&gt;40000,"Best Sales",Table43[[#This Row],[Sales]]&gt;20000,"Average Sales",Table43[[#This Row],[Sales]]&gt;0,"Poor Sales")</f>
        <v>Average Sales</v>
      </c>
      <c r="L289" s="23">
        <f>YEAR(Table43[[#This Row],[Date]])</f>
        <v>2023</v>
      </c>
      <c r="M289" s="23">
        <f>MONTH(Table43[[#This Row],[Date]])</f>
        <v>9</v>
      </c>
      <c r="N289" s="25">
        <f>DAY(Table43[[#This Row],[Date]])</f>
        <v>28</v>
      </c>
      <c r="O289" s="25" t="str">
        <f>TEXT(DATE(2023,Table43[[#This Row],[Month]],1),"mmm")</f>
        <v>Sep</v>
      </c>
      <c r="P289" s="25"/>
      <c r="Q289" s="25"/>
    </row>
    <row r="290" spans="1:17" x14ac:dyDescent="0.3">
      <c r="A290" s="6">
        <v>289</v>
      </c>
      <c r="B290" s="7">
        <v>44994</v>
      </c>
      <c r="C290" s="8" t="s">
        <v>10</v>
      </c>
      <c r="D290" s="8" t="s">
        <v>11</v>
      </c>
      <c r="E290" s="8" t="s">
        <v>20</v>
      </c>
      <c r="F290" s="8" t="s">
        <v>31</v>
      </c>
      <c r="G290" s="8" t="s">
        <v>39</v>
      </c>
      <c r="H290" s="9">
        <v>13149.05</v>
      </c>
      <c r="I290" s="8">
        <v>7</v>
      </c>
      <c r="J290" s="10">
        <v>3576.49</v>
      </c>
      <c r="K290" s="14" t="str" cm="1">
        <f t="array" ref="K290">_xlfn.IFS(Table43[[#This Row],[Sales]]&gt;40000,"Best Sales",Table43[[#This Row],[Sales]]&gt;20000,"Average Sales",Table43[[#This Row],[Sales]]&gt;0,"Poor Sales")</f>
        <v>Poor Sales</v>
      </c>
      <c r="L290" s="23">
        <f>YEAR(Table43[[#This Row],[Date]])</f>
        <v>2023</v>
      </c>
      <c r="M290" s="23">
        <f>MONTH(Table43[[#This Row],[Date]])</f>
        <v>3</v>
      </c>
      <c r="N290" s="25">
        <f>DAY(Table43[[#This Row],[Date]])</f>
        <v>9</v>
      </c>
      <c r="O290" s="25" t="str">
        <f>TEXT(DATE(2023,Table43[[#This Row],[Month]],1),"mmm")</f>
        <v>Mar</v>
      </c>
      <c r="P290" s="25"/>
      <c r="Q290" s="25"/>
    </row>
    <row r="291" spans="1:17" x14ac:dyDescent="0.3">
      <c r="A291" s="11">
        <v>290</v>
      </c>
      <c r="B291" s="12">
        <v>44958</v>
      </c>
      <c r="C291" s="13" t="s">
        <v>22</v>
      </c>
      <c r="D291" s="13" t="s">
        <v>22</v>
      </c>
      <c r="E291" s="13" t="s">
        <v>12</v>
      </c>
      <c r="F291" s="13" t="s">
        <v>31</v>
      </c>
      <c r="G291" s="13" t="s">
        <v>32</v>
      </c>
      <c r="H291" s="14">
        <v>34621.160000000003</v>
      </c>
      <c r="I291" s="13">
        <v>3</v>
      </c>
      <c r="J291" s="15">
        <v>7130.72</v>
      </c>
      <c r="K291" s="14" t="str" cm="1">
        <f t="array" ref="K291">_xlfn.IFS(Table43[[#This Row],[Sales]]&gt;40000,"Best Sales",Table43[[#This Row],[Sales]]&gt;20000,"Average Sales",Table43[[#This Row],[Sales]]&gt;0,"Poor Sales")</f>
        <v>Average Sales</v>
      </c>
      <c r="L291" s="23">
        <f>YEAR(Table43[[#This Row],[Date]])</f>
        <v>2023</v>
      </c>
      <c r="M291" s="23">
        <f>MONTH(Table43[[#This Row],[Date]])</f>
        <v>2</v>
      </c>
      <c r="N291" s="25">
        <f>DAY(Table43[[#This Row],[Date]])</f>
        <v>1</v>
      </c>
      <c r="O291" s="25" t="str">
        <f>TEXT(DATE(2023,Table43[[#This Row],[Month]],1),"mmm")</f>
        <v>Feb</v>
      </c>
      <c r="P291" s="25"/>
      <c r="Q291" s="25"/>
    </row>
    <row r="292" spans="1:17" x14ac:dyDescent="0.3">
      <c r="A292" s="6">
        <v>291</v>
      </c>
      <c r="B292" s="7">
        <v>45221</v>
      </c>
      <c r="C292" s="8" t="s">
        <v>10</v>
      </c>
      <c r="D292" s="8" t="s">
        <v>11</v>
      </c>
      <c r="E292" s="8" t="s">
        <v>17</v>
      </c>
      <c r="F292" s="8" t="s">
        <v>24</v>
      </c>
      <c r="G292" s="8" t="s">
        <v>29</v>
      </c>
      <c r="H292" s="9">
        <v>11966.24</v>
      </c>
      <c r="I292" s="8">
        <v>5</v>
      </c>
      <c r="J292" s="10">
        <v>2420.86</v>
      </c>
      <c r="K292" s="14" t="str" cm="1">
        <f t="array" ref="K292">_xlfn.IFS(Table43[[#This Row],[Sales]]&gt;40000,"Best Sales",Table43[[#This Row],[Sales]]&gt;20000,"Average Sales",Table43[[#This Row],[Sales]]&gt;0,"Poor Sales")</f>
        <v>Poor Sales</v>
      </c>
      <c r="L292" s="23">
        <f>YEAR(Table43[[#This Row],[Date]])</f>
        <v>2023</v>
      </c>
      <c r="M292" s="23">
        <f>MONTH(Table43[[#This Row],[Date]])</f>
        <v>10</v>
      </c>
      <c r="N292" s="25">
        <f>DAY(Table43[[#This Row],[Date]])</f>
        <v>22</v>
      </c>
      <c r="O292" s="25" t="str">
        <f>TEXT(DATE(2023,Table43[[#This Row],[Month]],1),"mmm")</f>
        <v>Oct</v>
      </c>
      <c r="P292" s="25"/>
      <c r="Q292" s="25"/>
    </row>
    <row r="293" spans="1:17" x14ac:dyDescent="0.3">
      <c r="A293" s="11">
        <v>292</v>
      </c>
      <c r="B293" s="12">
        <v>44960</v>
      </c>
      <c r="C293" s="13" t="s">
        <v>37</v>
      </c>
      <c r="D293" s="13" t="s">
        <v>27</v>
      </c>
      <c r="E293" s="13" t="s">
        <v>12</v>
      </c>
      <c r="F293" s="13" t="s">
        <v>13</v>
      </c>
      <c r="G293" s="13" t="s">
        <v>34</v>
      </c>
      <c r="H293" s="14">
        <v>20790.45</v>
      </c>
      <c r="I293" s="13">
        <v>10</v>
      </c>
      <c r="J293" s="15">
        <v>2754</v>
      </c>
      <c r="K293" s="14" t="str" cm="1">
        <f t="array" ref="K293">_xlfn.IFS(Table43[[#This Row],[Sales]]&gt;40000,"Best Sales",Table43[[#This Row],[Sales]]&gt;20000,"Average Sales",Table43[[#This Row],[Sales]]&gt;0,"Poor Sales")</f>
        <v>Average Sales</v>
      </c>
      <c r="L293" s="23">
        <f>YEAR(Table43[[#This Row],[Date]])</f>
        <v>2023</v>
      </c>
      <c r="M293" s="23">
        <f>MONTH(Table43[[#This Row],[Date]])</f>
        <v>2</v>
      </c>
      <c r="N293" s="25">
        <f>DAY(Table43[[#This Row],[Date]])</f>
        <v>3</v>
      </c>
      <c r="O293" s="25" t="str">
        <f>TEXT(DATE(2023,Table43[[#This Row],[Month]],1),"mmm")</f>
        <v>Feb</v>
      </c>
      <c r="P293" s="25"/>
      <c r="Q293" s="25"/>
    </row>
    <row r="294" spans="1:17" x14ac:dyDescent="0.3">
      <c r="A294" s="6">
        <v>293</v>
      </c>
      <c r="B294" s="7">
        <v>44982</v>
      </c>
      <c r="C294" s="8" t="s">
        <v>22</v>
      </c>
      <c r="D294" s="8" t="s">
        <v>22</v>
      </c>
      <c r="E294" s="8" t="s">
        <v>17</v>
      </c>
      <c r="F294" s="8" t="s">
        <v>13</v>
      </c>
      <c r="G294" s="8" t="s">
        <v>34</v>
      </c>
      <c r="H294" s="9">
        <v>20312.77</v>
      </c>
      <c r="I294" s="8">
        <v>5</v>
      </c>
      <c r="J294" s="10">
        <v>5618.1</v>
      </c>
      <c r="K294" s="14" t="str" cm="1">
        <f t="array" ref="K294">_xlfn.IFS(Table43[[#This Row],[Sales]]&gt;40000,"Best Sales",Table43[[#This Row],[Sales]]&gt;20000,"Average Sales",Table43[[#This Row],[Sales]]&gt;0,"Poor Sales")</f>
        <v>Average Sales</v>
      </c>
      <c r="L294" s="23">
        <f>YEAR(Table43[[#This Row],[Date]])</f>
        <v>2023</v>
      </c>
      <c r="M294" s="23">
        <f>MONTH(Table43[[#This Row],[Date]])</f>
        <v>2</v>
      </c>
      <c r="N294" s="25">
        <f>DAY(Table43[[#This Row],[Date]])</f>
        <v>25</v>
      </c>
      <c r="O294" s="25" t="str">
        <f>TEXT(DATE(2023,Table43[[#This Row],[Month]],1),"mmm")</f>
        <v>Feb</v>
      </c>
      <c r="P294" s="25"/>
      <c r="Q294" s="25"/>
    </row>
    <row r="295" spans="1:17" x14ac:dyDescent="0.3">
      <c r="A295" s="11">
        <v>294</v>
      </c>
      <c r="B295" s="12">
        <v>44982</v>
      </c>
      <c r="C295" s="13" t="s">
        <v>15</v>
      </c>
      <c r="D295" s="13" t="s">
        <v>16</v>
      </c>
      <c r="E295" s="13" t="s">
        <v>20</v>
      </c>
      <c r="F295" s="13" t="s">
        <v>24</v>
      </c>
      <c r="G295" s="13" t="s">
        <v>25</v>
      </c>
      <c r="H295" s="14">
        <v>39381.9</v>
      </c>
      <c r="I295" s="13">
        <v>10</v>
      </c>
      <c r="J295" s="15">
        <v>7457.7</v>
      </c>
      <c r="K295" s="14" t="str" cm="1">
        <f t="array" ref="K295">_xlfn.IFS(Table43[[#This Row],[Sales]]&gt;40000,"Best Sales",Table43[[#This Row],[Sales]]&gt;20000,"Average Sales",Table43[[#This Row],[Sales]]&gt;0,"Poor Sales")</f>
        <v>Average Sales</v>
      </c>
      <c r="L295" s="23">
        <f>YEAR(Table43[[#This Row],[Date]])</f>
        <v>2023</v>
      </c>
      <c r="M295" s="23">
        <f>MONTH(Table43[[#This Row],[Date]])</f>
        <v>2</v>
      </c>
      <c r="N295" s="25">
        <f>DAY(Table43[[#This Row],[Date]])</f>
        <v>25</v>
      </c>
      <c r="O295" s="25" t="str">
        <f>TEXT(DATE(2023,Table43[[#This Row],[Month]],1),"mmm")</f>
        <v>Feb</v>
      </c>
      <c r="P295" s="25"/>
      <c r="Q295" s="25"/>
    </row>
    <row r="296" spans="1:17" x14ac:dyDescent="0.3">
      <c r="A296" s="6">
        <v>295</v>
      </c>
      <c r="B296" s="7">
        <v>45286</v>
      </c>
      <c r="C296" s="8" t="s">
        <v>15</v>
      </c>
      <c r="D296" s="8" t="s">
        <v>16</v>
      </c>
      <c r="E296" s="8" t="s">
        <v>20</v>
      </c>
      <c r="F296" s="8" t="s">
        <v>24</v>
      </c>
      <c r="G296" s="8" t="s">
        <v>25</v>
      </c>
      <c r="H296" s="9">
        <v>32040.32</v>
      </c>
      <c r="I296" s="8">
        <v>10</v>
      </c>
      <c r="J296" s="10">
        <v>7617.08</v>
      </c>
      <c r="K296" s="14" t="str" cm="1">
        <f t="array" ref="K296">_xlfn.IFS(Table43[[#This Row],[Sales]]&gt;40000,"Best Sales",Table43[[#This Row],[Sales]]&gt;20000,"Average Sales",Table43[[#This Row],[Sales]]&gt;0,"Poor Sales")</f>
        <v>Average Sales</v>
      </c>
      <c r="L296" s="23">
        <f>YEAR(Table43[[#This Row],[Date]])</f>
        <v>2023</v>
      </c>
      <c r="M296" s="23">
        <f>MONTH(Table43[[#This Row],[Date]])</f>
        <v>12</v>
      </c>
      <c r="N296" s="25">
        <f>DAY(Table43[[#This Row],[Date]])</f>
        <v>26</v>
      </c>
      <c r="O296" s="25" t="str">
        <f>TEXT(DATE(2023,Table43[[#This Row],[Month]],1),"mmm")</f>
        <v>Dec</v>
      </c>
      <c r="P296" s="25"/>
      <c r="Q296" s="25"/>
    </row>
    <row r="297" spans="1:17" x14ac:dyDescent="0.3">
      <c r="A297" s="11">
        <v>296</v>
      </c>
      <c r="B297" s="12">
        <v>45200</v>
      </c>
      <c r="C297" s="13" t="s">
        <v>30</v>
      </c>
      <c r="D297" s="13" t="s">
        <v>16</v>
      </c>
      <c r="E297" s="13" t="s">
        <v>12</v>
      </c>
      <c r="F297" s="13" t="s">
        <v>24</v>
      </c>
      <c r="G297" s="13" t="s">
        <v>25</v>
      </c>
      <c r="H297" s="14">
        <v>9943.7099999999991</v>
      </c>
      <c r="I297" s="13">
        <v>2</v>
      </c>
      <c r="J297" s="15">
        <v>1663.61</v>
      </c>
      <c r="K297" s="14" t="str" cm="1">
        <f t="array" ref="K297">_xlfn.IFS(Table43[[#This Row],[Sales]]&gt;40000,"Best Sales",Table43[[#This Row],[Sales]]&gt;20000,"Average Sales",Table43[[#This Row],[Sales]]&gt;0,"Poor Sales")</f>
        <v>Poor Sales</v>
      </c>
      <c r="L297" s="23">
        <f>YEAR(Table43[[#This Row],[Date]])</f>
        <v>2023</v>
      </c>
      <c r="M297" s="23">
        <f>MONTH(Table43[[#This Row],[Date]])</f>
        <v>10</v>
      </c>
      <c r="N297" s="25">
        <f>DAY(Table43[[#This Row],[Date]])</f>
        <v>1</v>
      </c>
      <c r="O297" s="25" t="str">
        <f>TEXT(DATE(2023,Table43[[#This Row],[Month]],1),"mmm")</f>
        <v>Oct</v>
      </c>
      <c r="P297" s="25"/>
      <c r="Q297" s="25"/>
    </row>
    <row r="298" spans="1:17" x14ac:dyDescent="0.3">
      <c r="A298" s="6">
        <v>297</v>
      </c>
      <c r="B298" s="7">
        <v>45141</v>
      </c>
      <c r="C298" s="8" t="s">
        <v>35</v>
      </c>
      <c r="D298" s="8" t="s">
        <v>36</v>
      </c>
      <c r="E298" s="8" t="s">
        <v>17</v>
      </c>
      <c r="F298" s="8" t="s">
        <v>24</v>
      </c>
      <c r="G298" s="8" t="s">
        <v>28</v>
      </c>
      <c r="H298" s="9">
        <v>44799.3</v>
      </c>
      <c r="I298" s="8">
        <v>10</v>
      </c>
      <c r="J298" s="10">
        <v>5560.78</v>
      </c>
      <c r="K298" s="14" t="str" cm="1">
        <f t="array" ref="K298">_xlfn.IFS(Table43[[#This Row],[Sales]]&gt;40000,"Best Sales",Table43[[#This Row],[Sales]]&gt;20000,"Average Sales",Table43[[#This Row],[Sales]]&gt;0,"Poor Sales")</f>
        <v>Best Sales</v>
      </c>
      <c r="L298" s="23">
        <f>YEAR(Table43[[#This Row],[Date]])</f>
        <v>2023</v>
      </c>
      <c r="M298" s="23">
        <f>MONTH(Table43[[#This Row],[Date]])</f>
        <v>8</v>
      </c>
      <c r="N298" s="25">
        <f>DAY(Table43[[#This Row],[Date]])</f>
        <v>3</v>
      </c>
      <c r="O298" s="25" t="str">
        <f>TEXT(DATE(2023,Table43[[#This Row],[Month]],1),"mmm")</f>
        <v>Aug</v>
      </c>
      <c r="P298" s="25"/>
      <c r="Q298" s="25"/>
    </row>
    <row r="299" spans="1:17" x14ac:dyDescent="0.3">
      <c r="A299" s="11">
        <v>298</v>
      </c>
      <c r="B299" s="12">
        <v>45109</v>
      </c>
      <c r="C299" s="13" t="s">
        <v>26</v>
      </c>
      <c r="D299" s="13" t="s">
        <v>27</v>
      </c>
      <c r="E299" s="13" t="s">
        <v>12</v>
      </c>
      <c r="F299" s="13" t="s">
        <v>24</v>
      </c>
      <c r="G299" s="13" t="s">
        <v>28</v>
      </c>
      <c r="H299" s="14">
        <v>30482.42</v>
      </c>
      <c r="I299" s="13">
        <v>8</v>
      </c>
      <c r="J299" s="15">
        <v>4421.99</v>
      </c>
      <c r="K299" s="14" t="str" cm="1">
        <f t="array" ref="K299">_xlfn.IFS(Table43[[#This Row],[Sales]]&gt;40000,"Best Sales",Table43[[#This Row],[Sales]]&gt;20000,"Average Sales",Table43[[#This Row],[Sales]]&gt;0,"Poor Sales")</f>
        <v>Average Sales</v>
      </c>
      <c r="L299" s="23">
        <f>YEAR(Table43[[#This Row],[Date]])</f>
        <v>2023</v>
      </c>
      <c r="M299" s="23">
        <f>MONTH(Table43[[#This Row],[Date]])</f>
        <v>7</v>
      </c>
      <c r="N299" s="25">
        <f>DAY(Table43[[#This Row],[Date]])</f>
        <v>2</v>
      </c>
      <c r="O299" s="25" t="str">
        <f>TEXT(DATE(2023,Table43[[#This Row],[Month]],1),"mmm")</f>
        <v>Jul</v>
      </c>
      <c r="P299" s="25"/>
      <c r="Q299" s="25"/>
    </row>
    <row r="300" spans="1:17" x14ac:dyDescent="0.3">
      <c r="A300" s="6">
        <v>299</v>
      </c>
      <c r="B300" s="7">
        <v>45065</v>
      </c>
      <c r="C300" s="8" t="s">
        <v>37</v>
      </c>
      <c r="D300" s="8" t="s">
        <v>27</v>
      </c>
      <c r="E300" s="8" t="s">
        <v>17</v>
      </c>
      <c r="F300" s="8" t="s">
        <v>31</v>
      </c>
      <c r="G300" s="8" t="s">
        <v>39</v>
      </c>
      <c r="H300" s="9">
        <v>46018.66</v>
      </c>
      <c r="I300" s="8">
        <v>4</v>
      </c>
      <c r="J300" s="10">
        <v>11286.35</v>
      </c>
      <c r="K300" s="14" t="str" cm="1">
        <f t="array" ref="K300">_xlfn.IFS(Table43[[#This Row],[Sales]]&gt;40000,"Best Sales",Table43[[#This Row],[Sales]]&gt;20000,"Average Sales",Table43[[#This Row],[Sales]]&gt;0,"Poor Sales")</f>
        <v>Best Sales</v>
      </c>
      <c r="L300" s="23">
        <f>YEAR(Table43[[#This Row],[Date]])</f>
        <v>2023</v>
      </c>
      <c r="M300" s="23">
        <f>MONTH(Table43[[#This Row],[Date]])</f>
        <v>5</v>
      </c>
      <c r="N300" s="25">
        <f>DAY(Table43[[#This Row],[Date]])</f>
        <v>19</v>
      </c>
      <c r="O300" s="25" t="str">
        <f>TEXT(DATE(2023,Table43[[#This Row],[Month]],1),"mmm")</f>
        <v>May</v>
      </c>
      <c r="P300" s="25"/>
      <c r="Q300" s="25"/>
    </row>
    <row r="301" spans="1:17" x14ac:dyDescent="0.3">
      <c r="A301" s="11">
        <v>300</v>
      </c>
      <c r="B301" s="12">
        <v>44947</v>
      </c>
      <c r="C301" s="13" t="s">
        <v>30</v>
      </c>
      <c r="D301" s="13" t="s">
        <v>16</v>
      </c>
      <c r="E301" s="13" t="s">
        <v>20</v>
      </c>
      <c r="F301" s="13" t="s">
        <v>13</v>
      </c>
      <c r="G301" s="13" t="s">
        <v>21</v>
      </c>
      <c r="H301" s="14">
        <v>45604.85</v>
      </c>
      <c r="I301" s="13">
        <v>4</v>
      </c>
      <c r="J301" s="15">
        <v>10780.42</v>
      </c>
      <c r="K301" s="14" t="str" cm="1">
        <f t="array" ref="K301">_xlfn.IFS(Table43[[#This Row],[Sales]]&gt;40000,"Best Sales",Table43[[#This Row],[Sales]]&gt;20000,"Average Sales",Table43[[#This Row],[Sales]]&gt;0,"Poor Sales")</f>
        <v>Best Sales</v>
      </c>
      <c r="L301" s="23">
        <f>YEAR(Table43[[#This Row],[Date]])</f>
        <v>2023</v>
      </c>
      <c r="M301" s="23">
        <f>MONTH(Table43[[#This Row],[Date]])</f>
        <v>1</v>
      </c>
      <c r="N301" s="25">
        <f>DAY(Table43[[#This Row],[Date]])</f>
        <v>21</v>
      </c>
      <c r="O301" s="25" t="str">
        <f>TEXT(DATE(2023,Table43[[#This Row],[Month]],1),"mmm")</f>
        <v>Jan</v>
      </c>
      <c r="P301" s="25"/>
      <c r="Q301" s="25"/>
    </row>
    <row r="302" spans="1:17" x14ac:dyDescent="0.3">
      <c r="A302" s="6">
        <v>301</v>
      </c>
      <c r="B302" s="7">
        <v>45205</v>
      </c>
      <c r="C302" s="8" t="s">
        <v>10</v>
      </c>
      <c r="D302" s="8" t="s">
        <v>11</v>
      </c>
      <c r="E302" s="8" t="s">
        <v>20</v>
      </c>
      <c r="F302" s="8" t="s">
        <v>24</v>
      </c>
      <c r="G302" s="8" t="s">
        <v>29</v>
      </c>
      <c r="H302" s="9">
        <v>10568</v>
      </c>
      <c r="I302" s="8">
        <v>9</v>
      </c>
      <c r="J302" s="10">
        <v>1896.29</v>
      </c>
      <c r="K302" s="14" t="str" cm="1">
        <f t="array" ref="K302">_xlfn.IFS(Table43[[#This Row],[Sales]]&gt;40000,"Best Sales",Table43[[#This Row],[Sales]]&gt;20000,"Average Sales",Table43[[#This Row],[Sales]]&gt;0,"Poor Sales")</f>
        <v>Poor Sales</v>
      </c>
      <c r="L302" s="23">
        <f>YEAR(Table43[[#This Row],[Date]])</f>
        <v>2023</v>
      </c>
      <c r="M302" s="23">
        <f>MONTH(Table43[[#This Row],[Date]])</f>
        <v>10</v>
      </c>
      <c r="N302" s="25">
        <f>DAY(Table43[[#This Row],[Date]])</f>
        <v>6</v>
      </c>
      <c r="O302" s="25" t="str">
        <f>TEXT(DATE(2023,Table43[[#This Row],[Month]],1),"mmm")</f>
        <v>Oct</v>
      </c>
      <c r="P302" s="25"/>
      <c r="Q302" s="25"/>
    </row>
    <row r="303" spans="1:17" x14ac:dyDescent="0.3">
      <c r="A303" s="11">
        <v>302</v>
      </c>
      <c r="B303" s="12">
        <v>45020</v>
      </c>
      <c r="C303" s="13" t="s">
        <v>30</v>
      </c>
      <c r="D303" s="13" t="s">
        <v>16</v>
      </c>
      <c r="E303" s="13" t="s">
        <v>12</v>
      </c>
      <c r="F303" s="13" t="s">
        <v>24</v>
      </c>
      <c r="G303" s="13" t="s">
        <v>29</v>
      </c>
      <c r="H303" s="14">
        <v>36013.07</v>
      </c>
      <c r="I303" s="13">
        <v>7</v>
      </c>
      <c r="J303" s="15">
        <v>2887.26</v>
      </c>
      <c r="K303" s="14" t="str" cm="1">
        <f t="array" ref="K303">_xlfn.IFS(Table43[[#This Row],[Sales]]&gt;40000,"Best Sales",Table43[[#This Row],[Sales]]&gt;20000,"Average Sales",Table43[[#This Row],[Sales]]&gt;0,"Poor Sales")</f>
        <v>Average Sales</v>
      </c>
      <c r="L303" s="23">
        <f>YEAR(Table43[[#This Row],[Date]])</f>
        <v>2023</v>
      </c>
      <c r="M303" s="23">
        <f>MONTH(Table43[[#This Row],[Date]])</f>
        <v>4</v>
      </c>
      <c r="N303" s="25">
        <f>DAY(Table43[[#This Row],[Date]])</f>
        <v>4</v>
      </c>
      <c r="O303" s="25" t="str">
        <f>TEXT(DATE(2023,Table43[[#This Row],[Month]],1),"mmm")</f>
        <v>Apr</v>
      </c>
      <c r="P303" s="25"/>
      <c r="Q303" s="25"/>
    </row>
    <row r="304" spans="1:17" x14ac:dyDescent="0.3">
      <c r="A304" s="6">
        <v>303</v>
      </c>
      <c r="B304" s="7">
        <v>44950</v>
      </c>
      <c r="C304" s="8" t="s">
        <v>22</v>
      </c>
      <c r="D304" s="8" t="s">
        <v>22</v>
      </c>
      <c r="E304" s="8" t="s">
        <v>17</v>
      </c>
      <c r="F304" s="8" t="s">
        <v>24</v>
      </c>
      <c r="G304" s="8" t="s">
        <v>28</v>
      </c>
      <c r="H304" s="9">
        <v>8545.89</v>
      </c>
      <c r="I304" s="8">
        <v>8</v>
      </c>
      <c r="J304" s="10">
        <v>998.97</v>
      </c>
      <c r="K304" s="14" t="str" cm="1">
        <f t="array" ref="K304">_xlfn.IFS(Table43[[#This Row],[Sales]]&gt;40000,"Best Sales",Table43[[#This Row],[Sales]]&gt;20000,"Average Sales",Table43[[#This Row],[Sales]]&gt;0,"Poor Sales")</f>
        <v>Poor Sales</v>
      </c>
      <c r="L304" s="23">
        <f>YEAR(Table43[[#This Row],[Date]])</f>
        <v>2023</v>
      </c>
      <c r="M304" s="23">
        <f>MONTH(Table43[[#This Row],[Date]])</f>
        <v>1</v>
      </c>
      <c r="N304" s="25">
        <f>DAY(Table43[[#This Row],[Date]])</f>
        <v>24</v>
      </c>
      <c r="O304" s="25" t="str">
        <f>TEXT(DATE(2023,Table43[[#This Row],[Month]],1),"mmm")</f>
        <v>Jan</v>
      </c>
      <c r="P304" s="25"/>
      <c r="Q304" s="25"/>
    </row>
    <row r="305" spans="1:17" x14ac:dyDescent="0.3">
      <c r="A305" s="11">
        <v>304</v>
      </c>
      <c r="B305" s="12">
        <v>44976</v>
      </c>
      <c r="C305" s="13" t="s">
        <v>22</v>
      </c>
      <c r="D305" s="13" t="s">
        <v>22</v>
      </c>
      <c r="E305" s="13" t="s">
        <v>12</v>
      </c>
      <c r="F305" s="13" t="s">
        <v>24</v>
      </c>
      <c r="G305" s="13" t="s">
        <v>29</v>
      </c>
      <c r="H305" s="14">
        <v>46736.67</v>
      </c>
      <c r="I305" s="13">
        <v>5</v>
      </c>
      <c r="J305" s="15">
        <v>4010.98</v>
      </c>
      <c r="K305" s="14" t="str" cm="1">
        <f t="array" ref="K305">_xlfn.IFS(Table43[[#This Row],[Sales]]&gt;40000,"Best Sales",Table43[[#This Row],[Sales]]&gt;20000,"Average Sales",Table43[[#This Row],[Sales]]&gt;0,"Poor Sales")</f>
        <v>Best Sales</v>
      </c>
      <c r="L305" s="23">
        <f>YEAR(Table43[[#This Row],[Date]])</f>
        <v>2023</v>
      </c>
      <c r="M305" s="23">
        <f>MONTH(Table43[[#This Row],[Date]])</f>
        <v>2</v>
      </c>
      <c r="N305" s="25">
        <f>DAY(Table43[[#This Row],[Date]])</f>
        <v>19</v>
      </c>
      <c r="O305" s="25" t="str">
        <f>TEXT(DATE(2023,Table43[[#This Row],[Month]],1),"mmm")</f>
        <v>Feb</v>
      </c>
      <c r="P305" s="25"/>
      <c r="Q305" s="25"/>
    </row>
    <row r="306" spans="1:17" x14ac:dyDescent="0.3">
      <c r="A306" s="6">
        <v>305</v>
      </c>
      <c r="B306" s="7">
        <v>45221</v>
      </c>
      <c r="C306" s="8" t="s">
        <v>38</v>
      </c>
      <c r="D306" s="8" t="s">
        <v>27</v>
      </c>
      <c r="E306" s="8" t="s">
        <v>17</v>
      </c>
      <c r="F306" s="8" t="s">
        <v>31</v>
      </c>
      <c r="G306" s="8" t="s">
        <v>39</v>
      </c>
      <c r="H306" s="9">
        <v>42026.12</v>
      </c>
      <c r="I306" s="8">
        <v>5</v>
      </c>
      <c r="J306" s="10">
        <v>7474.37</v>
      </c>
      <c r="K306" s="14" t="str" cm="1">
        <f t="array" ref="K306">_xlfn.IFS(Table43[[#This Row],[Sales]]&gt;40000,"Best Sales",Table43[[#This Row],[Sales]]&gt;20000,"Average Sales",Table43[[#This Row],[Sales]]&gt;0,"Poor Sales")</f>
        <v>Best Sales</v>
      </c>
      <c r="L306" s="23">
        <f>YEAR(Table43[[#This Row],[Date]])</f>
        <v>2023</v>
      </c>
      <c r="M306" s="23">
        <f>MONTH(Table43[[#This Row],[Date]])</f>
        <v>10</v>
      </c>
      <c r="N306" s="25">
        <f>DAY(Table43[[#This Row],[Date]])</f>
        <v>22</v>
      </c>
      <c r="O306" s="25" t="str">
        <f>TEXT(DATE(2023,Table43[[#This Row],[Month]],1),"mmm")</f>
        <v>Oct</v>
      </c>
      <c r="P306" s="25"/>
      <c r="Q306" s="25"/>
    </row>
    <row r="307" spans="1:17" x14ac:dyDescent="0.3">
      <c r="A307" s="11">
        <v>306</v>
      </c>
      <c r="B307" s="12">
        <v>45115</v>
      </c>
      <c r="C307" s="13" t="s">
        <v>26</v>
      </c>
      <c r="D307" s="13" t="s">
        <v>27</v>
      </c>
      <c r="E307" s="13" t="s">
        <v>20</v>
      </c>
      <c r="F307" s="13" t="s">
        <v>31</v>
      </c>
      <c r="G307" s="13" t="s">
        <v>32</v>
      </c>
      <c r="H307" s="14">
        <v>31540.15</v>
      </c>
      <c r="I307" s="13">
        <v>8</v>
      </c>
      <c r="J307" s="15">
        <v>4128.9799999999996</v>
      </c>
      <c r="K307" s="14" t="str" cm="1">
        <f t="array" ref="K307">_xlfn.IFS(Table43[[#This Row],[Sales]]&gt;40000,"Best Sales",Table43[[#This Row],[Sales]]&gt;20000,"Average Sales",Table43[[#This Row],[Sales]]&gt;0,"Poor Sales")</f>
        <v>Average Sales</v>
      </c>
      <c r="L307" s="23">
        <f>YEAR(Table43[[#This Row],[Date]])</f>
        <v>2023</v>
      </c>
      <c r="M307" s="23">
        <f>MONTH(Table43[[#This Row],[Date]])</f>
        <v>7</v>
      </c>
      <c r="N307" s="25">
        <f>DAY(Table43[[#This Row],[Date]])</f>
        <v>8</v>
      </c>
      <c r="O307" s="25" t="str">
        <f>TEXT(DATE(2023,Table43[[#This Row],[Month]],1),"mmm")</f>
        <v>Jul</v>
      </c>
      <c r="P307" s="25"/>
      <c r="Q307" s="25"/>
    </row>
    <row r="308" spans="1:17" x14ac:dyDescent="0.3">
      <c r="A308" s="6">
        <v>307</v>
      </c>
      <c r="B308" s="7">
        <v>45135</v>
      </c>
      <c r="C308" s="8" t="s">
        <v>18</v>
      </c>
      <c r="D308" s="8" t="s">
        <v>19</v>
      </c>
      <c r="E308" s="8" t="s">
        <v>20</v>
      </c>
      <c r="F308" s="8" t="s">
        <v>24</v>
      </c>
      <c r="G308" s="8" t="s">
        <v>25</v>
      </c>
      <c r="H308" s="9">
        <v>29281.72</v>
      </c>
      <c r="I308" s="8">
        <v>10</v>
      </c>
      <c r="J308" s="10">
        <v>2759</v>
      </c>
      <c r="K308" s="14" t="str" cm="1">
        <f t="array" ref="K308">_xlfn.IFS(Table43[[#This Row],[Sales]]&gt;40000,"Best Sales",Table43[[#This Row],[Sales]]&gt;20000,"Average Sales",Table43[[#This Row],[Sales]]&gt;0,"Poor Sales")</f>
        <v>Average Sales</v>
      </c>
      <c r="L308" s="23">
        <f>YEAR(Table43[[#This Row],[Date]])</f>
        <v>2023</v>
      </c>
      <c r="M308" s="23">
        <f>MONTH(Table43[[#This Row],[Date]])</f>
        <v>7</v>
      </c>
      <c r="N308" s="25">
        <f>DAY(Table43[[#This Row],[Date]])</f>
        <v>28</v>
      </c>
      <c r="O308" s="25" t="str">
        <f>TEXT(DATE(2023,Table43[[#This Row],[Month]],1),"mmm")</f>
        <v>Jul</v>
      </c>
      <c r="P308" s="25"/>
      <c r="Q308" s="25"/>
    </row>
    <row r="309" spans="1:17" x14ac:dyDescent="0.3">
      <c r="A309" s="11">
        <v>308</v>
      </c>
      <c r="B309" s="12">
        <v>44974</v>
      </c>
      <c r="C309" s="13" t="s">
        <v>38</v>
      </c>
      <c r="D309" s="13" t="s">
        <v>27</v>
      </c>
      <c r="E309" s="13" t="s">
        <v>12</v>
      </c>
      <c r="F309" s="13" t="s">
        <v>31</v>
      </c>
      <c r="G309" s="13" t="s">
        <v>33</v>
      </c>
      <c r="H309" s="14">
        <v>23981.49</v>
      </c>
      <c r="I309" s="13">
        <v>2</v>
      </c>
      <c r="J309" s="15">
        <v>5193.12</v>
      </c>
      <c r="K309" s="14" t="str" cm="1">
        <f t="array" ref="K309">_xlfn.IFS(Table43[[#This Row],[Sales]]&gt;40000,"Best Sales",Table43[[#This Row],[Sales]]&gt;20000,"Average Sales",Table43[[#This Row],[Sales]]&gt;0,"Poor Sales")</f>
        <v>Average Sales</v>
      </c>
      <c r="L309" s="23">
        <f>YEAR(Table43[[#This Row],[Date]])</f>
        <v>2023</v>
      </c>
      <c r="M309" s="23">
        <f>MONTH(Table43[[#This Row],[Date]])</f>
        <v>2</v>
      </c>
      <c r="N309" s="25">
        <f>DAY(Table43[[#This Row],[Date]])</f>
        <v>17</v>
      </c>
      <c r="O309" s="25" t="str">
        <f>TEXT(DATE(2023,Table43[[#This Row],[Month]],1),"mmm")</f>
        <v>Feb</v>
      </c>
      <c r="P309" s="25"/>
      <c r="Q309" s="25"/>
    </row>
    <row r="310" spans="1:17" x14ac:dyDescent="0.3">
      <c r="A310" s="6">
        <v>309</v>
      </c>
      <c r="B310" s="7">
        <v>45086</v>
      </c>
      <c r="C310" s="8" t="s">
        <v>37</v>
      </c>
      <c r="D310" s="8" t="s">
        <v>27</v>
      </c>
      <c r="E310" s="8" t="s">
        <v>17</v>
      </c>
      <c r="F310" s="8" t="s">
        <v>24</v>
      </c>
      <c r="G310" s="8" t="s">
        <v>25</v>
      </c>
      <c r="H310" s="9">
        <v>11039.74</v>
      </c>
      <c r="I310" s="8">
        <v>6</v>
      </c>
      <c r="J310" s="10">
        <v>642.16999999999996</v>
      </c>
      <c r="K310" s="14" t="str" cm="1">
        <f t="array" ref="K310">_xlfn.IFS(Table43[[#This Row],[Sales]]&gt;40000,"Best Sales",Table43[[#This Row],[Sales]]&gt;20000,"Average Sales",Table43[[#This Row],[Sales]]&gt;0,"Poor Sales")</f>
        <v>Poor Sales</v>
      </c>
      <c r="L310" s="23">
        <f>YEAR(Table43[[#This Row],[Date]])</f>
        <v>2023</v>
      </c>
      <c r="M310" s="23">
        <f>MONTH(Table43[[#This Row],[Date]])</f>
        <v>6</v>
      </c>
      <c r="N310" s="25">
        <f>DAY(Table43[[#This Row],[Date]])</f>
        <v>9</v>
      </c>
      <c r="O310" s="25" t="str">
        <f>TEXT(DATE(2023,Table43[[#This Row],[Month]],1),"mmm")</f>
        <v>Jun</v>
      </c>
      <c r="P310" s="25"/>
      <c r="Q310" s="25"/>
    </row>
    <row r="311" spans="1:17" x14ac:dyDescent="0.3">
      <c r="A311" s="11">
        <v>310</v>
      </c>
      <c r="B311" s="12">
        <v>44967</v>
      </c>
      <c r="C311" s="13" t="s">
        <v>35</v>
      </c>
      <c r="D311" s="13" t="s">
        <v>36</v>
      </c>
      <c r="E311" s="13" t="s">
        <v>12</v>
      </c>
      <c r="F311" s="13" t="s">
        <v>13</v>
      </c>
      <c r="G311" s="13" t="s">
        <v>21</v>
      </c>
      <c r="H311" s="14">
        <v>24072.58</v>
      </c>
      <c r="I311" s="13">
        <v>2</v>
      </c>
      <c r="J311" s="15">
        <v>4237.45</v>
      </c>
      <c r="K311" s="14" t="str" cm="1">
        <f t="array" ref="K311">_xlfn.IFS(Table43[[#This Row],[Sales]]&gt;40000,"Best Sales",Table43[[#This Row],[Sales]]&gt;20000,"Average Sales",Table43[[#This Row],[Sales]]&gt;0,"Poor Sales")</f>
        <v>Average Sales</v>
      </c>
      <c r="L311" s="23">
        <f>YEAR(Table43[[#This Row],[Date]])</f>
        <v>2023</v>
      </c>
      <c r="M311" s="23">
        <f>MONTH(Table43[[#This Row],[Date]])</f>
        <v>2</v>
      </c>
      <c r="N311" s="25">
        <f>DAY(Table43[[#This Row],[Date]])</f>
        <v>10</v>
      </c>
      <c r="O311" s="25" t="str">
        <f>TEXT(DATE(2023,Table43[[#This Row],[Month]],1),"mmm")</f>
        <v>Feb</v>
      </c>
      <c r="P311" s="25"/>
      <c r="Q311" s="25"/>
    </row>
    <row r="312" spans="1:17" x14ac:dyDescent="0.3">
      <c r="A312" s="6">
        <v>311</v>
      </c>
      <c r="B312" s="7">
        <v>44969</v>
      </c>
      <c r="C312" s="8" t="s">
        <v>15</v>
      </c>
      <c r="D312" s="8" t="s">
        <v>16</v>
      </c>
      <c r="E312" s="8" t="s">
        <v>17</v>
      </c>
      <c r="F312" s="8" t="s">
        <v>31</v>
      </c>
      <c r="G312" s="8" t="s">
        <v>39</v>
      </c>
      <c r="H312" s="9">
        <v>48043.43</v>
      </c>
      <c r="I312" s="8">
        <v>6</v>
      </c>
      <c r="J312" s="10">
        <v>6191.26</v>
      </c>
      <c r="K312" s="14" t="str" cm="1">
        <f t="array" ref="K312">_xlfn.IFS(Table43[[#This Row],[Sales]]&gt;40000,"Best Sales",Table43[[#This Row],[Sales]]&gt;20000,"Average Sales",Table43[[#This Row],[Sales]]&gt;0,"Poor Sales")</f>
        <v>Best Sales</v>
      </c>
      <c r="L312" s="23">
        <f>YEAR(Table43[[#This Row],[Date]])</f>
        <v>2023</v>
      </c>
      <c r="M312" s="23">
        <f>MONTH(Table43[[#This Row],[Date]])</f>
        <v>2</v>
      </c>
      <c r="N312" s="25">
        <f>DAY(Table43[[#This Row],[Date]])</f>
        <v>12</v>
      </c>
      <c r="O312" s="25" t="str">
        <f>TEXT(DATE(2023,Table43[[#This Row],[Month]],1),"mmm")</f>
        <v>Feb</v>
      </c>
      <c r="P312" s="25"/>
      <c r="Q312" s="25"/>
    </row>
    <row r="313" spans="1:17" x14ac:dyDescent="0.3">
      <c r="A313" s="11">
        <v>312</v>
      </c>
      <c r="B313" s="12">
        <v>44999</v>
      </c>
      <c r="C313" s="13" t="s">
        <v>38</v>
      </c>
      <c r="D313" s="13" t="s">
        <v>27</v>
      </c>
      <c r="E313" s="13" t="s">
        <v>20</v>
      </c>
      <c r="F313" s="13" t="s">
        <v>24</v>
      </c>
      <c r="G313" s="13" t="s">
        <v>25</v>
      </c>
      <c r="H313" s="14">
        <v>45172.53</v>
      </c>
      <c r="I313" s="13">
        <v>6</v>
      </c>
      <c r="J313" s="15">
        <v>3057.46</v>
      </c>
      <c r="K313" s="14" t="str" cm="1">
        <f t="array" ref="K313">_xlfn.IFS(Table43[[#This Row],[Sales]]&gt;40000,"Best Sales",Table43[[#This Row],[Sales]]&gt;20000,"Average Sales",Table43[[#This Row],[Sales]]&gt;0,"Poor Sales")</f>
        <v>Best Sales</v>
      </c>
      <c r="L313" s="23">
        <f>YEAR(Table43[[#This Row],[Date]])</f>
        <v>2023</v>
      </c>
      <c r="M313" s="23">
        <f>MONTH(Table43[[#This Row],[Date]])</f>
        <v>3</v>
      </c>
      <c r="N313" s="25">
        <f>DAY(Table43[[#This Row],[Date]])</f>
        <v>14</v>
      </c>
      <c r="O313" s="25" t="str">
        <f>TEXT(DATE(2023,Table43[[#This Row],[Month]],1),"mmm")</f>
        <v>Mar</v>
      </c>
      <c r="P313" s="25"/>
      <c r="Q313" s="25"/>
    </row>
    <row r="314" spans="1:17" x14ac:dyDescent="0.3">
      <c r="A314" s="6">
        <v>313</v>
      </c>
      <c r="B314" s="7">
        <v>45150</v>
      </c>
      <c r="C314" s="8" t="s">
        <v>26</v>
      </c>
      <c r="D314" s="8" t="s">
        <v>27</v>
      </c>
      <c r="E314" s="8" t="s">
        <v>20</v>
      </c>
      <c r="F314" s="8" t="s">
        <v>31</v>
      </c>
      <c r="G314" s="8" t="s">
        <v>33</v>
      </c>
      <c r="H314" s="9">
        <v>36425.279999999999</v>
      </c>
      <c r="I314" s="8">
        <v>2</v>
      </c>
      <c r="J314" s="10">
        <v>2652.3</v>
      </c>
      <c r="K314" s="14" t="str" cm="1">
        <f t="array" ref="K314">_xlfn.IFS(Table43[[#This Row],[Sales]]&gt;40000,"Best Sales",Table43[[#This Row],[Sales]]&gt;20000,"Average Sales",Table43[[#This Row],[Sales]]&gt;0,"Poor Sales")</f>
        <v>Average Sales</v>
      </c>
      <c r="L314" s="23">
        <f>YEAR(Table43[[#This Row],[Date]])</f>
        <v>2023</v>
      </c>
      <c r="M314" s="23">
        <f>MONTH(Table43[[#This Row],[Date]])</f>
        <v>8</v>
      </c>
      <c r="N314" s="25">
        <f>DAY(Table43[[#This Row],[Date]])</f>
        <v>12</v>
      </c>
      <c r="O314" s="25" t="str">
        <f>TEXT(DATE(2023,Table43[[#This Row],[Month]],1),"mmm")</f>
        <v>Aug</v>
      </c>
      <c r="P314" s="25"/>
      <c r="Q314" s="25"/>
    </row>
    <row r="315" spans="1:17" x14ac:dyDescent="0.3">
      <c r="A315" s="11">
        <v>314</v>
      </c>
      <c r="B315" s="12">
        <v>45204</v>
      </c>
      <c r="C315" s="13" t="s">
        <v>38</v>
      </c>
      <c r="D315" s="13" t="s">
        <v>27</v>
      </c>
      <c r="E315" s="13" t="s">
        <v>12</v>
      </c>
      <c r="F315" s="13" t="s">
        <v>24</v>
      </c>
      <c r="G315" s="13" t="s">
        <v>29</v>
      </c>
      <c r="H315" s="14">
        <v>34225.440000000002</v>
      </c>
      <c r="I315" s="13">
        <v>5</v>
      </c>
      <c r="J315" s="15">
        <v>7171.55</v>
      </c>
      <c r="K315" s="14" t="str" cm="1">
        <f t="array" ref="K315">_xlfn.IFS(Table43[[#This Row],[Sales]]&gt;40000,"Best Sales",Table43[[#This Row],[Sales]]&gt;20000,"Average Sales",Table43[[#This Row],[Sales]]&gt;0,"Poor Sales")</f>
        <v>Average Sales</v>
      </c>
      <c r="L315" s="23">
        <f>YEAR(Table43[[#This Row],[Date]])</f>
        <v>2023</v>
      </c>
      <c r="M315" s="23">
        <f>MONTH(Table43[[#This Row],[Date]])</f>
        <v>10</v>
      </c>
      <c r="N315" s="25">
        <f>DAY(Table43[[#This Row],[Date]])</f>
        <v>5</v>
      </c>
      <c r="O315" s="25" t="str">
        <f>TEXT(DATE(2023,Table43[[#This Row],[Month]],1),"mmm")</f>
        <v>Oct</v>
      </c>
      <c r="P315" s="25"/>
      <c r="Q315" s="25"/>
    </row>
    <row r="316" spans="1:17" x14ac:dyDescent="0.3">
      <c r="A316" s="6">
        <v>315</v>
      </c>
      <c r="B316" s="7">
        <v>45240</v>
      </c>
      <c r="C316" s="8" t="s">
        <v>37</v>
      </c>
      <c r="D316" s="8" t="s">
        <v>27</v>
      </c>
      <c r="E316" s="8" t="s">
        <v>17</v>
      </c>
      <c r="F316" s="8" t="s">
        <v>13</v>
      </c>
      <c r="G316" s="8" t="s">
        <v>14</v>
      </c>
      <c r="H316" s="9">
        <v>47580.01</v>
      </c>
      <c r="I316" s="8">
        <v>1</v>
      </c>
      <c r="J316" s="10">
        <v>13586.56</v>
      </c>
      <c r="K316" s="14" t="str" cm="1">
        <f t="array" ref="K316">_xlfn.IFS(Table43[[#This Row],[Sales]]&gt;40000,"Best Sales",Table43[[#This Row],[Sales]]&gt;20000,"Average Sales",Table43[[#This Row],[Sales]]&gt;0,"Poor Sales")</f>
        <v>Best Sales</v>
      </c>
      <c r="L316" s="23">
        <f>YEAR(Table43[[#This Row],[Date]])</f>
        <v>2023</v>
      </c>
      <c r="M316" s="23">
        <f>MONTH(Table43[[#This Row],[Date]])</f>
        <v>11</v>
      </c>
      <c r="N316" s="25">
        <f>DAY(Table43[[#This Row],[Date]])</f>
        <v>10</v>
      </c>
      <c r="O316" s="25" t="str">
        <f>TEXT(DATE(2023,Table43[[#This Row],[Month]],1),"mmm")</f>
        <v>Nov</v>
      </c>
      <c r="P316" s="25"/>
      <c r="Q316" s="25"/>
    </row>
    <row r="317" spans="1:17" x14ac:dyDescent="0.3">
      <c r="A317" s="11">
        <v>316</v>
      </c>
      <c r="B317" s="12">
        <v>44975</v>
      </c>
      <c r="C317" s="13" t="s">
        <v>38</v>
      </c>
      <c r="D317" s="13" t="s">
        <v>27</v>
      </c>
      <c r="E317" s="13" t="s">
        <v>12</v>
      </c>
      <c r="F317" s="13" t="s">
        <v>13</v>
      </c>
      <c r="G317" s="13" t="s">
        <v>14</v>
      </c>
      <c r="H317" s="14">
        <v>17212.37</v>
      </c>
      <c r="I317" s="13">
        <v>6</v>
      </c>
      <c r="J317" s="15">
        <v>4577.87</v>
      </c>
      <c r="K317" s="14" t="str" cm="1">
        <f t="array" ref="K317">_xlfn.IFS(Table43[[#This Row],[Sales]]&gt;40000,"Best Sales",Table43[[#This Row],[Sales]]&gt;20000,"Average Sales",Table43[[#This Row],[Sales]]&gt;0,"Poor Sales")</f>
        <v>Poor Sales</v>
      </c>
      <c r="L317" s="23">
        <f>YEAR(Table43[[#This Row],[Date]])</f>
        <v>2023</v>
      </c>
      <c r="M317" s="23">
        <f>MONTH(Table43[[#This Row],[Date]])</f>
        <v>2</v>
      </c>
      <c r="N317" s="25">
        <f>DAY(Table43[[#This Row],[Date]])</f>
        <v>18</v>
      </c>
      <c r="O317" s="25" t="str">
        <f>TEXT(DATE(2023,Table43[[#This Row],[Month]],1),"mmm")</f>
        <v>Feb</v>
      </c>
      <c r="P317" s="25"/>
      <c r="Q317" s="25"/>
    </row>
    <row r="318" spans="1:17" x14ac:dyDescent="0.3">
      <c r="A318" s="6">
        <v>317</v>
      </c>
      <c r="B318" s="7">
        <v>44949</v>
      </c>
      <c r="C318" s="8" t="s">
        <v>18</v>
      </c>
      <c r="D318" s="8" t="s">
        <v>19</v>
      </c>
      <c r="E318" s="8" t="s">
        <v>17</v>
      </c>
      <c r="F318" s="8" t="s">
        <v>13</v>
      </c>
      <c r="G318" s="8" t="s">
        <v>21</v>
      </c>
      <c r="H318" s="9">
        <v>48075.95</v>
      </c>
      <c r="I318" s="8">
        <v>7</v>
      </c>
      <c r="J318" s="10">
        <v>4672.51</v>
      </c>
      <c r="K318" s="14" t="str" cm="1">
        <f t="array" ref="K318">_xlfn.IFS(Table43[[#This Row],[Sales]]&gt;40000,"Best Sales",Table43[[#This Row],[Sales]]&gt;20000,"Average Sales",Table43[[#This Row],[Sales]]&gt;0,"Poor Sales")</f>
        <v>Best Sales</v>
      </c>
      <c r="L318" s="23">
        <f>YEAR(Table43[[#This Row],[Date]])</f>
        <v>2023</v>
      </c>
      <c r="M318" s="23">
        <f>MONTH(Table43[[#This Row],[Date]])</f>
        <v>1</v>
      </c>
      <c r="N318" s="25">
        <f>DAY(Table43[[#This Row],[Date]])</f>
        <v>23</v>
      </c>
      <c r="O318" s="25" t="str">
        <f>TEXT(DATE(2023,Table43[[#This Row],[Month]],1),"mmm")</f>
        <v>Jan</v>
      </c>
      <c r="P318" s="25"/>
      <c r="Q318" s="25"/>
    </row>
    <row r="319" spans="1:17" x14ac:dyDescent="0.3">
      <c r="A319" s="11">
        <v>318</v>
      </c>
      <c r="B319" s="12">
        <v>45003</v>
      </c>
      <c r="C319" s="13" t="s">
        <v>30</v>
      </c>
      <c r="D319" s="13" t="s">
        <v>16</v>
      </c>
      <c r="E319" s="13" t="s">
        <v>20</v>
      </c>
      <c r="F319" s="13" t="s">
        <v>24</v>
      </c>
      <c r="G319" s="13" t="s">
        <v>28</v>
      </c>
      <c r="H319" s="14">
        <v>9681.73</v>
      </c>
      <c r="I319" s="13">
        <v>10</v>
      </c>
      <c r="J319" s="15">
        <v>628.19000000000005</v>
      </c>
      <c r="K319" s="14" t="str" cm="1">
        <f t="array" ref="K319">_xlfn.IFS(Table43[[#This Row],[Sales]]&gt;40000,"Best Sales",Table43[[#This Row],[Sales]]&gt;20000,"Average Sales",Table43[[#This Row],[Sales]]&gt;0,"Poor Sales")</f>
        <v>Poor Sales</v>
      </c>
      <c r="L319" s="23">
        <f>YEAR(Table43[[#This Row],[Date]])</f>
        <v>2023</v>
      </c>
      <c r="M319" s="23">
        <f>MONTH(Table43[[#This Row],[Date]])</f>
        <v>3</v>
      </c>
      <c r="N319" s="25">
        <f>DAY(Table43[[#This Row],[Date]])</f>
        <v>18</v>
      </c>
      <c r="O319" s="25" t="str">
        <f>TEXT(DATE(2023,Table43[[#This Row],[Month]],1),"mmm")</f>
        <v>Mar</v>
      </c>
      <c r="P319" s="25"/>
      <c r="Q319" s="25"/>
    </row>
    <row r="320" spans="1:17" x14ac:dyDescent="0.3">
      <c r="A320" s="6">
        <v>319</v>
      </c>
      <c r="B320" s="7">
        <v>45245</v>
      </c>
      <c r="C320" s="8" t="s">
        <v>30</v>
      </c>
      <c r="D320" s="8" t="s">
        <v>16</v>
      </c>
      <c r="E320" s="8" t="s">
        <v>20</v>
      </c>
      <c r="F320" s="8" t="s">
        <v>31</v>
      </c>
      <c r="G320" s="8" t="s">
        <v>32</v>
      </c>
      <c r="H320" s="9">
        <v>31708.44</v>
      </c>
      <c r="I320" s="8">
        <v>4</v>
      </c>
      <c r="J320" s="10">
        <v>1986.92</v>
      </c>
      <c r="K320" s="14" t="str" cm="1">
        <f t="array" ref="K320">_xlfn.IFS(Table43[[#This Row],[Sales]]&gt;40000,"Best Sales",Table43[[#This Row],[Sales]]&gt;20000,"Average Sales",Table43[[#This Row],[Sales]]&gt;0,"Poor Sales")</f>
        <v>Average Sales</v>
      </c>
      <c r="L320" s="23">
        <f>YEAR(Table43[[#This Row],[Date]])</f>
        <v>2023</v>
      </c>
      <c r="M320" s="23">
        <f>MONTH(Table43[[#This Row],[Date]])</f>
        <v>11</v>
      </c>
      <c r="N320" s="25">
        <f>DAY(Table43[[#This Row],[Date]])</f>
        <v>15</v>
      </c>
      <c r="O320" s="25" t="str">
        <f>TEXT(DATE(2023,Table43[[#This Row],[Month]],1),"mmm")</f>
        <v>Nov</v>
      </c>
      <c r="P320" s="25"/>
      <c r="Q320" s="25"/>
    </row>
    <row r="321" spans="1:17" x14ac:dyDescent="0.3">
      <c r="A321" s="11">
        <v>320</v>
      </c>
      <c r="B321" s="12">
        <v>45008</v>
      </c>
      <c r="C321" s="13" t="s">
        <v>30</v>
      </c>
      <c r="D321" s="13" t="s">
        <v>16</v>
      </c>
      <c r="E321" s="13" t="s">
        <v>12</v>
      </c>
      <c r="F321" s="13" t="s">
        <v>24</v>
      </c>
      <c r="G321" s="13" t="s">
        <v>29</v>
      </c>
      <c r="H321" s="14">
        <v>23576.81</v>
      </c>
      <c r="I321" s="13">
        <v>5</v>
      </c>
      <c r="J321" s="15">
        <v>5469.68</v>
      </c>
      <c r="K321" s="14" t="str" cm="1">
        <f t="array" ref="K321">_xlfn.IFS(Table43[[#This Row],[Sales]]&gt;40000,"Best Sales",Table43[[#This Row],[Sales]]&gt;20000,"Average Sales",Table43[[#This Row],[Sales]]&gt;0,"Poor Sales")</f>
        <v>Average Sales</v>
      </c>
      <c r="L321" s="23">
        <f>YEAR(Table43[[#This Row],[Date]])</f>
        <v>2023</v>
      </c>
      <c r="M321" s="23">
        <f>MONTH(Table43[[#This Row],[Date]])</f>
        <v>3</v>
      </c>
      <c r="N321" s="25">
        <f>DAY(Table43[[#This Row],[Date]])</f>
        <v>23</v>
      </c>
      <c r="O321" s="25" t="str">
        <f>TEXT(DATE(2023,Table43[[#This Row],[Month]],1),"mmm")</f>
        <v>Mar</v>
      </c>
      <c r="P321" s="25"/>
      <c r="Q321" s="25"/>
    </row>
    <row r="322" spans="1:17" x14ac:dyDescent="0.3">
      <c r="A322" s="6">
        <v>321</v>
      </c>
      <c r="B322" s="7">
        <v>45048</v>
      </c>
      <c r="C322" s="8" t="s">
        <v>35</v>
      </c>
      <c r="D322" s="8" t="s">
        <v>36</v>
      </c>
      <c r="E322" s="8" t="s">
        <v>17</v>
      </c>
      <c r="F322" s="8" t="s">
        <v>31</v>
      </c>
      <c r="G322" s="8" t="s">
        <v>39</v>
      </c>
      <c r="H322" s="9">
        <v>46941.22</v>
      </c>
      <c r="I322" s="8">
        <v>3</v>
      </c>
      <c r="J322" s="10">
        <v>11351.59</v>
      </c>
      <c r="K322" s="14" t="str" cm="1">
        <f t="array" ref="K322">_xlfn.IFS(Table43[[#This Row],[Sales]]&gt;40000,"Best Sales",Table43[[#This Row],[Sales]]&gt;20000,"Average Sales",Table43[[#This Row],[Sales]]&gt;0,"Poor Sales")</f>
        <v>Best Sales</v>
      </c>
      <c r="L322" s="23">
        <f>YEAR(Table43[[#This Row],[Date]])</f>
        <v>2023</v>
      </c>
      <c r="M322" s="23">
        <f>MONTH(Table43[[#This Row],[Date]])</f>
        <v>5</v>
      </c>
      <c r="N322" s="25">
        <f>DAY(Table43[[#This Row],[Date]])</f>
        <v>2</v>
      </c>
      <c r="O322" s="25" t="str">
        <f>TEXT(DATE(2023,Table43[[#This Row],[Month]],1),"mmm")</f>
        <v>May</v>
      </c>
      <c r="P322" s="25"/>
      <c r="Q322" s="25"/>
    </row>
    <row r="323" spans="1:17" x14ac:dyDescent="0.3">
      <c r="A323" s="11">
        <v>322</v>
      </c>
      <c r="B323" s="12">
        <v>45021</v>
      </c>
      <c r="C323" s="13" t="s">
        <v>30</v>
      </c>
      <c r="D323" s="13" t="s">
        <v>16</v>
      </c>
      <c r="E323" s="13" t="s">
        <v>12</v>
      </c>
      <c r="F323" s="13" t="s">
        <v>31</v>
      </c>
      <c r="G323" s="13" t="s">
        <v>33</v>
      </c>
      <c r="H323" s="14">
        <v>30511.77</v>
      </c>
      <c r="I323" s="13">
        <v>4</v>
      </c>
      <c r="J323" s="15">
        <v>2577.4699999999998</v>
      </c>
      <c r="K323" s="14" t="str" cm="1">
        <f t="array" ref="K323">_xlfn.IFS(Table43[[#This Row],[Sales]]&gt;40000,"Best Sales",Table43[[#This Row],[Sales]]&gt;20000,"Average Sales",Table43[[#This Row],[Sales]]&gt;0,"Poor Sales")</f>
        <v>Average Sales</v>
      </c>
      <c r="L323" s="23">
        <f>YEAR(Table43[[#This Row],[Date]])</f>
        <v>2023</v>
      </c>
      <c r="M323" s="23">
        <f>MONTH(Table43[[#This Row],[Date]])</f>
        <v>4</v>
      </c>
      <c r="N323" s="25">
        <f>DAY(Table43[[#This Row],[Date]])</f>
        <v>5</v>
      </c>
      <c r="O323" s="25" t="str">
        <f>TEXT(DATE(2023,Table43[[#This Row],[Month]],1),"mmm")</f>
        <v>Apr</v>
      </c>
      <c r="P323" s="25"/>
      <c r="Q323" s="25"/>
    </row>
    <row r="324" spans="1:17" x14ac:dyDescent="0.3">
      <c r="A324" s="6">
        <v>323</v>
      </c>
      <c r="B324" s="7">
        <v>45225</v>
      </c>
      <c r="C324" s="8" t="s">
        <v>38</v>
      </c>
      <c r="D324" s="8" t="s">
        <v>27</v>
      </c>
      <c r="E324" s="8" t="s">
        <v>17</v>
      </c>
      <c r="F324" s="8" t="s">
        <v>13</v>
      </c>
      <c r="G324" s="8" t="s">
        <v>21</v>
      </c>
      <c r="H324" s="9">
        <v>1705.27</v>
      </c>
      <c r="I324" s="8">
        <v>2</v>
      </c>
      <c r="J324" s="10">
        <v>258.72000000000003</v>
      </c>
      <c r="K324" s="14" t="str" cm="1">
        <f t="array" ref="K324">_xlfn.IFS(Table43[[#This Row],[Sales]]&gt;40000,"Best Sales",Table43[[#This Row],[Sales]]&gt;20000,"Average Sales",Table43[[#This Row],[Sales]]&gt;0,"Poor Sales")</f>
        <v>Poor Sales</v>
      </c>
      <c r="L324" s="23">
        <f>YEAR(Table43[[#This Row],[Date]])</f>
        <v>2023</v>
      </c>
      <c r="M324" s="23">
        <f>MONTH(Table43[[#This Row],[Date]])</f>
        <v>10</v>
      </c>
      <c r="N324" s="25">
        <f>DAY(Table43[[#This Row],[Date]])</f>
        <v>26</v>
      </c>
      <c r="O324" s="25" t="str">
        <f>TEXT(DATE(2023,Table43[[#This Row],[Month]],1),"mmm")</f>
        <v>Oct</v>
      </c>
      <c r="P324" s="25"/>
      <c r="Q324" s="25"/>
    </row>
    <row r="325" spans="1:17" x14ac:dyDescent="0.3">
      <c r="A325" s="11">
        <v>324</v>
      </c>
      <c r="B325" s="12">
        <v>45196</v>
      </c>
      <c r="C325" s="13" t="s">
        <v>22</v>
      </c>
      <c r="D325" s="13" t="s">
        <v>22</v>
      </c>
      <c r="E325" s="13" t="s">
        <v>20</v>
      </c>
      <c r="F325" s="13" t="s">
        <v>13</v>
      </c>
      <c r="G325" s="13" t="s">
        <v>14</v>
      </c>
      <c r="H325" s="14">
        <v>40330.29</v>
      </c>
      <c r="I325" s="13">
        <v>9</v>
      </c>
      <c r="J325" s="15">
        <v>9484.9599999999991</v>
      </c>
      <c r="K325" s="14" t="str" cm="1">
        <f t="array" ref="K325">_xlfn.IFS(Table43[[#This Row],[Sales]]&gt;40000,"Best Sales",Table43[[#This Row],[Sales]]&gt;20000,"Average Sales",Table43[[#This Row],[Sales]]&gt;0,"Poor Sales")</f>
        <v>Best Sales</v>
      </c>
      <c r="L325" s="23">
        <f>YEAR(Table43[[#This Row],[Date]])</f>
        <v>2023</v>
      </c>
      <c r="M325" s="23">
        <f>MONTH(Table43[[#This Row],[Date]])</f>
        <v>9</v>
      </c>
      <c r="N325" s="25">
        <f>DAY(Table43[[#This Row],[Date]])</f>
        <v>27</v>
      </c>
      <c r="O325" s="25" t="str">
        <f>TEXT(DATE(2023,Table43[[#This Row],[Month]],1),"mmm")</f>
        <v>Sep</v>
      </c>
      <c r="P325" s="25"/>
      <c r="Q325" s="25"/>
    </row>
    <row r="326" spans="1:17" x14ac:dyDescent="0.3">
      <c r="A326" s="6">
        <v>325</v>
      </c>
      <c r="B326" s="7">
        <v>44947</v>
      </c>
      <c r="C326" s="8" t="s">
        <v>18</v>
      </c>
      <c r="D326" s="8" t="s">
        <v>19</v>
      </c>
      <c r="E326" s="8" t="s">
        <v>20</v>
      </c>
      <c r="F326" s="8" t="s">
        <v>24</v>
      </c>
      <c r="G326" s="8" t="s">
        <v>29</v>
      </c>
      <c r="H326" s="9">
        <v>22523.13</v>
      </c>
      <c r="I326" s="8">
        <v>3</v>
      </c>
      <c r="J326" s="10">
        <v>5559.51</v>
      </c>
      <c r="K326" s="14" t="str" cm="1">
        <f t="array" ref="K326">_xlfn.IFS(Table43[[#This Row],[Sales]]&gt;40000,"Best Sales",Table43[[#This Row],[Sales]]&gt;20000,"Average Sales",Table43[[#This Row],[Sales]]&gt;0,"Poor Sales")</f>
        <v>Average Sales</v>
      </c>
      <c r="L326" s="23">
        <f>YEAR(Table43[[#This Row],[Date]])</f>
        <v>2023</v>
      </c>
      <c r="M326" s="23">
        <f>MONTH(Table43[[#This Row],[Date]])</f>
        <v>1</v>
      </c>
      <c r="N326" s="25">
        <f>DAY(Table43[[#This Row],[Date]])</f>
        <v>21</v>
      </c>
      <c r="O326" s="25" t="str">
        <f>TEXT(DATE(2023,Table43[[#This Row],[Month]],1),"mmm")</f>
        <v>Jan</v>
      </c>
      <c r="P326" s="25"/>
      <c r="Q326" s="25"/>
    </row>
    <row r="327" spans="1:17" x14ac:dyDescent="0.3">
      <c r="A327" s="11">
        <v>326</v>
      </c>
      <c r="B327" s="12">
        <v>45181</v>
      </c>
      <c r="C327" s="13" t="s">
        <v>30</v>
      </c>
      <c r="D327" s="13" t="s">
        <v>16</v>
      </c>
      <c r="E327" s="13" t="s">
        <v>12</v>
      </c>
      <c r="F327" s="13" t="s">
        <v>31</v>
      </c>
      <c r="G327" s="13" t="s">
        <v>32</v>
      </c>
      <c r="H327" s="14">
        <v>9721.76</v>
      </c>
      <c r="I327" s="13">
        <v>1</v>
      </c>
      <c r="J327" s="15">
        <v>2426.7199999999998</v>
      </c>
      <c r="K327" s="14" t="str" cm="1">
        <f t="array" ref="K327">_xlfn.IFS(Table43[[#This Row],[Sales]]&gt;40000,"Best Sales",Table43[[#This Row],[Sales]]&gt;20000,"Average Sales",Table43[[#This Row],[Sales]]&gt;0,"Poor Sales")</f>
        <v>Poor Sales</v>
      </c>
      <c r="L327" s="23">
        <f>YEAR(Table43[[#This Row],[Date]])</f>
        <v>2023</v>
      </c>
      <c r="M327" s="23">
        <f>MONTH(Table43[[#This Row],[Date]])</f>
        <v>9</v>
      </c>
      <c r="N327" s="25">
        <f>DAY(Table43[[#This Row],[Date]])</f>
        <v>12</v>
      </c>
      <c r="O327" s="25" t="str">
        <f>TEXT(DATE(2023,Table43[[#This Row],[Month]],1),"mmm")</f>
        <v>Sep</v>
      </c>
      <c r="P327" s="25"/>
      <c r="Q327" s="25"/>
    </row>
    <row r="328" spans="1:17" x14ac:dyDescent="0.3">
      <c r="A328" s="6">
        <v>327</v>
      </c>
      <c r="B328" s="7">
        <v>45158</v>
      </c>
      <c r="C328" s="8" t="s">
        <v>37</v>
      </c>
      <c r="D328" s="8" t="s">
        <v>27</v>
      </c>
      <c r="E328" s="8" t="s">
        <v>17</v>
      </c>
      <c r="F328" s="8" t="s">
        <v>31</v>
      </c>
      <c r="G328" s="8" t="s">
        <v>39</v>
      </c>
      <c r="H328" s="9">
        <v>13433.44</v>
      </c>
      <c r="I328" s="8">
        <v>10</v>
      </c>
      <c r="J328" s="10">
        <v>3809.36</v>
      </c>
      <c r="K328" s="14" t="str" cm="1">
        <f t="array" ref="K328">_xlfn.IFS(Table43[[#This Row],[Sales]]&gt;40000,"Best Sales",Table43[[#This Row],[Sales]]&gt;20000,"Average Sales",Table43[[#This Row],[Sales]]&gt;0,"Poor Sales")</f>
        <v>Poor Sales</v>
      </c>
      <c r="L328" s="23">
        <f>YEAR(Table43[[#This Row],[Date]])</f>
        <v>2023</v>
      </c>
      <c r="M328" s="23">
        <f>MONTH(Table43[[#This Row],[Date]])</f>
        <v>8</v>
      </c>
      <c r="N328" s="25">
        <f>DAY(Table43[[#This Row],[Date]])</f>
        <v>20</v>
      </c>
      <c r="O328" s="25" t="str">
        <f>TEXT(DATE(2023,Table43[[#This Row],[Month]],1),"mmm")</f>
        <v>Aug</v>
      </c>
      <c r="P328" s="25"/>
      <c r="Q328" s="25"/>
    </row>
    <row r="329" spans="1:17" x14ac:dyDescent="0.3">
      <c r="A329" s="11">
        <v>328</v>
      </c>
      <c r="B329" s="12">
        <v>44960</v>
      </c>
      <c r="C329" s="13" t="s">
        <v>15</v>
      </c>
      <c r="D329" s="13" t="s">
        <v>16</v>
      </c>
      <c r="E329" s="13" t="s">
        <v>12</v>
      </c>
      <c r="F329" s="13" t="s">
        <v>24</v>
      </c>
      <c r="G329" s="13" t="s">
        <v>28</v>
      </c>
      <c r="H329" s="14">
        <v>42800.72</v>
      </c>
      <c r="I329" s="13">
        <v>2</v>
      </c>
      <c r="J329" s="15">
        <v>3432.12</v>
      </c>
      <c r="K329" s="14" t="str" cm="1">
        <f t="array" ref="K329">_xlfn.IFS(Table43[[#This Row],[Sales]]&gt;40000,"Best Sales",Table43[[#This Row],[Sales]]&gt;20000,"Average Sales",Table43[[#This Row],[Sales]]&gt;0,"Poor Sales")</f>
        <v>Best Sales</v>
      </c>
      <c r="L329" s="23">
        <f>YEAR(Table43[[#This Row],[Date]])</f>
        <v>2023</v>
      </c>
      <c r="M329" s="23">
        <f>MONTH(Table43[[#This Row],[Date]])</f>
        <v>2</v>
      </c>
      <c r="N329" s="25">
        <f>DAY(Table43[[#This Row],[Date]])</f>
        <v>3</v>
      </c>
      <c r="O329" s="25" t="str">
        <f>TEXT(DATE(2023,Table43[[#This Row],[Month]],1),"mmm")</f>
        <v>Feb</v>
      </c>
      <c r="P329" s="25"/>
      <c r="Q329" s="25"/>
    </row>
    <row r="330" spans="1:17" x14ac:dyDescent="0.3">
      <c r="A330" s="6">
        <v>329</v>
      </c>
      <c r="B330" s="7">
        <v>45245</v>
      </c>
      <c r="C330" s="8" t="s">
        <v>37</v>
      </c>
      <c r="D330" s="8" t="s">
        <v>27</v>
      </c>
      <c r="E330" s="8" t="s">
        <v>17</v>
      </c>
      <c r="F330" s="8" t="s">
        <v>24</v>
      </c>
      <c r="G330" s="8" t="s">
        <v>25</v>
      </c>
      <c r="H330" s="9">
        <v>11997.4</v>
      </c>
      <c r="I330" s="8">
        <v>9</v>
      </c>
      <c r="J330" s="10">
        <v>2230.12</v>
      </c>
      <c r="K330" s="14" t="str" cm="1">
        <f t="array" ref="K330">_xlfn.IFS(Table43[[#This Row],[Sales]]&gt;40000,"Best Sales",Table43[[#This Row],[Sales]]&gt;20000,"Average Sales",Table43[[#This Row],[Sales]]&gt;0,"Poor Sales")</f>
        <v>Poor Sales</v>
      </c>
      <c r="L330" s="23">
        <f>YEAR(Table43[[#This Row],[Date]])</f>
        <v>2023</v>
      </c>
      <c r="M330" s="23">
        <f>MONTH(Table43[[#This Row],[Date]])</f>
        <v>11</v>
      </c>
      <c r="N330" s="25">
        <f>DAY(Table43[[#This Row],[Date]])</f>
        <v>15</v>
      </c>
      <c r="O330" s="25" t="str">
        <f>TEXT(DATE(2023,Table43[[#This Row],[Month]],1),"mmm")</f>
        <v>Nov</v>
      </c>
      <c r="P330" s="25"/>
      <c r="Q330" s="25"/>
    </row>
    <row r="331" spans="1:17" x14ac:dyDescent="0.3">
      <c r="A331" s="11">
        <v>330</v>
      </c>
      <c r="B331" s="12">
        <v>45173</v>
      </c>
      <c r="C331" s="13" t="s">
        <v>15</v>
      </c>
      <c r="D331" s="13" t="s">
        <v>16</v>
      </c>
      <c r="E331" s="13" t="s">
        <v>20</v>
      </c>
      <c r="F331" s="13" t="s">
        <v>31</v>
      </c>
      <c r="G331" s="13" t="s">
        <v>33</v>
      </c>
      <c r="H331" s="14">
        <v>16524.43</v>
      </c>
      <c r="I331" s="13">
        <v>5</v>
      </c>
      <c r="J331" s="15">
        <v>3288.46</v>
      </c>
      <c r="K331" s="14" t="str" cm="1">
        <f t="array" ref="K331">_xlfn.IFS(Table43[[#This Row],[Sales]]&gt;40000,"Best Sales",Table43[[#This Row],[Sales]]&gt;20000,"Average Sales",Table43[[#This Row],[Sales]]&gt;0,"Poor Sales")</f>
        <v>Poor Sales</v>
      </c>
      <c r="L331" s="23">
        <f>YEAR(Table43[[#This Row],[Date]])</f>
        <v>2023</v>
      </c>
      <c r="M331" s="23">
        <f>MONTH(Table43[[#This Row],[Date]])</f>
        <v>9</v>
      </c>
      <c r="N331" s="25">
        <f>DAY(Table43[[#This Row],[Date]])</f>
        <v>4</v>
      </c>
      <c r="O331" s="25" t="str">
        <f>TEXT(DATE(2023,Table43[[#This Row],[Month]],1),"mmm")</f>
        <v>Sep</v>
      </c>
      <c r="P331" s="25"/>
      <c r="Q331" s="25"/>
    </row>
    <row r="332" spans="1:17" x14ac:dyDescent="0.3">
      <c r="A332" s="6">
        <v>331</v>
      </c>
      <c r="B332" s="7">
        <v>45270</v>
      </c>
      <c r="C332" s="8" t="s">
        <v>15</v>
      </c>
      <c r="D332" s="8" t="s">
        <v>16</v>
      </c>
      <c r="E332" s="8" t="s">
        <v>20</v>
      </c>
      <c r="F332" s="8" t="s">
        <v>31</v>
      </c>
      <c r="G332" s="8" t="s">
        <v>39</v>
      </c>
      <c r="H332" s="9">
        <v>10353.51</v>
      </c>
      <c r="I332" s="8">
        <v>9</v>
      </c>
      <c r="J332" s="10">
        <v>1656.01</v>
      </c>
      <c r="K332" s="14" t="str" cm="1">
        <f t="array" ref="K332">_xlfn.IFS(Table43[[#This Row],[Sales]]&gt;40000,"Best Sales",Table43[[#This Row],[Sales]]&gt;20000,"Average Sales",Table43[[#This Row],[Sales]]&gt;0,"Poor Sales")</f>
        <v>Poor Sales</v>
      </c>
      <c r="L332" s="23">
        <f>YEAR(Table43[[#This Row],[Date]])</f>
        <v>2023</v>
      </c>
      <c r="M332" s="23">
        <f>MONTH(Table43[[#This Row],[Date]])</f>
        <v>12</v>
      </c>
      <c r="N332" s="25">
        <f>DAY(Table43[[#This Row],[Date]])</f>
        <v>10</v>
      </c>
      <c r="O332" s="25" t="str">
        <f>TEXT(DATE(2023,Table43[[#This Row],[Month]],1),"mmm")</f>
        <v>Dec</v>
      </c>
      <c r="P332" s="25"/>
      <c r="Q332" s="25"/>
    </row>
    <row r="333" spans="1:17" x14ac:dyDescent="0.3">
      <c r="A333" s="11">
        <v>332</v>
      </c>
      <c r="B333" s="12">
        <v>45126</v>
      </c>
      <c r="C333" s="13" t="s">
        <v>10</v>
      </c>
      <c r="D333" s="13" t="s">
        <v>11</v>
      </c>
      <c r="E333" s="13" t="s">
        <v>12</v>
      </c>
      <c r="F333" s="13" t="s">
        <v>24</v>
      </c>
      <c r="G333" s="13" t="s">
        <v>29</v>
      </c>
      <c r="H333" s="14">
        <v>49849.49</v>
      </c>
      <c r="I333" s="13">
        <v>2</v>
      </c>
      <c r="J333" s="15">
        <v>14334.62</v>
      </c>
      <c r="K333" s="14" t="str" cm="1">
        <f t="array" ref="K333">_xlfn.IFS(Table43[[#This Row],[Sales]]&gt;40000,"Best Sales",Table43[[#This Row],[Sales]]&gt;20000,"Average Sales",Table43[[#This Row],[Sales]]&gt;0,"Poor Sales")</f>
        <v>Best Sales</v>
      </c>
      <c r="L333" s="23">
        <f>YEAR(Table43[[#This Row],[Date]])</f>
        <v>2023</v>
      </c>
      <c r="M333" s="23">
        <f>MONTH(Table43[[#This Row],[Date]])</f>
        <v>7</v>
      </c>
      <c r="N333" s="25">
        <f>DAY(Table43[[#This Row],[Date]])</f>
        <v>19</v>
      </c>
      <c r="O333" s="25" t="str">
        <f>TEXT(DATE(2023,Table43[[#This Row],[Month]],1),"mmm")</f>
        <v>Jul</v>
      </c>
      <c r="P333" s="25"/>
      <c r="Q333" s="25"/>
    </row>
    <row r="334" spans="1:17" x14ac:dyDescent="0.3">
      <c r="A334" s="6">
        <v>333</v>
      </c>
      <c r="B334" s="7">
        <v>45150</v>
      </c>
      <c r="C334" s="8" t="s">
        <v>26</v>
      </c>
      <c r="D334" s="8" t="s">
        <v>27</v>
      </c>
      <c r="E334" s="8" t="s">
        <v>17</v>
      </c>
      <c r="F334" s="8" t="s">
        <v>31</v>
      </c>
      <c r="G334" s="8" t="s">
        <v>33</v>
      </c>
      <c r="H334" s="9">
        <v>40482.129999999997</v>
      </c>
      <c r="I334" s="8">
        <v>4</v>
      </c>
      <c r="J334" s="10">
        <v>9904.9599999999991</v>
      </c>
      <c r="K334" s="14" t="str" cm="1">
        <f t="array" ref="K334">_xlfn.IFS(Table43[[#This Row],[Sales]]&gt;40000,"Best Sales",Table43[[#This Row],[Sales]]&gt;20000,"Average Sales",Table43[[#This Row],[Sales]]&gt;0,"Poor Sales")</f>
        <v>Best Sales</v>
      </c>
      <c r="L334" s="23">
        <f>YEAR(Table43[[#This Row],[Date]])</f>
        <v>2023</v>
      </c>
      <c r="M334" s="23">
        <f>MONTH(Table43[[#This Row],[Date]])</f>
        <v>8</v>
      </c>
      <c r="N334" s="25">
        <f>DAY(Table43[[#This Row],[Date]])</f>
        <v>12</v>
      </c>
      <c r="O334" s="25" t="str">
        <f>TEXT(DATE(2023,Table43[[#This Row],[Month]],1),"mmm")</f>
        <v>Aug</v>
      </c>
      <c r="P334" s="25"/>
      <c r="Q334" s="25"/>
    </row>
    <row r="335" spans="1:17" x14ac:dyDescent="0.3">
      <c r="A335" s="11">
        <v>334</v>
      </c>
      <c r="B335" s="12">
        <v>45062</v>
      </c>
      <c r="C335" s="13" t="s">
        <v>18</v>
      </c>
      <c r="D335" s="13" t="s">
        <v>19</v>
      </c>
      <c r="E335" s="13" t="s">
        <v>12</v>
      </c>
      <c r="F335" s="13" t="s">
        <v>24</v>
      </c>
      <c r="G335" s="13" t="s">
        <v>29</v>
      </c>
      <c r="H335" s="14">
        <v>24555.21</v>
      </c>
      <c r="I335" s="13">
        <v>7</v>
      </c>
      <c r="J335" s="15">
        <v>6048.99</v>
      </c>
      <c r="K335" s="14" t="str" cm="1">
        <f t="array" ref="K335">_xlfn.IFS(Table43[[#This Row],[Sales]]&gt;40000,"Best Sales",Table43[[#This Row],[Sales]]&gt;20000,"Average Sales",Table43[[#This Row],[Sales]]&gt;0,"Poor Sales")</f>
        <v>Average Sales</v>
      </c>
      <c r="L335" s="23">
        <f>YEAR(Table43[[#This Row],[Date]])</f>
        <v>2023</v>
      </c>
      <c r="M335" s="23">
        <f>MONTH(Table43[[#This Row],[Date]])</f>
        <v>5</v>
      </c>
      <c r="N335" s="25">
        <f>DAY(Table43[[#This Row],[Date]])</f>
        <v>16</v>
      </c>
      <c r="O335" s="25" t="str">
        <f>TEXT(DATE(2023,Table43[[#This Row],[Month]],1),"mmm")</f>
        <v>May</v>
      </c>
      <c r="P335" s="25"/>
      <c r="Q335" s="25"/>
    </row>
    <row r="336" spans="1:17" x14ac:dyDescent="0.3">
      <c r="A336" s="6">
        <v>335</v>
      </c>
      <c r="B336" s="7">
        <v>45124</v>
      </c>
      <c r="C336" s="8" t="s">
        <v>26</v>
      </c>
      <c r="D336" s="8" t="s">
        <v>27</v>
      </c>
      <c r="E336" s="8" t="s">
        <v>17</v>
      </c>
      <c r="F336" s="8" t="s">
        <v>31</v>
      </c>
      <c r="G336" s="8" t="s">
        <v>39</v>
      </c>
      <c r="H336" s="9">
        <v>12319.01</v>
      </c>
      <c r="I336" s="8">
        <v>8</v>
      </c>
      <c r="J336" s="10">
        <v>2389.34</v>
      </c>
      <c r="K336" s="14" t="str" cm="1">
        <f t="array" ref="K336">_xlfn.IFS(Table43[[#This Row],[Sales]]&gt;40000,"Best Sales",Table43[[#This Row],[Sales]]&gt;20000,"Average Sales",Table43[[#This Row],[Sales]]&gt;0,"Poor Sales")</f>
        <v>Poor Sales</v>
      </c>
      <c r="L336" s="23">
        <f>YEAR(Table43[[#This Row],[Date]])</f>
        <v>2023</v>
      </c>
      <c r="M336" s="23">
        <f>MONTH(Table43[[#This Row],[Date]])</f>
        <v>7</v>
      </c>
      <c r="N336" s="25">
        <f>DAY(Table43[[#This Row],[Date]])</f>
        <v>17</v>
      </c>
      <c r="O336" s="25" t="str">
        <f>TEXT(DATE(2023,Table43[[#This Row],[Month]],1),"mmm")</f>
        <v>Jul</v>
      </c>
      <c r="P336" s="25"/>
      <c r="Q336" s="25"/>
    </row>
    <row r="337" spans="1:17" x14ac:dyDescent="0.3">
      <c r="A337" s="11">
        <v>336</v>
      </c>
      <c r="B337" s="12">
        <v>44980</v>
      </c>
      <c r="C337" s="13" t="s">
        <v>26</v>
      </c>
      <c r="D337" s="13" t="s">
        <v>27</v>
      </c>
      <c r="E337" s="13" t="s">
        <v>20</v>
      </c>
      <c r="F337" s="13" t="s">
        <v>31</v>
      </c>
      <c r="G337" s="13" t="s">
        <v>33</v>
      </c>
      <c r="H337" s="14">
        <v>13647.29</v>
      </c>
      <c r="I337" s="13">
        <v>1</v>
      </c>
      <c r="J337" s="15">
        <v>1756.26</v>
      </c>
      <c r="K337" s="14" t="str" cm="1">
        <f t="array" ref="K337">_xlfn.IFS(Table43[[#This Row],[Sales]]&gt;40000,"Best Sales",Table43[[#This Row],[Sales]]&gt;20000,"Average Sales",Table43[[#This Row],[Sales]]&gt;0,"Poor Sales")</f>
        <v>Poor Sales</v>
      </c>
      <c r="L337" s="23">
        <f>YEAR(Table43[[#This Row],[Date]])</f>
        <v>2023</v>
      </c>
      <c r="M337" s="23">
        <f>MONTH(Table43[[#This Row],[Date]])</f>
        <v>2</v>
      </c>
      <c r="N337" s="25">
        <f>DAY(Table43[[#This Row],[Date]])</f>
        <v>23</v>
      </c>
      <c r="O337" s="25" t="str">
        <f>TEXT(DATE(2023,Table43[[#This Row],[Month]],1),"mmm")</f>
        <v>Feb</v>
      </c>
      <c r="P337" s="25"/>
      <c r="Q337" s="25"/>
    </row>
    <row r="338" spans="1:17" x14ac:dyDescent="0.3">
      <c r="A338" s="6">
        <v>337</v>
      </c>
      <c r="B338" s="7">
        <v>44931</v>
      </c>
      <c r="C338" s="8" t="s">
        <v>26</v>
      </c>
      <c r="D338" s="8" t="s">
        <v>27</v>
      </c>
      <c r="E338" s="8" t="s">
        <v>20</v>
      </c>
      <c r="F338" s="8" t="s">
        <v>24</v>
      </c>
      <c r="G338" s="8" t="s">
        <v>29</v>
      </c>
      <c r="H338" s="9">
        <v>47809.440000000002</v>
      </c>
      <c r="I338" s="8">
        <v>8</v>
      </c>
      <c r="J338" s="10">
        <v>3486.63</v>
      </c>
      <c r="K338" s="14" t="str" cm="1">
        <f t="array" ref="K338">_xlfn.IFS(Table43[[#This Row],[Sales]]&gt;40000,"Best Sales",Table43[[#This Row],[Sales]]&gt;20000,"Average Sales",Table43[[#This Row],[Sales]]&gt;0,"Poor Sales")</f>
        <v>Best Sales</v>
      </c>
      <c r="L338" s="23">
        <f>YEAR(Table43[[#This Row],[Date]])</f>
        <v>2023</v>
      </c>
      <c r="M338" s="23">
        <f>MONTH(Table43[[#This Row],[Date]])</f>
        <v>1</v>
      </c>
      <c r="N338" s="25">
        <f>DAY(Table43[[#This Row],[Date]])</f>
        <v>5</v>
      </c>
      <c r="O338" s="25" t="str">
        <f>TEXT(DATE(2023,Table43[[#This Row],[Month]],1),"mmm")</f>
        <v>Jan</v>
      </c>
      <c r="P338" s="25"/>
      <c r="Q338" s="25"/>
    </row>
    <row r="339" spans="1:17" x14ac:dyDescent="0.3">
      <c r="A339" s="11">
        <v>338</v>
      </c>
      <c r="B339" s="12">
        <v>45139</v>
      </c>
      <c r="C339" s="13" t="s">
        <v>22</v>
      </c>
      <c r="D339" s="13" t="s">
        <v>22</v>
      </c>
      <c r="E339" s="13" t="s">
        <v>12</v>
      </c>
      <c r="F339" s="13" t="s">
        <v>13</v>
      </c>
      <c r="G339" s="13" t="s">
        <v>21</v>
      </c>
      <c r="H339" s="14">
        <v>13063.77</v>
      </c>
      <c r="I339" s="13">
        <v>7</v>
      </c>
      <c r="J339" s="15">
        <v>919.67</v>
      </c>
      <c r="K339" s="14" t="str" cm="1">
        <f t="array" ref="K339">_xlfn.IFS(Table43[[#This Row],[Sales]]&gt;40000,"Best Sales",Table43[[#This Row],[Sales]]&gt;20000,"Average Sales",Table43[[#This Row],[Sales]]&gt;0,"Poor Sales")</f>
        <v>Poor Sales</v>
      </c>
      <c r="L339" s="23">
        <f>YEAR(Table43[[#This Row],[Date]])</f>
        <v>2023</v>
      </c>
      <c r="M339" s="23">
        <f>MONTH(Table43[[#This Row],[Date]])</f>
        <v>8</v>
      </c>
      <c r="N339" s="25">
        <f>DAY(Table43[[#This Row],[Date]])</f>
        <v>1</v>
      </c>
      <c r="O339" s="25" t="str">
        <f>TEXT(DATE(2023,Table43[[#This Row],[Month]],1),"mmm")</f>
        <v>Aug</v>
      </c>
      <c r="P339" s="25"/>
      <c r="Q339" s="25"/>
    </row>
    <row r="340" spans="1:17" x14ac:dyDescent="0.3">
      <c r="A340" s="6">
        <v>339</v>
      </c>
      <c r="B340" s="7">
        <v>45269</v>
      </c>
      <c r="C340" s="8" t="s">
        <v>37</v>
      </c>
      <c r="D340" s="8" t="s">
        <v>27</v>
      </c>
      <c r="E340" s="8" t="s">
        <v>17</v>
      </c>
      <c r="F340" s="8" t="s">
        <v>13</v>
      </c>
      <c r="G340" s="8" t="s">
        <v>34</v>
      </c>
      <c r="H340" s="9">
        <v>19511.96</v>
      </c>
      <c r="I340" s="8">
        <v>9</v>
      </c>
      <c r="J340" s="10">
        <v>3592.28</v>
      </c>
      <c r="K340" s="14" t="str" cm="1">
        <f t="array" ref="K340">_xlfn.IFS(Table43[[#This Row],[Sales]]&gt;40000,"Best Sales",Table43[[#This Row],[Sales]]&gt;20000,"Average Sales",Table43[[#This Row],[Sales]]&gt;0,"Poor Sales")</f>
        <v>Poor Sales</v>
      </c>
      <c r="L340" s="23">
        <f>YEAR(Table43[[#This Row],[Date]])</f>
        <v>2023</v>
      </c>
      <c r="M340" s="23">
        <f>MONTH(Table43[[#This Row],[Date]])</f>
        <v>12</v>
      </c>
      <c r="N340" s="25">
        <f>DAY(Table43[[#This Row],[Date]])</f>
        <v>9</v>
      </c>
      <c r="O340" s="25" t="str">
        <f>TEXT(DATE(2023,Table43[[#This Row],[Month]],1),"mmm")</f>
        <v>Dec</v>
      </c>
      <c r="P340" s="25"/>
      <c r="Q340" s="25"/>
    </row>
    <row r="341" spans="1:17" x14ac:dyDescent="0.3">
      <c r="A341" s="11">
        <v>340</v>
      </c>
      <c r="B341" s="12">
        <v>45197</v>
      </c>
      <c r="C341" s="13" t="s">
        <v>26</v>
      </c>
      <c r="D341" s="13" t="s">
        <v>27</v>
      </c>
      <c r="E341" s="13" t="s">
        <v>12</v>
      </c>
      <c r="F341" s="13" t="s">
        <v>13</v>
      </c>
      <c r="G341" s="13" t="s">
        <v>34</v>
      </c>
      <c r="H341" s="14">
        <v>3861.56</v>
      </c>
      <c r="I341" s="13">
        <v>3</v>
      </c>
      <c r="J341" s="15">
        <v>788.54</v>
      </c>
      <c r="K341" s="14" t="str" cm="1">
        <f t="array" ref="K341">_xlfn.IFS(Table43[[#This Row],[Sales]]&gt;40000,"Best Sales",Table43[[#This Row],[Sales]]&gt;20000,"Average Sales",Table43[[#This Row],[Sales]]&gt;0,"Poor Sales")</f>
        <v>Poor Sales</v>
      </c>
      <c r="L341" s="23">
        <f>YEAR(Table43[[#This Row],[Date]])</f>
        <v>2023</v>
      </c>
      <c r="M341" s="23">
        <f>MONTH(Table43[[#This Row],[Date]])</f>
        <v>9</v>
      </c>
      <c r="N341" s="25">
        <f>DAY(Table43[[#This Row],[Date]])</f>
        <v>28</v>
      </c>
      <c r="O341" s="25" t="str">
        <f>TEXT(DATE(2023,Table43[[#This Row],[Month]],1),"mmm")</f>
        <v>Sep</v>
      </c>
      <c r="P341" s="25"/>
      <c r="Q341" s="25"/>
    </row>
    <row r="342" spans="1:17" x14ac:dyDescent="0.3">
      <c r="A342" s="6">
        <v>341</v>
      </c>
      <c r="B342" s="7">
        <v>45107</v>
      </c>
      <c r="C342" s="8" t="s">
        <v>15</v>
      </c>
      <c r="D342" s="8" t="s">
        <v>16</v>
      </c>
      <c r="E342" s="8" t="s">
        <v>17</v>
      </c>
      <c r="F342" s="8" t="s">
        <v>31</v>
      </c>
      <c r="G342" s="8" t="s">
        <v>39</v>
      </c>
      <c r="H342" s="9">
        <v>5630.69</v>
      </c>
      <c r="I342" s="8">
        <v>7</v>
      </c>
      <c r="J342" s="10">
        <v>337.23</v>
      </c>
      <c r="K342" s="14" t="str" cm="1">
        <f t="array" ref="K342">_xlfn.IFS(Table43[[#This Row],[Sales]]&gt;40000,"Best Sales",Table43[[#This Row],[Sales]]&gt;20000,"Average Sales",Table43[[#This Row],[Sales]]&gt;0,"Poor Sales")</f>
        <v>Poor Sales</v>
      </c>
      <c r="L342" s="23">
        <f>YEAR(Table43[[#This Row],[Date]])</f>
        <v>2023</v>
      </c>
      <c r="M342" s="23">
        <f>MONTH(Table43[[#This Row],[Date]])</f>
        <v>6</v>
      </c>
      <c r="N342" s="25">
        <f>DAY(Table43[[#This Row],[Date]])</f>
        <v>30</v>
      </c>
      <c r="O342" s="25" t="str">
        <f>TEXT(DATE(2023,Table43[[#This Row],[Month]],1),"mmm")</f>
        <v>Jun</v>
      </c>
      <c r="P342" s="25"/>
      <c r="Q342" s="25"/>
    </row>
    <row r="343" spans="1:17" x14ac:dyDescent="0.3">
      <c r="A343" s="11">
        <v>342</v>
      </c>
      <c r="B343" s="12">
        <v>45286</v>
      </c>
      <c r="C343" s="13" t="s">
        <v>26</v>
      </c>
      <c r="D343" s="13" t="s">
        <v>27</v>
      </c>
      <c r="E343" s="13" t="s">
        <v>20</v>
      </c>
      <c r="F343" s="13" t="s">
        <v>31</v>
      </c>
      <c r="G343" s="13" t="s">
        <v>39</v>
      </c>
      <c r="H343" s="14">
        <v>12929.68</v>
      </c>
      <c r="I343" s="13">
        <v>1</v>
      </c>
      <c r="J343" s="15">
        <v>3699.71</v>
      </c>
      <c r="K343" s="14" t="str" cm="1">
        <f t="array" ref="K343">_xlfn.IFS(Table43[[#This Row],[Sales]]&gt;40000,"Best Sales",Table43[[#This Row],[Sales]]&gt;20000,"Average Sales",Table43[[#This Row],[Sales]]&gt;0,"Poor Sales")</f>
        <v>Poor Sales</v>
      </c>
      <c r="L343" s="23">
        <f>YEAR(Table43[[#This Row],[Date]])</f>
        <v>2023</v>
      </c>
      <c r="M343" s="23">
        <f>MONTH(Table43[[#This Row],[Date]])</f>
        <v>12</v>
      </c>
      <c r="N343" s="25">
        <f>DAY(Table43[[#This Row],[Date]])</f>
        <v>26</v>
      </c>
      <c r="O343" s="25" t="str">
        <f>TEXT(DATE(2023,Table43[[#This Row],[Month]],1),"mmm")</f>
        <v>Dec</v>
      </c>
      <c r="P343" s="25"/>
      <c r="Q343" s="25"/>
    </row>
    <row r="344" spans="1:17" x14ac:dyDescent="0.3">
      <c r="A344" s="6">
        <v>343</v>
      </c>
      <c r="B344" s="7">
        <v>45136</v>
      </c>
      <c r="C344" s="8" t="s">
        <v>22</v>
      </c>
      <c r="D344" s="8" t="s">
        <v>22</v>
      </c>
      <c r="E344" s="8" t="s">
        <v>20</v>
      </c>
      <c r="F344" s="8" t="s">
        <v>13</v>
      </c>
      <c r="G344" s="8" t="s">
        <v>21</v>
      </c>
      <c r="H344" s="9">
        <v>2770.4</v>
      </c>
      <c r="I344" s="8">
        <v>7</v>
      </c>
      <c r="J344" s="10">
        <v>401.13</v>
      </c>
      <c r="K344" s="14" t="str" cm="1">
        <f t="array" ref="K344">_xlfn.IFS(Table43[[#This Row],[Sales]]&gt;40000,"Best Sales",Table43[[#This Row],[Sales]]&gt;20000,"Average Sales",Table43[[#This Row],[Sales]]&gt;0,"Poor Sales")</f>
        <v>Poor Sales</v>
      </c>
      <c r="L344" s="23">
        <f>YEAR(Table43[[#This Row],[Date]])</f>
        <v>2023</v>
      </c>
      <c r="M344" s="23">
        <f>MONTH(Table43[[#This Row],[Date]])</f>
        <v>7</v>
      </c>
      <c r="N344" s="25">
        <f>DAY(Table43[[#This Row],[Date]])</f>
        <v>29</v>
      </c>
      <c r="O344" s="25" t="str">
        <f>TEXT(DATE(2023,Table43[[#This Row],[Month]],1),"mmm")</f>
        <v>Jul</v>
      </c>
      <c r="P344" s="25"/>
      <c r="Q344" s="25"/>
    </row>
    <row r="345" spans="1:17" x14ac:dyDescent="0.3">
      <c r="A345" s="11">
        <v>344</v>
      </c>
      <c r="B345" s="12">
        <v>45076</v>
      </c>
      <c r="C345" s="13" t="s">
        <v>38</v>
      </c>
      <c r="D345" s="13" t="s">
        <v>27</v>
      </c>
      <c r="E345" s="13" t="s">
        <v>12</v>
      </c>
      <c r="F345" s="13" t="s">
        <v>31</v>
      </c>
      <c r="G345" s="13" t="s">
        <v>32</v>
      </c>
      <c r="H345" s="14">
        <v>44238.62</v>
      </c>
      <c r="I345" s="13">
        <v>7</v>
      </c>
      <c r="J345" s="15">
        <v>10311.209999999999</v>
      </c>
      <c r="K345" s="14" t="str" cm="1">
        <f t="array" ref="K345">_xlfn.IFS(Table43[[#This Row],[Sales]]&gt;40000,"Best Sales",Table43[[#This Row],[Sales]]&gt;20000,"Average Sales",Table43[[#This Row],[Sales]]&gt;0,"Poor Sales")</f>
        <v>Best Sales</v>
      </c>
      <c r="L345" s="23">
        <f>YEAR(Table43[[#This Row],[Date]])</f>
        <v>2023</v>
      </c>
      <c r="M345" s="23">
        <f>MONTH(Table43[[#This Row],[Date]])</f>
        <v>5</v>
      </c>
      <c r="N345" s="25">
        <f>DAY(Table43[[#This Row],[Date]])</f>
        <v>30</v>
      </c>
      <c r="O345" s="25" t="str">
        <f>TEXT(DATE(2023,Table43[[#This Row],[Month]],1),"mmm")</f>
        <v>May</v>
      </c>
      <c r="P345" s="25"/>
      <c r="Q345" s="25"/>
    </row>
    <row r="346" spans="1:17" x14ac:dyDescent="0.3">
      <c r="A346" s="6">
        <v>345</v>
      </c>
      <c r="B346" s="7">
        <v>45024</v>
      </c>
      <c r="C346" s="8" t="s">
        <v>18</v>
      </c>
      <c r="D346" s="8" t="s">
        <v>19</v>
      </c>
      <c r="E346" s="8" t="s">
        <v>17</v>
      </c>
      <c r="F346" s="8" t="s">
        <v>13</v>
      </c>
      <c r="G346" s="8" t="s">
        <v>34</v>
      </c>
      <c r="H346" s="9">
        <v>34979.96</v>
      </c>
      <c r="I346" s="8">
        <v>3</v>
      </c>
      <c r="J346" s="10">
        <v>6888.91</v>
      </c>
      <c r="K346" s="14" t="str" cm="1">
        <f t="array" ref="K346">_xlfn.IFS(Table43[[#This Row],[Sales]]&gt;40000,"Best Sales",Table43[[#This Row],[Sales]]&gt;20000,"Average Sales",Table43[[#This Row],[Sales]]&gt;0,"Poor Sales")</f>
        <v>Average Sales</v>
      </c>
      <c r="L346" s="23">
        <f>YEAR(Table43[[#This Row],[Date]])</f>
        <v>2023</v>
      </c>
      <c r="M346" s="23">
        <f>MONTH(Table43[[#This Row],[Date]])</f>
        <v>4</v>
      </c>
      <c r="N346" s="25">
        <f>DAY(Table43[[#This Row],[Date]])</f>
        <v>8</v>
      </c>
      <c r="O346" s="25" t="str">
        <f>TEXT(DATE(2023,Table43[[#This Row],[Month]],1),"mmm")</f>
        <v>Apr</v>
      </c>
      <c r="P346" s="25"/>
      <c r="Q346" s="25"/>
    </row>
    <row r="347" spans="1:17" x14ac:dyDescent="0.3">
      <c r="A347" s="11">
        <v>346</v>
      </c>
      <c r="B347" s="12">
        <v>45085</v>
      </c>
      <c r="C347" s="13" t="s">
        <v>22</v>
      </c>
      <c r="D347" s="13" t="s">
        <v>22</v>
      </c>
      <c r="E347" s="13" t="s">
        <v>12</v>
      </c>
      <c r="F347" s="13" t="s">
        <v>31</v>
      </c>
      <c r="G347" s="13" t="s">
        <v>32</v>
      </c>
      <c r="H347" s="14">
        <v>48862.53</v>
      </c>
      <c r="I347" s="13">
        <v>4</v>
      </c>
      <c r="J347" s="15">
        <v>12427.15</v>
      </c>
      <c r="K347" s="14" t="str" cm="1">
        <f t="array" ref="K347">_xlfn.IFS(Table43[[#This Row],[Sales]]&gt;40000,"Best Sales",Table43[[#This Row],[Sales]]&gt;20000,"Average Sales",Table43[[#This Row],[Sales]]&gt;0,"Poor Sales")</f>
        <v>Best Sales</v>
      </c>
      <c r="L347" s="23">
        <f>YEAR(Table43[[#This Row],[Date]])</f>
        <v>2023</v>
      </c>
      <c r="M347" s="23">
        <f>MONTH(Table43[[#This Row],[Date]])</f>
        <v>6</v>
      </c>
      <c r="N347" s="25">
        <f>DAY(Table43[[#This Row],[Date]])</f>
        <v>8</v>
      </c>
      <c r="O347" s="25" t="str">
        <f>TEXT(DATE(2023,Table43[[#This Row],[Month]],1),"mmm")</f>
        <v>Jun</v>
      </c>
      <c r="P347" s="25"/>
      <c r="Q347" s="25"/>
    </row>
    <row r="348" spans="1:17" x14ac:dyDescent="0.3">
      <c r="A348" s="6">
        <v>347</v>
      </c>
      <c r="B348" s="7">
        <v>45207</v>
      </c>
      <c r="C348" s="8" t="s">
        <v>37</v>
      </c>
      <c r="D348" s="8" t="s">
        <v>27</v>
      </c>
      <c r="E348" s="8" t="s">
        <v>17</v>
      </c>
      <c r="F348" s="8" t="s">
        <v>13</v>
      </c>
      <c r="G348" s="8" t="s">
        <v>21</v>
      </c>
      <c r="H348" s="9">
        <v>8542.52</v>
      </c>
      <c r="I348" s="8">
        <v>9</v>
      </c>
      <c r="J348" s="10">
        <v>1149.1300000000001</v>
      </c>
      <c r="K348" s="14" t="str" cm="1">
        <f t="array" ref="K348">_xlfn.IFS(Table43[[#This Row],[Sales]]&gt;40000,"Best Sales",Table43[[#This Row],[Sales]]&gt;20000,"Average Sales",Table43[[#This Row],[Sales]]&gt;0,"Poor Sales")</f>
        <v>Poor Sales</v>
      </c>
      <c r="L348" s="23">
        <f>YEAR(Table43[[#This Row],[Date]])</f>
        <v>2023</v>
      </c>
      <c r="M348" s="23">
        <f>MONTH(Table43[[#This Row],[Date]])</f>
        <v>10</v>
      </c>
      <c r="N348" s="25">
        <f>DAY(Table43[[#This Row],[Date]])</f>
        <v>8</v>
      </c>
      <c r="O348" s="25" t="str">
        <f>TEXT(DATE(2023,Table43[[#This Row],[Month]],1),"mmm")</f>
        <v>Oct</v>
      </c>
      <c r="P348" s="25"/>
      <c r="Q348" s="25"/>
    </row>
    <row r="349" spans="1:17" x14ac:dyDescent="0.3">
      <c r="A349" s="11">
        <v>348</v>
      </c>
      <c r="B349" s="12">
        <v>45256</v>
      </c>
      <c r="C349" s="13" t="s">
        <v>10</v>
      </c>
      <c r="D349" s="13" t="s">
        <v>11</v>
      </c>
      <c r="E349" s="13" t="s">
        <v>20</v>
      </c>
      <c r="F349" s="13" t="s">
        <v>13</v>
      </c>
      <c r="G349" s="13" t="s">
        <v>14</v>
      </c>
      <c r="H349" s="14">
        <v>27306.13</v>
      </c>
      <c r="I349" s="13">
        <v>6</v>
      </c>
      <c r="J349" s="15">
        <v>6925.83</v>
      </c>
      <c r="K349" s="14" t="str" cm="1">
        <f t="array" ref="K349">_xlfn.IFS(Table43[[#This Row],[Sales]]&gt;40000,"Best Sales",Table43[[#This Row],[Sales]]&gt;20000,"Average Sales",Table43[[#This Row],[Sales]]&gt;0,"Poor Sales")</f>
        <v>Average Sales</v>
      </c>
      <c r="L349" s="23">
        <f>YEAR(Table43[[#This Row],[Date]])</f>
        <v>2023</v>
      </c>
      <c r="M349" s="23">
        <f>MONTH(Table43[[#This Row],[Date]])</f>
        <v>11</v>
      </c>
      <c r="N349" s="25">
        <f>DAY(Table43[[#This Row],[Date]])</f>
        <v>26</v>
      </c>
      <c r="O349" s="25" t="str">
        <f>TEXT(DATE(2023,Table43[[#This Row],[Month]],1),"mmm")</f>
        <v>Nov</v>
      </c>
      <c r="P349" s="25"/>
      <c r="Q349" s="25"/>
    </row>
    <row r="350" spans="1:17" x14ac:dyDescent="0.3">
      <c r="A350" s="6">
        <v>349</v>
      </c>
      <c r="B350" s="7">
        <v>45192</v>
      </c>
      <c r="C350" s="8" t="s">
        <v>26</v>
      </c>
      <c r="D350" s="8" t="s">
        <v>27</v>
      </c>
      <c r="E350" s="8" t="s">
        <v>20</v>
      </c>
      <c r="F350" s="8" t="s">
        <v>13</v>
      </c>
      <c r="G350" s="8" t="s">
        <v>14</v>
      </c>
      <c r="H350" s="9">
        <v>6233.07</v>
      </c>
      <c r="I350" s="8">
        <v>2</v>
      </c>
      <c r="J350" s="10">
        <v>1160.33</v>
      </c>
      <c r="K350" s="14" t="str" cm="1">
        <f t="array" ref="K350">_xlfn.IFS(Table43[[#This Row],[Sales]]&gt;40000,"Best Sales",Table43[[#This Row],[Sales]]&gt;20000,"Average Sales",Table43[[#This Row],[Sales]]&gt;0,"Poor Sales")</f>
        <v>Poor Sales</v>
      </c>
      <c r="L350" s="23">
        <f>YEAR(Table43[[#This Row],[Date]])</f>
        <v>2023</v>
      </c>
      <c r="M350" s="23">
        <f>MONTH(Table43[[#This Row],[Date]])</f>
        <v>9</v>
      </c>
      <c r="N350" s="25">
        <f>DAY(Table43[[#This Row],[Date]])</f>
        <v>23</v>
      </c>
      <c r="O350" s="25" t="str">
        <f>TEXT(DATE(2023,Table43[[#This Row],[Month]],1),"mmm")</f>
        <v>Sep</v>
      </c>
      <c r="P350" s="25"/>
      <c r="Q350" s="25"/>
    </row>
    <row r="351" spans="1:17" x14ac:dyDescent="0.3">
      <c r="A351" s="11">
        <v>350</v>
      </c>
      <c r="B351" s="12">
        <v>44946</v>
      </c>
      <c r="C351" s="13" t="s">
        <v>37</v>
      </c>
      <c r="D351" s="13" t="s">
        <v>27</v>
      </c>
      <c r="E351" s="13" t="s">
        <v>12</v>
      </c>
      <c r="F351" s="13" t="s">
        <v>24</v>
      </c>
      <c r="G351" s="13" t="s">
        <v>28</v>
      </c>
      <c r="H351" s="14">
        <v>16041.6</v>
      </c>
      <c r="I351" s="13">
        <v>4</v>
      </c>
      <c r="J351" s="15">
        <v>3108.36</v>
      </c>
      <c r="K351" s="14" t="str" cm="1">
        <f t="array" ref="K351">_xlfn.IFS(Table43[[#This Row],[Sales]]&gt;40000,"Best Sales",Table43[[#This Row],[Sales]]&gt;20000,"Average Sales",Table43[[#This Row],[Sales]]&gt;0,"Poor Sales")</f>
        <v>Poor Sales</v>
      </c>
      <c r="L351" s="23">
        <f>YEAR(Table43[[#This Row],[Date]])</f>
        <v>2023</v>
      </c>
      <c r="M351" s="23">
        <f>MONTH(Table43[[#This Row],[Date]])</f>
        <v>1</v>
      </c>
      <c r="N351" s="25">
        <f>DAY(Table43[[#This Row],[Date]])</f>
        <v>20</v>
      </c>
      <c r="O351" s="25" t="str">
        <f>TEXT(DATE(2023,Table43[[#This Row],[Month]],1),"mmm")</f>
        <v>Jan</v>
      </c>
      <c r="P351" s="25"/>
      <c r="Q351" s="25"/>
    </row>
    <row r="352" spans="1:17" x14ac:dyDescent="0.3">
      <c r="A352" s="6">
        <v>351</v>
      </c>
      <c r="B352" s="7">
        <v>44960</v>
      </c>
      <c r="C352" s="8" t="s">
        <v>37</v>
      </c>
      <c r="D352" s="8" t="s">
        <v>27</v>
      </c>
      <c r="E352" s="8" t="s">
        <v>17</v>
      </c>
      <c r="F352" s="8" t="s">
        <v>13</v>
      </c>
      <c r="G352" s="8" t="s">
        <v>14</v>
      </c>
      <c r="H352" s="9">
        <v>32906.46</v>
      </c>
      <c r="I352" s="8">
        <v>10</v>
      </c>
      <c r="J352" s="10">
        <v>2385.66</v>
      </c>
      <c r="K352" s="14" t="str" cm="1">
        <f t="array" ref="K352">_xlfn.IFS(Table43[[#This Row],[Sales]]&gt;40000,"Best Sales",Table43[[#This Row],[Sales]]&gt;20000,"Average Sales",Table43[[#This Row],[Sales]]&gt;0,"Poor Sales")</f>
        <v>Average Sales</v>
      </c>
      <c r="L352" s="23">
        <f>YEAR(Table43[[#This Row],[Date]])</f>
        <v>2023</v>
      </c>
      <c r="M352" s="23">
        <f>MONTH(Table43[[#This Row],[Date]])</f>
        <v>2</v>
      </c>
      <c r="N352" s="25">
        <f>DAY(Table43[[#This Row],[Date]])</f>
        <v>3</v>
      </c>
      <c r="O352" s="25" t="str">
        <f>TEXT(DATE(2023,Table43[[#This Row],[Month]],1),"mmm")</f>
        <v>Feb</v>
      </c>
      <c r="P352" s="25"/>
      <c r="Q352" s="25"/>
    </row>
    <row r="353" spans="1:17" x14ac:dyDescent="0.3">
      <c r="A353" s="11">
        <v>352</v>
      </c>
      <c r="B353" s="12">
        <v>44988</v>
      </c>
      <c r="C353" s="13" t="s">
        <v>22</v>
      </c>
      <c r="D353" s="13" t="s">
        <v>22</v>
      </c>
      <c r="E353" s="13" t="s">
        <v>12</v>
      </c>
      <c r="F353" s="13" t="s">
        <v>31</v>
      </c>
      <c r="G353" s="13" t="s">
        <v>39</v>
      </c>
      <c r="H353" s="14">
        <v>37239.54</v>
      </c>
      <c r="I353" s="13">
        <v>7</v>
      </c>
      <c r="J353" s="15">
        <v>2504.85</v>
      </c>
      <c r="K353" s="14" t="str" cm="1">
        <f t="array" ref="K353">_xlfn.IFS(Table43[[#This Row],[Sales]]&gt;40000,"Best Sales",Table43[[#This Row],[Sales]]&gt;20000,"Average Sales",Table43[[#This Row],[Sales]]&gt;0,"Poor Sales")</f>
        <v>Average Sales</v>
      </c>
      <c r="L353" s="23">
        <f>YEAR(Table43[[#This Row],[Date]])</f>
        <v>2023</v>
      </c>
      <c r="M353" s="23">
        <f>MONTH(Table43[[#This Row],[Date]])</f>
        <v>3</v>
      </c>
      <c r="N353" s="25">
        <f>DAY(Table43[[#This Row],[Date]])</f>
        <v>3</v>
      </c>
      <c r="O353" s="25" t="str">
        <f>TEXT(DATE(2023,Table43[[#This Row],[Month]],1),"mmm")</f>
        <v>Mar</v>
      </c>
      <c r="P353" s="25"/>
      <c r="Q353" s="25"/>
    </row>
    <row r="354" spans="1:17" x14ac:dyDescent="0.3">
      <c r="A354" s="6">
        <v>353</v>
      </c>
      <c r="B354" s="7">
        <v>45202</v>
      </c>
      <c r="C354" s="8" t="s">
        <v>22</v>
      </c>
      <c r="D354" s="8" t="s">
        <v>22</v>
      </c>
      <c r="E354" s="8" t="s">
        <v>17</v>
      </c>
      <c r="F354" s="8" t="s">
        <v>31</v>
      </c>
      <c r="G354" s="8" t="s">
        <v>39</v>
      </c>
      <c r="H354" s="9">
        <v>4483.34</v>
      </c>
      <c r="I354" s="8">
        <v>9</v>
      </c>
      <c r="J354" s="10">
        <v>1083.8</v>
      </c>
      <c r="K354" s="14" t="str" cm="1">
        <f t="array" ref="K354">_xlfn.IFS(Table43[[#This Row],[Sales]]&gt;40000,"Best Sales",Table43[[#This Row],[Sales]]&gt;20000,"Average Sales",Table43[[#This Row],[Sales]]&gt;0,"Poor Sales")</f>
        <v>Poor Sales</v>
      </c>
      <c r="L354" s="23">
        <f>YEAR(Table43[[#This Row],[Date]])</f>
        <v>2023</v>
      </c>
      <c r="M354" s="23">
        <f>MONTH(Table43[[#This Row],[Date]])</f>
        <v>10</v>
      </c>
      <c r="N354" s="25">
        <f>DAY(Table43[[#This Row],[Date]])</f>
        <v>3</v>
      </c>
      <c r="O354" s="25" t="str">
        <f>TEXT(DATE(2023,Table43[[#This Row],[Month]],1),"mmm")</f>
        <v>Oct</v>
      </c>
      <c r="P354" s="25"/>
      <c r="Q354" s="25"/>
    </row>
    <row r="355" spans="1:17" x14ac:dyDescent="0.3">
      <c r="A355" s="11">
        <v>354</v>
      </c>
      <c r="B355" s="12">
        <v>44965</v>
      </c>
      <c r="C355" s="13" t="s">
        <v>37</v>
      </c>
      <c r="D355" s="13" t="s">
        <v>27</v>
      </c>
      <c r="E355" s="13" t="s">
        <v>20</v>
      </c>
      <c r="F355" s="13" t="s">
        <v>31</v>
      </c>
      <c r="G355" s="13" t="s">
        <v>32</v>
      </c>
      <c r="H355" s="14">
        <v>48213.14</v>
      </c>
      <c r="I355" s="13">
        <v>6</v>
      </c>
      <c r="J355" s="15">
        <v>10326.15</v>
      </c>
      <c r="K355" s="14" t="str" cm="1">
        <f t="array" ref="K355">_xlfn.IFS(Table43[[#This Row],[Sales]]&gt;40000,"Best Sales",Table43[[#This Row],[Sales]]&gt;20000,"Average Sales",Table43[[#This Row],[Sales]]&gt;0,"Poor Sales")</f>
        <v>Best Sales</v>
      </c>
      <c r="L355" s="23">
        <f>YEAR(Table43[[#This Row],[Date]])</f>
        <v>2023</v>
      </c>
      <c r="M355" s="23">
        <f>MONTH(Table43[[#This Row],[Date]])</f>
        <v>2</v>
      </c>
      <c r="N355" s="25">
        <f>DAY(Table43[[#This Row],[Date]])</f>
        <v>8</v>
      </c>
      <c r="O355" s="25" t="str">
        <f>TEXT(DATE(2023,Table43[[#This Row],[Month]],1),"mmm")</f>
        <v>Feb</v>
      </c>
      <c r="P355" s="25"/>
      <c r="Q355" s="25"/>
    </row>
    <row r="356" spans="1:17" x14ac:dyDescent="0.3">
      <c r="A356" s="6">
        <v>355</v>
      </c>
      <c r="B356" s="7">
        <v>45087</v>
      </c>
      <c r="C356" s="8" t="s">
        <v>22</v>
      </c>
      <c r="D356" s="8" t="s">
        <v>22</v>
      </c>
      <c r="E356" s="8" t="s">
        <v>20</v>
      </c>
      <c r="F356" s="8" t="s">
        <v>24</v>
      </c>
      <c r="G356" s="8" t="s">
        <v>29</v>
      </c>
      <c r="H356" s="9">
        <v>42851.99</v>
      </c>
      <c r="I356" s="8">
        <v>5</v>
      </c>
      <c r="J356" s="10">
        <v>9496.2099999999991</v>
      </c>
      <c r="K356" s="14" t="str" cm="1">
        <f t="array" ref="K356">_xlfn.IFS(Table43[[#This Row],[Sales]]&gt;40000,"Best Sales",Table43[[#This Row],[Sales]]&gt;20000,"Average Sales",Table43[[#This Row],[Sales]]&gt;0,"Poor Sales")</f>
        <v>Best Sales</v>
      </c>
      <c r="L356" s="23">
        <f>YEAR(Table43[[#This Row],[Date]])</f>
        <v>2023</v>
      </c>
      <c r="M356" s="23">
        <f>MONTH(Table43[[#This Row],[Date]])</f>
        <v>6</v>
      </c>
      <c r="N356" s="25">
        <f>DAY(Table43[[#This Row],[Date]])</f>
        <v>10</v>
      </c>
      <c r="O356" s="25" t="str">
        <f>TEXT(DATE(2023,Table43[[#This Row],[Month]],1),"mmm")</f>
        <v>Jun</v>
      </c>
      <c r="P356" s="25"/>
      <c r="Q356" s="25"/>
    </row>
    <row r="357" spans="1:17" x14ac:dyDescent="0.3">
      <c r="A357" s="11">
        <v>356</v>
      </c>
      <c r="B357" s="12">
        <v>44987</v>
      </c>
      <c r="C357" s="13" t="s">
        <v>18</v>
      </c>
      <c r="D357" s="13" t="s">
        <v>19</v>
      </c>
      <c r="E357" s="13" t="s">
        <v>12</v>
      </c>
      <c r="F357" s="13" t="s">
        <v>24</v>
      </c>
      <c r="G357" s="13" t="s">
        <v>28</v>
      </c>
      <c r="H357" s="14">
        <v>1320.69</v>
      </c>
      <c r="I357" s="13">
        <v>2</v>
      </c>
      <c r="J357" s="15">
        <v>152.43</v>
      </c>
      <c r="K357" s="14" t="str" cm="1">
        <f t="array" ref="K357">_xlfn.IFS(Table43[[#This Row],[Sales]]&gt;40000,"Best Sales",Table43[[#This Row],[Sales]]&gt;20000,"Average Sales",Table43[[#This Row],[Sales]]&gt;0,"Poor Sales")</f>
        <v>Poor Sales</v>
      </c>
      <c r="L357" s="23">
        <f>YEAR(Table43[[#This Row],[Date]])</f>
        <v>2023</v>
      </c>
      <c r="M357" s="23">
        <f>MONTH(Table43[[#This Row],[Date]])</f>
        <v>3</v>
      </c>
      <c r="N357" s="25">
        <f>DAY(Table43[[#This Row],[Date]])</f>
        <v>2</v>
      </c>
      <c r="O357" s="25" t="str">
        <f>TEXT(DATE(2023,Table43[[#This Row],[Month]],1),"mmm")</f>
        <v>Mar</v>
      </c>
      <c r="P357" s="25"/>
      <c r="Q357" s="25"/>
    </row>
    <row r="358" spans="1:17" x14ac:dyDescent="0.3">
      <c r="A358" s="6">
        <v>357</v>
      </c>
      <c r="B358" s="7">
        <v>45093</v>
      </c>
      <c r="C358" s="8" t="s">
        <v>38</v>
      </c>
      <c r="D358" s="8" t="s">
        <v>27</v>
      </c>
      <c r="E358" s="8" t="s">
        <v>17</v>
      </c>
      <c r="F358" s="8" t="s">
        <v>31</v>
      </c>
      <c r="G358" s="8" t="s">
        <v>33</v>
      </c>
      <c r="H358" s="9">
        <v>27600.51</v>
      </c>
      <c r="I358" s="8">
        <v>4</v>
      </c>
      <c r="J358" s="10">
        <v>6255.76</v>
      </c>
      <c r="K358" s="14" t="str" cm="1">
        <f t="array" ref="K358">_xlfn.IFS(Table43[[#This Row],[Sales]]&gt;40000,"Best Sales",Table43[[#This Row],[Sales]]&gt;20000,"Average Sales",Table43[[#This Row],[Sales]]&gt;0,"Poor Sales")</f>
        <v>Average Sales</v>
      </c>
      <c r="L358" s="23">
        <f>YEAR(Table43[[#This Row],[Date]])</f>
        <v>2023</v>
      </c>
      <c r="M358" s="23">
        <f>MONTH(Table43[[#This Row],[Date]])</f>
        <v>6</v>
      </c>
      <c r="N358" s="25">
        <f>DAY(Table43[[#This Row],[Date]])</f>
        <v>16</v>
      </c>
      <c r="O358" s="25" t="str">
        <f>TEXT(DATE(2023,Table43[[#This Row],[Month]],1),"mmm")</f>
        <v>Jun</v>
      </c>
      <c r="P358" s="25"/>
      <c r="Q358" s="25"/>
    </row>
    <row r="359" spans="1:17" x14ac:dyDescent="0.3">
      <c r="A359" s="11">
        <v>358</v>
      </c>
      <c r="B359" s="12">
        <v>44942</v>
      </c>
      <c r="C359" s="13" t="s">
        <v>15</v>
      </c>
      <c r="D359" s="13" t="s">
        <v>16</v>
      </c>
      <c r="E359" s="13" t="s">
        <v>12</v>
      </c>
      <c r="F359" s="13" t="s">
        <v>13</v>
      </c>
      <c r="G359" s="13" t="s">
        <v>21</v>
      </c>
      <c r="H359" s="14">
        <v>36776.78</v>
      </c>
      <c r="I359" s="13">
        <v>10</v>
      </c>
      <c r="J359" s="15">
        <v>9228.1200000000008</v>
      </c>
      <c r="K359" s="14" t="str" cm="1">
        <f t="array" ref="K359">_xlfn.IFS(Table43[[#This Row],[Sales]]&gt;40000,"Best Sales",Table43[[#This Row],[Sales]]&gt;20000,"Average Sales",Table43[[#This Row],[Sales]]&gt;0,"Poor Sales")</f>
        <v>Average Sales</v>
      </c>
      <c r="L359" s="23">
        <f>YEAR(Table43[[#This Row],[Date]])</f>
        <v>2023</v>
      </c>
      <c r="M359" s="23">
        <f>MONTH(Table43[[#This Row],[Date]])</f>
        <v>1</v>
      </c>
      <c r="N359" s="25">
        <f>DAY(Table43[[#This Row],[Date]])</f>
        <v>16</v>
      </c>
      <c r="O359" s="25" t="str">
        <f>TEXT(DATE(2023,Table43[[#This Row],[Month]],1),"mmm")</f>
        <v>Jan</v>
      </c>
      <c r="P359" s="25"/>
      <c r="Q359" s="25"/>
    </row>
    <row r="360" spans="1:17" x14ac:dyDescent="0.3">
      <c r="A360" s="6">
        <v>359</v>
      </c>
      <c r="B360" s="7">
        <v>45214</v>
      </c>
      <c r="C360" s="8" t="s">
        <v>30</v>
      </c>
      <c r="D360" s="8" t="s">
        <v>16</v>
      </c>
      <c r="E360" s="8" t="s">
        <v>17</v>
      </c>
      <c r="F360" s="8" t="s">
        <v>31</v>
      </c>
      <c r="G360" s="8" t="s">
        <v>33</v>
      </c>
      <c r="H360" s="9">
        <v>23572.9</v>
      </c>
      <c r="I360" s="8">
        <v>9</v>
      </c>
      <c r="J360" s="10">
        <v>2990.66</v>
      </c>
      <c r="K360" s="14" t="str" cm="1">
        <f t="array" ref="K360">_xlfn.IFS(Table43[[#This Row],[Sales]]&gt;40000,"Best Sales",Table43[[#This Row],[Sales]]&gt;20000,"Average Sales",Table43[[#This Row],[Sales]]&gt;0,"Poor Sales")</f>
        <v>Average Sales</v>
      </c>
      <c r="L360" s="23">
        <f>YEAR(Table43[[#This Row],[Date]])</f>
        <v>2023</v>
      </c>
      <c r="M360" s="23">
        <f>MONTH(Table43[[#This Row],[Date]])</f>
        <v>10</v>
      </c>
      <c r="N360" s="25">
        <f>DAY(Table43[[#This Row],[Date]])</f>
        <v>15</v>
      </c>
      <c r="O360" s="25" t="str">
        <f>TEXT(DATE(2023,Table43[[#This Row],[Month]],1),"mmm")</f>
        <v>Oct</v>
      </c>
      <c r="P360" s="25"/>
      <c r="Q360" s="25"/>
    </row>
    <row r="361" spans="1:17" x14ac:dyDescent="0.3">
      <c r="A361" s="11">
        <v>360</v>
      </c>
      <c r="B361" s="12">
        <v>45259</v>
      </c>
      <c r="C361" s="13" t="s">
        <v>30</v>
      </c>
      <c r="D361" s="13" t="s">
        <v>16</v>
      </c>
      <c r="E361" s="13" t="s">
        <v>20</v>
      </c>
      <c r="F361" s="13" t="s">
        <v>13</v>
      </c>
      <c r="G361" s="13" t="s">
        <v>21</v>
      </c>
      <c r="H361" s="14">
        <v>47935.1</v>
      </c>
      <c r="I361" s="13">
        <v>5</v>
      </c>
      <c r="J361" s="15">
        <v>13700.82</v>
      </c>
      <c r="K361" s="14" t="str" cm="1">
        <f t="array" ref="K361">_xlfn.IFS(Table43[[#This Row],[Sales]]&gt;40000,"Best Sales",Table43[[#This Row],[Sales]]&gt;20000,"Average Sales",Table43[[#This Row],[Sales]]&gt;0,"Poor Sales")</f>
        <v>Best Sales</v>
      </c>
      <c r="L361" s="23">
        <f>YEAR(Table43[[#This Row],[Date]])</f>
        <v>2023</v>
      </c>
      <c r="M361" s="23">
        <f>MONTH(Table43[[#This Row],[Date]])</f>
        <v>11</v>
      </c>
      <c r="N361" s="25">
        <f>DAY(Table43[[#This Row],[Date]])</f>
        <v>29</v>
      </c>
      <c r="O361" s="25" t="str">
        <f>TEXT(DATE(2023,Table43[[#This Row],[Month]],1),"mmm")</f>
        <v>Nov</v>
      </c>
      <c r="P361" s="25"/>
      <c r="Q361" s="25"/>
    </row>
    <row r="362" spans="1:17" x14ac:dyDescent="0.3">
      <c r="A362" s="6">
        <v>361</v>
      </c>
      <c r="B362" s="7">
        <v>45227</v>
      </c>
      <c r="C362" s="8" t="s">
        <v>35</v>
      </c>
      <c r="D362" s="8" t="s">
        <v>36</v>
      </c>
      <c r="E362" s="8" t="s">
        <v>20</v>
      </c>
      <c r="F362" s="8" t="s">
        <v>24</v>
      </c>
      <c r="G362" s="8" t="s">
        <v>25</v>
      </c>
      <c r="H362" s="9">
        <v>48787.24</v>
      </c>
      <c r="I362" s="8">
        <v>5</v>
      </c>
      <c r="J362" s="10">
        <v>4438.05</v>
      </c>
      <c r="K362" s="14" t="str" cm="1">
        <f t="array" ref="K362">_xlfn.IFS(Table43[[#This Row],[Sales]]&gt;40000,"Best Sales",Table43[[#This Row],[Sales]]&gt;20000,"Average Sales",Table43[[#This Row],[Sales]]&gt;0,"Poor Sales")</f>
        <v>Best Sales</v>
      </c>
      <c r="L362" s="23">
        <f>YEAR(Table43[[#This Row],[Date]])</f>
        <v>2023</v>
      </c>
      <c r="M362" s="23">
        <f>MONTH(Table43[[#This Row],[Date]])</f>
        <v>10</v>
      </c>
      <c r="N362" s="25">
        <f>DAY(Table43[[#This Row],[Date]])</f>
        <v>28</v>
      </c>
      <c r="O362" s="25" t="str">
        <f>TEXT(DATE(2023,Table43[[#This Row],[Month]],1),"mmm")</f>
        <v>Oct</v>
      </c>
      <c r="P362" s="25"/>
      <c r="Q362" s="25"/>
    </row>
    <row r="363" spans="1:17" x14ac:dyDescent="0.3">
      <c r="A363" s="11">
        <v>362</v>
      </c>
      <c r="B363" s="12">
        <v>45215</v>
      </c>
      <c r="C363" s="13" t="s">
        <v>38</v>
      </c>
      <c r="D363" s="13" t="s">
        <v>27</v>
      </c>
      <c r="E363" s="13" t="s">
        <v>12</v>
      </c>
      <c r="F363" s="13" t="s">
        <v>24</v>
      </c>
      <c r="G363" s="13" t="s">
        <v>29</v>
      </c>
      <c r="H363" s="14">
        <v>40509.99</v>
      </c>
      <c r="I363" s="13">
        <v>10</v>
      </c>
      <c r="J363" s="15">
        <v>9829.24</v>
      </c>
      <c r="K363" s="14" t="str" cm="1">
        <f t="array" ref="K363">_xlfn.IFS(Table43[[#This Row],[Sales]]&gt;40000,"Best Sales",Table43[[#This Row],[Sales]]&gt;20000,"Average Sales",Table43[[#This Row],[Sales]]&gt;0,"Poor Sales")</f>
        <v>Best Sales</v>
      </c>
      <c r="L363" s="23">
        <f>YEAR(Table43[[#This Row],[Date]])</f>
        <v>2023</v>
      </c>
      <c r="M363" s="23">
        <f>MONTH(Table43[[#This Row],[Date]])</f>
        <v>10</v>
      </c>
      <c r="N363" s="25">
        <f>DAY(Table43[[#This Row],[Date]])</f>
        <v>16</v>
      </c>
      <c r="O363" s="25" t="str">
        <f>TEXT(DATE(2023,Table43[[#This Row],[Month]],1),"mmm")</f>
        <v>Oct</v>
      </c>
      <c r="P363" s="25"/>
      <c r="Q363" s="25"/>
    </row>
    <row r="364" spans="1:17" x14ac:dyDescent="0.3">
      <c r="A364" s="6">
        <v>363</v>
      </c>
      <c r="B364" s="7">
        <v>45006</v>
      </c>
      <c r="C364" s="8" t="s">
        <v>22</v>
      </c>
      <c r="D364" s="8" t="s">
        <v>22</v>
      </c>
      <c r="E364" s="8" t="s">
        <v>17</v>
      </c>
      <c r="F364" s="8" t="s">
        <v>13</v>
      </c>
      <c r="G364" s="8" t="s">
        <v>34</v>
      </c>
      <c r="H364" s="9">
        <v>48237.08</v>
      </c>
      <c r="I364" s="8">
        <v>4</v>
      </c>
      <c r="J364" s="10">
        <v>9886.32</v>
      </c>
      <c r="K364" s="14" t="str" cm="1">
        <f t="array" ref="K364">_xlfn.IFS(Table43[[#This Row],[Sales]]&gt;40000,"Best Sales",Table43[[#This Row],[Sales]]&gt;20000,"Average Sales",Table43[[#This Row],[Sales]]&gt;0,"Poor Sales")</f>
        <v>Best Sales</v>
      </c>
      <c r="L364" s="23">
        <f>YEAR(Table43[[#This Row],[Date]])</f>
        <v>2023</v>
      </c>
      <c r="M364" s="23">
        <f>MONTH(Table43[[#This Row],[Date]])</f>
        <v>3</v>
      </c>
      <c r="N364" s="25">
        <f>DAY(Table43[[#This Row],[Date]])</f>
        <v>21</v>
      </c>
      <c r="O364" s="25" t="str">
        <f>TEXT(DATE(2023,Table43[[#This Row],[Month]],1),"mmm")</f>
        <v>Mar</v>
      </c>
      <c r="P364" s="25"/>
      <c r="Q364" s="25"/>
    </row>
    <row r="365" spans="1:17" x14ac:dyDescent="0.3">
      <c r="A365" s="11">
        <v>364</v>
      </c>
      <c r="B365" s="12">
        <v>45208</v>
      </c>
      <c r="C365" s="13" t="s">
        <v>38</v>
      </c>
      <c r="D365" s="13" t="s">
        <v>27</v>
      </c>
      <c r="E365" s="13" t="s">
        <v>12</v>
      </c>
      <c r="F365" s="13" t="s">
        <v>31</v>
      </c>
      <c r="G365" s="13" t="s">
        <v>33</v>
      </c>
      <c r="H365" s="14">
        <v>8457.08</v>
      </c>
      <c r="I365" s="13">
        <v>3</v>
      </c>
      <c r="J365" s="15">
        <v>618.28</v>
      </c>
      <c r="K365" s="14" t="str" cm="1">
        <f t="array" ref="K365">_xlfn.IFS(Table43[[#This Row],[Sales]]&gt;40000,"Best Sales",Table43[[#This Row],[Sales]]&gt;20000,"Average Sales",Table43[[#This Row],[Sales]]&gt;0,"Poor Sales")</f>
        <v>Poor Sales</v>
      </c>
      <c r="L365" s="23">
        <f>YEAR(Table43[[#This Row],[Date]])</f>
        <v>2023</v>
      </c>
      <c r="M365" s="23">
        <f>MONTH(Table43[[#This Row],[Date]])</f>
        <v>10</v>
      </c>
      <c r="N365" s="25">
        <f>DAY(Table43[[#This Row],[Date]])</f>
        <v>9</v>
      </c>
      <c r="O365" s="25" t="str">
        <f>TEXT(DATE(2023,Table43[[#This Row],[Month]],1),"mmm")</f>
        <v>Oct</v>
      </c>
      <c r="P365" s="25"/>
      <c r="Q365" s="25"/>
    </row>
    <row r="366" spans="1:17" x14ac:dyDescent="0.3">
      <c r="A366" s="6">
        <v>365</v>
      </c>
      <c r="B366" s="7">
        <v>45110</v>
      </c>
      <c r="C366" s="8" t="s">
        <v>30</v>
      </c>
      <c r="D366" s="8" t="s">
        <v>16</v>
      </c>
      <c r="E366" s="8" t="s">
        <v>17</v>
      </c>
      <c r="F366" s="8" t="s">
        <v>31</v>
      </c>
      <c r="G366" s="8" t="s">
        <v>33</v>
      </c>
      <c r="H366" s="9">
        <v>38741.599999999999</v>
      </c>
      <c r="I366" s="8">
        <v>2</v>
      </c>
      <c r="J366" s="10">
        <v>3876.42</v>
      </c>
      <c r="K366" s="14" t="str" cm="1">
        <f t="array" ref="K366">_xlfn.IFS(Table43[[#This Row],[Sales]]&gt;40000,"Best Sales",Table43[[#This Row],[Sales]]&gt;20000,"Average Sales",Table43[[#This Row],[Sales]]&gt;0,"Poor Sales")</f>
        <v>Average Sales</v>
      </c>
      <c r="L366" s="23">
        <f>YEAR(Table43[[#This Row],[Date]])</f>
        <v>2023</v>
      </c>
      <c r="M366" s="23">
        <f>MONTH(Table43[[#This Row],[Date]])</f>
        <v>7</v>
      </c>
      <c r="N366" s="25">
        <f>DAY(Table43[[#This Row],[Date]])</f>
        <v>3</v>
      </c>
      <c r="O366" s="25" t="str">
        <f>TEXT(DATE(2023,Table43[[#This Row],[Month]],1),"mmm")</f>
        <v>Jul</v>
      </c>
      <c r="P366" s="25"/>
      <c r="Q366" s="25"/>
    </row>
    <row r="367" spans="1:17" x14ac:dyDescent="0.3">
      <c r="A367" s="11">
        <v>366</v>
      </c>
      <c r="B367" s="12">
        <v>45185</v>
      </c>
      <c r="C367" s="13" t="s">
        <v>26</v>
      </c>
      <c r="D367" s="13" t="s">
        <v>27</v>
      </c>
      <c r="E367" s="13" t="s">
        <v>20</v>
      </c>
      <c r="F367" s="13" t="s">
        <v>13</v>
      </c>
      <c r="G367" s="13" t="s">
        <v>34</v>
      </c>
      <c r="H367" s="14">
        <v>2389.33</v>
      </c>
      <c r="I367" s="13">
        <v>2</v>
      </c>
      <c r="J367" s="15">
        <v>314.41000000000003</v>
      </c>
      <c r="K367" s="14" t="str" cm="1">
        <f t="array" ref="K367">_xlfn.IFS(Table43[[#This Row],[Sales]]&gt;40000,"Best Sales",Table43[[#This Row],[Sales]]&gt;20000,"Average Sales",Table43[[#This Row],[Sales]]&gt;0,"Poor Sales")</f>
        <v>Poor Sales</v>
      </c>
      <c r="L367" s="23">
        <f>YEAR(Table43[[#This Row],[Date]])</f>
        <v>2023</v>
      </c>
      <c r="M367" s="23">
        <f>MONTH(Table43[[#This Row],[Date]])</f>
        <v>9</v>
      </c>
      <c r="N367" s="25">
        <f>DAY(Table43[[#This Row],[Date]])</f>
        <v>16</v>
      </c>
      <c r="O367" s="25" t="str">
        <f>TEXT(DATE(2023,Table43[[#This Row],[Month]],1),"mmm")</f>
        <v>Sep</v>
      </c>
      <c r="P367" s="25"/>
      <c r="Q367" s="25"/>
    </row>
    <row r="368" spans="1:17" x14ac:dyDescent="0.3">
      <c r="A368" s="6">
        <v>367</v>
      </c>
      <c r="B368" s="7">
        <v>45271</v>
      </c>
      <c r="C368" s="8" t="s">
        <v>18</v>
      </c>
      <c r="D368" s="8" t="s">
        <v>19</v>
      </c>
      <c r="E368" s="8" t="s">
        <v>20</v>
      </c>
      <c r="F368" s="8" t="s">
        <v>13</v>
      </c>
      <c r="G368" s="8" t="s">
        <v>21</v>
      </c>
      <c r="H368" s="9">
        <v>49373.38</v>
      </c>
      <c r="I368" s="8">
        <v>5</v>
      </c>
      <c r="J368" s="10">
        <v>3614.64</v>
      </c>
      <c r="K368" s="14" t="str" cm="1">
        <f t="array" ref="K368">_xlfn.IFS(Table43[[#This Row],[Sales]]&gt;40000,"Best Sales",Table43[[#This Row],[Sales]]&gt;20000,"Average Sales",Table43[[#This Row],[Sales]]&gt;0,"Poor Sales")</f>
        <v>Best Sales</v>
      </c>
      <c r="L368" s="23">
        <f>YEAR(Table43[[#This Row],[Date]])</f>
        <v>2023</v>
      </c>
      <c r="M368" s="23">
        <f>MONTH(Table43[[#This Row],[Date]])</f>
        <v>12</v>
      </c>
      <c r="N368" s="25">
        <f>DAY(Table43[[#This Row],[Date]])</f>
        <v>11</v>
      </c>
      <c r="O368" s="25" t="str">
        <f>TEXT(DATE(2023,Table43[[#This Row],[Month]],1),"mmm")</f>
        <v>Dec</v>
      </c>
      <c r="P368" s="25"/>
      <c r="Q368" s="25"/>
    </row>
    <row r="369" spans="1:17" x14ac:dyDescent="0.3">
      <c r="A369" s="11">
        <v>368</v>
      </c>
      <c r="B369" s="12">
        <v>45039</v>
      </c>
      <c r="C369" s="13" t="s">
        <v>37</v>
      </c>
      <c r="D369" s="13" t="s">
        <v>27</v>
      </c>
      <c r="E369" s="13" t="s">
        <v>12</v>
      </c>
      <c r="F369" s="13" t="s">
        <v>24</v>
      </c>
      <c r="G369" s="13" t="s">
        <v>28</v>
      </c>
      <c r="H369" s="14">
        <v>8784.44</v>
      </c>
      <c r="I369" s="13">
        <v>3</v>
      </c>
      <c r="J369" s="15">
        <v>2460.11</v>
      </c>
      <c r="K369" s="14" t="str" cm="1">
        <f t="array" ref="K369">_xlfn.IFS(Table43[[#This Row],[Sales]]&gt;40000,"Best Sales",Table43[[#This Row],[Sales]]&gt;20000,"Average Sales",Table43[[#This Row],[Sales]]&gt;0,"Poor Sales")</f>
        <v>Poor Sales</v>
      </c>
      <c r="L369" s="23">
        <f>YEAR(Table43[[#This Row],[Date]])</f>
        <v>2023</v>
      </c>
      <c r="M369" s="23">
        <f>MONTH(Table43[[#This Row],[Date]])</f>
        <v>4</v>
      </c>
      <c r="N369" s="25">
        <f>DAY(Table43[[#This Row],[Date]])</f>
        <v>23</v>
      </c>
      <c r="O369" s="25" t="str">
        <f>TEXT(DATE(2023,Table43[[#This Row],[Month]],1),"mmm")</f>
        <v>Apr</v>
      </c>
      <c r="P369" s="25"/>
      <c r="Q369" s="25"/>
    </row>
    <row r="370" spans="1:17" x14ac:dyDescent="0.3">
      <c r="A370" s="6">
        <v>369</v>
      </c>
      <c r="B370" s="7">
        <v>45104</v>
      </c>
      <c r="C370" s="8" t="s">
        <v>22</v>
      </c>
      <c r="D370" s="8" t="s">
        <v>22</v>
      </c>
      <c r="E370" s="8" t="s">
        <v>17</v>
      </c>
      <c r="F370" s="8" t="s">
        <v>24</v>
      </c>
      <c r="G370" s="8" t="s">
        <v>25</v>
      </c>
      <c r="H370" s="9">
        <v>23978.25</v>
      </c>
      <c r="I370" s="8">
        <v>2</v>
      </c>
      <c r="J370" s="10">
        <v>4700.3500000000004</v>
      </c>
      <c r="K370" s="14" t="str" cm="1">
        <f t="array" ref="K370">_xlfn.IFS(Table43[[#This Row],[Sales]]&gt;40000,"Best Sales",Table43[[#This Row],[Sales]]&gt;20000,"Average Sales",Table43[[#This Row],[Sales]]&gt;0,"Poor Sales")</f>
        <v>Average Sales</v>
      </c>
      <c r="L370" s="23">
        <f>YEAR(Table43[[#This Row],[Date]])</f>
        <v>2023</v>
      </c>
      <c r="M370" s="23">
        <f>MONTH(Table43[[#This Row],[Date]])</f>
        <v>6</v>
      </c>
      <c r="N370" s="25">
        <f>DAY(Table43[[#This Row],[Date]])</f>
        <v>27</v>
      </c>
      <c r="O370" s="25" t="str">
        <f>TEXT(DATE(2023,Table43[[#This Row],[Month]],1),"mmm")</f>
        <v>Jun</v>
      </c>
      <c r="P370" s="25"/>
      <c r="Q370" s="25"/>
    </row>
    <row r="371" spans="1:17" x14ac:dyDescent="0.3">
      <c r="A371" s="11">
        <v>370</v>
      </c>
      <c r="B371" s="12">
        <v>45221</v>
      </c>
      <c r="C371" s="13" t="s">
        <v>10</v>
      </c>
      <c r="D371" s="13" t="s">
        <v>11</v>
      </c>
      <c r="E371" s="13" t="s">
        <v>12</v>
      </c>
      <c r="F371" s="13" t="s">
        <v>31</v>
      </c>
      <c r="G371" s="13" t="s">
        <v>39</v>
      </c>
      <c r="H371" s="14">
        <v>45270.46</v>
      </c>
      <c r="I371" s="13">
        <v>3</v>
      </c>
      <c r="J371" s="15">
        <v>8514.58</v>
      </c>
      <c r="K371" s="14" t="str" cm="1">
        <f t="array" ref="K371">_xlfn.IFS(Table43[[#This Row],[Sales]]&gt;40000,"Best Sales",Table43[[#This Row],[Sales]]&gt;20000,"Average Sales",Table43[[#This Row],[Sales]]&gt;0,"Poor Sales")</f>
        <v>Best Sales</v>
      </c>
      <c r="L371" s="23">
        <f>YEAR(Table43[[#This Row],[Date]])</f>
        <v>2023</v>
      </c>
      <c r="M371" s="23">
        <f>MONTH(Table43[[#This Row],[Date]])</f>
        <v>10</v>
      </c>
      <c r="N371" s="25">
        <f>DAY(Table43[[#This Row],[Date]])</f>
        <v>22</v>
      </c>
      <c r="O371" s="25" t="str">
        <f>TEXT(DATE(2023,Table43[[#This Row],[Month]],1),"mmm")</f>
        <v>Oct</v>
      </c>
      <c r="P371" s="25"/>
      <c r="Q371" s="25"/>
    </row>
    <row r="372" spans="1:17" x14ac:dyDescent="0.3">
      <c r="A372" s="6">
        <v>371</v>
      </c>
      <c r="B372" s="7">
        <v>45023</v>
      </c>
      <c r="C372" s="8" t="s">
        <v>35</v>
      </c>
      <c r="D372" s="8" t="s">
        <v>36</v>
      </c>
      <c r="E372" s="8" t="s">
        <v>17</v>
      </c>
      <c r="F372" s="8" t="s">
        <v>13</v>
      </c>
      <c r="G372" s="8" t="s">
        <v>21</v>
      </c>
      <c r="H372" s="9">
        <v>45850.91</v>
      </c>
      <c r="I372" s="8">
        <v>2</v>
      </c>
      <c r="J372" s="10">
        <v>6963.28</v>
      </c>
      <c r="K372" s="14" t="str" cm="1">
        <f t="array" ref="K372">_xlfn.IFS(Table43[[#This Row],[Sales]]&gt;40000,"Best Sales",Table43[[#This Row],[Sales]]&gt;20000,"Average Sales",Table43[[#This Row],[Sales]]&gt;0,"Poor Sales")</f>
        <v>Best Sales</v>
      </c>
      <c r="L372" s="23">
        <f>YEAR(Table43[[#This Row],[Date]])</f>
        <v>2023</v>
      </c>
      <c r="M372" s="23">
        <f>MONTH(Table43[[#This Row],[Date]])</f>
        <v>4</v>
      </c>
      <c r="N372" s="25">
        <f>DAY(Table43[[#This Row],[Date]])</f>
        <v>7</v>
      </c>
      <c r="O372" s="25" t="str">
        <f>TEXT(DATE(2023,Table43[[#This Row],[Month]],1),"mmm")</f>
        <v>Apr</v>
      </c>
      <c r="P372" s="25"/>
      <c r="Q372" s="25"/>
    </row>
    <row r="373" spans="1:17" x14ac:dyDescent="0.3">
      <c r="A373" s="11">
        <v>372</v>
      </c>
      <c r="B373" s="12">
        <v>44927</v>
      </c>
      <c r="C373" s="13" t="s">
        <v>22</v>
      </c>
      <c r="D373" s="13" t="s">
        <v>22</v>
      </c>
      <c r="E373" s="13" t="s">
        <v>20</v>
      </c>
      <c r="F373" s="13" t="s">
        <v>13</v>
      </c>
      <c r="G373" s="13" t="s">
        <v>34</v>
      </c>
      <c r="H373" s="14">
        <v>49704.45</v>
      </c>
      <c r="I373" s="13">
        <v>1</v>
      </c>
      <c r="J373" s="15">
        <v>6338.36</v>
      </c>
      <c r="K373" s="14" t="str" cm="1">
        <f t="array" ref="K373">_xlfn.IFS(Table43[[#This Row],[Sales]]&gt;40000,"Best Sales",Table43[[#This Row],[Sales]]&gt;20000,"Average Sales",Table43[[#This Row],[Sales]]&gt;0,"Poor Sales")</f>
        <v>Best Sales</v>
      </c>
      <c r="L373" s="23">
        <f>YEAR(Table43[[#This Row],[Date]])</f>
        <v>2023</v>
      </c>
      <c r="M373" s="23">
        <f>MONTH(Table43[[#This Row],[Date]])</f>
        <v>1</v>
      </c>
      <c r="N373" s="25">
        <f>DAY(Table43[[#This Row],[Date]])</f>
        <v>1</v>
      </c>
      <c r="O373" s="25" t="str">
        <f>TEXT(DATE(2023,Table43[[#This Row],[Month]],1),"mmm")</f>
        <v>Jan</v>
      </c>
      <c r="P373" s="25"/>
      <c r="Q373" s="25"/>
    </row>
    <row r="374" spans="1:17" x14ac:dyDescent="0.3">
      <c r="A374" s="6">
        <v>373</v>
      </c>
      <c r="B374" s="7">
        <v>45100</v>
      </c>
      <c r="C374" s="8" t="s">
        <v>10</v>
      </c>
      <c r="D374" s="8" t="s">
        <v>11</v>
      </c>
      <c r="E374" s="8" t="s">
        <v>20</v>
      </c>
      <c r="F374" s="8" t="s">
        <v>24</v>
      </c>
      <c r="G374" s="8" t="s">
        <v>29</v>
      </c>
      <c r="H374" s="9">
        <v>7689.17</v>
      </c>
      <c r="I374" s="8">
        <v>2</v>
      </c>
      <c r="J374" s="10">
        <v>2073.4699999999998</v>
      </c>
      <c r="K374" s="14" t="str" cm="1">
        <f t="array" ref="K374">_xlfn.IFS(Table43[[#This Row],[Sales]]&gt;40000,"Best Sales",Table43[[#This Row],[Sales]]&gt;20000,"Average Sales",Table43[[#This Row],[Sales]]&gt;0,"Poor Sales")</f>
        <v>Poor Sales</v>
      </c>
      <c r="L374" s="23">
        <f>YEAR(Table43[[#This Row],[Date]])</f>
        <v>2023</v>
      </c>
      <c r="M374" s="23">
        <f>MONTH(Table43[[#This Row],[Date]])</f>
        <v>6</v>
      </c>
      <c r="N374" s="25">
        <f>DAY(Table43[[#This Row],[Date]])</f>
        <v>23</v>
      </c>
      <c r="O374" s="25" t="str">
        <f>TEXT(DATE(2023,Table43[[#This Row],[Month]],1),"mmm")</f>
        <v>Jun</v>
      </c>
      <c r="P374" s="25"/>
      <c r="Q374" s="25"/>
    </row>
    <row r="375" spans="1:17" x14ac:dyDescent="0.3">
      <c r="A375" s="11">
        <v>374</v>
      </c>
      <c r="B375" s="12">
        <v>45020</v>
      </c>
      <c r="C375" s="13" t="s">
        <v>37</v>
      </c>
      <c r="D375" s="13" t="s">
        <v>27</v>
      </c>
      <c r="E375" s="13" t="s">
        <v>12</v>
      </c>
      <c r="F375" s="13" t="s">
        <v>13</v>
      </c>
      <c r="G375" s="13" t="s">
        <v>21</v>
      </c>
      <c r="H375" s="14">
        <v>11067.26</v>
      </c>
      <c r="I375" s="13">
        <v>3</v>
      </c>
      <c r="J375" s="15">
        <v>2295.61</v>
      </c>
      <c r="K375" s="14" t="str" cm="1">
        <f t="array" ref="K375">_xlfn.IFS(Table43[[#This Row],[Sales]]&gt;40000,"Best Sales",Table43[[#This Row],[Sales]]&gt;20000,"Average Sales",Table43[[#This Row],[Sales]]&gt;0,"Poor Sales")</f>
        <v>Poor Sales</v>
      </c>
      <c r="L375" s="23">
        <f>YEAR(Table43[[#This Row],[Date]])</f>
        <v>2023</v>
      </c>
      <c r="M375" s="23">
        <f>MONTH(Table43[[#This Row],[Date]])</f>
        <v>4</v>
      </c>
      <c r="N375" s="25">
        <f>DAY(Table43[[#This Row],[Date]])</f>
        <v>4</v>
      </c>
      <c r="O375" s="25" t="str">
        <f>TEXT(DATE(2023,Table43[[#This Row],[Month]],1),"mmm")</f>
        <v>Apr</v>
      </c>
      <c r="P375" s="25"/>
      <c r="Q375" s="25"/>
    </row>
    <row r="376" spans="1:17" x14ac:dyDescent="0.3">
      <c r="A376" s="6">
        <v>375</v>
      </c>
      <c r="B376" s="7">
        <v>45220</v>
      </c>
      <c r="C376" s="8" t="s">
        <v>18</v>
      </c>
      <c r="D376" s="8" t="s">
        <v>19</v>
      </c>
      <c r="E376" s="8" t="s">
        <v>17</v>
      </c>
      <c r="F376" s="8" t="s">
        <v>13</v>
      </c>
      <c r="G376" s="8" t="s">
        <v>21</v>
      </c>
      <c r="H376" s="9">
        <v>4039.27</v>
      </c>
      <c r="I376" s="8">
        <v>4</v>
      </c>
      <c r="J376" s="10">
        <v>706.06</v>
      </c>
      <c r="K376" s="14" t="str" cm="1">
        <f t="array" ref="K376">_xlfn.IFS(Table43[[#This Row],[Sales]]&gt;40000,"Best Sales",Table43[[#This Row],[Sales]]&gt;20000,"Average Sales",Table43[[#This Row],[Sales]]&gt;0,"Poor Sales")</f>
        <v>Poor Sales</v>
      </c>
      <c r="L376" s="23">
        <f>YEAR(Table43[[#This Row],[Date]])</f>
        <v>2023</v>
      </c>
      <c r="M376" s="23">
        <f>MONTH(Table43[[#This Row],[Date]])</f>
        <v>10</v>
      </c>
      <c r="N376" s="25">
        <f>DAY(Table43[[#This Row],[Date]])</f>
        <v>21</v>
      </c>
      <c r="O376" s="25" t="str">
        <f>TEXT(DATE(2023,Table43[[#This Row],[Month]],1),"mmm")</f>
        <v>Oct</v>
      </c>
      <c r="P376" s="25"/>
      <c r="Q376" s="25"/>
    </row>
    <row r="377" spans="1:17" x14ac:dyDescent="0.3">
      <c r="A377" s="11">
        <v>376</v>
      </c>
      <c r="B377" s="12">
        <v>45084</v>
      </c>
      <c r="C377" s="13" t="s">
        <v>22</v>
      </c>
      <c r="D377" s="13" t="s">
        <v>22</v>
      </c>
      <c r="E377" s="13" t="s">
        <v>12</v>
      </c>
      <c r="F377" s="13" t="s">
        <v>13</v>
      </c>
      <c r="G377" s="13" t="s">
        <v>34</v>
      </c>
      <c r="H377" s="14">
        <v>21927.99</v>
      </c>
      <c r="I377" s="13">
        <v>1</v>
      </c>
      <c r="J377" s="15">
        <v>3544.98</v>
      </c>
      <c r="K377" s="14" t="str" cm="1">
        <f t="array" ref="K377">_xlfn.IFS(Table43[[#This Row],[Sales]]&gt;40000,"Best Sales",Table43[[#This Row],[Sales]]&gt;20000,"Average Sales",Table43[[#This Row],[Sales]]&gt;0,"Poor Sales")</f>
        <v>Average Sales</v>
      </c>
      <c r="L377" s="23">
        <f>YEAR(Table43[[#This Row],[Date]])</f>
        <v>2023</v>
      </c>
      <c r="M377" s="23">
        <f>MONTH(Table43[[#This Row],[Date]])</f>
        <v>6</v>
      </c>
      <c r="N377" s="25">
        <f>DAY(Table43[[#This Row],[Date]])</f>
        <v>7</v>
      </c>
      <c r="O377" s="25" t="str">
        <f>TEXT(DATE(2023,Table43[[#This Row],[Month]],1),"mmm")</f>
        <v>Jun</v>
      </c>
      <c r="P377" s="25"/>
      <c r="Q377" s="25"/>
    </row>
    <row r="378" spans="1:17" x14ac:dyDescent="0.3">
      <c r="A378" s="6">
        <v>377</v>
      </c>
      <c r="B378" s="7">
        <v>45057</v>
      </c>
      <c r="C378" s="8" t="s">
        <v>30</v>
      </c>
      <c r="D378" s="8" t="s">
        <v>16</v>
      </c>
      <c r="E378" s="8" t="s">
        <v>17</v>
      </c>
      <c r="F378" s="8" t="s">
        <v>31</v>
      </c>
      <c r="G378" s="8" t="s">
        <v>32</v>
      </c>
      <c r="H378" s="9">
        <v>5975.75</v>
      </c>
      <c r="I378" s="8">
        <v>2</v>
      </c>
      <c r="J378" s="10">
        <v>329.14</v>
      </c>
      <c r="K378" s="14" t="str" cm="1">
        <f t="array" ref="K378">_xlfn.IFS(Table43[[#This Row],[Sales]]&gt;40000,"Best Sales",Table43[[#This Row],[Sales]]&gt;20000,"Average Sales",Table43[[#This Row],[Sales]]&gt;0,"Poor Sales")</f>
        <v>Poor Sales</v>
      </c>
      <c r="L378" s="23">
        <f>YEAR(Table43[[#This Row],[Date]])</f>
        <v>2023</v>
      </c>
      <c r="M378" s="23">
        <f>MONTH(Table43[[#This Row],[Date]])</f>
        <v>5</v>
      </c>
      <c r="N378" s="25">
        <f>DAY(Table43[[#This Row],[Date]])</f>
        <v>11</v>
      </c>
      <c r="O378" s="25" t="str">
        <f>TEXT(DATE(2023,Table43[[#This Row],[Month]],1),"mmm")</f>
        <v>May</v>
      </c>
      <c r="P378" s="25"/>
      <c r="Q378" s="25"/>
    </row>
    <row r="379" spans="1:17" x14ac:dyDescent="0.3">
      <c r="A379" s="11">
        <v>378</v>
      </c>
      <c r="B379" s="12">
        <v>45191</v>
      </c>
      <c r="C379" s="13" t="s">
        <v>10</v>
      </c>
      <c r="D379" s="13" t="s">
        <v>11</v>
      </c>
      <c r="E379" s="13" t="s">
        <v>20</v>
      </c>
      <c r="F379" s="13" t="s">
        <v>31</v>
      </c>
      <c r="G379" s="13" t="s">
        <v>33</v>
      </c>
      <c r="H379" s="14">
        <v>20190.7</v>
      </c>
      <c r="I379" s="13">
        <v>3</v>
      </c>
      <c r="J379" s="15">
        <v>2927.7</v>
      </c>
      <c r="K379" s="14" t="str" cm="1">
        <f t="array" ref="K379">_xlfn.IFS(Table43[[#This Row],[Sales]]&gt;40000,"Best Sales",Table43[[#This Row],[Sales]]&gt;20000,"Average Sales",Table43[[#This Row],[Sales]]&gt;0,"Poor Sales")</f>
        <v>Average Sales</v>
      </c>
      <c r="L379" s="23">
        <f>YEAR(Table43[[#This Row],[Date]])</f>
        <v>2023</v>
      </c>
      <c r="M379" s="23">
        <f>MONTH(Table43[[#This Row],[Date]])</f>
        <v>9</v>
      </c>
      <c r="N379" s="25">
        <f>DAY(Table43[[#This Row],[Date]])</f>
        <v>22</v>
      </c>
      <c r="O379" s="25" t="str">
        <f>TEXT(DATE(2023,Table43[[#This Row],[Month]],1),"mmm")</f>
        <v>Sep</v>
      </c>
      <c r="P379" s="25"/>
      <c r="Q379" s="25"/>
    </row>
    <row r="380" spans="1:17" x14ac:dyDescent="0.3">
      <c r="A380" s="6">
        <v>379</v>
      </c>
      <c r="B380" s="7">
        <v>44967</v>
      </c>
      <c r="C380" s="8" t="s">
        <v>22</v>
      </c>
      <c r="D380" s="8" t="s">
        <v>22</v>
      </c>
      <c r="E380" s="8" t="s">
        <v>20</v>
      </c>
      <c r="F380" s="8" t="s">
        <v>31</v>
      </c>
      <c r="G380" s="8" t="s">
        <v>33</v>
      </c>
      <c r="H380" s="9">
        <v>13485.54</v>
      </c>
      <c r="I380" s="8">
        <v>7</v>
      </c>
      <c r="J380" s="10">
        <v>3010.14</v>
      </c>
      <c r="K380" s="14" t="str" cm="1">
        <f t="array" ref="K380">_xlfn.IFS(Table43[[#This Row],[Sales]]&gt;40000,"Best Sales",Table43[[#This Row],[Sales]]&gt;20000,"Average Sales",Table43[[#This Row],[Sales]]&gt;0,"Poor Sales")</f>
        <v>Poor Sales</v>
      </c>
      <c r="L380" s="23">
        <f>YEAR(Table43[[#This Row],[Date]])</f>
        <v>2023</v>
      </c>
      <c r="M380" s="23">
        <f>MONTH(Table43[[#This Row],[Date]])</f>
        <v>2</v>
      </c>
      <c r="N380" s="25">
        <f>DAY(Table43[[#This Row],[Date]])</f>
        <v>10</v>
      </c>
      <c r="O380" s="25" t="str">
        <f>TEXT(DATE(2023,Table43[[#This Row],[Month]],1),"mmm")</f>
        <v>Feb</v>
      </c>
      <c r="P380" s="25"/>
      <c r="Q380" s="25"/>
    </row>
    <row r="381" spans="1:17" x14ac:dyDescent="0.3">
      <c r="A381" s="11">
        <v>380</v>
      </c>
      <c r="B381" s="12">
        <v>45087</v>
      </c>
      <c r="C381" s="13" t="s">
        <v>15</v>
      </c>
      <c r="D381" s="13" t="s">
        <v>16</v>
      </c>
      <c r="E381" s="13" t="s">
        <v>12</v>
      </c>
      <c r="F381" s="13" t="s">
        <v>13</v>
      </c>
      <c r="G381" s="13" t="s">
        <v>34</v>
      </c>
      <c r="H381" s="14">
        <v>21403.96</v>
      </c>
      <c r="I381" s="13">
        <v>2</v>
      </c>
      <c r="J381" s="15">
        <v>5457.97</v>
      </c>
      <c r="K381" s="14" t="str" cm="1">
        <f t="array" ref="K381">_xlfn.IFS(Table43[[#This Row],[Sales]]&gt;40000,"Best Sales",Table43[[#This Row],[Sales]]&gt;20000,"Average Sales",Table43[[#This Row],[Sales]]&gt;0,"Poor Sales")</f>
        <v>Average Sales</v>
      </c>
      <c r="L381" s="23">
        <f>YEAR(Table43[[#This Row],[Date]])</f>
        <v>2023</v>
      </c>
      <c r="M381" s="23">
        <f>MONTH(Table43[[#This Row],[Date]])</f>
        <v>6</v>
      </c>
      <c r="N381" s="25">
        <f>DAY(Table43[[#This Row],[Date]])</f>
        <v>10</v>
      </c>
      <c r="O381" s="25" t="str">
        <f>TEXT(DATE(2023,Table43[[#This Row],[Month]],1),"mmm")</f>
        <v>Jun</v>
      </c>
      <c r="P381" s="25"/>
      <c r="Q381" s="25"/>
    </row>
    <row r="382" spans="1:17" x14ac:dyDescent="0.3">
      <c r="A382" s="6">
        <v>381</v>
      </c>
      <c r="B382" s="7">
        <v>45216</v>
      </c>
      <c r="C382" s="8" t="s">
        <v>22</v>
      </c>
      <c r="D382" s="8" t="s">
        <v>22</v>
      </c>
      <c r="E382" s="8" t="s">
        <v>17</v>
      </c>
      <c r="F382" s="8" t="s">
        <v>13</v>
      </c>
      <c r="G382" s="8" t="s">
        <v>14</v>
      </c>
      <c r="H382" s="9">
        <v>28745.93</v>
      </c>
      <c r="I382" s="8">
        <v>8</v>
      </c>
      <c r="J382" s="10">
        <v>6468.31</v>
      </c>
      <c r="K382" s="14" t="str" cm="1">
        <f t="array" ref="K382">_xlfn.IFS(Table43[[#This Row],[Sales]]&gt;40000,"Best Sales",Table43[[#This Row],[Sales]]&gt;20000,"Average Sales",Table43[[#This Row],[Sales]]&gt;0,"Poor Sales")</f>
        <v>Average Sales</v>
      </c>
      <c r="L382" s="23">
        <f>YEAR(Table43[[#This Row],[Date]])</f>
        <v>2023</v>
      </c>
      <c r="M382" s="23">
        <f>MONTH(Table43[[#This Row],[Date]])</f>
        <v>10</v>
      </c>
      <c r="N382" s="25">
        <f>DAY(Table43[[#This Row],[Date]])</f>
        <v>17</v>
      </c>
      <c r="O382" s="25" t="str">
        <f>TEXT(DATE(2023,Table43[[#This Row],[Month]],1),"mmm")</f>
        <v>Oct</v>
      </c>
      <c r="P382" s="25"/>
      <c r="Q382" s="25"/>
    </row>
    <row r="383" spans="1:17" x14ac:dyDescent="0.3">
      <c r="A383" s="11">
        <v>382</v>
      </c>
      <c r="B383" s="12">
        <v>45116</v>
      </c>
      <c r="C383" s="13" t="s">
        <v>30</v>
      </c>
      <c r="D383" s="13" t="s">
        <v>16</v>
      </c>
      <c r="E383" s="13" t="s">
        <v>12</v>
      </c>
      <c r="F383" s="13" t="s">
        <v>24</v>
      </c>
      <c r="G383" s="13" t="s">
        <v>29</v>
      </c>
      <c r="H383" s="14">
        <v>7482.71</v>
      </c>
      <c r="I383" s="13">
        <v>5</v>
      </c>
      <c r="J383" s="15">
        <v>437.89</v>
      </c>
      <c r="K383" s="14" t="str" cm="1">
        <f t="array" ref="K383">_xlfn.IFS(Table43[[#This Row],[Sales]]&gt;40000,"Best Sales",Table43[[#This Row],[Sales]]&gt;20000,"Average Sales",Table43[[#This Row],[Sales]]&gt;0,"Poor Sales")</f>
        <v>Poor Sales</v>
      </c>
      <c r="L383" s="23">
        <f>YEAR(Table43[[#This Row],[Date]])</f>
        <v>2023</v>
      </c>
      <c r="M383" s="23">
        <f>MONTH(Table43[[#This Row],[Date]])</f>
        <v>7</v>
      </c>
      <c r="N383" s="25">
        <f>DAY(Table43[[#This Row],[Date]])</f>
        <v>9</v>
      </c>
      <c r="O383" s="25" t="str">
        <f>TEXT(DATE(2023,Table43[[#This Row],[Month]],1),"mmm")</f>
        <v>Jul</v>
      </c>
      <c r="P383" s="25"/>
      <c r="Q383" s="25"/>
    </row>
    <row r="384" spans="1:17" x14ac:dyDescent="0.3">
      <c r="A384" s="6">
        <v>383</v>
      </c>
      <c r="B384" s="7">
        <v>45266</v>
      </c>
      <c r="C384" s="8" t="s">
        <v>37</v>
      </c>
      <c r="D384" s="8" t="s">
        <v>27</v>
      </c>
      <c r="E384" s="8" t="s">
        <v>17</v>
      </c>
      <c r="F384" s="8" t="s">
        <v>24</v>
      </c>
      <c r="G384" s="8" t="s">
        <v>25</v>
      </c>
      <c r="H384" s="9">
        <v>46251.07</v>
      </c>
      <c r="I384" s="8">
        <v>7</v>
      </c>
      <c r="J384" s="10">
        <v>2777.42</v>
      </c>
      <c r="K384" s="14" t="str" cm="1">
        <f t="array" ref="K384">_xlfn.IFS(Table43[[#This Row],[Sales]]&gt;40000,"Best Sales",Table43[[#This Row],[Sales]]&gt;20000,"Average Sales",Table43[[#This Row],[Sales]]&gt;0,"Poor Sales")</f>
        <v>Best Sales</v>
      </c>
      <c r="L384" s="23">
        <f>YEAR(Table43[[#This Row],[Date]])</f>
        <v>2023</v>
      </c>
      <c r="M384" s="23">
        <f>MONTH(Table43[[#This Row],[Date]])</f>
        <v>12</v>
      </c>
      <c r="N384" s="25">
        <f>DAY(Table43[[#This Row],[Date]])</f>
        <v>6</v>
      </c>
      <c r="O384" s="25" t="str">
        <f>TEXT(DATE(2023,Table43[[#This Row],[Month]],1),"mmm")</f>
        <v>Dec</v>
      </c>
      <c r="P384" s="25"/>
      <c r="Q384" s="25"/>
    </row>
    <row r="385" spans="1:17" x14ac:dyDescent="0.3">
      <c r="A385" s="11">
        <v>384</v>
      </c>
      <c r="B385" s="12">
        <v>45207</v>
      </c>
      <c r="C385" s="13" t="s">
        <v>22</v>
      </c>
      <c r="D385" s="13" t="s">
        <v>22</v>
      </c>
      <c r="E385" s="13" t="s">
        <v>20</v>
      </c>
      <c r="F385" s="13" t="s">
        <v>24</v>
      </c>
      <c r="G385" s="13" t="s">
        <v>28</v>
      </c>
      <c r="H385" s="14">
        <v>19948.55</v>
      </c>
      <c r="I385" s="13">
        <v>4</v>
      </c>
      <c r="J385" s="15">
        <v>1195.3</v>
      </c>
      <c r="K385" s="14" t="str" cm="1">
        <f t="array" ref="K385">_xlfn.IFS(Table43[[#This Row],[Sales]]&gt;40000,"Best Sales",Table43[[#This Row],[Sales]]&gt;20000,"Average Sales",Table43[[#This Row],[Sales]]&gt;0,"Poor Sales")</f>
        <v>Poor Sales</v>
      </c>
      <c r="L385" s="23">
        <f>YEAR(Table43[[#This Row],[Date]])</f>
        <v>2023</v>
      </c>
      <c r="M385" s="23">
        <f>MONTH(Table43[[#This Row],[Date]])</f>
        <v>10</v>
      </c>
      <c r="N385" s="25">
        <f>DAY(Table43[[#This Row],[Date]])</f>
        <v>8</v>
      </c>
      <c r="O385" s="25" t="str">
        <f>TEXT(DATE(2023,Table43[[#This Row],[Month]],1),"mmm")</f>
        <v>Oct</v>
      </c>
      <c r="P385" s="25"/>
      <c r="Q385" s="25"/>
    </row>
    <row r="386" spans="1:17" x14ac:dyDescent="0.3">
      <c r="A386" s="6">
        <v>385</v>
      </c>
      <c r="B386" s="7">
        <v>45085</v>
      </c>
      <c r="C386" s="8" t="s">
        <v>15</v>
      </c>
      <c r="D386" s="8" t="s">
        <v>16</v>
      </c>
      <c r="E386" s="8" t="s">
        <v>20</v>
      </c>
      <c r="F386" s="8" t="s">
        <v>24</v>
      </c>
      <c r="G386" s="8" t="s">
        <v>29</v>
      </c>
      <c r="H386" s="9">
        <v>5721.76</v>
      </c>
      <c r="I386" s="8">
        <v>7</v>
      </c>
      <c r="J386" s="10">
        <v>1413.25</v>
      </c>
      <c r="K386" s="14" t="str" cm="1">
        <f t="array" ref="K386">_xlfn.IFS(Table43[[#This Row],[Sales]]&gt;40000,"Best Sales",Table43[[#This Row],[Sales]]&gt;20000,"Average Sales",Table43[[#This Row],[Sales]]&gt;0,"Poor Sales")</f>
        <v>Poor Sales</v>
      </c>
      <c r="L386" s="23">
        <f>YEAR(Table43[[#This Row],[Date]])</f>
        <v>2023</v>
      </c>
      <c r="M386" s="23">
        <f>MONTH(Table43[[#This Row],[Date]])</f>
        <v>6</v>
      </c>
      <c r="N386" s="25">
        <f>DAY(Table43[[#This Row],[Date]])</f>
        <v>8</v>
      </c>
      <c r="O386" s="25" t="str">
        <f>TEXT(DATE(2023,Table43[[#This Row],[Month]],1),"mmm")</f>
        <v>Jun</v>
      </c>
      <c r="P386" s="25"/>
      <c r="Q386" s="25"/>
    </row>
    <row r="387" spans="1:17" x14ac:dyDescent="0.3">
      <c r="A387" s="11">
        <v>386</v>
      </c>
      <c r="B387" s="12">
        <v>45204</v>
      </c>
      <c r="C387" s="13" t="s">
        <v>30</v>
      </c>
      <c r="D387" s="13" t="s">
        <v>16</v>
      </c>
      <c r="E387" s="13" t="s">
        <v>12</v>
      </c>
      <c r="F387" s="13" t="s">
        <v>24</v>
      </c>
      <c r="G387" s="13" t="s">
        <v>29</v>
      </c>
      <c r="H387" s="14">
        <v>20443.47</v>
      </c>
      <c r="I387" s="13">
        <v>4</v>
      </c>
      <c r="J387" s="15">
        <v>3275.27</v>
      </c>
      <c r="K387" s="14" t="str" cm="1">
        <f t="array" ref="K387">_xlfn.IFS(Table43[[#This Row],[Sales]]&gt;40000,"Best Sales",Table43[[#This Row],[Sales]]&gt;20000,"Average Sales",Table43[[#This Row],[Sales]]&gt;0,"Poor Sales")</f>
        <v>Average Sales</v>
      </c>
      <c r="L387" s="23">
        <f>YEAR(Table43[[#This Row],[Date]])</f>
        <v>2023</v>
      </c>
      <c r="M387" s="23">
        <f>MONTH(Table43[[#This Row],[Date]])</f>
        <v>10</v>
      </c>
      <c r="N387" s="25">
        <f>DAY(Table43[[#This Row],[Date]])</f>
        <v>5</v>
      </c>
      <c r="O387" s="25" t="str">
        <f>TEXT(DATE(2023,Table43[[#This Row],[Month]],1),"mmm")</f>
        <v>Oct</v>
      </c>
      <c r="P387" s="25"/>
      <c r="Q387" s="25"/>
    </row>
    <row r="388" spans="1:17" x14ac:dyDescent="0.3">
      <c r="A388" s="6">
        <v>387</v>
      </c>
      <c r="B388" s="7">
        <v>45088</v>
      </c>
      <c r="C388" s="8" t="s">
        <v>18</v>
      </c>
      <c r="D388" s="8" t="s">
        <v>19</v>
      </c>
      <c r="E388" s="8" t="s">
        <v>17</v>
      </c>
      <c r="F388" s="8" t="s">
        <v>31</v>
      </c>
      <c r="G388" s="8" t="s">
        <v>39</v>
      </c>
      <c r="H388" s="9">
        <v>33096.26</v>
      </c>
      <c r="I388" s="8">
        <v>6</v>
      </c>
      <c r="J388" s="10">
        <v>3046.86</v>
      </c>
      <c r="K388" s="14" t="str" cm="1">
        <f t="array" ref="K388">_xlfn.IFS(Table43[[#This Row],[Sales]]&gt;40000,"Best Sales",Table43[[#This Row],[Sales]]&gt;20000,"Average Sales",Table43[[#This Row],[Sales]]&gt;0,"Poor Sales")</f>
        <v>Average Sales</v>
      </c>
      <c r="L388" s="23">
        <f>YEAR(Table43[[#This Row],[Date]])</f>
        <v>2023</v>
      </c>
      <c r="M388" s="23">
        <f>MONTH(Table43[[#This Row],[Date]])</f>
        <v>6</v>
      </c>
      <c r="N388" s="25">
        <f>DAY(Table43[[#This Row],[Date]])</f>
        <v>11</v>
      </c>
      <c r="O388" s="25" t="str">
        <f>TEXT(DATE(2023,Table43[[#This Row],[Month]],1),"mmm")</f>
        <v>Jun</v>
      </c>
      <c r="P388" s="25"/>
      <c r="Q388" s="25"/>
    </row>
    <row r="389" spans="1:17" x14ac:dyDescent="0.3">
      <c r="A389" s="11">
        <v>388</v>
      </c>
      <c r="B389" s="12">
        <v>45146</v>
      </c>
      <c r="C389" s="13" t="s">
        <v>26</v>
      </c>
      <c r="D389" s="13" t="s">
        <v>27</v>
      </c>
      <c r="E389" s="13" t="s">
        <v>12</v>
      </c>
      <c r="F389" s="13" t="s">
        <v>24</v>
      </c>
      <c r="G389" s="13" t="s">
        <v>25</v>
      </c>
      <c r="H389" s="14">
        <v>48615.63</v>
      </c>
      <c r="I389" s="13">
        <v>4</v>
      </c>
      <c r="J389" s="15">
        <v>12402.67</v>
      </c>
      <c r="K389" s="14" t="str" cm="1">
        <f t="array" ref="K389">_xlfn.IFS(Table43[[#This Row],[Sales]]&gt;40000,"Best Sales",Table43[[#This Row],[Sales]]&gt;20000,"Average Sales",Table43[[#This Row],[Sales]]&gt;0,"Poor Sales")</f>
        <v>Best Sales</v>
      </c>
      <c r="L389" s="23">
        <f>YEAR(Table43[[#This Row],[Date]])</f>
        <v>2023</v>
      </c>
      <c r="M389" s="23">
        <f>MONTH(Table43[[#This Row],[Date]])</f>
        <v>8</v>
      </c>
      <c r="N389" s="25">
        <f>DAY(Table43[[#This Row],[Date]])</f>
        <v>8</v>
      </c>
      <c r="O389" s="25" t="str">
        <f>TEXT(DATE(2023,Table43[[#This Row],[Month]],1),"mmm")</f>
        <v>Aug</v>
      </c>
      <c r="P389" s="25"/>
      <c r="Q389" s="25"/>
    </row>
    <row r="390" spans="1:17" x14ac:dyDescent="0.3">
      <c r="A390" s="6">
        <v>389</v>
      </c>
      <c r="B390" s="7">
        <v>44976</v>
      </c>
      <c r="C390" s="8" t="s">
        <v>22</v>
      </c>
      <c r="D390" s="8" t="s">
        <v>22</v>
      </c>
      <c r="E390" s="8" t="s">
        <v>17</v>
      </c>
      <c r="F390" s="8" t="s">
        <v>13</v>
      </c>
      <c r="G390" s="8" t="s">
        <v>14</v>
      </c>
      <c r="H390" s="9">
        <v>41877.24</v>
      </c>
      <c r="I390" s="8">
        <v>6</v>
      </c>
      <c r="J390" s="10">
        <v>12432.71</v>
      </c>
      <c r="K390" s="14" t="str" cm="1">
        <f t="array" ref="K390">_xlfn.IFS(Table43[[#This Row],[Sales]]&gt;40000,"Best Sales",Table43[[#This Row],[Sales]]&gt;20000,"Average Sales",Table43[[#This Row],[Sales]]&gt;0,"Poor Sales")</f>
        <v>Best Sales</v>
      </c>
      <c r="L390" s="23">
        <f>YEAR(Table43[[#This Row],[Date]])</f>
        <v>2023</v>
      </c>
      <c r="M390" s="23">
        <f>MONTH(Table43[[#This Row],[Date]])</f>
        <v>2</v>
      </c>
      <c r="N390" s="25">
        <f>DAY(Table43[[#This Row],[Date]])</f>
        <v>19</v>
      </c>
      <c r="O390" s="25" t="str">
        <f>TEXT(DATE(2023,Table43[[#This Row],[Month]],1),"mmm")</f>
        <v>Feb</v>
      </c>
      <c r="P390" s="25"/>
      <c r="Q390" s="25"/>
    </row>
    <row r="391" spans="1:17" x14ac:dyDescent="0.3">
      <c r="A391" s="11">
        <v>390</v>
      </c>
      <c r="B391" s="12">
        <v>45129</v>
      </c>
      <c r="C391" s="13" t="s">
        <v>22</v>
      </c>
      <c r="D391" s="13" t="s">
        <v>22</v>
      </c>
      <c r="E391" s="13" t="s">
        <v>20</v>
      </c>
      <c r="F391" s="13" t="s">
        <v>31</v>
      </c>
      <c r="G391" s="13" t="s">
        <v>33</v>
      </c>
      <c r="H391" s="14">
        <v>21423.18</v>
      </c>
      <c r="I391" s="13">
        <v>6</v>
      </c>
      <c r="J391" s="15">
        <v>2642.67</v>
      </c>
      <c r="K391" s="14" t="str" cm="1">
        <f t="array" ref="K391">_xlfn.IFS(Table43[[#This Row],[Sales]]&gt;40000,"Best Sales",Table43[[#This Row],[Sales]]&gt;20000,"Average Sales",Table43[[#This Row],[Sales]]&gt;0,"Poor Sales")</f>
        <v>Average Sales</v>
      </c>
      <c r="L391" s="23">
        <f>YEAR(Table43[[#This Row],[Date]])</f>
        <v>2023</v>
      </c>
      <c r="M391" s="23">
        <f>MONTH(Table43[[#This Row],[Date]])</f>
        <v>7</v>
      </c>
      <c r="N391" s="25">
        <f>DAY(Table43[[#This Row],[Date]])</f>
        <v>22</v>
      </c>
      <c r="O391" s="25" t="str">
        <f>TEXT(DATE(2023,Table43[[#This Row],[Month]],1),"mmm")</f>
        <v>Jul</v>
      </c>
      <c r="P391" s="25"/>
      <c r="Q391" s="25"/>
    </row>
    <row r="392" spans="1:17" x14ac:dyDescent="0.3">
      <c r="A392" s="6">
        <v>391</v>
      </c>
      <c r="B392" s="7">
        <v>44942</v>
      </c>
      <c r="C392" s="8" t="s">
        <v>30</v>
      </c>
      <c r="D392" s="8" t="s">
        <v>16</v>
      </c>
      <c r="E392" s="8" t="s">
        <v>20</v>
      </c>
      <c r="F392" s="8" t="s">
        <v>13</v>
      </c>
      <c r="G392" s="8" t="s">
        <v>14</v>
      </c>
      <c r="H392" s="9">
        <v>12449.38</v>
      </c>
      <c r="I392" s="8">
        <v>7</v>
      </c>
      <c r="J392" s="10">
        <v>786.53</v>
      </c>
      <c r="K392" s="14" t="str" cm="1">
        <f t="array" ref="K392">_xlfn.IFS(Table43[[#This Row],[Sales]]&gt;40000,"Best Sales",Table43[[#This Row],[Sales]]&gt;20000,"Average Sales",Table43[[#This Row],[Sales]]&gt;0,"Poor Sales")</f>
        <v>Poor Sales</v>
      </c>
      <c r="L392" s="23">
        <f>YEAR(Table43[[#This Row],[Date]])</f>
        <v>2023</v>
      </c>
      <c r="M392" s="23">
        <f>MONTH(Table43[[#This Row],[Date]])</f>
        <v>1</v>
      </c>
      <c r="N392" s="25">
        <f>DAY(Table43[[#This Row],[Date]])</f>
        <v>16</v>
      </c>
      <c r="O392" s="25" t="str">
        <f>TEXT(DATE(2023,Table43[[#This Row],[Month]],1),"mmm")</f>
        <v>Jan</v>
      </c>
      <c r="P392" s="25"/>
      <c r="Q392" s="25"/>
    </row>
    <row r="393" spans="1:17" x14ac:dyDescent="0.3">
      <c r="A393" s="11">
        <v>392</v>
      </c>
      <c r="B393" s="12">
        <v>45211</v>
      </c>
      <c r="C393" s="13" t="s">
        <v>15</v>
      </c>
      <c r="D393" s="13" t="s">
        <v>16</v>
      </c>
      <c r="E393" s="13" t="s">
        <v>12</v>
      </c>
      <c r="F393" s="13" t="s">
        <v>24</v>
      </c>
      <c r="G393" s="13" t="s">
        <v>25</v>
      </c>
      <c r="H393" s="14">
        <v>12941.19</v>
      </c>
      <c r="I393" s="13">
        <v>4</v>
      </c>
      <c r="J393" s="15">
        <v>1257.8900000000001</v>
      </c>
      <c r="K393" s="14" t="str" cm="1">
        <f t="array" ref="K393">_xlfn.IFS(Table43[[#This Row],[Sales]]&gt;40000,"Best Sales",Table43[[#This Row],[Sales]]&gt;20000,"Average Sales",Table43[[#This Row],[Sales]]&gt;0,"Poor Sales")</f>
        <v>Poor Sales</v>
      </c>
      <c r="L393" s="23">
        <f>YEAR(Table43[[#This Row],[Date]])</f>
        <v>2023</v>
      </c>
      <c r="M393" s="23">
        <f>MONTH(Table43[[#This Row],[Date]])</f>
        <v>10</v>
      </c>
      <c r="N393" s="25">
        <f>DAY(Table43[[#This Row],[Date]])</f>
        <v>12</v>
      </c>
      <c r="O393" s="25" t="str">
        <f>TEXT(DATE(2023,Table43[[#This Row],[Month]],1),"mmm")</f>
        <v>Oct</v>
      </c>
      <c r="P393" s="25"/>
      <c r="Q393" s="25"/>
    </row>
    <row r="394" spans="1:17" x14ac:dyDescent="0.3">
      <c r="A394" s="6">
        <v>393</v>
      </c>
      <c r="B394" s="7">
        <v>45166</v>
      </c>
      <c r="C394" s="8" t="s">
        <v>30</v>
      </c>
      <c r="D394" s="8" t="s">
        <v>16</v>
      </c>
      <c r="E394" s="8" t="s">
        <v>17</v>
      </c>
      <c r="F394" s="8" t="s">
        <v>24</v>
      </c>
      <c r="G394" s="8" t="s">
        <v>28</v>
      </c>
      <c r="H394" s="9">
        <v>22201.1</v>
      </c>
      <c r="I394" s="8">
        <v>6</v>
      </c>
      <c r="J394" s="10">
        <v>4513.6000000000004</v>
      </c>
      <c r="K394" s="14" t="str" cm="1">
        <f t="array" ref="K394">_xlfn.IFS(Table43[[#This Row],[Sales]]&gt;40000,"Best Sales",Table43[[#This Row],[Sales]]&gt;20000,"Average Sales",Table43[[#This Row],[Sales]]&gt;0,"Poor Sales")</f>
        <v>Average Sales</v>
      </c>
      <c r="L394" s="23">
        <f>YEAR(Table43[[#This Row],[Date]])</f>
        <v>2023</v>
      </c>
      <c r="M394" s="23">
        <f>MONTH(Table43[[#This Row],[Date]])</f>
        <v>8</v>
      </c>
      <c r="N394" s="25">
        <f>DAY(Table43[[#This Row],[Date]])</f>
        <v>28</v>
      </c>
      <c r="O394" s="25" t="str">
        <f>TEXT(DATE(2023,Table43[[#This Row],[Month]],1),"mmm")</f>
        <v>Aug</v>
      </c>
      <c r="P394" s="25"/>
      <c r="Q394" s="25"/>
    </row>
    <row r="395" spans="1:17" x14ac:dyDescent="0.3">
      <c r="A395" s="11">
        <v>394</v>
      </c>
      <c r="B395" s="12">
        <v>45112</v>
      </c>
      <c r="C395" s="13" t="s">
        <v>37</v>
      </c>
      <c r="D395" s="13" t="s">
        <v>27</v>
      </c>
      <c r="E395" s="13" t="s">
        <v>12</v>
      </c>
      <c r="F395" s="13" t="s">
        <v>13</v>
      </c>
      <c r="G395" s="13" t="s">
        <v>14</v>
      </c>
      <c r="H395" s="14">
        <v>32017.52</v>
      </c>
      <c r="I395" s="13">
        <v>9</v>
      </c>
      <c r="J395" s="15">
        <v>6657.95</v>
      </c>
      <c r="K395" s="14" t="str" cm="1">
        <f t="array" ref="K395">_xlfn.IFS(Table43[[#This Row],[Sales]]&gt;40000,"Best Sales",Table43[[#This Row],[Sales]]&gt;20000,"Average Sales",Table43[[#This Row],[Sales]]&gt;0,"Poor Sales")</f>
        <v>Average Sales</v>
      </c>
      <c r="L395" s="23">
        <f>YEAR(Table43[[#This Row],[Date]])</f>
        <v>2023</v>
      </c>
      <c r="M395" s="23">
        <f>MONTH(Table43[[#This Row],[Date]])</f>
        <v>7</v>
      </c>
      <c r="N395" s="25">
        <f>DAY(Table43[[#This Row],[Date]])</f>
        <v>5</v>
      </c>
      <c r="O395" s="25" t="str">
        <f>TEXT(DATE(2023,Table43[[#This Row],[Month]],1),"mmm")</f>
        <v>Jul</v>
      </c>
      <c r="P395" s="25"/>
      <c r="Q395" s="25"/>
    </row>
    <row r="396" spans="1:17" x14ac:dyDescent="0.3">
      <c r="A396" s="6">
        <v>395</v>
      </c>
      <c r="B396" s="7">
        <v>45042</v>
      </c>
      <c r="C396" s="8" t="s">
        <v>30</v>
      </c>
      <c r="D396" s="8" t="s">
        <v>16</v>
      </c>
      <c r="E396" s="8" t="s">
        <v>17</v>
      </c>
      <c r="F396" s="8" t="s">
        <v>13</v>
      </c>
      <c r="G396" s="8" t="s">
        <v>34</v>
      </c>
      <c r="H396" s="9">
        <v>9140.99</v>
      </c>
      <c r="I396" s="8">
        <v>9</v>
      </c>
      <c r="J396" s="10">
        <v>1852.84</v>
      </c>
      <c r="K396" s="14" t="str" cm="1">
        <f t="array" ref="K396">_xlfn.IFS(Table43[[#This Row],[Sales]]&gt;40000,"Best Sales",Table43[[#This Row],[Sales]]&gt;20000,"Average Sales",Table43[[#This Row],[Sales]]&gt;0,"Poor Sales")</f>
        <v>Poor Sales</v>
      </c>
      <c r="L396" s="23">
        <f>YEAR(Table43[[#This Row],[Date]])</f>
        <v>2023</v>
      </c>
      <c r="M396" s="23">
        <f>MONTH(Table43[[#This Row],[Date]])</f>
        <v>4</v>
      </c>
      <c r="N396" s="25">
        <f>DAY(Table43[[#This Row],[Date]])</f>
        <v>26</v>
      </c>
      <c r="O396" s="25" t="str">
        <f>TEXT(DATE(2023,Table43[[#This Row],[Month]],1),"mmm")</f>
        <v>Apr</v>
      </c>
      <c r="P396" s="25"/>
      <c r="Q396" s="25"/>
    </row>
    <row r="397" spans="1:17" x14ac:dyDescent="0.3">
      <c r="A397" s="11">
        <v>396</v>
      </c>
      <c r="B397" s="12">
        <v>44996</v>
      </c>
      <c r="C397" s="13" t="s">
        <v>10</v>
      </c>
      <c r="D397" s="13" t="s">
        <v>11</v>
      </c>
      <c r="E397" s="13" t="s">
        <v>20</v>
      </c>
      <c r="F397" s="13" t="s">
        <v>24</v>
      </c>
      <c r="G397" s="13" t="s">
        <v>28</v>
      </c>
      <c r="H397" s="14">
        <v>31801.74</v>
      </c>
      <c r="I397" s="13">
        <v>5</v>
      </c>
      <c r="J397" s="15">
        <v>4975.09</v>
      </c>
      <c r="K397" s="14" t="str" cm="1">
        <f t="array" ref="K397">_xlfn.IFS(Table43[[#This Row],[Sales]]&gt;40000,"Best Sales",Table43[[#This Row],[Sales]]&gt;20000,"Average Sales",Table43[[#This Row],[Sales]]&gt;0,"Poor Sales")</f>
        <v>Average Sales</v>
      </c>
      <c r="L397" s="23">
        <f>YEAR(Table43[[#This Row],[Date]])</f>
        <v>2023</v>
      </c>
      <c r="M397" s="23">
        <f>MONTH(Table43[[#This Row],[Date]])</f>
        <v>3</v>
      </c>
      <c r="N397" s="25">
        <f>DAY(Table43[[#This Row],[Date]])</f>
        <v>11</v>
      </c>
      <c r="O397" s="25" t="str">
        <f>TEXT(DATE(2023,Table43[[#This Row],[Month]],1),"mmm")</f>
        <v>Mar</v>
      </c>
      <c r="P397" s="25"/>
      <c r="Q397" s="25"/>
    </row>
    <row r="398" spans="1:17" x14ac:dyDescent="0.3">
      <c r="A398" s="6">
        <v>397</v>
      </c>
      <c r="B398" s="7">
        <v>45180</v>
      </c>
      <c r="C398" s="8" t="s">
        <v>22</v>
      </c>
      <c r="D398" s="8" t="s">
        <v>22</v>
      </c>
      <c r="E398" s="8" t="s">
        <v>20</v>
      </c>
      <c r="F398" s="8" t="s">
        <v>13</v>
      </c>
      <c r="G398" s="8" t="s">
        <v>34</v>
      </c>
      <c r="H398" s="9">
        <v>18034.93</v>
      </c>
      <c r="I398" s="8">
        <v>1</v>
      </c>
      <c r="J398" s="10">
        <v>2248.6999999999998</v>
      </c>
      <c r="K398" s="14" t="str" cm="1">
        <f t="array" ref="K398">_xlfn.IFS(Table43[[#This Row],[Sales]]&gt;40000,"Best Sales",Table43[[#This Row],[Sales]]&gt;20000,"Average Sales",Table43[[#This Row],[Sales]]&gt;0,"Poor Sales")</f>
        <v>Poor Sales</v>
      </c>
      <c r="L398" s="23">
        <f>YEAR(Table43[[#This Row],[Date]])</f>
        <v>2023</v>
      </c>
      <c r="M398" s="23">
        <f>MONTH(Table43[[#This Row],[Date]])</f>
        <v>9</v>
      </c>
      <c r="N398" s="25">
        <f>DAY(Table43[[#This Row],[Date]])</f>
        <v>11</v>
      </c>
      <c r="O398" s="25" t="str">
        <f>TEXT(DATE(2023,Table43[[#This Row],[Month]],1),"mmm")</f>
        <v>Sep</v>
      </c>
      <c r="P398" s="25"/>
      <c r="Q398" s="25"/>
    </row>
    <row r="399" spans="1:17" x14ac:dyDescent="0.3">
      <c r="A399" s="11">
        <v>398</v>
      </c>
      <c r="B399" s="12">
        <v>44941</v>
      </c>
      <c r="C399" s="13" t="s">
        <v>37</v>
      </c>
      <c r="D399" s="13" t="s">
        <v>27</v>
      </c>
      <c r="E399" s="13" t="s">
        <v>12</v>
      </c>
      <c r="F399" s="13" t="s">
        <v>13</v>
      </c>
      <c r="G399" s="13" t="s">
        <v>21</v>
      </c>
      <c r="H399" s="14">
        <v>29008.89</v>
      </c>
      <c r="I399" s="13">
        <v>3</v>
      </c>
      <c r="J399" s="15">
        <v>6564.12</v>
      </c>
      <c r="K399" s="14" t="str" cm="1">
        <f t="array" ref="K399">_xlfn.IFS(Table43[[#This Row],[Sales]]&gt;40000,"Best Sales",Table43[[#This Row],[Sales]]&gt;20000,"Average Sales",Table43[[#This Row],[Sales]]&gt;0,"Poor Sales")</f>
        <v>Average Sales</v>
      </c>
      <c r="L399" s="23">
        <f>YEAR(Table43[[#This Row],[Date]])</f>
        <v>2023</v>
      </c>
      <c r="M399" s="23">
        <f>MONTH(Table43[[#This Row],[Date]])</f>
        <v>1</v>
      </c>
      <c r="N399" s="25">
        <f>DAY(Table43[[#This Row],[Date]])</f>
        <v>15</v>
      </c>
      <c r="O399" s="25" t="str">
        <f>TEXT(DATE(2023,Table43[[#This Row],[Month]],1),"mmm")</f>
        <v>Jan</v>
      </c>
      <c r="P399" s="25"/>
      <c r="Q399" s="25"/>
    </row>
    <row r="400" spans="1:17" x14ac:dyDescent="0.3">
      <c r="A400" s="6">
        <v>399</v>
      </c>
      <c r="B400" s="7">
        <v>45171</v>
      </c>
      <c r="C400" s="8" t="s">
        <v>22</v>
      </c>
      <c r="D400" s="8" t="s">
        <v>22</v>
      </c>
      <c r="E400" s="8" t="s">
        <v>17</v>
      </c>
      <c r="F400" s="8" t="s">
        <v>13</v>
      </c>
      <c r="G400" s="8" t="s">
        <v>34</v>
      </c>
      <c r="H400" s="9">
        <v>23170.27</v>
      </c>
      <c r="I400" s="8">
        <v>7</v>
      </c>
      <c r="J400" s="10">
        <v>3487.51</v>
      </c>
      <c r="K400" s="14" t="str" cm="1">
        <f t="array" ref="K400">_xlfn.IFS(Table43[[#This Row],[Sales]]&gt;40000,"Best Sales",Table43[[#This Row],[Sales]]&gt;20000,"Average Sales",Table43[[#This Row],[Sales]]&gt;0,"Poor Sales")</f>
        <v>Average Sales</v>
      </c>
      <c r="L400" s="23">
        <f>YEAR(Table43[[#This Row],[Date]])</f>
        <v>2023</v>
      </c>
      <c r="M400" s="23">
        <f>MONTH(Table43[[#This Row],[Date]])</f>
        <v>9</v>
      </c>
      <c r="N400" s="25">
        <f>DAY(Table43[[#This Row],[Date]])</f>
        <v>2</v>
      </c>
      <c r="O400" s="25" t="str">
        <f>TEXT(DATE(2023,Table43[[#This Row],[Month]],1),"mmm")</f>
        <v>Sep</v>
      </c>
      <c r="P400" s="25"/>
      <c r="Q400" s="25"/>
    </row>
    <row r="401" spans="1:17" x14ac:dyDescent="0.3">
      <c r="A401" s="11">
        <v>400</v>
      </c>
      <c r="B401" s="12">
        <v>45225</v>
      </c>
      <c r="C401" s="13" t="s">
        <v>22</v>
      </c>
      <c r="D401" s="13" t="s">
        <v>22</v>
      </c>
      <c r="E401" s="13" t="s">
        <v>12</v>
      </c>
      <c r="F401" s="13" t="s">
        <v>13</v>
      </c>
      <c r="G401" s="13" t="s">
        <v>14</v>
      </c>
      <c r="H401" s="14">
        <v>17142.79</v>
      </c>
      <c r="I401" s="13">
        <v>5</v>
      </c>
      <c r="J401" s="15">
        <v>4739.3999999999996</v>
      </c>
      <c r="K401" s="14" t="str" cm="1">
        <f t="array" ref="K401">_xlfn.IFS(Table43[[#This Row],[Sales]]&gt;40000,"Best Sales",Table43[[#This Row],[Sales]]&gt;20000,"Average Sales",Table43[[#This Row],[Sales]]&gt;0,"Poor Sales")</f>
        <v>Poor Sales</v>
      </c>
      <c r="L401" s="23">
        <f>YEAR(Table43[[#This Row],[Date]])</f>
        <v>2023</v>
      </c>
      <c r="M401" s="23">
        <f>MONTH(Table43[[#This Row],[Date]])</f>
        <v>10</v>
      </c>
      <c r="N401" s="25">
        <f>DAY(Table43[[#This Row],[Date]])</f>
        <v>26</v>
      </c>
      <c r="O401" s="25" t="str">
        <f>TEXT(DATE(2023,Table43[[#This Row],[Month]],1),"mmm")</f>
        <v>Oct</v>
      </c>
      <c r="P401" s="25"/>
      <c r="Q401" s="25"/>
    </row>
    <row r="402" spans="1:17" x14ac:dyDescent="0.3">
      <c r="A402" s="6">
        <v>401</v>
      </c>
      <c r="B402" s="7">
        <v>45188</v>
      </c>
      <c r="C402" s="8" t="s">
        <v>22</v>
      </c>
      <c r="D402" s="8" t="s">
        <v>22</v>
      </c>
      <c r="E402" s="8" t="s">
        <v>17</v>
      </c>
      <c r="F402" s="8" t="s">
        <v>13</v>
      </c>
      <c r="G402" s="8" t="s">
        <v>34</v>
      </c>
      <c r="H402" s="9">
        <v>2524.96</v>
      </c>
      <c r="I402" s="8">
        <v>4</v>
      </c>
      <c r="J402" s="10">
        <v>350.09</v>
      </c>
      <c r="K402" s="14" t="str" cm="1">
        <f t="array" ref="K402">_xlfn.IFS(Table43[[#This Row],[Sales]]&gt;40000,"Best Sales",Table43[[#This Row],[Sales]]&gt;20000,"Average Sales",Table43[[#This Row],[Sales]]&gt;0,"Poor Sales")</f>
        <v>Poor Sales</v>
      </c>
      <c r="L402" s="23">
        <f>YEAR(Table43[[#This Row],[Date]])</f>
        <v>2023</v>
      </c>
      <c r="M402" s="23">
        <f>MONTH(Table43[[#This Row],[Date]])</f>
        <v>9</v>
      </c>
      <c r="N402" s="25">
        <f>DAY(Table43[[#This Row],[Date]])</f>
        <v>19</v>
      </c>
      <c r="O402" s="25" t="str">
        <f>TEXT(DATE(2023,Table43[[#This Row],[Month]],1),"mmm")</f>
        <v>Sep</v>
      </c>
      <c r="P402" s="25"/>
      <c r="Q402" s="25"/>
    </row>
    <row r="403" spans="1:17" x14ac:dyDescent="0.3">
      <c r="A403" s="11">
        <v>402</v>
      </c>
      <c r="B403" s="12">
        <v>45155</v>
      </c>
      <c r="C403" s="13" t="s">
        <v>18</v>
      </c>
      <c r="D403" s="13" t="s">
        <v>19</v>
      </c>
      <c r="E403" s="13" t="s">
        <v>20</v>
      </c>
      <c r="F403" s="13" t="s">
        <v>24</v>
      </c>
      <c r="G403" s="13" t="s">
        <v>28</v>
      </c>
      <c r="H403" s="14">
        <v>42834.37</v>
      </c>
      <c r="I403" s="13">
        <v>4</v>
      </c>
      <c r="J403" s="15">
        <v>4416.7700000000004</v>
      </c>
      <c r="K403" s="14" t="str" cm="1">
        <f t="array" ref="K403">_xlfn.IFS(Table43[[#This Row],[Sales]]&gt;40000,"Best Sales",Table43[[#This Row],[Sales]]&gt;20000,"Average Sales",Table43[[#This Row],[Sales]]&gt;0,"Poor Sales")</f>
        <v>Best Sales</v>
      </c>
      <c r="L403" s="23">
        <f>YEAR(Table43[[#This Row],[Date]])</f>
        <v>2023</v>
      </c>
      <c r="M403" s="23">
        <f>MONTH(Table43[[#This Row],[Date]])</f>
        <v>8</v>
      </c>
      <c r="N403" s="25">
        <f>DAY(Table43[[#This Row],[Date]])</f>
        <v>17</v>
      </c>
      <c r="O403" s="25" t="str">
        <f>TEXT(DATE(2023,Table43[[#This Row],[Month]],1),"mmm")</f>
        <v>Aug</v>
      </c>
      <c r="P403" s="25"/>
      <c r="Q403" s="25"/>
    </row>
    <row r="404" spans="1:17" x14ac:dyDescent="0.3">
      <c r="A404" s="6">
        <v>403</v>
      </c>
      <c r="B404" s="7">
        <v>44974</v>
      </c>
      <c r="C404" s="8" t="s">
        <v>37</v>
      </c>
      <c r="D404" s="8" t="s">
        <v>27</v>
      </c>
      <c r="E404" s="8" t="s">
        <v>20</v>
      </c>
      <c r="F404" s="8" t="s">
        <v>24</v>
      </c>
      <c r="G404" s="8" t="s">
        <v>29</v>
      </c>
      <c r="H404" s="9">
        <v>42841.86</v>
      </c>
      <c r="I404" s="8">
        <v>5</v>
      </c>
      <c r="J404" s="10">
        <v>9517.9500000000007</v>
      </c>
      <c r="K404" s="14" t="str" cm="1">
        <f t="array" ref="K404">_xlfn.IFS(Table43[[#This Row],[Sales]]&gt;40000,"Best Sales",Table43[[#This Row],[Sales]]&gt;20000,"Average Sales",Table43[[#This Row],[Sales]]&gt;0,"Poor Sales")</f>
        <v>Best Sales</v>
      </c>
      <c r="L404" s="23">
        <f>YEAR(Table43[[#This Row],[Date]])</f>
        <v>2023</v>
      </c>
      <c r="M404" s="23">
        <f>MONTH(Table43[[#This Row],[Date]])</f>
        <v>2</v>
      </c>
      <c r="N404" s="25">
        <f>DAY(Table43[[#This Row],[Date]])</f>
        <v>17</v>
      </c>
      <c r="O404" s="25" t="str">
        <f>TEXT(DATE(2023,Table43[[#This Row],[Month]],1),"mmm")</f>
        <v>Feb</v>
      </c>
      <c r="P404" s="25"/>
      <c r="Q404" s="25"/>
    </row>
    <row r="405" spans="1:17" x14ac:dyDescent="0.3">
      <c r="A405" s="11">
        <v>404</v>
      </c>
      <c r="B405" s="12">
        <v>45135</v>
      </c>
      <c r="C405" s="13" t="s">
        <v>37</v>
      </c>
      <c r="D405" s="13" t="s">
        <v>27</v>
      </c>
      <c r="E405" s="13" t="s">
        <v>12</v>
      </c>
      <c r="F405" s="13" t="s">
        <v>13</v>
      </c>
      <c r="G405" s="13" t="s">
        <v>34</v>
      </c>
      <c r="H405" s="14">
        <v>11685.69</v>
      </c>
      <c r="I405" s="13">
        <v>7</v>
      </c>
      <c r="J405" s="15">
        <v>1915.68</v>
      </c>
      <c r="K405" s="14" t="str" cm="1">
        <f t="array" ref="K405">_xlfn.IFS(Table43[[#This Row],[Sales]]&gt;40000,"Best Sales",Table43[[#This Row],[Sales]]&gt;20000,"Average Sales",Table43[[#This Row],[Sales]]&gt;0,"Poor Sales")</f>
        <v>Poor Sales</v>
      </c>
      <c r="L405" s="23">
        <f>YEAR(Table43[[#This Row],[Date]])</f>
        <v>2023</v>
      </c>
      <c r="M405" s="23">
        <f>MONTH(Table43[[#This Row],[Date]])</f>
        <v>7</v>
      </c>
      <c r="N405" s="25">
        <f>DAY(Table43[[#This Row],[Date]])</f>
        <v>28</v>
      </c>
      <c r="O405" s="25" t="str">
        <f>TEXT(DATE(2023,Table43[[#This Row],[Month]],1),"mmm")</f>
        <v>Jul</v>
      </c>
      <c r="P405" s="25"/>
      <c r="Q405" s="25"/>
    </row>
    <row r="406" spans="1:17" x14ac:dyDescent="0.3">
      <c r="A406" s="6">
        <v>405</v>
      </c>
      <c r="B406" s="7">
        <v>45181</v>
      </c>
      <c r="C406" s="8" t="s">
        <v>18</v>
      </c>
      <c r="D406" s="8" t="s">
        <v>19</v>
      </c>
      <c r="E406" s="8" t="s">
        <v>17</v>
      </c>
      <c r="F406" s="8" t="s">
        <v>24</v>
      </c>
      <c r="G406" s="8" t="s">
        <v>25</v>
      </c>
      <c r="H406" s="9">
        <v>19564.080000000002</v>
      </c>
      <c r="I406" s="8">
        <v>4</v>
      </c>
      <c r="J406" s="10">
        <v>5174.68</v>
      </c>
      <c r="K406" s="14" t="str" cm="1">
        <f t="array" ref="K406">_xlfn.IFS(Table43[[#This Row],[Sales]]&gt;40000,"Best Sales",Table43[[#This Row],[Sales]]&gt;20000,"Average Sales",Table43[[#This Row],[Sales]]&gt;0,"Poor Sales")</f>
        <v>Poor Sales</v>
      </c>
      <c r="L406" s="23">
        <f>YEAR(Table43[[#This Row],[Date]])</f>
        <v>2023</v>
      </c>
      <c r="M406" s="23">
        <f>MONTH(Table43[[#This Row],[Date]])</f>
        <v>9</v>
      </c>
      <c r="N406" s="25">
        <f>DAY(Table43[[#This Row],[Date]])</f>
        <v>12</v>
      </c>
      <c r="O406" s="25" t="str">
        <f>TEXT(DATE(2023,Table43[[#This Row],[Month]],1),"mmm")</f>
        <v>Sep</v>
      </c>
      <c r="P406" s="25"/>
      <c r="Q406" s="25"/>
    </row>
    <row r="407" spans="1:17" x14ac:dyDescent="0.3">
      <c r="A407" s="11">
        <v>406</v>
      </c>
      <c r="B407" s="12">
        <v>45190</v>
      </c>
      <c r="C407" s="13" t="s">
        <v>30</v>
      </c>
      <c r="D407" s="13" t="s">
        <v>16</v>
      </c>
      <c r="E407" s="13" t="s">
        <v>12</v>
      </c>
      <c r="F407" s="13" t="s">
        <v>13</v>
      </c>
      <c r="G407" s="13" t="s">
        <v>34</v>
      </c>
      <c r="H407" s="14">
        <v>19188.95</v>
      </c>
      <c r="I407" s="13">
        <v>8</v>
      </c>
      <c r="J407" s="15">
        <v>4252.95</v>
      </c>
      <c r="K407" s="14" t="str" cm="1">
        <f t="array" ref="K407">_xlfn.IFS(Table43[[#This Row],[Sales]]&gt;40000,"Best Sales",Table43[[#This Row],[Sales]]&gt;20000,"Average Sales",Table43[[#This Row],[Sales]]&gt;0,"Poor Sales")</f>
        <v>Poor Sales</v>
      </c>
      <c r="L407" s="23">
        <f>YEAR(Table43[[#This Row],[Date]])</f>
        <v>2023</v>
      </c>
      <c r="M407" s="23">
        <f>MONTH(Table43[[#This Row],[Date]])</f>
        <v>9</v>
      </c>
      <c r="N407" s="25">
        <f>DAY(Table43[[#This Row],[Date]])</f>
        <v>21</v>
      </c>
      <c r="O407" s="25" t="str">
        <f>TEXT(DATE(2023,Table43[[#This Row],[Month]],1),"mmm")</f>
        <v>Sep</v>
      </c>
      <c r="P407" s="25"/>
      <c r="Q407" s="25"/>
    </row>
    <row r="408" spans="1:17" x14ac:dyDescent="0.3">
      <c r="A408" s="6">
        <v>407</v>
      </c>
      <c r="B408" s="7">
        <v>45030</v>
      </c>
      <c r="C408" s="8" t="s">
        <v>35</v>
      </c>
      <c r="D408" s="8" t="s">
        <v>36</v>
      </c>
      <c r="E408" s="8" t="s">
        <v>17</v>
      </c>
      <c r="F408" s="8" t="s">
        <v>13</v>
      </c>
      <c r="G408" s="8" t="s">
        <v>14</v>
      </c>
      <c r="H408" s="9">
        <v>48474.84</v>
      </c>
      <c r="I408" s="8">
        <v>10</v>
      </c>
      <c r="J408" s="10">
        <v>4164.55</v>
      </c>
      <c r="K408" s="14" t="str" cm="1">
        <f t="array" ref="K408">_xlfn.IFS(Table43[[#This Row],[Sales]]&gt;40000,"Best Sales",Table43[[#This Row],[Sales]]&gt;20000,"Average Sales",Table43[[#This Row],[Sales]]&gt;0,"Poor Sales")</f>
        <v>Best Sales</v>
      </c>
      <c r="L408" s="23">
        <f>YEAR(Table43[[#This Row],[Date]])</f>
        <v>2023</v>
      </c>
      <c r="M408" s="23">
        <f>MONTH(Table43[[#This Row],[Date]])</f>
        <v>4</v>
      </c>
      <c r="N408" s="25">
        <f>DAY(Table43[[#This Row],[Date]])</f>
        <v>14</v>
      </c>
      <c r="O408" s="25" t="str">
        <f>TEXT(DATE(2023,Table43[[#This Row],[Month]],1),"mmm")</f>
        <v>Apr</v>
      </c>
      <c r="P408" s="25"/>
      <c r="Q408" s="25"/>
    </row>
    <row r="409" spans="1:17" x14ac:dyDescent="0.3">
      <c r="A409" s="11">
        <v>408</v>
      </c>
      <c r="B409" s="12">
        <v>44933</v>
      </c>
      <c r="C409" s="13" t="s">
        <v>35</v>
      </c>
      <c r="D409" s="13" t="s">
        <v>36</v>
      </c>
      <c r="E409" s="13" t="s">
        <v>20</v>
      </c>
      <c r="F409" s="13" t="s">
        <v>13</v>
      </c>
      <c r="G409" s="13" t="s">
        <v>21</v>
      </c>
      <c r="H409" s="14">
        <v>36147.51</v>
      </c>
      <c r="I409" s="13">
        <v>8</v>
      </c>
      <c r="J409" s="15">
        <v>7327.76</v>
      </c>
      <c r="K409" s="14" t="str" cm="1">
        <f t="array" ref="K409">_xlfn.IFS(Table43[[#This Row],[Sales]]&gt;40000,"Best Sales",Table43[[#This Row],[Sales]]&gt;20000,"Average Sales",Table43[[#This Row],[Sales]]&gt;0,"Poor Sales")</f>
        <v>Average Sales</v>
      </c>
      <c r="L409" s="23">
        <f>YEAR(Table43[[#This Row],[Date]])</f>
        <v>2023</v>
      </c>
      <c r="M409" s="23">
        <f>MONTH(Table43[[#This Row],[Date]])</f>
        <v>1</v>
      </c>
      <c r="N409" s="25">
        <f>DAY(Table43[[#This Row],[Date]])</f>
        <v>7</v>
      </c>
      <c r="O409" s="25" t="str">
        <f>TEXT(DATE(2023,Table43[[#This Row],[Month]],1),"mmm")</f>
        <v>Jan</v>
      </c>
      <c r="P409" s="25"/>
      <c r="Q409" s="25"/>
    </row>
    <row r="410" spans="1:17" x14ac:dyDescent="0.3">
      <c r="A410" s="6">
        <v>409</v>
      </c>
      <c r="B410" s="7">
        <v>45154</v>
      </c>
      <c r="C410" s="8" t="s">
        <v>15</v>
      </c>
      <c r="D410" s="8" t="s">
        <v>16</v>
      </c>
      <c r="E410" s="8" t="s">
        <v>20</v>
      </c>
      <c r="F410" s="8" t="s">
        <v>13</v>
      </c>
      <c r="G410" s="8" t="s">
        <v>21</v>
      </c>
      <c r="H410" s="9">
        <v>15852.65</v>
      </c>
      <c r="I410" s="8">
        <v>5</v>
      </c>
      <c r="J410" s="10">
        <v>1225.72</v>
      </c>
      <c r="K410" s="14" t="str" cm="1">
        <f t="array" ref="K410">_xlfn.IFS(Table43[[#This Row],[Sales]]&gt;40000,"Best Sales",Table43[[#This Row],[Sales]]&gt;20000,"Average Sales",Table43[[#This Row],[Sales]]&gt;0,"Poor Sales")</f>
        <v>Poor Sales</v>
      </c>
      <c r="L410" s="23">
        <f>YEAR(Table43[[#This Row],[Date]])</f>
        <v>2023</v>
      </c>
      <c r="M410" s="23">
        <f>MONTH(Table43[[#This Row],[Date]])</f>
        <v>8</v>
      </c>
      <c r="N410" s="25">
        <f>DAY(Table43[[#This Row],[Date]])</f>
        <v>16</v>
      </c>
      <c r="O410" s="25" t="str">
        <f>TEXT(DATE(2023,Table43[[#This Row],[Month]],1),"mmm")</f>
        <v>Aug</v>
      </c>
      <c r="P410" s="25"/>
      <c r="Q410" s="25"/>
    </row>
    <row r="411" spans="1:17" x14ac:dyDescent="0.3">
      <c r="A411" s="11">
        <v>410</v>
      </c>
      <c r="B411" s="12">
        <v>45231</v>
      </c>
      <c r="C411" s="13" t="s">
        <v>26</v>
      </c>
      <c r="D411" s="13" t="s">
        <v>27</v>
      </c>
      <c r="E411" s="13" t="s">
        <v>12</v>
      </c>
      <c r="F411" s="13" t="s">
        <v>31</v>
      </c>
      <c r="G411" s="13" t="s">
        <v>32</v>
      </c>
      <c r="H411" s="14">
        <v>39386.74</v>
      </c>
      <c r="I411" s="13">
        <v>8</v>
      </c>
      <c r="J411" s="15">
        <v>5212.04</v>
      </c>
      <c r="K411" s="14" t="str" cm="1">
        <f t="array" ref="K411">_xlfn.IFS(Table43[[#This Row],[Sales]]&gt;40000,"Best Sales",Table43[[#This Row],[Sales]]&gt;20000,"Average Sales",Table43[[#This Row],[Sales]]&gt;0,"Poor Sales")</f>
        <v>Average Sales</v>
      </c>
      <c r="L411" s="23">
        <f>YEAR(Table43[[#This Row],[Date]])</f>
        <v>2023</v>
      </c>
      <c r="M411" s="23">
        <f>MONTH(Table43[[#This Row],[Date]])</f>
        <v>11</v>
      </c>
      <c r="N411" s="25">
        <f>DAY(Table43[[#This Row],[Date]])</f>
        <v>1</v>
      </c>
      <c r="O411" s="25" t="str">
        <f>TEXT(DATE(2023,Table43[[#This Row],[Month]],1),"mmm")</f>
        <v>Nov</v>
      </c>
      <c r="P411" s="25"/>
      <c r="Q411" s="25"/>
    </row>
    <row r="412" spans="1:17" x14ac:dyDescent="0.3">
      <c r="A412" s="6">
        <v>411</v>
      </c>
      <c r="B412" s="7">
        <v>45234</v>
      </c>
      <c r="C412" s="8" t="s">
        <v>35</v>
      </c>
      <c r="D412" s="8" t="s">
        <v>36</v>
      </c>
      <c r="E412" s="8" t="s">
        <v>17</v>
      </c>
      <c r="F412" s="8" t="s">
        <v>31</v>
      </c>
      <c r="G412" s="8" t="s">
        <v>33</v>
      </c>
      <c r="H412" s="9">
        <v>1072.04</v>
      </c>
      <c r="I412" s="8">
        <v>1</v>
      </c>
      <c r="J412" s="10">
        <v>258.16000000000003</v>
      </c>
      <c r="K412" s="14" t="str" cm="1">
        <f t="array" ref="K412">_xlfn.IFS(Table43[[#This Row],[Sales]]&gt;40000,"Best Sales",Table43[[#This Row],[Sales]]&gt;20000,"Average Sales",Table43[[#This Row],[Sales]]&gt;0,"Poor Sales")</f>
        <v>Poor Sales</v>
      </c>
      <c r="L412" s="23">
        <f>YEAR(Table43[[#This Row],[Date]])</f>
        <v>2023</v>
      </c>
      <c r="M412" s="23">
        <f>MONTH(Table43[[#This Row],[Date]])</f>
        <v>11</v>
      </c>
      <c r="N412" s="25">
        <f>DAY(Table43[[#This Row],[Date]])</f>
        <v>4</v>
      </c>
      <c r="O412" s="25" t="str">
        <f>TEXT(DATE(2023,Table43[[#This Row],[Month]],1),"mmm")</f>
        <v>Nov</v>
      </c>
      <c r="P412" s="25"/>
      <c r="Q412" s="25"/>
    </row>
    <row r="413" spans="1:17" x14ac:dyDescent="0.3">
      <c r="A413" s="11">
        <v>412</v>
      </c>
      <c r="B413" s="12">
        <v>45107</v>
      </c>
      <c r="C413" s="13" t="s">
        <v>30</v>
      </c>
      <c r="D413" s="13" t="s">
        <v>16</v>
      </c>
      <c r="E413" s="13" t="s">
        <v>12</v>
      </c>
      <c r="F413" s="13" t="s">
        <v>13</v>
      </c>
      <c r="G413" s="13" t="s">
        <v>21</v>
      </c>
      <c r="H413" s="14">
        <v>34096.050000000003</v>
      </c>
      <c r="I413" s="13">
        <v>5</v>
      </c>
      <c r="J413" s="15">
        <v>8352.9</v>
      </c>
      <c r="K413" s="14" t="str" cm="1">
        <f t="array" ref="K413">_xlfn.IFS(Table43[[#This Row],[Sales]]&gt;40000,"Best Sales",Table43[[#This Row],[Sales]]&gt;20000,"Average Sales",Table43[[#This Row],[Sales]]&gt;0,"Poor Sales")</f>
        <v>Average Sales</v>
      </c>
      <c r="L413" s="23">
        <f>YEAR(Table43[[#This Row],[Date]])</f>
        <v>2023</v>
      </c>
      <c r="M413" s="23">
        <f>MONTH(Table43[[#This Row],[Date]])</f>
        <v>6</v>
      </c>
      <c r="N413" s="25">
        <f>DAY(Table43[[#This Row],[Date]])</f>
        <v>30</v>
      </c>
      <c r="O413" s="25" t="str">
        <f>TEXT(DATE(2023,Table43[[#This Row],[Month]],1),"mmm")</f>
        <v>Jun</v>
      </c>
      <c r="P413" s="25"/>
      <c r="Q413" s="25"/>
    </row>
    <row r="414" spans="1:17" x14ac:dyDescent="0.3">
      <c r="A414" s="6">
        <v>413</v>
      </c>
      <c r="B414" s="7">
        <v>44985</v>
      </c>
      <c r="C414" s="8" t="s">
        <v>38</v>
      </c>
      <c r="D414" s="8" t="s">
        <v>27</v>
      </c>
      <c r="E414" s="8" t="s">
        <v>17</v>
      </c>
      <c r="F414" s="8" t="s">
        <v>24</v>
      </c>
      <c r="G414" s="8" t="s">
        <v>29</v>
      </c>
      <c r="H414" s="9">
        <v>21431.4</v>
      </c>
      <c r="I414" s="8">
        <v>6</v>
      </c>
      <c r="J414" s="10">
        <v>3110.02</v>
      </c>
      <c r="K414" s="14" t="str" cm="1">
        <f t="array" ref="K414">_xlfn.IFS(Table43[[#This Row],[Sales]]&gt;40000,"Best Sales",Table43[[#This Row],[Sales]]&gt;20000,"Average Sales",Table43[[#This Row],[Sales]]&gt;0,"Poor Sales")</f>
        <v>Average Sales</v>
      </c>
      <c r="L414" s="23">
        <f>YEAR(Table43[[#This Row],[Date]])</f>
        <v>2023</v>
      </c>
      <c r="M414" s="23">
        <f>MONTH(Table43[[#This Row],[Date]])</f>
        <v>2</v>
      </c>
      <c r="N414" s="25">
        <f>DAY(Table43[[#This Row],[Date]])</f>
        <v>28</v>
      </c>
      <c r="O414" s="25" t="str">
        <f>TEXT(DATE(2023,Table43[[#This Row],[Month]],1),"mmm")</f>
        <v>Feb</v>
      </c>
      <c r="P414" s="25"/>
      <c r="Q414" s="25"/>
    </row>
    <row r="415" spans="1:17" x14ac:dyDescent="0.3">
      <c r="A415" s="11">
        <v>414</v>
      </c>
      <c r="B415" s="12">
        <v>45197</v>
      </c>
      <c r="C415" s="13" t="s">
        <v>22</v>
      </c>
      <c r="D415" s="13" t="s">
        <v>22</v>
      </c>
      <c r="E415" s="13" t="s">
        <v>20</v>
      </c>
      <c r="F415" s="13" t="s">
        <v>31</v>
      </c>
      <c r="G415" s="13" t="s">
        <v>33</v>
      </c>
      <c r="H415" s="14">
        <v>49809.53</v>
      </c>
      <c r="I415" s="13">
        <v>10</v>
      </c>
      <c r="J415" s="15">
        <v>12615.9</v>
      </c>
      <c r="K415" s="14" t="str" cm="1">
        <f t="array" ref="K415">_xlfn.IFS(Table43[[#This Row],[Sales]]&gt;40000,"Best Sales",Table43[[#This Row],[Sales]]&gt;20000,"Average Sales",Table43[[#This Row],[Sales]]&gt;0,"Poor Sales")</f>
        <v>Best Sales</v>
      </c>
      <c r="L415" s="23">
        <f>YEAR(Table43[[#This Row],[Date]])</f>
        <v>2023</v>
      </c>
      <c r="M415" s="23">
        <f>MONTH(Table43[[#This Row],[Date]])</f>
        <v>9</v>
      </c>
      <c r="N415" s="25">
        <f>DAY(Table43[[#This Row],[Date]])</f>
        <v>28</v>
      </c>
      <c r="O415" s="25" t="str">
        <f>TEXT(DATE(2023,Table43[[#This Row],[Month]],1),"mmm")</f>
        <v>Sep</v>
      </c>
      <c r="P415" s="25"/>
      <c r="Q415" s="25"/>
    </row>
    <row r="416" spans="1:17" x14ac:dyDescent="0.3">
      <c r="A416" s="6">
        <v>415</v>
      </c>
      <c r="B416" s="7">
        <v>45168</v>
      </c>
      <c r="C416" s="8" t="s">
        <v>10</v>
      </c>
      <c r="D416" s="8" t="s">
        <v>11</v>
      </c>
      <c r="E416" s="8" t="s">
        <v>20</v>
      </c>
      <c r="F416" s="8" t="s">
        <v>13</v>
      </c>
      <c r="G416" s="8" t="s">
        <v>21</v>
      </c>
      <c r="H416" s="9">
        <v>37457.269999999997</v>
      </c>
      <c r="I416" s="8">
        <v>2</v>
      </c>
      <c r="J416" s="10">
        <v>2038.02</v>
      </c>
      <c r="K416" s="14" t="str" cm="1">
        <f t="array" ref="K416">_xlfn.IFS(Table43[[#This Row],[Sales]]&gt;40000,"Best Sales",Table43[[#This Row],[Sales]]&gt;20000,"Average Sales",Table43[[#This Row],[Sales]]&gt;0,"Poor Sales")</f>
        <v>Average Sales</v>
      </c>
      <c r="L416" s="23">
        <f>YEAR(Table43[[#This Row],[Date]])</f>
        <v>2023</v>
      </c>
      <c r="M416" s="23">
        <f>MONTH(Table43[[#This Row],[Date]])</f>
        <v>8</v>
      </c>
      <c r="N416" s="25">
        <f>DAY(Table43[[#This Row],[Date]])</f>
        <v>30</v>
      </c>
      <c r="O416" s="25" t="str">
        <f>TEXT(DATE(2023,Table43[[#This Row],[Month]],1),"mmm")</f>
        <v>Aug</v>
      </c>
      <c r="P416" s="25"/>
      <c r="Q416" s="25"/>
    </row>
    <row r="417" spans="1:17" x14ac:dyDescent="0.3">
      <c r="A417" s="11">
        <v>416</v>
      </c>
      <c r="B417" s="12">
        <v>45265</v>
      </c>
      <c r="C417" s="13" t="s">
        <v>18</v>
      </c>
      <c r="D417" s="13" t="s">
        <v>19</v>
      </c>
      <c r="E417" s="13" t="s">
        <v>12</v>
      </c>
      <c r="F417" s="13" t="s">
        <v>24</v>
      </c>
      <c r="G417" s="13" t="s">
        <v>25</v>
      </c>
      <c r="H417" s="14">
        <v>9482.2900000000009</v>
      </c>
      <c r="I417" s="13">
        <v>8</v>
      </c>
      <c r="J417" s="15">
        <v>1193.25</v>
      </c>
      <c r="K417" s="14" t="str" cm="1">
        <f t="array" ref="K417">_xlfn.IFS(Table43[[#This Row],[Sales]]&gt;40000,"Best Sales",Table43[[#This Row],[Sales]]&gt;20000,"Average Sales",Table43[[#This Row],[Sales]]&gt;0,"Poor Sales")</f>
        <v>Poor Sales</v>
      </c>
      <c r="L417" s="23">
        <f>YEAR(Table43[[#This Row],[Date]])</f>
        <v>2023</v>
      </c>
      <c r="M417" s="23">
        <f>MONTH(Table43[[#This Row],[Date]])</f>
        <v>12</v>
      </c>
      <c r="N417" s="25">
        <f>DAY(Table43[[#This Row],[Date]])</f>
        <v>5</v>
      </c>
      <c r="O417" s="25" t="str">
        <f>TEXT(DATE(2023,Table43[[#This Row],[Month]],1),"mmm")</f>
        <v>Dec</v>
      </c>
      <c r="P417" s="25"/>
      <c r="Q417" s="25"/>
    </row>
    <row r="418" spans="1:17" x14ac:dyDescent="0.3">
      <c r="A418" s="6">
        <v>417</v>
      </c>
      <c r="B418" s="7">
        <v>45099</v>
      </c>
      <c r="C418" s="8" t="s">
        <v>26</v>
      </c>
      <c r="D418" s="8" t="s">
        <v>27</v>
      </c>
      <c r="E418" s="8" t="s">
        <v>17</v>
      </c>
      <c r="F418" s="8" t="s">
        <v>24</v>
      </c>
      <c r="G418" s="8" t="s">
        <v>28</v>
      </c>
      <c r="H418" s="9">
        <v>35623</v>
      </c>
      <c r="I418" s="8">
        <v>7</v>
      </c>
      <c r="J418" s="10">
        <v>6475.03</v>
      </c>
      <c r="K418" s="14" t="str" cm="1">
        <f t="array" ref="K418">_xlfn.IFS(Table43[[#This Row],[Sales]]&gt;40000,"Best Sales",Table43[[#This Row],[Sales]]&gt;20000,"Average Sales",Table43[[#This Row],[Sales]]&gt;0,"Poor Sales")</f>
        <v>Average Sales</v>
      </c>
      <c r="L418" s="23">
        <f>YEAR(Table43[[#This Row],[Date]])</f>
        <v>2023</v>
      </c>
      <c r="M418" s="23">
        <f>MONTH(Table43[[#This Row],[Date]])</f>
        <v>6</v>
      </c>
      <c r="N418" s="25">
        <f>DAY(Table43[[#This Row],[Date]])</f>
        <v>22</v>
      </c>
      <c r="O418" s="25" t="str">
        <f>TEXT(DATE(2023,Table43[[#This Row],[Month]],1),"mmm")</f>
        <v>Jun</v>
      </c>
      <c r="P418" s="25"/>
      <c r="Q418" s="25"/>
    </row>
    <row r="419" spans="1:17" x14ac:dyDescent="0.3">
      <c r="A419" s="11">
        <v>418</v>
      </c>
      <c r="B419" s="12">
        <v>44953</v>
      </c>
      <c r="C419" s="13" t="s">
        <v>22</v>
      </c>
      <c r="D419" s="13" t="s">
        <v>22</v>
      </c>
      <c r="E419" s="13" t="s">
        <v>12</v>
      </c>
      <c r="F419" s="13" t="s">
        <v>31</v>
      </c>
      <c r="G419" s="13" t="s">
        <v>39</v>
      </c>
      <c r="H419" s="14">
        <v>46161.55</v>
      </c>
      <c r="I419" s="13">
        <v>8</v>
      </c>
      <c r="J419" s="15">
        <v>11578.56</v>
      </c>
      <c r="K419" s="14" t="str" cm="1">
        <f t="array" ref="K419">_xlfn.IFS(Table43[[#This Row],[Sales]]&gt;40000,"Best Sales",Table43[[#This Row],[Sales]]&gt;20000,"Average Sales",Table43[[#This Row],[Sales]]&gt;0,"Poor Sales")</f>
        <v>Best Sales</v>
      </c>
      <c r="L419" s="23">
        <f>YEAR(Table43[[#This Row],[Date]])</f>
        <v>2023</v>
      </c>
      <c r="M419" s="23">
        <f>MONTH(Table43[[#This Row],[Date]])</f>
        <v>1</v>
      </c>
      <c r="N419" s="25">
        <f>DAY(Table43[[#This Row],[Date]])</f>
        <v>27</v>
      </c>
      <c r="O419" s="25" t="str">
        <f>TEXT(DATE(2023,Table43[[#This Row],[Month]],1),"mmm")</f>
        <v>Jan</v>
      </c>
      <c r="P419" s="25"/>
      <c r="Q419" s="25"/>
    </row>
    <row r="420" spans="1:17" x14ac:dyDescent="0.3">
      <c r="A420" s="6">
        <v>419</v>
      </c>
      <c r="B420" s="7">
        <v>45039</v>
      </c>
      <c r="C420" s="8" t="s">
        <v>15</v>
      </c>
      <c r="D420" s="8" t="s">
        <v>16</v>
      </c>
      <c r="E420" s="8" t="s">
        <v>17</v>
      </c>
      <c r="F420" s="8" t="s">
        <v>24</v>
      </c>
      <c r="G420" s="8" t="s">
        <v>25</v>
      </c>
      <c r="H420" s="9">
        <v>14247.34</v>
      </c>
      <c r="I420" s="8">
        <v>8</v>
      </c>
      <c r="J420" s="10">
        <v>837.69</v>
      </c>
      <c r="K420" s="14" t="str" cm="1">
        <f t="array" ref="K420">_xlfn.IFS(Table43[[#This Row],[Sales]]&gt;40000,"Best Sales",Table43[[#This Row],[Sales]]&gt;20000,"Average Sales",Table43[[#This Row],[Sales]]&gt;0,"Poor Sales")</f>
        <v>Poor Sales</v>
      </c>
      <c r="L420" s="23">
        <f>YEAR(Table43[[#This Row],[Date]])</f>
        <v>2023</v>
      </c>
      <c r="M420" s="23">
        <f>MONTH(Table43[[#This Row],[Date]])</f>
        <v>4</v>
      </c>
      <c r="N420" s="25">
        <f>DAY(Table43[[#This Row],[Date]])</f>
        <v>23</v>
      </c>
      <c r="O420" s="25" t="str">
        <f>TEXT(DATE(2023,Table43[[#This Row],[Month]],1),"mmm")</f>
        <v>Apr</v>
      </c>
      <c r="P420" s="25"/>
      <c r="Q420" s="25"/>
    </row>
    <row r="421" spans="1:17" x14ac:dyDescent="0.3">
      <c r="A421" s="11">
        <v>420</v>
      </c>
      <c r="B421" s="12">
        <v>45292</v>
      </c>
      <c r="C421" s="13" t="s">
        <v>22</v>
      </c>
      <c r="D421" s="13" t="s">
        <v>22</v>
      </c>
      <c r="E421" s="13" t="s">
        <v>20</v>
      </c>
      <c r="F421" s="13" t="s">
        <v>31</v>
      </c>
      <c r="G421" s="13" t="s">
        <v>33</v>
      </c>
      <c r="H421" s="14">
        <v>2003.36</v>
      </c>
      <c r="I421" s="13">
        <v>5</v>
      </c>
      <c r="J421" s="15">
        <v>300.98</v>
      </c>
      <c r="K421" s="14" t="str" cm="1">
        <f t="array" ref="K421">_xlfn.IFS(Table43[[#This Row],[Sales]]&gt;40000,"Best Sales",Table43[[#This Row],[Sales]]&gt;20000,"Average Sales",Table43[[#This Row],[Sales]]&gt;0,"Poor Sales")</f>
        <v>Poor Sales</v>
      </c>
      <c r="L421" s="23">
        <f>YEAR(Table43[[#This Row],[Date]])</f>
        <v>2024</v>
      </c>
      <c r="M421" s="23">
        <f>MONTH(Table43[[#This Row],[Date]])</f>
        <v>1</v>
      </c>
      <c r="N421" s="25">
        <f>DAY(Table43[[#This Row],[Date]])</f>
        <v>1</v>
      </c>
      <c r="O421" s="25" t="str">
        <f>TEXT(DATE(2023,Table43[[#This Row],[Month]],1),"mmm")</f>
        <v>Jan</v>
      </c>
      <c r="P421" s="25"/>
      <c r="Q421" s="25"/>
    </row>
    <row r="422" spans="1:17" x14ac:dyDescent="0.3">
      <c r="A422" s="6">
        <v>421</v>
      </c>
      <c r="B422" s="7">
        <v>45029</v>
      </c>
      <c r="C422" s="8" t="s">
        <v>35</v>
      </c>
      <c r="D422" s="8" t="s">
        <v>36</v>
      </c>
      <c r="E422" s="8" t="s">
        <v>20</v>
      </c>
      <c r="F422" s="8" t="s">
        <v>13</v>
      </c>
      <c r="G422" s="8" t="s">
        <v>14</v>
      </c>
      <c r="H422" s="9">
        <v>25271.97</v>
      </c>
      <c r="I422" s="8">
        <v>5</v>
      </c>
      <c r="J422" s="10">
        <v>7144.62</v>
      </c>
      <c r="K422" s="14" t="str" cm="1">
        <f t="array" ref="K422">_xlfn.IFS(Table43[[#This Row],[Sales]]&gt;40000,"Best Sales",Table43[[#This Row],[Sales]]&gt;20000,"Average Sales",Table43[[#This Row],[Sales]]&gt;0,"Poor Sales")</f>
        <v>Average Sales</v>
      </c>
      <c r="L422" s="23">
        <f>YEAR(Table43[[#This Row],[Date]])</f>
        <v>2023</v>
      </c>
      <c r="M422" s="23">
        <f>MONTH(Table43[[#This Row],[Date]])</f>
        <v>4</v>
      </c>
      <c r="N422" s="25">
        <f>DAY(Table43[[#This Row],[Date]])</f>
        <v>13</v>
      </c>
      <c r="O422" s="25" t="str">
        <f>TEXT(DATE(2023,Table43[[#This Row],[Month]],1),"mmm")</f>
        <v>Apr</v>
      </c>
      <c r="P422" s="25"/>
      <c r="Q422" s="25"/>
    </row>
    <row r="423" spans="1:17" x14ac:dyDescent="0.3">
      <c r="A423" s="11">
        <v>422</v>
      </c>
      <c r="B423" s="12">
        <v>44987</v>
      </c>
      <c r="C423" s="13" t="s">
        <v>35</v>
      </c>
      <c r="D423" s="13" t="s">
        <v>36</v>
      </c>
      <c r="E423" s="13" t="s">
        <v>12</v>
      </c>
      <c r="F423" s="13" t="s">
        <v>24</v>
      </c>
      <c r="G423" s="13" t="s">
        <v>25</v>
      </c>
      <c r="H423" s="14">
        <v>37101.279999999999</v>
      </c>
      <c r="I423" s="13">
        <v>10</v>
      </c>
      <c r="J423" s="15">
        <v>7469.11</v>
      </c>
      <c r="K423" s="14" t="str" cm="1">
        <f t="array" ref="K423">_xlfn.IFS(Table43[[#This Row],[Sales]]&gt;40000,"Best Sales",Table43[[#This Row],[Sales]]&gt;20000,"Average Sales",Table43[[#This Row],[Sales]]&gt;0,"Poor Sales")</f>
        <v>Average Sales</v>
      </c>
      <c r="L423" s="23">
        <f>YEAR(Table43[[#This Row],[Date]])</f>
        <v>2023</v>
      </c>
      <c r="M423" s="23">
        <f>MONTH(Table43[[#This Row],[Date]])</f>
        <v>3</v>
      </c>
      <c r="N423" s="25">
        <f>DAY(Table43[[#This Row],[Date]])</f>
        <v>2</v>
      </c>
      <c r="O423" s="25" t="str">
        <f>TEXT(DATE(2023,Table43[[#This Row],[Month]],1),"mmm")</f>
        <v>Mar</v>
      </c>
      <c r="P423" s="25"/>
      <c r="Q423" s="25"/>
    </row>
    <row r="424" spans="1:17" x14ac:dyDescent="0.3">
      <c r="A424" s="6">
        <v>423</v>
      </c>
      <c r="B424" s="7">
        <v>44979</v>
      </c>
      <c r="C424" s="8" t="s">
        <v>37</v>
      </c>
      <c r="D424" s="8" t="s">
        <v>27</v>
      </c>
      <c r="E424" s="8" t="s">
        <v>17</v>
      </c>
      <c r="F424" s="8" t="s">
        <v>31</v>
      </c>
      <c r="G424" s="8" t="s">
        <v>33</v>
      </c>
      <c r="H424" s="9">
        <v>42041.48</v>
      </c>
      <c r="I424" s="8">
        <v>3</v>
      </c>
      <c r="J424" s="10">
        <v>3319.44</v>
      </c>
      <c r="K424" s="14" t="str" cm="1">
        <f t="array" ref="K424">_xlfn.IFS(Table43[[#This Row],[Sales]]&gt;40000,"Best Sales",Table43[[#This Row],[Sales]]&gt;20000,"Average Sales",Table43[[#This Row],[Sales]]&gt;0,"Poor Sales")</f>
        <v>Best Sales</v>
      </c>
      <c r="L424" s="23">
        <f>YEAR(Table43[[#This Row],[Date]])</f>
        <v>2023</v>
      </c>
      <c r="M424" s="23">
        <f>MONTH(Table43[[#This Row],[Date]])</f>
        <v>2</v>
      </c>
      <c r="N424" s="25">
        <f>DAY(Table43[[#This Row],[Date]])</f>
        <v>22</v>
      </c>
      <c r="O424" s="25" t="str">
        <f>TEXT(DATE(2023,Table43[[#This Row],[Month]],1),"mmm")</f>
        <v>Feb</v>
      </c>
      <c r="P424" s="25"/>
      <c r="Q424" s="25"/>
    </row>
    <row r="425" spans="1:17" x14ac:dyDescent="0.3">
      <c r="A425" s="11">
        <v>424</v>
      </c>
      <c r="B425" s="12">
        <v>45179</v>
      </c>
      <c r="C425" s="13" t="s">
        <v>18</v>
      </c>
      <c r="D425" s="13" t="s">
        <v>19</v>
      </c>
      <c r="E425" s="13" t="s">
        <v>12</v>
      </c>
      <c r="F425" s="13" t="s">
        <v>24</v>
      </c>
      <c r="G425" s="13" t="s">
        <v>28</v>
      </c>
      <c r="H425" s="14">
        <v>20704.54</v>
      </c>
      <c r="I425" s="13">
        <v>3</v>
      </c>
      <c r="J425" s="15">
        <v>2503.7199999999998</v>
      </c>
      <c r="K425" s="14" t="str" cm="1">
        <f t="array" ref="K425">_xlfn.IFS(Table43[[#This Row],[Sales]]&gt;40000,"Best Sales",Table43[[#This Row],[Sales]]&gt;20000,"Average Sales",Table43[[#This Row],[Sales]]&gt;0,"Poor Sales")</f>
        <v>Average Sales</v>
      </c>
      <c r="L425" s="23">
        <f>YEAR(Table43[[#This Row],[Date]])</f>
        <v>2023</v>
      </c>
      <c r="M425" s="23">
        <f>MONTH(Table43[[#This Row],[Date]])</f>
        <v>9</v>
      </c>
      <c r="N425" s="25">
        <f>DAY(Table43[[#This Row],[Date]])</f>
        <v>10</v>
      </c>
      <c r="O425" s="25" t="str">
        <f>TEXT(DATE(2023,Table43[[#This Row],[Month]],1),"mmm")</f>
        <v>Sep</v>
      </c>
      <c r="P425" s="25"/>
      <c r="Q425" s="25"/>
    </row>
    <row r="426" spans="1:17" x14ac:dyDescent="0.3">
      <c r="A426" s="6">
        <v>425</v>
      </c>
      <c r="B426" s="7">
        <v>45045</v>
      </c>
      <c r="C426" s="8" t="s">
        <v>30</v>
      </c>
      <c r="D426" s="8" t="s">
        <v>16</v>
      </c>
      <c r="E426" s="8" t="s">
        <v>17</v>
      </c>
      <c r="F426" s="8" t="s">
        <v>24</v>
      </c>
      <c r="G426" s="8" t="s">
        <v>25</v>
      </c>
      <c r="H426" s="9">
        <v>22455.3</v>
      </c>
      <c r="I426" s="8">
        <v>10</v>
      </c>
      <c r="J426" s="10">
        <v>3904.62</v>
      </c>
      <c r="K426" s="14" t="str" cm="1">
        <f t="array" ref="K426">_xlfn.IFS(Table43[[#This Row],[Sales]]&gt;40000,"Best Sales",Table43[[#This Row],[Sales]]&gt;20000,"Average Sales",Table43[[#This Row],[Sales]]&gt;0,"Poor Sales")</f>
        <v>Average Sales</v>
      </c>
      <c r="L426" s="23">
        <f>YEAR(Table43[[#This Row],[Date]])</f>
        <v>2023</v>
      </c>
      <c r="M426" s="23">
        <f>MONTH(Table43[[#This Row],[Date]])</f>
        <v>4</v>
      </c>
      <c r="N426" s="25">
        <f>DAY(Table43[[#This Row],[Date]])</f>
        <v>29</v>
      </c>
      <c r="O426" s="25" t="str">
        <f>TEXT(DATE(2023,Table43[[#This Row],[Month]],1),"mmm")</f>
        <v>Apr</v>
      </c>
      <c r="P426" s="25"/>
      <c r="Q426" s="25"/>
    </row>
    <row r="427" spans="1:17" x14ac:dyDescent="0.3">
      <c r="A427" s="11">
        <v>426</v>
      </c>
      <c r="B427" s="12">
        <v>44991</v>
      </c>
      <c r="C427" s="13" t="s">
        <v>35</v>
      </c>
      <c r="D427" s="13" t="s">
        <v>36</v>
      </c>
      <c r="E427" s="13" t="s">
        <v>20</v>
      </c>
      <c r="F427" s="13" t="s">
        <v>31</v>
      </c>
      <c r="G427" s="13" t="s">
        <v>33</v>
      </c>
      <c r="H427" s="14">
        <v>6038.12</v>
      </c>
      <c r="I427" s="13">
        <v>3</v>
      </c>
      <c r="J427" s="15">
        <v>525.65</v>
      </c>
      <c r="K427" s="14" t="str" cm="1">
        <f t="array" ref="K427">_xlfn.IFS(Table43[[#This Row],[Sales]]&gt;40000,"Best Sales",Table43[[#This Row],[Sales]]&gt;20000,"Average Sales",Table43[[#This Row],[Sales]]&gt;0,"Poor Sales")</f>
        <v>Poor Sales</v>
      </c>
      <c r="L427" s="23">
        <f>YEAR(Table43[[#This Row],[Date]])</f>
        <v>2023</v>
      </c>
      <c r="M427" s="23">
        <f>MONTH(Table43[[#This Row],[Date]])</f>
        <v>3</v>
      </c>
      <c r="N427" s="25">
        <f>DAY(Table43[[#This Row],[Date]])</f>
        <v>6</v>
      </c>
      <c r="O427" s="25" t="str">
        <f>TEXT(DATE(2023,Table43[[#This Row],[Month]],1),"mmm")</f>
        <v>Mar</v>
      </c>
      <c r="P427" s="25"/>
      <c r="Q427" s="25"/>
    </row>
    <row r="428" spans="1:17" x14ac:dyDescent="0.3">
      <c r="A428" s="6">
        <v>427</v>
      </c>
      <c r="B428" s="7">
        <v>45058</v>
      </c>
      <c r="C428" s="8" t="s">
        <v>35</v>
      </c>
      <c r="D428" s="8" t="s">
        <v>36</v>
      </c>
      <c r="E428" s="8" t="s">
        <v>20</v>
      </c>
      <c r="F428" s="8" t="s">
        <v>31</v>
      </c>
      <c r="G428" s="8" t="s">
        <v>33</v>
      </c>
      <c r="H428" s="9">
        <v>48326.83</v>
      </c>
      <c r="I428" s="8">
        <v>4</v>
      </c>
      <c r="J428" s="10">
        <v>3436.06</v>
      </c>
      <c r="K428" s="14" t="str" cm="1">
        <f t="array" ref="K428">_xlfn.IFS(Table43[[#This Row],[Sales]]&gt;40000,"Best Sales",Table43[[#This Row],[Sales]]&gt;20000,"Average Sales",Table43[[#This Row],[Sales]]&gt;0,"Poor Sales")</f>
        <v>Best Sales</v>
      </c>
      <c r="L428" s="23">
        <f>YEAR(Table43[[#This Row],[Date]])</f>
        <v>2023</v>
      </c>
      <c r="M428" s="23">
        <f>MONTH(Table43[[#This Row],[Date]])</f>
        <v>5</v>
      </c>
      <c r="N428" s="25">
        <f>DAY(Table43[[#This Row],[Date]])</f>
        <v>12</v>
      </c>
      <c r="O428" s="25" t="str">
        <f>TEXT(DATE(2023,Table43[[#This Row],[Month]],1),"mmm")</f>
        <v>May</v>
      </c>
      <c r="P428" s="25"/>
      <c r="Q428" s="25"/>
    </row>
    <row r="429" spans="1:17" x14ac:dyDescent="0.3">
      <c r="A429" s="11">
        <v>428</v>
      </c>
      <c r="B429" s="12">
        <v>45284</v>
      </c>
      <c r="C429" s="13" t="s">
        <v>30</v>
      </c>
      <c r="D429" s="13" t="s">
        <v>16</v>
      </c>
      <c r="E429" s="13" t="s">
        <v>12</v>
      </c>
      <c r="F429" s="13" t="s">
        <v>24</v>
      </c>
      <c r="G429" s="13" t="s">
        <v>25</v>
      </c>
      <c r="H429" s="14">
        <v>9672.61</v>
      </c>
      <c r="I429" s="13">
        <v>2</v>
      </c>
      <c r="J429" s="15">
        <v>984.08</v>
      </c>
      <c r="K429" s="14" t="str" cm="1">
        <f t="array" ref="K429">_xlfn.IFS(Table43[[#This Row],[Sales]]&gt;40000,"Best Sales",Table43[[#This Row],[Sales]]&gt;20000,"Average Sales",Table43[[#This Row],[Sales]]&gt;0,"Poor Sales")</f>
        <v>Poor Sales</v>
      </c>
      <c r="L429" s="23">
        <f>YEAR(Table43[[#This Row],[Date]])</f>
        <v>2023</v>
      </c>
      <c r="M429" s="23">
        <f>MONTH(Table43[[#This Row],[Date]])</f>
        <v>12</v>
      </c>
      <c r="N429" s="25">
        <f>DAY(Table43[[#This Row],[Date]])</f>
        <v>24</v>
      </c>
      <c r="O429" s="25" t="str">
        <f>TEXT(DATE(2023,Table43[[#This Row],[Month]],1),"mmm")</f>
        <v>Dec</v>
      </c>
      <c r="P429" s="25"/>
      <c r="Q429" s="25"/>
    </row>
    <row r="430" spans="1:17" x14ac:dyDescent="0.3">
      <c r="A430" s="6">
        <v>429</v>
      </c>
      <c r="B430" s="7">
        <v>45247</v>
      </c>
      <c r="C430" s="8" t="s">
        <v>10</v>
      </c>
      <c r="D430" s="8" t="s">
        <v>11</v>
      </c>
      <c r="E430" s="8" t="s">
        <v>17</v>
      </c>
      <c r="F430" s="8" t="s">
        <v>31</v>
      </c>
      <c r="G430" s="8" t="s">
        <v>39</v>
      </c>
      <c r="H430" s="9">
        <v>19904.45</v>
      </c>
      <c r="I430" s="8">
        <v>9</v>
      </c>
      <c r="J430" s="10">
        <v>5096.17</v>
      </c>
      <c r="K430" s="14" t="str" cm="1">
        <f t="array" ref="K430">_xlfn.IFS(Table43[[#This Row],[Sales]]&gt;40000,"Best Sales",Table43[[#This Row],[Sales]]&gt;20000,"Average Sales",Table43[[#This Row],[Sales]]&gt;0,"Poor Sales")</f>
        <v>Poor Sales</v>
      </c>
      <c r="L430" s="23">
        <f>YEAR(Table43[[#This Row],[Date]])</f>
        <v>2023</v>
      </c>
      <c r="M430" s="23">
        <f>MONTH(Table43[[#This Row],[Date]])</f>
        <v>11</v>
      </c>
      <c r="N430" s="25">
        <f>DAY(Table43[[#This Row],[Date]])</f>
        <v>17</v>
      </c>
      <c r="O430" s="25" t="str">
        <f>TEXT(DATE(2023,Table43[[#This Row],[Month]],1),"mmm")</f>
        <v>Nov</v>
      </c>
      <c r="P430" s="25"/>
      <c r="Q430" s="25"/>
    </row>
    <row r="431" spans="1:17" x14ac:dyDescent="0.3">
      <c r="A431" s="11">
        <v>430</v>
      </c>
      <c r="B431" s="12">
        <v>45076</v>
      </c>
      <c r="C431" s="13" t="s">
        <v>15</v>
      </c>
      <c r="D431" s="13" t="s">
        <v>16</v>
      </c>
      <c r="E431" s="13" t="s">
        <v>12</v>
      </c>
      <c r="F431" s="13" t="s">
        <v>31</v>
      </c>
      <c r="G431" s="13" t="s">
        <v>39</v>
      </c>
      <c r="H431" s="14">
        <v>16944.29</v>
      </c>
      <c r="I431" s="13">
        <v>4</v>
      </c>
      <c r="J431" s="15">
        <v>3322.86</v>
      </c>
      <c r="K431" s="14" t="str" cm="1">
        <f t="array" ref="K431">_xlfn.IFS(Table43[[#This Row],[Sales]]&gt;40000,"Best Sales",Table43[[#This Row],[Sales]]&gt;20000,"Average Sales",Table43[[#This Row],[Sales]]&gt;0,"Poor Sales")</f>
        <v>Poor Sales</v>
      </c>
      <c r="L431" s="23">
        <f>YEAR(Table43[[#This Row],[Date]])</f>
        <v>2023</v>
      </c>
      <c r="M431" s="23">
        <f>MONTH(Table43[[#This Row],[Date]])</f>
        <v>5</v>
      </c>
      <c r="N431" s="25">
        <f>DAY(Table43[[#This Row],[Date]])</f>
        <v>30</v>
      </c>
      <c r="O431" s="25" t="str">
        <f>TEXT(DATE(2023,Table43[[#This Row],[Month]],1),"mmm")</f>
        <v>May</v>
      </c>
      <c r="P431" s="25"/>
      <c r="Q431" s="25"/>
    </row>
    <row r="432" spans="1:17" x14ac:dyDescent="0.3">
      <c r="A432" s="6">
        <v>431</v>
      </c>
      <c r="B432" s="7">
        <v>44987</v>
      </c>
      <c r="C432" s="8" t="s">
        <v>26</v>
      </c>
      <c r="D432" s="8" t="s">
        <v>27</v>
      </c>
      <c r="E432" s="8" t="s">
        <v>17</v>
      </c>
      <c r="F432" s="8" t="s">
        <v>31</v>
      </c>
      <c r="G432" s="8" t="s">
        <v>33</v>
      </c>
      <c r="H432" s="9">
        <v>26079.08</v>
      </c>
      <c r="I432" s="8">
        <v>4</v>
      </c>
      <c r="J432" s="10">
        <v>4882.3900000000003</v>
      </c>
      <c r="K432" s="14" t="str" cm="1">
        <f t="array" ref="K432">_xlfn.IFS(Table43[[#This Row],[Sales]]&gt;40000,"Best Sales",Table43[[#This Row],[Sales]]&gt;20000,"Average Sales",Table43[[#This Row],[Sales]]&gt;0,"Poor Sales")</f>
        <v>Average Sales</v>
      </c>
      <c r="L432" s="23">
        <f>YEAR(Table43[[#This Row],[Date]])</f>
        <v>2023</v>
      </c>
      <c r="M432" s="23">
        <f>MONTH(Table43[[#This Row],[Date]])</f>
        <v>3</v>
      </c>
      <c r="N432" s="25">
        <f>DAY(Table43[[#This Row],[Date]])</f>
        <v>2</v>
      </c>
      <c r="O432" s="25" t="str">
        <f>TEXT(DATE(2023,Table43[[#This Row],[Month]],1),"mmm")</f>
        <v>Mar</v>
      </c>
      <c r="P432" s="25"/>
      <c r="Q432" s="25"/>
    </row>
    <row r="433" spans="1:17" x14ac:dyDescent="0.3">
      <c r="A433" s="11">
        <v>432</v>
      </c>
      <c r="B433" s="12">
        <v>45119</v>
      </c>
      <c r="C433" s="13" t="s">
        <v>38</v>
      </c>
      <c r="D433" s="13" t="s">
        <v>27</v>
      </c>
      <c r="E433" s="13" t="s">
        <v>20</v>
      </c>
      <c r="F433" s="13" t="s">
        <v>13</v>
      </c>
      <c r="G433" s="13" t="s">
        <v>21</v>
      </c>
      <c r="H433" s="14">
        <v>7671.29</v>
      </c>
      <c r="I433" s="13">
        <v>2</v>
      </c>
      <c r="J433" s="15">
        <v>1004.67</v>
      </c>
      <c r="K433" s="14" t="str" cm="1">
        <f t="array" ref="K433">_xlfn.IFS(Table43[[#This Row],[Sales]]&gt;40000,"Best Sales",Table43[[#This Row],[Sales]]&gt;20000,"Average Sales",Table43[[#This Row],[Sales]]&gt;0,"Poor Sales")</f>
        <v>Poor Sales</v>
      </c>
      <c r="L433" s="23">
        <f>YEAR(Table43[[#This Row],[Date]])</f>
        <v>2023</v>
      </c>
      <c r="M433" s="23">
        <f>MONTH(Table43[[#This Row],[Date]])</f>
        <v>7</v>
      </c>
      <c r="N433" s="25">
        <f>DAY(Table43[[#This Row],[Date]])</f>
        <v>12</v>
      </c>
      <c r="O433" s="25" t="str">
        <f>TEXT(DATE(2023,Table43[[#This Row],[Month]],1),"mmm")</f>
        <v>Jul</v>
      </c>
      <c r="P433" s="25"/>
      <c r="Q433" s="25"/>
    </row>
    <row r="434" spans="1:17" x14ac:dyDescent="0.3">
      <c r="A434" s="6">
        <v>433</v>
      </c>
      <c r="B434" s="7">
        <v>45015</v>
      </c>
      <c r="C434" s="8" t="s">
        <v>38</v>
      </c>
      <c r="D434" s="8" t="s">
        <v>27</v>
      </c>
      <c r="E434" s="8" t="s">
        <v>20</v>
      </c>
      <c r="F434" s="8" t="s">
        <v>13</v>
      </c>
      <c r="G434" s="8" t="s">
        <v>34</v>
      </c>
      <c r="H434" s="9">
        <v>1166.95</v>
      </c>
      <c r="I434" s="8">
        <v>8</v>
      </c>
      <c r="J434" s="10">
        <v>238.76</v>
      </c>
      <c r="K434" s="14" t="str" cm="1">
        <f t="array" ref="K434">_xlfn.IFS(Table43[[#This Row],[Sales]]&gt;40000,"Best Sales",Table43[[#This Row],[Sales]]&gt;20000,"Average Sales",Table43[[#This Row],[Sales]]&gt;0,"Poor Sales")</f>
        <v>Poor Sales</v>
      </c>
      <c r="L434" s="23">
        <f>YEAR(Table43[[#This Row],[Date]])</f>
        <v>2023</v>
      </c>
      <c r="M434" s="23">
        <f>MONTH(Table43[[#This Row],[Date]])</f>
        <v>3</v>
      </c>
      <c r="N434" s="25">
        <f>DAY(Table43[[#This Row],[Date]])</f>
        <v>30</v>
      </c>
      <c r="O434" s="25" t="str">
        <f>TEXT(DATE(2023,Table43[[#This Row],[Month]],1),"mmm")</f>
        <v>Mar</v>
      </c>
      <c r="P434" s="25"/>
      <c r="Q434" s="25"/>
    </row>
    <row r="435" spans="1:17" x14ac:dyDescent="0.3">
      <c r="A435" s="11">
        <v>434</v>
      </c>
      <c r="B435" s="12">
        <v>45026</v>
      </c>
      <c r="C435" s="13" t="s">
        <v>10</v>
      </c>
      <c r="D435" s="13" t="s">
        <v>11</v>
      </c>
      <c r="E435" s="13" t="s">
        <v>12</v>
      </c>
      <c r="F435" s="13" t="s">
        <v>24</v>
      </c>
      <c r="G435" s="13" t="s">
        <v>29</v>
      </c>
      <c r="H435" s="14">
        <v>35047.11</v>
      </c>
      <c r="I435" s="13">
        <v>5</v>
      </c>
      <c r="J435" s="15">
        <v>8499.74</v>
      </c>
      <c r="K435" s="14" t="str" cm="1">
        <f t="array" ref="K435">_xlfn.IFS(Table43[[#This Row],[Sales]]&gt;40000,"Best Sales",Table43[[#This Row],[Sales]]&gt;20000,"Average Sales",Table43[[#This Row],[Sales]]&gt;0,"Poor Sales")</f>
        <v>Average Sales</v>
      </c>
      <c r="L435" s="23">
        <f>YEAR(Table43[[#This Row],[Date]])</f>
        <v>2023</v>
      </c>
      <c r="M435" s="23">
        <f>MONTH(Table43[[#This Row],[Date]])</f>
        <v>4</v>
      </c>
      <c r="N435" s="25">
        <f>DAY(Table43[[#This Row],[Date]])</f>
        <v>10</v>
      </c>
      <c r="O435" s="25" t="str">
        <f>TEXT(DATE(2023,Table43[[#This Row],[Month]],1),"mmm")</f>
        <v>Apr</v>
      </c>
      <c r="P435" s="25"/>
      <c r="Q435" s="25"/>
    </row>
    <row r="436" spans="1:17" x14ac:dyDescent="0.3">
      <c r="A436" s="6">
        <v>435</v>
      </c>
      <c r="B436" s="7">
        <v>45076</v>
      </c>
      <c r="C436" s="8" t="s">
        <v>30</v>
      </c>
      <c r="D436" s="8" t="s">
        <v>16</v>
      </c>
      <c r="E436" s="8" t="s">
        <v>17</v>
      </c>
      <c r="F436" s="8" t="s">
        <v>24</v>
      </c>
      <c r="G436" s="8" t="s">
        <v>25</v>
      </c>
      <c r="H436" s="9">
        <v>40670.42</v>
      </c>
      <c r="I436" s="8">
        <v>2</v>
      </c>
      <c r="J436" s="10">
        <v>2326.37</v>
      </c>
      <c r="K436" s="14" t="str" cm="1">
        <f t="array" ref="K436">_xlfn.IFS(Table43[[#This Row],[Sales]]&gt;40000,"Best Sales",Table43[[#This Row],[Sales]]&gt;20000,"Average Sales",Table43[[#This Row],[Sales]]&gt;0,"Poor Sales")</f>
        <v>Best Sales</v>
      </c>
      <c r="L436" s="23">
        <f>YEAR(Table43[[#This Row],[Date]])</f>
        <v>2023</v>
      </c>
      <c r="M436" s="23">
        <f>MONTH(Table43[[#This Row],[Date]])</f>
        <v>5</v>
      </c>
      <c r="N436" s="25">
        <f>DAY(Table43[[#This Row],[Date]])</f>
        <v>30</v>
      </c>
      <c r="O436" s="25" t="str">
        <f>TEXT(DATE(2023,Table43[[#This Row],[Month]],1),"mmm")</f>
        <v>May</v>
      </c>
      <c r="P436" s="25"/>
      <c r="Q436" s="25"/>
    </row>
    <row r="437" spans="1:17" x14ac:dyDescent="0.3">
      <c r="A437" s="11">
        <v>436</v>
      </c>
      <c r="B437" s="12">
        <v>45269</v>
      </c>
      <c r="C437" s="13" t="s">
        <v>22</v>
      </c>
      <c r="D437" s="13" t="s">
        <v>22</v>
      </c>
      <c r="E437" s="13" t="s">
        <v>12</v>
      </c>
      <c r="F437" s="13" t="s">
        <v>24</v>
      </c>
      <c r="G437" s="13" t="s">
        <v>29</v>
      </c>
      <c r="H437" s="14">
        <v>24434.99</v>
      </c>
      <c r="I437" s="13">
        <v>6</v>
      </c>
      <c r="J437" s="15">
        <v>4352.29</v>
      </c>
      <c r="K437" s="14" t="str" cm="1">
        <f t="array" ref="K437">_xlfn.IFS(Table43[[#This Row],[Sales]]&gt;40000,"Best Sales",Table43[[#This Row],[Sales]]&gt;20000,"Average Sales",Table43[[#This Row],[Sales]]&gt;0,"Poor Sales")</f>
        <v>Average Sales</v>
      </c>
      <c r="L437" s="23">
        <f>YEAR(Table43[[#This Row],[Date]])</f>
        <v>2023</v>
      </c>
      <c r="M437" s="23">
        <f>MONTH(Table43[[#This Row],[Date]])</f>
        <v>12</v>
      </c>
      <c r="N437" s="25">
        <f>DAY(Table43[[#This Row],[Date]])</f>
        <v>9</v>
      </c>
      <c r="O437" s="25" t="str">
        <f>TEXT(DATE(2023,Table43[[#This Row],[Month]],1),"mmm")</f>
        <v>Dec</v>
      </c>
      <c r="P437" s="25"/>
      <c r="Q437" s="25"/>
    </row>
    <row r="438" spans="1:17" x14ac:dyDescent="0.3">
      <c r="A438" s="6">
        <v>437</v>
      </c>
      <c r="B438" s="7">
        <v>45292</v>
      </c>
      <c r="C438" s="8" t="s">
        <v>35</v>
      </c>
      <c r="D438" s="8" t="s">
        <v>36</v>
      </c>
      <c r="E438" s="8" t="s">
        <v>17</v>
      </c>
      <c r="F438" s="8" t="s">
        <v>24</v>
      </c>
      <c r="G438" s="8" t="s">
        <v>25</v>
      </c>
      <c r="H438" s="9">
        <v>46015.08</v>
      </c>
      <c r="I438" s="8">
        <v>6</v>
      </c>
      <c r="J438" s="10">
        <v>11461.24</v>
      </c>
      <c r="K438" s="14" t="str" cm="1">
        <f t="array" ref="K438">_xlfn.IFS(Table43[[#This Row],[Sales]]&gt;40000,"Best Sales",Table43[[#This Row],[Sales]]&gt;20000,"Average Sales",Table43[[#This Row],[Sales]]&gt;0,"Poor Sales")</f>
        <v>Best Sales</v>
      </c>
      <c r="L438" s="23">
        <f>YEAR(Table43[[#This Row],[Date]])</f>
        <v>2024</v>
      </c>
      <c r="M438" s="23">
        <f>MONTH(Table43[[#This Row],[Date]])</f>
        <v>1</v>
      </c>
      <c r="N438" s="25">
        <f>DAY(Table43[[#This Row],[Date]])</f>
        <v>1</v>
      </c>
      <c r="O438" s="25" t="str">
        <f>TEXT(DATE(2023,Table43[[#This Row],[Month]],1),"mmm")</f>
        <v>Jan</v>
      </c>
      <c r="P438" s="25"/>
      <c r="Q438" s="25"/>
    </row>
    <row r="439" spans="1:17" x14ac:dyDescent="0.3">
      <c r="A439" s="11">
        <v>438</v>
      </c>
      <c r="B439" s="12">
        <v>45219</v>
      </c>
      <c r="C439" s="13" t="s">
        <v>35</v>
      </c>
      <c r="D439" s="13" t="s">
        <v>36</v>
      </c>
      <c r="E439" s="13" t="s">
        <v>20</v>
      </c>
      <c r="F439" s="13" t="s">
        <v>31</v>
      </c>
      <c r="G439" s="13" t="s">
        <v>33</v>
      </c>
      <c r="H439" s="14">
        <v>1292.73</v>
      </c>
      <c r="I439" s="13">
        <v>7</v>
      </c>
      <c r="J439" s="15">
        <v>383.69</v>
      </c>
      <c r="K439" s="14" t="str" cm="1">
        <f t="array" ref="K439">_xlfn.IFS(Table43[[#This Row],[Sales]]&gt;40000,"Best Sales",Table43[[#This Row],[Sales]]&gt;20000,"Average Sales",Table43[[#This Row],[Sales]]&gt;0,"Poor Sales")</f>
        <v>Poor Sales</v>
      </c>
      <c r="L439" s="23">
        <f>YEAR(Table43[[#This Row],[Date]])</f>
        <v>2023</v>
      </c>
      <c r="M439" s="23">
        <f>MONTH(Table43[[#This Row],[Date]])</f>
        <v>10</v>
      </c>
      <c r="N439" s="25">
        <f>DAY(Table43[[#This Row],[Date]])</f>
        <v>20</v>
      </c>
      <c r="O439" s="25" t="str">
        <f>TEXT(DATE(2023,Table43[[#This Row],[Month]],1),"mmm")</f>
        <v>Oct</v>
      </c>
      <c r="P439" s="25"/>
      <c r="Q439" s="25"/>
    </row>
    <row r="440" spans="1:17" x14ac:dyDescent="0.3">
      <c r="A440" s="6">
        <v>439</v>
      </c>
      <c r="B440" s="7">
        <v>45081</v>
      </c>
      <c r="C440" s="8" t="s">
        <v>30</v>
      </c>
      <c r="D440" s="8" t="s">
        <v>16</v>
      </c>
      <c r="E440" s="8" t="s">
        <v>20</v>
      </c>
      <c r="F440" s="8" t="s">
        <v>24</v>
      </c>
      <c r="G440" s="8" t="s">
        <v>29</v>
      </c>
      <c r="H440" s="9">
        <v>9874.76</v>
      </c>
      <c r="I440" s="8">
        <v>3</v>
      </c>
      <c r="J440" s="10">
        <v>1358.17</v>
      </c>
      <c r="K440" s="14" t="str" cm="1">
        <f t="array" ref="K440">_xlfn.IFS(Table43[[#This Row],[Sales]]&gt;40000,"Best Sales",Table43[[#This Row],[Sales]]&gt;20000,"Average Sales",Table43[[#This Row],[Sales]]&gt;0,"Poor Sales")</f>
        <v>Poor Sales</v>
      </c>
      <c r="L440" s="23">
        <f>YEAR(Table43[[#This Row],[Date]])</f>
        <v>2023</v>
      </c>
      <c r="M440" s="23">
        <f>MONTH(Table43[[#This Row],[Date]])</f>
        <v>6</v>
      </c>
      <c r="N440" s="25">
        <f>DAY(Table43[[#This Row],[Date]])</f>
        <v>4</v>
      </c>
      <c r="O440" s="25" t="str">
        <f>TEXT(DATE(2023,Table43[[#This Row],[Month]],1),"mmm")</f>
        <v>Jun</v>
      </c>
      <c r="P440" s="25"/>
      <c r="Q440" s="25"/>
    </row>
    <row r="441" spans="1:17" x14ac:dyDescent="0.3">
      <c r="A441" s="11">
        <v>440</v>
      </c>
      <c r="B441" s="12">
        <v>45137</v>
      </c>
      <c r="C441" s="13" t="s">
        <v>22</v>
      </c>
      <c r="D441" s="13" t="s">
        <v>22</v>
      </c>
      <c r="E441" s="13" t="s">
        <v>12</v>
      </c>
      <c r="F441" s="13" t="s">
        <v>24</v>
      </c>
      <c r="G441" s="13" t="s">
        <v>29</v>
      </c>
      <c r="H441" s="14">
        <v>15146.54</v>
      </c>
      <c r="I441" s="13">
        <v>2</v>
      </c>
      <c r="J441" s="15">
        <v>2336.02</v>
      </c>
      <c r="K441" s="14" t="str" cm="1">
        <f t="array" ref="K441">_xlfn.IFS(Table43[[#This Row],[Sales]]&gt;40000,"Best Sales",Table43[[#This Row],[Sales]]&gt;20000,"Average Sales",Table43[[#This Row],[Sales]]&gt;0,"Poor Sales")</f>
        <v>Poor Sales</v>
      </c>
      <c r="L441" s="23">
        <f>YEAR(Table43[[#This Row],[Date]])</f>
        <v>2023</v>
      </c>
      <c r="M441" s="23">
        <f>MONTH(Table43[[#This Row],[Date]])</f>
        <v>7</v>
      </c>
      <c r="N441" s="25">
        <f>DAY(Table43[[#This Row],[Date]])</f>
        <v>30</v>
      </c>
      <c r="O441" s="25" t="str">
        <f>TEXT(DATE(2023,Table43[[#This Row],[Month]],1),"mmm")</f>
        <v>Jul</v>
      </c>
      <c r="P441" s="25"/>
      <c r="Q441" s="25"/>
    </row>
    <row r="442" spans="1:17" x14ac:dyDescent="0.3">
      <c r="A442" s="6">
        <v>441</v>
      </c>
      <c r="B442" s="7">
        <v>44959</v>
      </c>
      <c r="C442" s="8" t="s">
        <v>38</v>
      </c>
      <c r="D442" s="8" t="s">
        <v>27</v>
      </c>
      <c r="E442" s="8" t="s">
        <v>17</v>
      </c>
      <c r="F442" s="8" t="s">
        <v>31</v>
      </c>
      <c r="G442" s="8" t="s">
        <v>32</v>
      </c>
      <c r="H442" s="9">
        <v>34618.480000000003</v>
      </c>
      <c r="I442" s="8">
        <v>3</v>
      </c>
      <c r="J442" s="10">
        <v>5814.36</v>
      </c>
      <c r="K442" s="14" t="str" cm="1">
        <f t="array" ref="K442">_xlfn.IFS(Table43[[#This Row],[Sales]]&gt;40000,"Best Sales",Table43[[#This Row],[Sales]]&gt;20000,"Average Sales",Table43[[#This Row],[Sales]]&gt;0,"Poor Sales")</f>
        <v>Average Sales</v>
      </c>
      <c r="L442" s="23">
        <f>YEAR(Table43[[#This Row],[Date]])</f>
        <v>2023</v>
      </c>
      <c r="M442" s="23">
        <f>MONTH(Table43[[#This Row],[Date]])</f>
        <v>2</v>
      </c>
      <c r="N442" s="25">
        <f>DAY(Table43[[#This Row],[Date]])</f>
        <v>2</v>
      </c>
      <c r="O442" s="25" t="str">
        <f>TEXT(DATE(2023,Table43[[#This Row],[Month]],1),"mmm")</f>
        <v>Feb</v>
      </c>
      <c r="P442" s="25"/>
      <c r="Q442" s="25"/>
    </row>
    <row r="443" spans="1:17" x14ac:dyDescent="0.3">
      <c r="A443" s="11">
        <v>442</v>
      </c>
      <c r="B443" s="12">
        <v>45167</v>
      </c>
      <c r="C443" s="13" t="s">
        <v>22</v>
      </c>
      <c r="D443" s="13" t="s">
        <v>22</v>
      </c>
      <c r="E443" s="13" t="s">
        <v>12</v>
      </c>
      <c r="F443" s="13" t="s">
        <v>31</v>
      </c>
      <c r="G443" s="13" t="s">
        <v>39</v>
      </c>
      <c r="H443" s="14">
        <v>46015.64</v>
      </c>
      <c r="I443" s="13">
        <v>2</v>
      </c>
      <c r="J443" s="15">
        <v>6821.68</v>
      </c>
      <c r="K443" s="14" t="str" cm="1">
        <f t="array" ref="K443">_xlfn.IFS(Table43[[#This Row],[Sales]]&gt;40000,"Best Sales",Table43[[#This Row],[Sales]]&gt;20000,"Average Sales",Table43[[#This Row],[Sales]]&gt;0,"Poor Sales")</f>
        <v>Best Sales</v>
      </c>
      <c r="L443" s="23">
        <f>YEAR(Table43[[#This Row],[Date]])</f>
        <v>2023</v>
      </c>
      <c r="M443" s="23">
        <f>MONTH(Table43[[#This Row],[Date]])</f>
        <v>8</v>
      </c>
      <c r="N443" s="25">
        <f>DAY(Table43[[#This Row],[Date]])</f>
        <v>29</v>
      </c>
      <c r="O443" s="25" t="str">
        <f>TEXT(DATE(2023,Table43[[#This Row],[Month]],1),"mmm")</f>
        <v>Aug</v>
      </c>
      <c r="P443" s="25"/>
      <c r="Q443" s="25"/>
    </row>
    <row r="444" spans="1:17" x14ac:dyDescent="0.3">
      <c r="A444" s="6">
        <v>443</v>
      </c>
      <c r="B444" s="7">
        <v>45056</v>
      </c>
      <c r="C444" s="8" t="s">
        <v>38</v>
      </c>
      <c r="D444" s="8" t="s">
        <v>27</v>
      </c>
      <c r="E444" s="8" t="s">
        <v>17</v>
      </c>
      <c r="F444" s="8" t="s">
        <v>24</v>
      </c>
      <c r="G444" s="8" t="s">
        <v>25</v>
      </c>
      <c r="H444" s="9">
        <v>43471.73</v>
      </c>
      <c r="I444" s="8">
        <v>4</v>
      </c>
      <c r="J444" s="10">
        <v>9929.52</v>
      </c>
      <c r="K444" s="14" t="str" cm="1">
        <f t="array" ref="K444">_xlfn.IFS(Table43[[#This Row],[Sales]]&gt;40000,"Best Sales",Table43[[#This Row],[Sales]]&gt;20000,"Average Sales",Table43[[#This Row],[Sales]]&gt;0,"Poor Sales")</f>
        <v>Best Sales</v>
      </c>
      <c r="L444" s="23">
        <f>YEAR(Table43[[#This Row],[Date]])</f>
        <v>2023</v>
      </c>
      <c r="M444" s="23">
        <f>MONTH(Table43[[#This Row],[Date]])</f>
        <v>5</v>
      </c>
      <c r="N444" s="25">
        <f>DAY(Table43[[#This Row],[Date]])</f>
        <v>10</v>
      </c>
      <c r="O444" s="25" t="str">
        <f>TEXT(DATE(2023,Table43[[#This Row],[Month]],1),"mmm")</f>
        <v>May</v>
      </c>
      <c r="P444" s="25"/>
      <c r="Q444" s="25"/>
    </row>
    <row r="445" spans="1:17" x14ac:dyDescent="0.3">
      <c r="A445" s="11">
        <v>444</v>
      </c>
      <c r="B445" s="12">
        <v>45108</v>
      </c>
      <c r="C445" s="13" t="s">
        <v>10</v>
      </c>
      <c r="D445" s="13" t="s">
        <v>11</v>
      </c>
      <c r="E445" s="13" t="s">
        <v>20</v>
      </c>
      <c r="F445" s="13" t="s">
        <v>13</v>
      </c>
      <c r="G445" s="13" t="s">
        <v>14</v>
      </c>
      <c r="H445" s="14">
        <v>27516.51</v>
      </c>
      <c r="I445" s="13">
        <v>9</v>
      </c>
      <c r="J445" s="15">
        <v>3418.86</v>
      </c>
      <c r="K445" s="14" t="str" cm="1">
        <f t="array" ref="K445">_xlfn.IFS(Table43[[#This Row],[Sales]]&gt;40000,"Best Sales",Table43[[#This Row],[Sales]]&gt;20000,"Average Sales",Table43[[#This Row],[Sales]]&gt;0,"Poor Sales")</f>
        <v>Average Sales</v>
      </c>
      <c r="L445" s="23">
        <f>YEAR(Table43[[#This Row],[Date]])</f>
        <v>2023</v>
      </c>
      <c r="M445" s="23">
        <f>MONTH(Table43[[#This Row],[Date]])</f>
        <v>7</v>
      </c>
      <c r="N445" s="25">
        <f>DAY(Table43[[#This Row],[Date]])</f>
        <v>1</v>
      </c>
      <c r="O445" s="25" t="str">
        <f>TEXT(DATE(2023,Table43[[#This Row],[Month]],1),"mmm")</f>
        <v>Jul</v>
      </c>
      <c r="P445" s="25"/>
      <c r="Q445" s="25"/>
    </row>
    <row r="446" spans="1:17" x14ac:dyDescent="0.3">
      <c r="A446" s="6">
        <v>445</v>
      </c>
      <c r="B446" s="7">
        <v>45260</v>
      </c>
      <c r="C446" s="8" t="s">
        <v>10</v>
      </c>
      <c r="D446" s="8" t="s">
        <v>11</v>
      </c>
      <c r="E446" s="8" t="s">
        <v>20</v>
      </c>
      <c r="F446" s="8" t="s">
        <v>13</v>
      </c>
      <c r="G446" s="8" t="s">
        <v>34</v>
      </c>
      <c r="H446" s="9">
        <v>48032.71</v>
      </c>
      <c r="I446" s="8">
        <v>4</v>
      </c>
      <c r="J446" s="10">
        <v>6135.71</v>
      </c>
      <c r="K446" s="14" t="str" cm="1">
        <f t="array" ref="K446">_xlfn.IFS(Table43[[#This Row],[Sales]]&gt;40000,"Best Sales",Table43[[#This Row],[Sales]]&gt;20000,"Average Sales",Table43[[#This Row],[Sales]]&gt;0,"Poor Sales")</f>
        <v>Best Sales</v>
      </c>
      <c r="L446" s="23">
        <f>YEAR(Table43[[#This Row],[Date]])</f>
        <v>2023</v>
      </c>
      <c r="M446" s="23">
        <f>MONTH(Table43[[#This Row],[Date]])</f>
        <v>11</v>
      </c>
      <c r="N446" s="25">
        <f>DAY(Table43[[#This Row],[Date]])</f>
        <v>30</v>
      </c>
      <c r="O446" s="25" t="str">
        <f>TEXT(DATE(2023,Table43[[#This Row],[Month]],1),"mmm")</f>
        <v>Nov</v>
      </c>
      <c r="P446" s="25"/>
      <c r="Q446" s="25"/>
    </row>
    <row r="447" spans="1:17" x14ac:dyDescent="0.3">
      <c r="A447" s="11">
        <v>446</v>
      </c>
      <c r="B447" s="12">
        <v>44976</v>
      </c>
      <c r="C447" s="13" t="s">
        <v>35</v>
      </c>
      <c r="D447" s="13" t="s">
        <v>36</v>
      </c>
      <c r="E447" s="13" t="s">
        <v>12</v>
      </c>
      <c r="F447" s="13" t="s">
        <v>24</v>
      </c>
      <c r="G447" s="13" t="s">
        <v>28</v>
      </c>
      <c r="H447" s="14">
        <v>7864.34</v>
      </c>
      <c r="I447" s="13">
        <v>10</v>
      </c>
      <c r="J447" s="15">
        <v>820.53</v>
      </c>
      <c r="K447" s="14" t="str" cm="1">
        <f t="array" ref="K447">_xlfn.IFS(Table43[[#This Row],[Sales]]&gt;40000,"Best Sales",Table43[[#This Row],[Sales]]&gt;20000,"Average Sales",Table43[[#This Row],[Sales]]&gt;0,"Poor Sales")</f>
        <v>Poor Sales</v>
      </c>
      <c r="L447" s="23">
        <f>YEAR(Table43[[#This Row],[Date]])</f>
        <v>2023</v>
      </c>
      <c r="M447" s="23">
        <f>MONTH(Table43[[#This Row],[Date]])</f>
        <v>2</v>
      </c>
      <c r="N447" s="25">
        <f>DAY(Table43[[#This Row],[Date]])</f>
        <v>19</v>
      </c>
      <c r="O447" s="25" t="str">
        <f>TEXT(DATE(2023,Table43[[#This Row],[Month]],1),"mmm")</f>
        <v>Feb</v>
      </c>
      <c r="P447" s="25"/>
      <c r="Q447" s="25"/>
    </row>
    <row r="448" spans="1:17" x14ac:dyDescent="0.3">
      <c r="A448" s="6">
        <v>447</v>
      </c>
      <c r="B448" s="7">
        <v>44953</v>
      </c>
      <c r="C448" s="8" t="s">
        <v>26</v>
      </c>
      <c r="D448" s="8" t="s">
        <v>27</v>
      </c>
      <c r="E448" s="8" t="s">
        <v>17</v>
      </c>
      <c r="F448" s="8" t="s">
        <v>13</v>
      </c>
      <c r="G448" s="8" t="s">
        <v>21</v>
      </c>
      <c r="H448" s="9">
        <v>27123.54</v>
      </c>
      <c r="I448" s="8">
        <v>2</v>
      </c>
      <c r="J448" s="10">
        <v>2817.45</v>
      </c>
      <c r="K448" s="14" t="str" cm="1">
        <f t="array" ref="K448">_xlfn.IFS(Table43[[#This Row],[Sales]]&gt;40000,"Best Sales",Table43[[#This Row],[Sales]]&gt;20000,"Average Sales",Table43[[#This Row],[Sales]]&gt;0,"Poor Sales")</f>
        <v>Average Sales</v>
      </c>
      <c r="L448" s="23">
        <f>YEAR(Table43[[#This Row],[Date]])</f>
        <v>2023</v>
      </c>
      <c r="M448" s="23">
        <f>MONTH(Table43[[#This Row],[Date]])</f>
        <v>1</v>
      </c>
      <c r="N448" s="25">
        <f>DAY(Table43[[#This Row],[Date]])</f>
        <v>27</v>
      </c>
      <c r="O448" s="25" t="str">
        <f>TEXT(DATE(2023,Table43[[#This Row],[Month]],1),"mmm")</f>
        <v>Jan</v>
      </c>
      <c r="P448" s="25"/>
      <c r="Q448" s="25"/>
    </row>
    <row r="449" spans="1:17" x14ac:dyDescent="0.3">
      <c r="A449" s="11">
        <v>448</v>
      </c>
      <c r="B449" s="12">
        <v>45062</v>
      </c>
      <c r="C449" s="13" t="s">
        <v>26</v>
      </c>
      <c r="D449" s="13" t="s">
        <v>27</v>
      </c>
      <c r="E449" s="13" t="s">
        <v>12</v>
      </c>
      <c r="F449" s="13" t="s">
        <v>13</v>
      </c>
      <c r="G449" s="13" t="s">
        <v>34</v>
      </c>
      <c r="H449" s="14">
        <v>24573.8</v>
      </c>
      <c r="I449" s="13">
        <v>6</v>
      </c>
      <c r="J449" s="15">
        <v>3674.62</v>
      </c>
      <c r="K449" s="14" t="str" cm="1">
        <f t="array" ref="K449">_xlfn.IFS(Table43[[#This Row],[Sales]]&gt;40000,"Best Sales",Table43[[#This Row],[Sales]]&gt;20000,"Average Sales",Table43[[#This Row],[Sales]]&gt;0,"Poor Sales")</f>
        <v>Average Sales</v>
      </c>
      <c r="L449" s="23">
        <f>YEAR(Table43[[#This Row],[Date]])</f>
        <v>2023</v>
      </c>
      <c r="M449" s="23">
        <f>MONTH(Table43[[#This Row],[Date]])</f>
        <v>5</v>
      </c>
      <c r="N449" s="25">
        <f>DAY(Table43[[#This Row],[Date]])</f>
        <v>16</v>
      </c>
      <c r="O449" s="25" t="str">
        <f>TEXT(DATE(2023,Table43[[#This Row],[Month]],1),"mmm")</f>
        <v>May</v>
      </c>
      <c r="P449" s="25"/>
      <c r="Q449" s="25"/>
    </row>
    <row r="450" spans="1:17" x14ac:dyDescent="0.3">
      <c r="A450" s="6">
        <v>449</v>
      </c>
      <c r="B450" s="7">
        <v>44978</v>
      </c>
      <c r="C450" s="8" t="s">
        <v>18</v>
      </c>
      <c r="D450" s="8" t="s">
        <v>19</v>
      </c>
      <c r="E450" s="8" t="s">
        <v>17</v>
      </c>
      <c r="F450" s="8" t="s">
        <v>24</v>
      </c>
      <c r="G450" s="8" t="s">
        <v>29</v>
      </c>
      <c r="H450" s="9">
        <v>24662.23</v>
      </c>
      <c r="I450" s="8">
        <v>3</v>
      </c>
      <c r="J450" s="10">
        <v>3744.45</v>
      </c>
      <c r="K450" s="14" t="str" cm="1">
        <f t="array" ref="K450">_xlfn.IFS(Table43[[#This Row],[Sales]]&gt;40000,"Best Sales",Table43[[#This Row],[Sales]]&gt;20000,"Average Sales",Table43[[#This Row],[Sales]]&gt;0,"Poor Sales")</f>
        <v>Average Sales</v>
      </c>
      <c r="L450" s="23">
        <f>YEAR(Table43[[#This Row],[Date]])</f>
        <v>2023</v>
      </c>
      <c r="M450" s="23">
        <f>MONTH(Table43[[#This Row],[Date]])</f>
        <v>2</v>
      </c>
      <c r="N450" s="25">
        <f>DAY(Table43[[#This Row],[Date]])</f>
        <v>21</v>
      </c>
      <c r="O450" s="25" t="str">
        <f>TEXT(DATE(2023,Table43[[#This Row],[Month]],1),"mmm")</f>
        <v>Feb</v>
      </c>
      <c r="P450" s="25"/>
      <c r="Q450" s="25"/>
    </row>
    <row r="451" spans="1:17" x14ac:dyDescent="0.3">
      <c r="A451" s="11">
        <v>450</v>
      </c>
      <c r="B451" s="12">
        <v>45214</v>
      </c>
      <c r="C451" s="13" t="s">
        <v>30</v>
      </c>
      <c r="D451" s="13" t="s">
        <v>16</v>
      </c>
      <c r="E451" s="13" t="s">
        <v>20</v>
      </c>
      <c r="F451" s="13" t="s">
        <v>24</v>
      </c>
      <c r="G451" s="13" t="s">
        <v>25</v>
      </c>
      <c r="H451" s="14">
        <v>22932.71</v>
      </c>
      <c r="I451" s="13">
        <v>1</v>
      </c>
      <c r="J451" s="15">
        <v>1770.13</v>
      </c>
      <c r="K451" s="14" t="str" cm="1">
        <f t="array" ref="K451">_xlfn.IFS(Table43[[#This Row],[Sales]]&gt;40000,"Best Sales",Table43[[#This Row],[Sales]]&gt;20000,"Average Sales",Table43[[#This Row],[Sales]]&gt;0,"Poor Sales")</f>
        <v>Average Sales</v>
      </c>
      <c r="L451" s="23">
        <f>YEAR(Table43[[#This Row],[Date]])</f>
        <v>2023</v>
      </c>
      <c r="M451" s="23">
        <f>MONTH(Table43[[#This Row],[Date]])</f>
        <v>10</v>
      </c>
      <c r="N451" s="25">
        <f>DAY(Table43[[#This Row],[Date]])</f>
        <v>15</v>
      </c>
      <c r="O451" s="25" t="str">
        <f>TEXT(DATE(2023,Table43[[#This Row],[Month]],1),"mmm")</f>
        <v>Oct</v>
      </c>
      <c r="P451" s="25"/>
      <c r="Q451" s="25"/>
    </row>
    <row r="452" spans="1:17" x14ac:dyDescent="0.3">
      <c r="A452" s="6">
        <v>451</v>
      </c>
      <c r="B452" s="7">
        <v>45241</v>
      </c>
      <c r="C452" s="8" t="s">
        <v>10</v>
      </c>
      <c r="D452" s="8" t="s">
        <v>11</v>
      </c>
      <c r="E452" s="8" t="s">
        <v>20</v>
      </c>
      <c r="F452" s="8" t="s">
        <v>31</v>
      </c>
      <c r="G452" s="8" t="s">
        <v>33</v>
      </c>
      <c r="H452" s="9">
        <v>2101.9299999999998</v>
      </c>
      <c r="I452" s="8">
        <v>6</v>
      </c>
      <c r="J452" s="10">
        <v>507.01</v>
      </c>
      <c r="K452" s="14" t="str" cm="1">
        <f t="array" ref="K452">_xlfn.IFS(Table43[[#This Row],[Sales]]&gt;40000,"Best Sales",Table43[[#This Row],[Sales]]&gt;20000,"Average Sales",Table43[[#This Row],[Sales]]&gt;0,"Poor Sales")</f>
        <v>Poor Sales</v>
      </c>
      <c r="L452" s="23">
        <f>YEAR(Table43[[#This Row],[Date]])</f>
        <v>2023</v>
      </c>
      <c r="M452" s="23">
        <f>MONTH(Table43[[#This Row],[Date]])</f>
        <v>11</v>
      </c>
      <c r="N452" s="25">
        <f>DAY(Table43[[#This Row],[Date]])</f>
        <v>11</v>
      </c>
      <c r="O452" s="25" t="str">
        <f>TEXT(DATE(2023,Table43[[#This Row],[Month]],1),"mmm")</f>
        <v>Nov</v>
      </c>
      <c r="P452" s="25"/>
      <c r="Q452" s="25"/>
    </row>
    <row r="453" spans="1:17" x14ac:dyDescent="0.3">
      <c r="A453" s="11">
        <v>452</v>
      </c>
      <c r="B453" s="12">
        <v>45192</v>
      </c>
      <c r="C453" s="13" t="s">
        <v>26</v>
      </c>
      <c r="D453" s="13" t="s">
        <v>27</v>
      </c>
      <c r="E453" s="13" t="s">
        <v>12</v>
      </c>
      <c r="F453" s="13" t="s">
        <v>24</v>
      </c>
      <c r="G453" s="13" t="s">
        <v>29</v>
      </c>
      <c r="H453" s="14">
        <v>23897.96</v>
      </c>
      <c r="I453" s="13">
        <v>7</v>
      </c>
      <c r="J453" s="15">
        <v>4085.47</v>
      </c>
      <c r="K453" s="14" t="str" cm="1">
        <f t="array" ref="K453">_xlfn.IFS(Table43[[#This Row],[Sales]]&gt;40000,"Best Sales",Table43[[#This Row],[Sales]]&gt;20000,"Average Sales",Table43[[#This Row],[Sales]]&gt;0,"Poor Sales")</f>
        <v>Average Sales</v>
      </c>
      <c r="L453" s="23">
        <f>YEAR(Table43[[#This Row],[Date]])</f>
        <v>2023</v>
      </c>
      <c r="M453" s="23">
        <f>MONTH(Table43[[#This Row],[Date]])</f>
        <v>9</v>
      </c>
      <c r="N453" s="25">
        <f>DAY(Table43[[#This Row],[Date]])</f>
        <v>23</v>
      </c>
      <c r="O453" s="25" t="str">
        <f>TEXT(DATE(2023,Table43[[#This Row],[Month]],1),"mmm")</f>
        <v>Sep</v>
      </c>
      <c r="P453" s="25"/>
      <c r="Q453" s="25"/>
    </row>
    <row r="454" spans="1:17" x14ac:dyDescent="0.3">
      <c r="A454" s="6">
        <v>453</v>
      </c>
      <c r="B454" s="7">
        <v>45018</v>
      </c>
      <c r="C454" s="8" t="s">
        <v>35</v>
      </c>
      <c r="D454" s="8" t="s">
        <v>36</v>
      </c>
      <c r="E454" s="8" t="s">
        <v>17</v>
      </c>
      <c r="F454" s="8" t="s">
        <v>24</v>
      </c>
      <c r="G454" s="8" t="s">
        <v>29</v>
      </c>
      <c r="H454" s="9">
        <v>32507.15</v>
      </c>
      <c r="I454" s="8">
        <v>10</v>
      </c>
      <c r="J454" s="10">
        <v>4890.71</v>
      </c>
      <c r="K454" s="14" t="str" cm="1">
        <f t="array" ref="K454">_xlfn.IFS(Table43[[#This Row],[Sales]]&gt;40000,"Best Sales",Table43[[#This Row],[Sales]]&gt;20000,"Average Sales",Table43[[#This Row],[Sales]]&gt;0,"Poor Sales")</f>
        <v>Average Sales</v>
      </c>
      <c r="L454" s="23">
        <f>YEAR(Table43[[#This Row],[Date]])</f>
        <v>2023</v>
      </c>
      <c r="M454" s="23">
        <f>MONTH(Table43[[#This Row],[Date]])</f>
        <v>4</v>
      </c>
      <c r="N454" s="25">
        <f>DAY(Table43[[#This Row],[Date]])</f>
        <v>2</v>
      </c>
      <c r="O454" s="25" t="str">
        <f>TEXT(DATE(2023,Table43[[#This Row],[Month]],1),"mmm")</f>
        <v>Apr</v>
      </c>
      <c r="P454" s="25"/>
      <c r="Q454" s="25"/>
    </row>
    <row r="455" spans="1:17" x14ac:dyDescent="0.3">
      <c r="A455" s="11">
        <v>454</v>
      </c>
      <c r="B455" s="12">
        <v>45053</v>
      </c>
      <c r="C455" s="13" t="s">
        <v>30</v>
      </c>
      <c r="D455" s="13" t="s">
        <v>16</v>
      </c>
      <c r="E455" s="13" t="s">
        <v>12</v>
      </c>
      <c r="F455" s="13" t="s">
        <v>13</v>
      </c>
      <c r="G455" s="13" t="s">
        <v>14</v>
      </c>
      <c r="H455" s="14">
        <v>8584.92</v>
      </c>
      <c r="I455" s="13">
        <v>1</v>
      </c>
      <c r="J455" s="15">
        <v>2560.9699999999998</v>
      </c>
      <c r="K455" s="14" t="str" cm="1">
        <f t="array" ref="K455">_xlfn.IFS(Table43[[#This Row],[Sales]]&gt;40000,"Best Sales",Table43[[#This Row],[Sales]]&gt;20000,"Average Sales",Table43[[#This Row],[Sales]]&gt;0,"Poor Sales")</f>
        <v>Poor Sales</v>
      </c>
      <c r="L455" s="23">
        <f>YEAR(Table43[[#This Row],[Date]])</f>
        <v>2023</v>
      </c>
      <c r="M455" s="23">
        <f>MONTH(Table43[[#This Row],[Date]])</f>
        <v>5</v>
      </c>
      <c r="N455" s="25">
        <f>DAY(Table43[[#This Row],[Date]])</f>
        <v>7</v>
      </c>
      <c r="O455" s="25" t="str">
        <f>TEXT(DATE(2023,Table43[[#This Row],[Month]],1),"mmm")</f>
        <v>May</v>
      </c>
      <c r="P455" s="25"/>
      <c r="Q455" s="25"/>
    </row>
    <row r="456" spans="1:17" x14ac:dyDescent="0.3">
      <c r="A456" s="6">
        <v>455</v>
      </c>
      <c r="B456" s="7">
        <v>45069</v>
      </c>
      <c r="C456" s="8" t="s">
        <v>22</v>
      </c>
      <c r="D456" s="8" t="s">
        <v>22</v>
      </c>
      <c r="E456" s="8" t="s">
        <v>17</v>
      </c>
      <c r="F456" s="8" t="s">
        <v>24</v>
      </c>
      <c r="G456" s="8" t="s">
        <v>28</v>
      </c>
      <c r="H456" s="9">
        <v>17850.810000000001</v>
      </c>
      <c r="I456" s="8">
        <v>9</v>
      </c>
      <c r="J456" s="10">
        <v>4605.67</v>
      </c>
      <c r="K456" s="14" t="str" cm="1">
        <f t="array" ref="K456">_xlfn.IFS(Table43[[#This Row],[Sales]]&gt;40000,"Best Sales",Table43[[#This Row],[Sales]]&gt;20000,"Average Sales",Table43[[#This Row],[Sales]]&gt;0,"Poor Sales")</f>
        <v>Poor Sales</v>
      </c>
      <c r="L456" s="23">
        <f>YEAR(Table43[[#This Row],[Date]])</f>
        <v>2023</v>
      </c>
      <c r="M456" s="23">
        <f>MONTH(Table43[[#This Row],[Date]])</f>
        <v>5</v>
      </c>
      <c r="N456" s="25">
        <f>DAY(Table43[[#This Row],[Date]])</f>
        <v>23</v>
      </c>
      <c r="O456" s="25" t="str">
        <f>TEXT(DATE(2023,Table43[[#This Row],[Month]],1),"mmm")</f>
        <v>May</v>
      </c>
      <c r="P456" s="25"/>
      <c r="Q456" s="25"/>
    </row>
    <row r="457" spans="1:17" x14ac:dyDescent="0.3">
      <c r="A457" s="11">
        <v>456</v>
      </c>
      <c r="B457" s="12">
        <v>44976</v>
      </c>
      <c r="C457" s="13" t="s">
        <v>10</v>
      </c>
      <c r="D457" s="13" t="s">
        <v>11</v>
      </c>
      <c r="E457" s="13" t="s">
        <v>20</v>
      </c>
      <c r="F457" s="13" t="s">
        <v>13</v>
      </c>
      <c r="G457" s="13" t="s">
        <v>21</v>
      </c>
      <c r="H457" s="14">
        <v>33800.74</v>
      </c>
      <c r="I457" s="13">
        <v>2</v>
      </c>
      <c r="J457" s="15">
        <v>2747.6</v>
      </c>
      <c r="K457" s="14" t="str" cm="1">
        <f t="array" ref="K457">_xlfn.IFS(Table43[[#This Row],[Sales]]&gt;40000,"Best Sales",Table43[[#This Row],[Sales]]&gt;20000,"Average Sales",Table43[[#This Row],[Sales]]&gt;0,"Poor Sales")</f>
        <v>Average Sales</v>
      </c>
      <c r="L457" s="23">
        <f>YEAR(Table43[[#This Row],[Date]])</f>
        <v>2023</v>
      </c>
      <c r="M457" s="23">
        <f>MONTH(Table43[[#This Row],[Date]])</f>
        <v>2</v>
      </c>
      <c r="N457" s="25">
        <f>DAY(Table43[[#This Row],[Date]])</f>
        <v>19</v>
      </c>
      <c r="O457" s="25" t="str">
        <f>TEXT(DATE(2023,Table43[[#This Row],[Month]],1),"mmm")</f>
        <v>Feb</v>
      </c>
      <c r="P457" s="25"/>
      <c r="Q457" s="25"/>
    </row>
    <row r="458" spans="1:17" x14ac:dyDescent="0.3">
      <c r="A458" s="6">
        <v>457</v>
      </c>
      <c r="B458" s="7">
        <v>45264</v>
      </c>
      <c r="C458" s="8" t="s">
        <v>15</v>
      </c>
      <c r="D458" s="8" t="s">
        <v>16</v>
      </c>
      <c r="E458" s="8" t="s">
        <v>20</v>
      </c>
      <c r="F458" s="8" t="s">
        <v>24</v>
      </c>
      <c r="G458" s="8" t="s">
        <v>25</v>
      </c>
      <c r="H458" s="9">
        <v>5414.74</v>
      </c>
      <c r="I458" s="8">
        <v>4</v>
      </c>
      <c r="J458" s="10">
        <v>976.86</v>
      </c>
      <c r="K458" s="14" t="str" cm="1">
        <f t="array" ref="K458">_xlfn.IFS(Table43[[#This Row],[Sales]]&gt;40000,"Best Sales",Table43[[#This Row],[Sales]]&gt;20000,"Average Sales",Table43[[#This Row],[Sales]]&gt;0,"Poor Sales")</f>
        <v>Poor Sales</v>
      </c>
      <c r="L458" s="23">
        <f>YEAR(Table43[[#This Row],[Date]])</f>
        <v>2023</v>
      </c>
      <c r="M458" s="23">
        <f>MONTH(Table43[[#This Row],[Date]])</f>
        <v>12</v>
      </c>
      <c r="N458" s="25">
        <f>DAY(Table43[[#This Row],[Date]])</f>
        <v>4</v>
      </c>
      <c r="O458" s="25" t="str">
        <f>TEXT(DATE(2023,Table43[[#This Row],[Month]],1),"mmm")</f>
        <v>Dec</v>
      </c>
      <c r="P458" s="25"/>
      <c r="Q458" s="25"/>
    </row>
    <row r="459" spans="1:17" x14ac:dyDescent="0.3">
      <c r="A459" s="11">
        <v>458</v>
      </c>
      <c r="B459" s="12">
        <v>44952</v>
      </c>
      <c r="C459" s="13" t="s">
        <v>37</v>
      </c>
      <c r="D459" s="13" t="s">
        <v>27</v>
      </c>
      <c r="E459" s="13" t="s">
        <v>12</v>
      </c>
      <c r="F459" s="13" t="s">
        <v>24</v>
      </c>
      <c r="G459" s="13" t="s">
        <v>28</v>
      </c>
      <c r="H459" s="14">
        <v>12452.06</v>
      </c>
      <c r="I459" s="13">
        <v>2</v>
      </c>
      <c r="J459" s="15">
        <v>2412.8200000000002</v>
      </c>
      <c r="K459" s="14" t="str" cm="1">
        <f t="array" ref="K459">_xlfn.IFS(Table43[[#This Row],[Sales]]&gt;40000,"Best Sales",Table43[[#This Row],[Sales]]&gt;20000,"Average Sales",Table43[[#This Row],[Sales]]&gt;0,"Poor Sales")</f>
        <v>Poor Sales</v>
      </c>
      <c r="L459" s="23">
        <f>YEAR(Table43[[#This Row],[Date]])</f>
        <v>2023</v>
      </c>
      <c r="M459" s="23">
        <f>MONTH(Table43[[#This Row],[Date]])</f>
        <v>1</v>
      </c>
      <c r="N459" s="25">
        <f>DAY(Table43[[#This Row],[Date]])</f>
        <v>26</v>
      </c>
      <c r="O459" s="25" t="str">
        <f>TEXT(DATE(2023,Table43[[#This Row],[Month]],1),"mmm")</f>
        <v>Jan</v>
      </c>
      <c r="P459" s="25"/>
      <c r="Q459" s="25"/>
    </row>
    <row r="460" spans="1:17" x14ac:dyDescent="0.3">
      <c r="A460" s="6">
        <v>459</v>
      </c>
      <c r="B460" s="7">
        <v>45132</v>
      </c>
      <c r="C460" s="8" t="s">
        <v>10</v>
      </c>
      <c r="D460" s="8" t="s">
        <v>11</v>
      </c>
      <c r="E460" s="8" t="s">
        <v>17</v>
      </c>
      <c r="F460" s="8" t="s">
        <v>24</v>
      </c>
      <c r="G460" s="8" t="s">
        <v>29</v>
      </c>
      <c r="H460" s="9">
        <v>15764.96</v>
      </c>
      <c r="I460" s="8">
        <v>4</v>
      </c>
      <c r="J460" s="10">
        <v>2352.7399999999998</v>
      </c>
      <c r="K460" s="14" t="str" cm="1">
        <f t="array" ref="K460">_xlfn.IFS(Table43[[#This Row],[Sales]]&gt;40000,"Best Sales",Table43[[#This Row],[Sales]]&gt;20000,"Average Sales",Table43[[#This Row],[Sales]]&gt;0,"Poor Sales")</f>
        <v>Poor Sales</v>
      </c>
      <c r="L460" s="23">
        <f>YEAR(Table43[[#This Row],[Date]])</f>
        <v>2023</v>
      </c>
      <c r="M460" s="23">
        <f>MONTH(Table43[[#This Row],[Date]])</f>
        <v>7</v>
      </c>
      <c r="N460" s="25">
        <f>DAY(Table43[[#This Row],[Date]])</f>
        <v>25</v>
      </c>
      <c r="O460" s="25" t="str">
        <f>TEXT(DATE(2023,Table43[[#This Row],[Month]],1),"mmm")</f>
        <v>Jul</v>
      </c>
      <c r="P460" s="25"/>
      <c r="Q460" s="25"/>
    </row>
    <row r="461" spans="1:17" x14ac:dyDescent="0.3">
      <c r="A461" s="11">
        <v>460</v>
      </c>
      <c r="B461" s="12">
        <v>45239</v>
      </c>
      <c r="C461" s="13" t="s">
        <v>37</v>
      </c>
      <c r="D461" s="13" t="s">
        <v>27</v>
      </c>
      <c r="E461" s="13" t="s">
        <v>12</v>
      </c>
      <c r="F461" s="13" t="s">
        <v>24</v>
      </c>
      <c r="G461" s="13" t="s">
        <v>25</v>
      </c>
      <c r="H461" s="14">
        <v>41835.79</v>
      </c>
      <c r="I461" s="13">
        <v>1</v>
      </c>
      <c r="J461" s="15">
        <v>2744.23</v>
      </c>
      <c r="K461" s="14" t="str" cm="1">
        <f t="array" ref="K461">_xlfn.IFS(Table43[[#This Row],[Sales]]&gt;40000,"Best Sales",Table43[[#This Row],[Sales]]&gt;20000,"Average Sales",Table43[[#This Row],[Sales]]&gt;0,"Poor Sales")</f>
        <v>Best Sales</v>
      </c>
      <c r="L461" s="23">
        <f>YEAR(Table43[[#This Row],[Date]])</f>
        <v>2023</v>
      </c>
      <c r="M461" s="23">
        <f>MONTH(Table43[[#This Row],[Date]])</f>
        <v>11</v>
      </c>
      <c r="N461" s="25">
        <f>DAY(Table43[[#This Row],[Date]])</f>
        <v>9</v>
      </c>
      <c r="O461" s="25" t="str">
        <f>TEXT(DATE(2023,Table43[[#This Row],[Month]],1),"mmm")</f>
        <v>Nov</v>
      </c>
      <c r="P461" s="25"/>
      <c r="Q461" s="25"/>
    </row>
    <row r="462" spans="1:17" x14ac:dyDescent="0.3">
      <c r="A462" s="6">
        <v>461</v>
      </c>
      <c r="B462" s="7">
        <v>45075</v>
      </c>
      <c r="C462" s="8" t="s">
        <v>18</v>
      </c>
      <c r="D462" s="8" t="s">
        <v>19</v>
      </c>
      <c r="E462" s="8" t="s">
        <v>17</v>
      </c>
      <c r="F462" s="8" t="s">
        <v>31</v>
      </c>
      <c r="G462" s="8" t="s">
        <v>33</v>
      </c>
      <c r="H462" s="9">
        <v>23801.25</v>
      </c>
      <c r="I462" s="8">
        <v>2</v>
      </c>
      <c r="J462" s="10">
        <v>6445.33</v>
      </c>
      <c r="K462" s="14" t="str" cm="1">
        <f t="array" ref="K462">_xlfn.IFS(Table43[[#This Row],[Sales]]&gt;40000,"Best Sales",Table43[[#This Row],[Sales]]&gt;20000,"Average Sales",Table43[[#This Row],[Sales]]&gt;0,"Poor Sales")</f>
        <v>Average Sales</v>
      </c>
      <c r="L462" s="23">
        <f>YEAR(Table43[[#This Row],[Date]])</f>
        <v>2023</v>
      </c>
      <c r="M462" s="23">
        <f>MONTH(Table43[[#This Row],[Date]])</f>
        <v>5</v>
      </c>
      <c r="N462" s="25">
        <f>DAY(Table43[[#This Row],[Date]])</f>
        <v>29</v>
      </c>
      <c r="O462" s="25" t="str">
        <f>TEXT(DATE(2023,Table43[[#This Row],[Month]],1),"mmm")</f>
        <v>May</v>
      </c>
      <c r="P462" s="25"/>
      <c r="Q462" s="25"/>
    </row>
    <row r="463" spans="1:17" x14ac:dyDescent="0.3">
      <c r="A463" s="11">
        <v>462</v>
      </c>
      <c r="B463" s="12">
        <v>45252</v>
      </c>
      <c r="C463" s="13" t="s">
        <v>26</v>
      </c>
      <c r="D463" s="13" t="s">
        <v>27</v>
      </c>
      <c r="E463" s="13" t="s">
        <v>20</v>
      </c>
      <c r="F463" s="13" t="s">
        <v>24</v>
      </c>
      <c r="G463" s="13" t="s">
        <v>25</v>
      </c>
      <c r="H463" s="14">
        <v>15461.71</v>
      </c>
      <c r="I463" s="13">
        <v>3</v>
      </c>
      <c r="J463" s="15">
        <v>3314.59</v>
      </c>
      <c r="K463" s="14" t="str" cm="1">
        <f t="array" ref="K463">_xlfn.IFS(Table43[[#This Row],[Sales]]&gt;40000,"Best Sales",Table43[[#This Row],[Sales]]&gt;20000,"Average Sales",Table43[[#This Row],[Sales]]&gt;0,"Poor Sales")</f>
        <v>Poor Sales</v>
      </c>
      <c r="L463" s="23">
        <f>YEAR(Table43[[#This Row],[Date]])</f>
        <v>2023</v>
      </c>
      <c r="M463" s="23">
        <f>MONTH(Table43[[#This Row],[Date]])</f>
        <v>11</v>
      </c>
      <c r="N463" s="25">
        <f>DAY(Table43[[#This Row],[Date]])</f>
        <v>22</v>
      </c>
      <c r="O463" s="25" t="str">
        <f>TEXT(DATE(2023,Table43[[#This Row],[Month]],1),"mmm")</f>
        <v>Nov</v>
      </c>
      <c r="P463" s="25"/>
      <c r="Q463" s="25"/>
    </row>
    <row r="464" spans="1:17" x14ac:dyDescent="0.3">
      <c r="A464" s="6">
        <v>463</v>
      </c>
      <c r="B464" s="7">
        <v>45076</v>
      </c>
      <c r="C464" s="8" t="s">
        <v>35</v>
      </c>
      <c r="D464" s="8" t="s">
        <v>36</v>
      </c>
      <c r="E464" s="8" t="s">
        <v>20</v>
      </c>
      <c r="F464" s="8" t="s">
        <v>24</v>
      </c>
      <c r="G464" s="8" t="s">
        <v>29</v>
      </c>
      <c r="H464" s="9">
        <v>45619.47</v>
      </c>
      <c r="I464" s="8">
        <v>10</v>
      </c>
      <c r="J464" s="10">
        <v>10134.75</v>
      </c>
      <c r="K464" s="14" t="str" cm="1">
        <f t="array" ref="K464">_xlfn.IFS(Table43[[#This Row],[Sales]]&gt;40000,"Best Sales",Table43[[#This Row],[Sales]]&gt;20000,"Average Sales",Table43[[#This Row],[Sales]]&gt;0,"Poor Sales")</f>
        <v>Best Sales</v>
      </c>
      <c r="L464" s="23">
        <f>YEAR(Table43[[#This Row],[Date]])</f>
        <v>2023</v>
      </c>
      <c r="M464" s="23">
        <f>MONTH(Table43[[#This Row],[Date]])</f>
        <v>5</v>
      </c>
      <c r="N464" s="25">
        <f>DAY(Table43[[#This Row],[Date]])</f>
        <v>30</v>
      </c>
      <c r="O464" s="25" t="str">
        <f>TEXT(DATE(2023,Table43[[#This Row],[Month]],1),"mmm")</f>
        <v>May</v>
      </c>
      <c r="P464" s="25"/>
      <c r="Q464" s="25"/>
    </row>
    <row r="465" spans="1:17" x14ac:dyDescent="0.3">
      <c r="A465" s="11">
        <v>464</v>
      </c>
      <c r="B465" s="12">
        <v>45000</v>
      </c>
      <c r="C465" s="13" t="s">
        <v>10</v>
      </c>
      <c r="D465" s="13" t="s">
        <v>11</v>
      </c>
      <c r="E465" s="13" t="s">
        <v>12</v>
      </c>
      <c r="F465" s="13" t="s">
        <v>31</v>
      </c>
      <c r="G465" s="13" t="s">
        <v>33</v>
      </c>
      <c r="H465" s="14">
        <v>15028.38</v>
      </c>
      <c r="I465" s="13">
        <v>7</v>
      </c>
      <c r="J465" s="15">
        <v>2910.42</v>
      </c>
      <c r="K465" s="14" t="str" cm="1">
        <f t="array" ref="K465">_xlfn.IFS(Table43[[#This Row],[Sales]]&gt;40000,"Best Sales",Table43[[#This Row],[Sales]]&gt;20000,"Average Sales",Table43[[#This Row],[Sales]]&gt;0,"Poor Sales")</f>
        <v>Poor Sales</v>
      </c>
      <c r="L465" s="23">
        <f>YEAR(Table43[[#This Row],[Date]])</f>
        <v>2023</v>
      </c>
      <c r="M465" s="23">
        <f>MONTH(Table43[[#This Row],[Date]])</f>
        <v>3</v>
      </c>
      <c r="N465" s="25">
        <f>DAY(Table43[[#This Row],[Date]])</f>
        <v>15</v>
      </c>
      <c r="O465" s="25" t="str">
        <f>TEXT(DATE(2023,Table43[[#This Row],[Month]],1),"mmm")</f>
        <v>Mar</v>
      </c>
      <c r="P465" s="25"/>
      <c r="Q465" s="25"/>
    </row>
    <row r="466" spans="1:17" x14ac:dyDescent="0.3">
      <c r="A466" s="6">
        <v>465</v>
      </c>
      <c r="B466" s="7">
        <v>45205</v>
      </c>
      <c r="C466" s="8" t="s">
        <v>22</v>
      </c>
      <c r="D466" s="8" t="s">
        <v>22</v>
      </c>
      <c r="E466" s="8" t="s">
        <v>17</v>
      </c>
      <c r="F466" s="8" t="s">
        <v>13</v>
      </c>
      <c r="G466" s="8" t="s">
        <v>34</v>
      </c>
      <c r="H466" s="9">
        <v>30842.46</v>
      </c>
      <c r="I466" s="8">
        <v>1</v>
      </c>
      <c r="J466" s="10">
        <v>3773.49</v>
      </c>
      <c r="K466" s="14" t="str" cm="1">
        <f t="array" ref="K466">_xlfn.IFS(Table43[[#This Row],[Sales]]&gt;40000,"Best Sales",Table43[[#This Row],[Sales]]&gt;20000,"Average Sales",Table43[[#This Row],[Sales]]&gt;0,"Poor Sales")</f>
        <v>Average Sales</v>
      </c>
      <c r="L466" s="23">
        <f>YEAR(Table43[[#This Row],[Date]])</f>
        <v>2023</v>
      </c>
      <c r="M466" s="23">
        <f>MONTH(Table43[[#This Row],[Date]])</f>
        <v>10</v>
      </c>
      <c r="N466" s="25">
        <f>DAY(Table43[[#This Row],[Date]])</f>
        <v>6</v>
      </c>
      <c r="O466" s="25" t="str">
        <f>TEXT(DATE(2023,Table43[[#This Row],[Month]],1),"mmm")</f>
        <v>Oct</v>
      </c>
      <c r="P466" s="25"/>
      <c r="Q466" s="25"/>
    </row>
    <row r="467" spans="1:17" x14ac:dyDescent="0.3">
      <c r="A467" s="11">
        <v>466</v>
      </c>
      <c r="B467" s="12">
        <v>45222</v>
      </c>
      <c r="C467" s="13" t="s">
        <v>10</v>
      </c>
      <c r="D467" s="13" t="s">
        <v>11</v>
      </c>
      <c r="E467" s="13" t="s">
        <v>12</v>
      </c>
      <c r="F467" s="13" t="s">
        <v>13</v>
      </c>
      <c r="G467" s="13" t="s">
        <v>21</v>
      </c>
      <c r="H467" s="14">
        <v>6318.79</v>
      </c>
      <c r="I467" s="13">
        <v>4</v>
      </c>
      <c r="J467" s="15">
        <v>1551.93</v>
      </c>
      <c r="K467" s="14" t="str" cm="1">
        <f t="array" ref="K467">_xlfn.IFS(Table43[[#This Row],[Sales]]&gt;40000,"Best Sales",Table43[[#This Row],[Sales]]&gt;20000,"Average Sales",Table43[[#This Row],[Sales]]&gt;0,"Poor Sales")</f>
        <v>Poor Sales</v>
      </c>
      <c r="L467" s="23">
        <f>YEAR(Table43[[#This Row],[Date]])</f>
        <v>2023</v>
      </c>
      <c r="M467" s="23">
        <f>MONTH(Table43[[#This Row],[Date]])</f>
        <v>10</v>
      </c>
      <c r="N467" s="25">
        <f>DAY(Table43[[#This Row],[Date]])</f>
        <v>23</v>
      </c>
      <c r="O467" s="25" t="str">
        <f>TEXT(DATE(2023,Table43[[#This Row],[Month]],1),"mmm")</f>
        <v>Oct</v>
      </c>
      <c r="P467" s="25"/>
      <c r="Q467" s="25"/>
    </row>
    <row r="468" spans="1:17" x14ac:dyDescent="0.3">
      <c r="A468" s="6">
        <v>467</v>
      </c>
      <c r="B468" s="7">
        <v>44974</v>
      </c>
      <c r="C468" s="8" t="s">
        <v>38</v>
      </c>
      <c r="D468" s="8" t="s">
        <v>27</v>
      </c>
      <c r="E468" s="8" t="s">
        <v>17</v>
      </c>
      <c r="F468" s="8" t="s">
        <v>31</v>
      </c>
      <c r="G468" s="8" t="s">
        <v>33</v>
      </c>
      <c r="H468" s="9">
        <v>14828.09</v>
      </c>
      <c r="I468" s="8">
        <v>7</v>
      </c>
      <c r="J468" s="10">
        <v>2884.42</v>
      </c>
      <c r="K468" s="14" t="str" cm="1">
        <f t="array" ref="K468">_xlfn.IFS(Table43[[#This Row],[Sales]]&gt;40000,"Best Sales",Table43[[#This Row],[Sales]]&gt;20000,"Average Sales",Table43[[#This Row],[Sales]]&gt;0,"Poor Sales")</f>
        <v>Poor Sales</v>
      </c>
      <c r="L468" s="23">
        <f>YEAR(Table43[[#This Row],[Date]])</f>
        <v>2023</v>
      </c>
      <c r="M468" s="23">
        <f>MONTH(Table43[[#This Row],[Date]])</f>
        <v>2</v>
      </c>
      <c r="N468" s="25">
        <f>DAY(Table43[[#This Row],[Date]])</f>
        <v>17</v>
      </c>
      <c r="O468" s="25" t="str">
        <f>TEXT(DATE(2023,Table43[[#This Row],[Month]],1),"mmm")</f>
        <v>Feb</v>
      </c>
      <c r="P468" s="25"/>
      <c r="Q468" s="25"/>
    </row>
    <row r="469" spans="1:17" x14ac:dyDescent="0.3">
      <c r="A469" s="11">
        <v>468</v>
      </c>
      <c r="B469" s="12">
        <v>45137</v>
      </c>
      <c r="C469" s="13" t="s">
        <v>37</v>
      </c>
      <c r="D469" s="13" t="s">
        <v>27</v>
      </c>
      <c r="E469" s="13" t="s">
        <v>20</v>
      </c>
      <c r="F469" s="13" t="s">
        <v>24</v>
      </c>
      <c r="G469" s="13" t="s">
        <v>28</v>
      </c>
      <c r="H469" s="14">
        <v>16069.37</v>
      </c>
      <c r="I469" s="13">
        <v>2</v>
      </c>
      <c r="J469" s="15">
        <v>3976.35</v>
      </c>
      <c r="K469" s="14" t="str" cm="1">
        <f t="array" ref="K469">_xlfn.IFS(Table43[[#This Row],[Sales]]&gt;40000,"Best Sales",Table43[[#This Row],[Sales]]&gt;20000,"Average Sales",Table43[[#This Row],[Sales]]&gt;0,"Poor Sales")</f>
        <v>Poor Sales</v>
      </c>
      <c r="L469" s="23">
        <f>YEAR(Table43[[#This Row],[Date]])</f>
        <v>2023</v>
      </c>
      <c r="M469" s="23">
        <f>MONTH(Table43[[#This Row],[Date]])</f>
        <v>7</v>
      </c>
      <c r="N469" s="25">
        <f>DAY(Table43[[#This Row],[Date]])</f>
        <v>30</v>
      </c>
      <c r="O469" s="25" t="str">
        <f>TEXT(DATE(2023,Table43[[#This Row],[Month]],1),"mmm")</f>
        <v>Jul</v>
      </c>
      <c r="P469" s="25"/>
      <c r="Q469" s="25"/>
    </row>
    <row r="470" spans="1:17" x14ac:dyDescent="0.3">
      <c r="A470" s="6">
        <v>469</v>
      </c>
      <c r="B470" s="7">
        <v>45213</v>
      </c>
      <c r="C470" s="8" t="s">
        <v>30</v>
      </c>
      <c r="D470" s="8" t="s">
        <v>16</v>
      </c>
      <c r="E470" s="8" t="s">
        <v>20</v>
      </c>
      <c r="F470" s="8" t="s">
        <v>13</v>
      </c>
      <c r="G470" s="8" t="s">
        <v>21</v>
      </c>
      <c r="H470" s="9">
        <v>13770.88</v>
      </c>
      <c r="I470" s="8">
        <v>9</v>
      </c>
      <c r="J470" s="10">
        <v>1110.72</v>
      </c>
      <c r="K470" s="14" t="str" cm="1">
        <f t="array" ref="K470">_xlfn.IFS(Table43[[#This Row],[Sales]]&gt;40000,"Best Sales",Table43[[#This Row],[Sales]]&gt;20000,"Average Sales",Table43[[#This Row],[Sales]]&gt;0,"Poor Sales")</f>
        <v>Poor Sales</v>
      </c>
      <c r="L470" s="23">
        <f>YEAR(Table43[[#This Row],[Date]])</f>
        <v>2023</v>
      </c>
      <c r="M470" s="23">
        <f>MONTH(Table43[[#This Row],[Date]])</f>
        <v>10</v>
      </c>
      <c r="N470" s="25">
        <f>DAY(Table43[[#This Row],[Date]])</f>
        <v>14</v>
      </c>
      <c r="O470" s="25" t="str">
        <f>TEXT(DATE(2023,Table43[[#This Row],[Month]],1),"mmm")</f>
        <v>Oct</v>
      </c>
      <c r="P470" s="25"/>
      <c r="Q470" s="25"/>
    </row>
    <row r="471" spans="1:17" x14ac:dyDescent="0.3">
      <c r="A471" s="11">
        <v>470</v>
      </c>
      <c r="B471" s="12">
        <v>45016</v>
      </c>
      <c r="C471" s="13" t="s">
        <v>37</v>
      </c>
      <c r="D471" s="13" t="s">
        <v>27</v>
      </c>
      <c r="E471" s="13" t="s">
        <v>12</v>
      </c>
      <c r="F471" s="13" t="s">
        <v>24</v>
      </c>
      <c r="G471" s="13" t="s">
        <v>29</v>
      </c>
      <c r="H471" s="14">
        <v>24821.75</v>
      </c>
      <c r="I471" s="13">
        <v>4</v>
      </c>
      <c r="J471" s="15">
        <v>4789.5600000000004</v>
      </c>
      <c r="K471" s="14" t="str" cm="1">
        <f t="array" ref="K471">_xlfn.IFS(Table43[[#This Row],[Sales]]&gt;40000,"Best Sales",Table43[[#This Row],[Sales]]&gt;20000,"Average Sales",Table43[[#This Row],[Sales]]&gt;0,"Poor Sales")</f>
        <v>Average Sales</v>
      </c>
      <c r="L471" s="23">
        <f>YEAR(Table43[[#This Row],[Date]])</f>
        <v>2023</v>
      </c>
      <c r="M471" s="23">
        <f>MONTH(Table43[[#This Row],[Date]])</f>
        <v>3</v>
      </c>
      <c r="N471" s="25">
        <f>DAY(Table43[[#This Row],[Date]])</f>
        <v>31</v>
      </c>
      <c r="O471" s="25" t="str">
        <f>TEXT(DATE(2023,Table43[[#This Row],[Month]],1),"mmm")</f>
        <v>Mar</v>
      </c>
      <c r="P471" s="25"/>
      <c r="Q471" s="25"/>
    </row>
    <row r="472" spans="1:17" x14ac:dyDescent="0.3">
      <c r="A472" s="6">
        <v>471</v>
      </c>
      <c r="B472" s="7">
        <v>45038</v>
      </c>
      <c r="C472" s="8" t="s">
        <v>15</v>
      </c>
      <c r="D472" s="8" t="s">
        <v>16</v>
      </c>
      <c r="E472" s="8" t="s">
        <v>17</v>
      </c>
      <c r="F472" s="8" t="s">
        <v>13</v>
      </c>
      <c r="G472" s="8" t="s">
        <v>14</v>
      </c>
      <c r="H472" s="9">
        <v>19819</v>
      </c>
      <c r="I472" s="8">
        <v>9</v>
      </c>
      <c r="J472" s="10">
        <v>4493.47</v>
      </c>
      <c r="K472" s="14" t="str" cm="1">
        <f t="array" ref="K472">_xlfn.IFS(Table43[[#This Row],[Sales]]&gt;40000,"Best Sales",Table43[[#This Row],[Sales]]&gt;20000,"Average Sales",Table43[[#This Row],[Sales]]&gt;0,"Poor Sales")</f>
        <v>Poor Sales</v>
      </c>
      <c r="L472" s="23">
        <f>YEAR(Table43[[#This Row],[Date]])</f>
        <v>2023</v>
      </c>
      <c r="M472" s="23">
        <f>MONTH(Table43[[#This Row],[Date]])</f>
        <v>4</v>
      </c>
      <c r="N472" s="25">
        <f>DAY(Table43[[#This Row],[Date]])</f>
        <v>22</v>
      </c>
      <c r="O472" s="25" t="str">
        <f>TEXT(DATE(2023,Table43[[#This Row],[Month]],1),"mmm")</f>
        <v>Apr</v>
      </c>
      <c r="P472" s="25"/>
      <c r="Q472" s="25"/>
    </row>
    <row r="473" spans="1:17" x14ac:dyDescent="0.3">
      <c r="A473" s="11">
        <v>472</v>
      </c>
      <c r="B473" s="12">
        <v>45211</v>
      </c>
      <c r="C473" s="13" t="s">
        <v>37</v>
      </c>
      <c r="D473" s="13" t="s">
        <v>27</v>
      </c>
      <c r="E473" s="13" t="s">
        <v>12</v>
      </c>
      <c r="F473" s="13" t="s">
        <v>13</v>
      </c>
      <c r="G473" s="13" t="s">
        <v>21</v>
      </c>
      <c r="H473" s="14">
        <v>7807.18</v>
      </c>
      <c r="I473" s="13">
        <v>9</v>
      </c>
      <c r="J473" s="15">
        <v>893.09</v>
      </c>
      <c r="K473" s="14" t="str" cm="1">
        <f t="array" ref="K473">_xlfn.IFS(Table43[[#This Row],[Sales]]&gt;40000,"Best Sales",Table43[[#This Row],[Sales]]&gt;20000,"Average Sales",Table43[[#This Row],[Sales]]&gt;0,"Poor Sales")</f>
        <v>Poor Sales</v>
      </c>
      <c r="L473" s="23">
        <f>YEAR(Table43[[#This Row],[Date]])</f>
        <v>2023</v>
      </c>
      <c r="M473" s="23">
        <f>MONTH(Table43[[#This Row],[Date]])</f>
        <v>10</v>
      </c>
      <c r="N473" s="25">
        <f>DAY(Table43[[#This Row],[Date]])</f>
        <v>12</v>
      </c>
      <c r="O473" s="25" t="str">
        <f>TEXT(DATE(2023,Table43[[#This Row],[Month]],1),"mmm")</f>
        <v>Oct</v>
      </c>
      <c r="P473" s="25"/>
      <c r="Q473" s="25"/>
    </row>
    <row r="474" spans="1:17" x14ac:dyDescent="0.3">
      <c r="A474" s="6">
        <v>473</v>
      </c>
      <c r="B474" s="7">
        <v>45158</v>
      </c>
      <c r="C474" s="8" t="s">
        <v>35</v>
      </c>
      <c r="D474" s="8" t="s">
        <v>36</v>
      </c>
      <c r="E474" s="8" t="s">
        <v>17</v>
      </c>
      <c r="F474" s="8" t="s">
        <v>13</v>
      </c>
      <c r="G474" s="8" t="s">
        <v>14</v>
      </c>
      <c r="H474" s="9">
        <v>29187.5</v>
      </c>
      <c r="I474" s="8">
        <v>3</v>
      </c>
      <c r="J474" s="10">
        <v>2048.9699999999998</v>
      </c>
      <c r="K474" s="14" t="str" cm="1">
        <f t="array" ref="K474">_xlfn.IFS(Table43[[#This Row],[Sales]]&gt;40000,"Best Sales",Table43[[#This Row],[Sales]]&gt;20000,"Average Sales",Table43[[#This Row],[Sales]]&gt;0,"Poor Sales")</f>
        <v>Average Sales</v>
      </c>
      <c r="L474" s="23">
        <f>YEAR(Table43[[#This Row],[Date]])</f>
        <v>2023</v>
      </c>
      <c r="M474" s="23">
        <f>MONTH(Table43[[#This Row],[Date]])</f>
        <v>8</v>
      </c>
      <c r="N474" s="25">
        <f>DAY(Table43[[#This Row],[Date]])</f>
        <v>20</v>
      </c>
      <c r="O474" s="25" t="str">
        <f>TEXT(DATE(2023,Table43[[#This Row],[Month]],1),"mmm")</f>
        <v>Aug</v>
      </c>
      <c r="P474" s="25"/>
      <c r="Q474" s="25"/>
    </row>
    <row r="475" spans="1:17" x14ac:dyDescent="0.3">
      <c r="A475" s="11">
        <v>474</v>
      </c>
      <c r="B475" s="12">
        <v>45287</v>
      </c>
      <c r="C475" s="13" t="s">
        <v>10</v>
      </c>
      <c r="D475" s="13" t="s">
        <v>11</v>
      </c>
      <c r="E475" s="13" t="s">
        <v>20</v>
      </c>
      <c r="F475" s="13" t="s">
        <v>24</v>
      </c>
      <c r="G475" s="13" t="s">
        <v>28</v>
      </c>
      <c r="H475" s="14">
        <v>30736.28</v>
      </c>
      <c r="I475" s="13">
        <v>6</v>
      </c>
      <c r="J475" s="15">
        <v>6419.01</v>
      </c>
      <c r="K475" s="14" t="str" cm="1">
        <f t="array" ref="K475">_xlfn.IFS(Table43[[#This Row],[Sales]]&gt;40000,"Best Sales",Table43[[#This Row],[Sales]]&gt;20000,"Average Sales",Table43[[#This Row],[Sales]]&gt;0,"Poor Sales")</f>
        <v>Average Sales</v>
      </c>
      <c r="L475" s="23">
        <f>YEAR(Table43[[#This Row],[Date]])</f>
        <v>2023</v>
      </c>
      <c r="M475" s="23">
        <f>MONTH(Table43[[#This Row],[Date]])</f>
        <v>12</v>
      </c>
      <c r="N475" s="25">
        <f>DAY(Table43[[#This Row],[Date]])</f>
        <v>27</v>
      </c>
      <c r="O475" s="25" t="str">
        <f>TEXT(DATE(2023,Table43[[#This Row],[Month]],1),"mmm")</f>
        <v>Dec</v>
      </c>
      <c r="P475" s="25"/>
      <c r="Q475" s="25"/>
    </row>
    <row r="476" spans="1:17" x14ac:dyDescent="0.3">
      <c r="A476" s="6">
        <v>475</v>
      </c>
      <c r="B476" s="7">
        <v>44988</v>
      </c>
      <c r="C476" s="8" t="s">
        <v>30</v>
      </c>
      <c r="D476" s="8" t="s">
        <v>16</v>
      </c>
      <c r="E476" s="8" t="s">
        <v>20</v>
      </c>
      <c r="F476" s="8" t="s">
        <v>24</v>
      </c>
      <c r="G476" s="8" t="s">
        <v>25</v>
      </c>
      <c r="H476" s="9">
        <v>14023.91</v>
      </c>
      <c r="I476" s="8">
        <v>7</v>
      </c>
      <c r="J476" s="10">
        <v>1687.3</v>
      </c>
      <c r="K476" s="14" t="str" cm="1">
        <f t="array" ref="K476">_xlfn.IFS(Table43[[#This Row],[Sales]]&gt;40000,"Best Sales",Table43[[#This Row],[Sales]]&gt;20000,"Average Sales",Table43[[#This Row],[Sales]]&gt;0,"Poor Sales")</f>
        <v>Poor Sales</v>
      </c>
      <c r="L476" s="23">
        <f>YEAR(Table43[[#This Row],[Date]])</f>
        <v>2023</v>
      </c>
      <c r="M476" s="23">
        <f>MONTH(Table43[[#This Row],[Date]])</f>
        <v>3</v>
      </c>
      <c r="N476" s="25">
        <f>DAY(Table43[[#This Row],[Date]])</f>
        <v>3</v>
      </c>
      <c r="O476" s="25" t="str">
        <f>TEXT(DATE(2023,Table43[[#This Row],[Month]],1),"mmm")</f>
        <v>Mar</v>
      </c>
      <c r="P476" s="25"/>
      <c r="Q476" s="25"/>
    </row>
    <row r="477" spans="1:17" x14ac:dyDescent="0.3">
      <c r="A477" s="11">
        <v>476</v>
      </c>
      <c r="B477" s="12">
        <v>45029</v>
      </c>
      <c r="C477" s="13" t="s">
        <v>18</v>
      </c>
      <c r="D477" s="13" t="s">
        <v>19</v>
      </c>
      <c r="E477" s="13" t="s">
        <v>12</v>
      </c>
      <c r="F477" s="13" t="s">
        <v>24</v>
      </c>
      <c r="G477" s="13" t="s">
        <v>29</v>
      </c>
      <c r="H477" s="14">
        <v>16267.75</v>
      </c>
      <c r="I477" s="13">
        <v>3</v>
      </c>
      <c r="J477" s="15">
        <v>3928.17</v>
      </c>
      <c r="K477" s="14" t="str" cm="1">
        <f t="array" ref="K477">_xlfn.IFS(Table43[[#This Row],[Sales]]&gt;40000,"Best Sales",Table43[[#This Row],[Sales]]&gt;20000,"Average Sales",Table43[[#This Row],[Sales]]&gt;0,"Poor Sales")</f>
        <v>Poor Sales</v>
      </c>
      <c r="L477" s="23">
        <f>YEAR(Table43[[#This Row],[Date]])</f>
        <v>2023</v>
      </c>
      <c r="M477" s="23">
        <f>MONTH(Table43[[#This Row],[Date]])</f>
        <v>4</v>
      </c>
      <c r="N477" s="25">
        <f>DAY(Table43[[#This Row],[Date]])</f>
        <v>13</v>
      </c>
      <c r="O477" s="25" t="str">
        <f>TEXT(DATE(2023,Table43[[#This Row],[Month]],1),"mmm")</f>
        <v>Apr</v>
      </c>
      <c r="P477" s="25"/>
      <c r="Q477" s="25"/>
    </row>
    <row r="478" spans="1:17" x14ac:dyDescent="0.3">
      <c r="A478" s="6">
        <v>477</v>
      </c>
      <c r="B478" s="7">
        <v>45129</v>
      </c>
      <c r="C478" s="8" t="s">
        <v>38</v>
      </c>
      <c r="D478" s="8" t="s">
        <v>27</v>
      </c>
      <c r="E478" s="8" t="s">
        <v>17</v>
      </c>
      <c r="F478" s="8" t="s">
        <v>31</v>
      </c>
      <c r="G478" s="8" t="s">
        <v>39</v>
      </c>
      <c r="H478" s="9">
        <v>17638.95</v>
      </c>
      <c r="I478" s="8">
        <v>1</v>
      </c>
      <c r="J478" s="10">
        <v>5267.64</v>
      </c>
      <c r="K478" s="14" t="str" cm="1">
        <f t="array" ref="K478">_xlfn.IFS(Table43[[#This Row],[Sales]]&gt;40000,"Best Sales",Table43[[#This Row],[Sales]]&gt;20000,"Average Sales",Table43[[#This Row],[Sales]]&gt;0,"Poor Sales")</f>
        <v>Poor Sales</v>
      </c>
      <c r="L478" s="23">
        <f>YEAR(Table43[[#This Row],[Date]])</f>
        <v>2023</v>
      </c>
      <c r="M478" s="23">
        <f>MONTH(Table43[[#This Row],[Date]])</f>
        <v>7</v>
      </c>
      <c r="N478" s="25">
        <f>DAY(Table43[[#This Row],[Date]])</f>
        <v>22</v>
      </c>
      <c r="O478" s="25" t="str">
        <f>TEXT(DATE(2023,Table43[[#This Row],[Month]],1),"mmm")</f>
        <v>Jul</v>
      </c>
      <c r="P478" s="25"/>
      <c r="Q478" s="25"/>
    </row>
    <row r="479" spans="1:17" x14ac:dyDescent="0.3">
      <c r="A479" s="11">
        <v>478</v>
      </c>
      <c r="B479" s="12">
        <v>45019</v>
      </c>
      <c r="C479" s="13" t="s">
        <v>35</v>
      </c>
      <c r="D479" s="13" t="s">
        <v>36</v>
      </c>
      <c r="E479" s="13" t="s">
        <v>12</v>
      </c>
      <c r="F479" s="13" t="s">
        <v>31</v>
      </c>
      <c r="G479" s="13" t="s">
        <v>39</v>
      </c>
      <c r="H479" s="14">
        <v>4634.8100000000004</v>
      </c>
      <c r="I479" s="13">
        <v>5</v>
      </c>
      <c r="J479" s="15">
        <v>1129.28</v>
      </c>
      <c r="K479" s="14" t="str" cm="1">
        <f t="array" ref="K479">_xlfn.IFS(Table43[[#This Row],[Sales]]&gt;40000,"Best Sales",Table43[[#This Row],[Sales]]&gt;20000,"Average Sales",Table43[[#This Row],[Sales]]&gt;0,"Poor Sales")</f>
        <v>Poor Sales</v>
      </c>
      <c r="L479" s="23">
        <f>YEAR(Table43[[#This Row],[Date]])</f>
        <v>2023</v>
      </c>
      <c r="M479" s="23">
        <f>MONTH(Table43[[#This Row],[Date]])</f>
        <v>4</v>
      </c>
      <c r="N479" s="25">
        <f>DAY(Table43[[#This Row],[Date]])</f>
        <v>3</v>
      </c>
      <c r="O479" s="25" t="str">
        <f>TEXT(DATE(2023,Table43[[#This Row],[Month]],1),"mmm")</f>
        <v>Apr</v>
      </c>
      <c r="P479" s="25"/>
      <c r="Q479" s="25"/>
    </row>
    <row r="480" spans="1:17" x14ac:dyDescent="0.3">
      <c r="A480" s="6">
        <v>479</v>
      </c>
      <c r="B480" s="7">
        <v>44994</v>
      </c>
      <c r="C480" s="8" t="s">
        <v>38</v>
      </c>
      <c r="D480" s="8" t="s">
        <v>27</v>
      </c>
      <c r="E480" s="8" t="s">
        <v>17</v>
      </c>
      <c r="F480" s="8" t="s">
        <v>31</v>
      </c>
      <c r="G480" s="8" t="s">
        <v>32</v>
      </c>
      <c r="H480" s="9">
        <v>38025.67</v>
      </c>
      <c r="I480" s="8">
        <v>8</v>
      </c>
      <c r="J480" s="10">
        <v>2827.8</v>
      </c>
      <c r="K480" s="14" t="str" cm="1">
        <f t="array" ref="K480">_xlfn.IFS(Table43[[#This Row],[Sales]]&gt;40000,"Best Sales",Table43[[#This Row],[Sales]]&gt;20000,"Average Sales",Table43[[#This Row],[Sales]]&gt;0,"Poor Sales")</f>
        <v>Average Sales</v>
      </c>
      <c r="L480" s="23">
        <f>YEAR(Table43[[#This Row],[Date]])</f>
        <v>2023</v>
      </c>
      <c r="M480" s="23">
        <f>MONTH(Table43[[#This Row],[Date]])</f>
        <v>3</v>
      </c>
      <c r="N480" s="25">
        <f>DAY(Table43[[#This Row],[Date]])</f>
        <v>9</v>
      </c>
      <c r="O480" s="25" t="str">
        <f>TEXT(DATE(2023,Table43[[#This Row],[Month]],1),"mmm")</f>
        <v>Mar</v>
      </c>
      <c r="P480" s="25"/>
      <c r="Q480" s="25"/>
    </row>
    <row r="481" spans="1:17" x14ac:dyDescent="0.3">
      <c r="A481" s="11">
        <v>480</v>
      </c>
      <c r="B481" s="12">
        <v>45024</v>
      </c>
      <c r="C481" s="13" t="s">
        <v>38</v>
      </c>
      <c r="D481" s="13" t="s">
        <v>27</v>
      </c>
      <c r="E481" s="13" t="s">
        <v>20</v>
      </c>
      <c r="F481" s="13" t="s">
        <v>13</v>
      </c>
      <c r="G481" s="13" t="s">
        <v>34</v>
      </c>
      <c r="H481" s="14">
        <v>2127.65</v>
      </c>
      <c r="I481" s="13">
        <v>9</v>
      </c>
      <c r="J481" s="15">
        <v>181.46</v>
      </c>
      <c r="K481" s="14" t="str" cm="1">
        <f t="array" ref="K481">_xlfn.IFS(Table43[[#This Row],[Sales]]&gt;40000,"Best Sales",Table43[[#This Row],[Sales]]&gt;20000,"Average Sales",Table43[[#This Row],[Sales]]&gt;0,"Poor Sales")</f>
        <v>Poor Sales</v>
      </c>
      <c r="L481" s="23">
        <f>YEAR(Table43[[#This Row],[Date]])</f>
        <v>2023</v>
      </c>
      <c r="M481" s="23">
        <f>MONTH(Table43[[#This Row],[Date]])</f>
        <v>4</v>
      </c>
      <c r="N481" s="25">
        <f>DAY(Table43[[#This Row],[Date]])</f>
        <v>8</v>
      </c>
      <c r="O481" s="25" t="str">
        <f>TEXT(DATE(2023,Table43[[#This Row],[Month]],1),"mmm")</f>
        <v>Apr</v>
      </c>
      <c r="P481" s="25"/>
      <c r="Q481" s="25"/>
    </row>
    <row r="482" spans="1:17" x14ac:dyDescent="0.3">
      <c r="A482" s="6">
        <v>481</v>
      </c>
      <c r="B482" s="7">
        <v>44936</v>
      </c>
      <c r="C482" s="8" t="s">
        <v>37</v>
      </c>
      <c r="D482" s="8" t="s">
        <v>27</v>
      </c>
      <c r="E482" s="8" t="s">
        <v>20</v>
      </c>
      <c r="F482" s="8" t="s">
        <v>31</v>
      </c>
      <c r="G482" s="8" t="s">
        <v>33</v>
      </c>
      <c r="H482" s="9">
        <v>45815.93</v>
      </c>
      <c r="I482" s="8">
        <v>8</v>
      </c>
      <c r="J482" s="10">
        <v>2496.91</v>
      </c>
      <c r="K482" s="14" t="str" cm="1">
        <f t="array" ref="K482">_xlfn.IFS(Table43[[#This Row],[Sales]]&gt;40000,"Best Sales",Table43[[#This Row],[Sales]]&gt;20000,"Average Sales",Table43[[#This Row],[Sales]]&gt;0,"Poor Sales")</f>
        <v>Best Sales</v>
      </c>
      <c r="L482" s="23">
        <f>YEAR(Table43[[#This Row],[Date]])</f>
        <v>2023</v>
      </c>
      <c r="M482" s="23">
        <f>MONTH(Table43[[#This Row],[Date]])</f>
        <v>1</v>
      </c>
      <c r="N482" s="25">
        <f>DAY(Table43[[#This Row],[Date]])</f>
        <v>10</v>
      </c>
      <c r="O482" s="25" t="str">
        <f>TEXT(DATE(2023,Table43[[#This Row],[Month]],1),"mmm")</f>
        <v>Jan</v>
      </c>
      <c r="P482" s="25"/>
      <c r="Q482" s="25"/>
    </row>
    <row r="483" spans="1:17" x14ac:dyDescent="0.3">
      <c r="A483" s="11">
        <v>482</v>
      </c>
      <c r="B483" s="12">
        <v>45291</v>
      </c>
      <c r="C483" s="13" t="s">
        <v>22</v>
      </c>
      <c r="D483" s="13" t="s">
        <v>22</v>
      </c>
      <c r="E483" s="13" t="s">
        <v>12</v>
      </c>
      <c r="F483" s="13" t="s">
        <v>13</v>
      </c>
      <c r="G483" s="13" t="s">
        <v>14</v>
      </c>
      <c r="H483" s="14">
        <v>15944.17</v>
      </c>
      <c r="I483" s="13">
        <v>3</v>
      </c>
      <c r="J483" s="15">
        <v>1241.5</v>
      </c>
      <c r="K483" s="14" t="str" cm="1">
        <f t="array" ref="K483">_xlfn.IFS(Table43[[#This Row],[Sales]]&gt;40000,"Best Sales",Table43[[#This Row],[Sales]]&gt;20000,"Average Sales",Table43[[#This Row],[Sales]]&gt;0,"Poor Sales")</f>
        <v>Poor Sales</v>
      </c>
      <c r="L483" s="23">
        <f>YEAR(Table43[[#This Row],[Date]])</f>
        <v>2023</v>
      </c>
      <c r="M483" s="23">
        <f>MONTH(Table43[[#This Row],[Date]])</f>
        <v>12</v>
      </c>
      <c r="N483" s="25">
        <f>DAY(Table43[[#This Row],[Date]])</f>
        <v>31</v>
      </c>
      <c r="O483" s="25" t="str">
        <f>TEXT(DATE(2023,Table43[[#This Row],[Month]],1),"mmm")</f>
        <v>Dec</v>
      </c>
      <c r="P483" s="25"/>
      <c r="Q483" s="25"/>
    </row>
    <row r="484" spans="1:17" x14ac:dyDescent="0.3">
      <c r="A484" s="6">
        <v>483</v>
      </c>
      <c r="B484" s="7">
        <v>45127</v>
      </c>
      <c r="C484" s="8" t="s">
        <v>30</v>
      </c>
      <c r="D484" s="8" t="s">
        <v>16</v>
      </c>
      <c r="E484" s="8" t="s">
        <v>17</v>
      </c>
      <c r="F484" s="8" t="s">
        <v>31</v>
      </c>
      <c r="G484" s="8" t="s">
        <v>39</v>
      </c>
      <c r="H484" s="9">
        <v>13865.4</v>
      </c>
      <c r="I484" s="8">
        <v>7</v>
      </c>
      <c r="J484" s="10">
        <v>1146.8599999999999</v>
      </c>
      <c r="K484" s="14" t="str" cm="1">
        <f t="array" ref="K484">_xlfn.IFS(Table43[[#This Row],[Sales]]&gt;40000,"Best Sales",Table43[[#This Row],[Sales]]&gt;20000,"Average Sales",Table43[[#This Row],[Sales]]&gt;0,"Poor Sales")</f>
        <v>Poor Sales</v>
      </c>
      <c r="L484" s="23">
        <f>YEAR(Table43[[#This Row],[Date]])</f>
        <v>2023</v>
      </c>
      <c r="M484" s="23">
        <f>MONTH(Table43[[#This Row],[Date]])</f>
        <v>7</v>
      </c>
      <c r="N484" s="25">
        <f>DAY(Table43[[#This Row],[Date]])</f>
        <v>20</v>
      </c>
      <c r="O484" s="25" t="str">
        <f>TEXT(DATE(2023,Table43[[#This Row],[Month]],1),"mmm")</f>
        <v>Jul</v>
      </c>
      <c r="P484" s="25"/>
      <c r="Q484" s="25"/>
    </row>
    <row r="485" spans="1:17" x14ac:dyDescent="0.3">
      <c r="A485" s="11">
        <v>484</v>
      </c>
      <c r="B485" s="12">
        <v>45219</v>
      </c>
      <c r="C485" s="13" t="s">
        <v>10</v>
      </c>
      <c r="D485" s="13" t="s">
        <v>11</v>
      </c>
      <c r="E485" s="13" t="s">
        <v>12</v>
      </c>
      <c r="F485" s="13" t="s">
        <v>31</v>
      </c>
      <c r="G485" s="13" t="s">
        <v>33</v>
      </c>
      <c r="H485" s="14">
        <v>49401.07</v>
      </c>
      <c r="I485" s="13">
        <v>7</v>
      </c>
      <c r="J485" s="15">
        <v>13668.97</v>
      </c>
      <c r="K485" s="14" t="str" cm="1">
        <f t="array" ref="K485">_xlfn.IFS(Table43[[#This Row],[Sales]]&gt;40000,"Best Sales",Table43[[#This Row],[Sales]]&gt;20000,"Average Sales",Table43[[#This Row],[Sales]]&gt;0,"Poor Sales")</f>
        <v>Best Sales</v>
      </c>
      <c r="L485" s="23">
        <f>YEAR(Table43[[#This Row],[Date]])</f>
        <v>2023</v>
      </c>
      <c r="M485" s="23">
        <f>MONTH(Table43[[#This Row],[Date]])</f>
        <v>10</v>
      </c>
      <c r="N485" s="25">
        <f>DAY(Table43[[#This Row],[Date]])</f>
        <v>20</v>
      </c>
      <c r="O485" s="25" t="str">
        <f>TEXT(DATE(2023,Table43[[#This Row],[Month]],1),"mmm")</f>
        <v>Oct</v>
      </c>
      <c r="P485" s="25"/>
      <c r="Q485" s="25"/>
    </row>
    <row r="486" spans="1:17" x14ac:dyDescent="0.3">
      <c r="A486" s="6">
        <v>485</v>
      </c>
      <c r="B486" s="7">
        <v>45222</v>
      </c>
      <c r="C486" s="8" t="s">
        <v>38</v>
      </c>
      <c r="D486" s="8" t="s">
        <v>27</v>
      </c>
      <c r="E486" s="8" t="s">
        <v>17</v>
      </c>
      <c r="F486" s="8" t="s">
        <v>24</v>
      </c>
      <c r="G486" s="8" t="s">
        <v>28</v>
      </c>
      <c r="H486" s="9">
        <v>6564.48</v>
      </c>
      <c r="I486" s="8">
        <v>1</v>
      </c>
      <c r="J486" s="10">
        <v>522.54999999999995</v>
      </c>
      <c r="K486" s="14" t="str" cm="1">
        <f t="array" ref="K486">_xlfn.IFS(Table43[[#This Row],[Sales]]&gt;40000,"Best Sales",Table43[[#This Row],[Sales]]&gt;20000,"Average Sales",Table43[[#This Row],[Sales]]&gt;0,"Poor Sales")</f>
        <v>Poor Sales</v>
      </c>
      <c r="L486" s="23">
        <f>YEAR(Table43[[#This Row],[Date]])</f>
        <v>2023</v>
      </c>
      <c r="M486" s="23">
        <f>MONTH(Table43[[#This Row],[Date]])</f>
        <v>10</v>
      </c>
      <c r="N486" s="25">
        <f>DAY(Table43[[#This Row],[Date]])</f>
        <v>23</v>
      </c>
      <c r="O486" s="25" t="str">
        <f>TEXT(DATE(2023,Table43[[#This Row],[Month]],1),"mmm")</f>
        <v>Oct</v>
      </c>
      <c r="P486" s="25"/>
      <c r="Q486" s="25"/>
    </row>
    <row r="487" spans="1:17" x14ac:dyDescent="0.3">
      <c r="A487" s="11">
        <v>486</v>
      </c>
      <c r="B487" s="12">
        <v>45109</v>
      </c>
      <c r="C487" s="13" t="s">
        <v>37</v>
      </c>
      <c r="D487" s="13" t="s">
        <v>27</v>
      </c>
      <c r="E487" s="13" t="s">
        <v>20</v>
      </c>
      <c r="F487" s="13" t="s">
        <v>13</v>
      </c>
      <c r="G487" s="13" t="s">
        <v>14</v>
      </c>
      <c r="H487" s="14">
        <v>5283.9</v>
      </c>
      <c r="I487" s="13">
        <v>9</v>
      </c>
      <c r="J487" s="15">
        <v>1226.3399999999999</v>
      </c>
      <c r="K487" s="14" t="str" cm="1">
        <f t="array" ref="K487">_xlfn.IFS(Table43[[#This Row],[Sales]]&gt;40000,"Best Sales",Table43[[#This Row],[Sales]]&gt;20000,"Average Sales",Table43[[#This Row],[Sales]]&gt;0,"Poor Sales")</f>
        <v>Poor Sales</v>
      </c>
      <c r="L487" s="23">
        <f>YEAR(Table43[[#This Row],[Date]])</f>
        <v>2023</v>
      </c>
      <c r="M487" s="23">
        <f>MONTH(Table43[[#This Row],[Date]])</f>
        <v>7</v>
      </c>
      <c r="N487" s="25">
        <f>DAY(Table43[[#This Row],[Date]])</f>
        <v>2</v>
      </c>
      <c r="O487" s="25" t="str">
        <f>TEXT(DATE(2023,Table43[[#This Row],[Month]],1),"mmm")</f>
        <v>Jul</v>
      </c>
      <c r="P487" s="25"/>
      <c r="Q487" s="25"/>
    </row>
    <row r="488" spans="1:17" x14ac:dyDescent="0.3">
      <c r="A488" s="6">
        <v>487</v>
      </c>
      <c r="B488" s="7">
        <v>45011</v>
      </c>
      <c r="C488" s="8" t="s">
        <v>15</v>
      </c>
      <c r="D488" s="8" t="s">
        <v>16</v>
      </c>
      <c r="E488" s="8" t="s">
        <v>20</v>
      </c>
      <c r="F488" s="8" t="s">
        <v>24</v>
      </c>
      <c r="G488" s="8" t="s">
        <v>29</v>
      </c>
      <c r="H488" s="9">
        <v>36607.199999999997</v>
      </c>
      <c r="I488" s="8">
        <v>7</v>
      </c>
      <c r="J488" s="10">
        <v>3454.39</v>
      </c>
      <c r="K488" s="14" t="str" cm="1">
        <f t="array" ref="K488">_xlfn.IFS(Table43[[#This Row],[Sales]]&gt;40000,"Best Sales",Table43[[#This Row],[Sales]]&gt;20000,"Average Sales",Table43[[#This Row],[Sales]]&gt;0,"Poor Sales")</f>
        <v>Average Sales</v>
      </c>
      <c r="L488" s="23">
        <f>YEAR(Table43[[#This Row],[Date]])</f>
        <v>2023</v>
      </c>
      <c r="M488" s="23">
        <f>MONTH(Table43[[#This Row],[Date]])</f>
        <v>3</v>
      </c>
      <c r="N488" s="25">
        <f>DAY(Table43[[#This Row],[Date]])</f>
        <v>26</v>
      </c>
      <c r="O488" s="25" t="str">
        <f>TEXT(DATE(2023,Table43[[#This Row],[Month]],1),"mmm")</f>
        <v>Mar</v>
      </c>
      <c r="P488" s="25"/>
      <c r="Q488" s="25"/>
    </row>
    <row r="489" spans="1:17" x14ac:dyDescent="0.3">
      <c r="A489" s="11">
        <v>488</v>
      </c>
      <c r="B489" s="12">
        <v>44986</v>
      </c>
      <c r="C489" s="13" t="s">
        <v>37</v>
      </c>
      <c r="D489" s="13" t="s">
        <v>27</v>
      </c>
      <c r="E489" s="13" t="s">
        <v>12</v>
      </c>
      <c r="F489" s="13" t="s">
        <v>24</v>
      </c>
      <c r="G489" s="13" t="s">
        <v>28</v>
      </c>
      <c r="H489" s="14">
        <v>17654.32</v>
      </c>
      <c r="I489" s="13">
        <v>9</v>
      </c>
      <c r="J489" s="15">
        <v>1231.93</v>
      </c>
      <c r="K489" s="14" t="str" cm="1">
        <f t="array" ref="K489">_xlfn.IFS(Table43[[#This Row],[Sales]]&gt;40000,"Best Sales",Table43[[#This Row],[Sales]]&gt;20000,"Average Sales",Table43[[#This Row],[Sales]]&gt;0,"Poor Sales")</f>
        <v>Poor Sales</v>
      </c>
      <c r="L489" s="23">
        <f>YEAR(Table43[[#This Row],[Date]])</f>
        <v>2023</v>
      </c>
      <c r="M489" s="23">
        <f>MONTH(Table43[[#This Row],[Date]])</f>
        <v>3</v>
      </c>
      <c r="N489" s="25">
        <f>DAY(Table43[[#This Row],[Date]])</f>
        <v>1</v>
      </c>
      <c r="O489" s="25" t="str">
        <f>TEXT(DATE(2023,Table43[[#This Row],[Month]],1),"mmm")</f>
        <v>Mar</v>
      </c>
      <c r="P489" s="25"/>
      <c r="Q489" s="25"/>
    </row>
    <row r="490" spans="1:17" x14ac:dyDescent="0.3">
      <c r="A490" s="6">
        <v>489</v>
      </c>
      <c r="B490" s="7">
        <v>45143</v>
      </c>
      <c r="C490" s="8" t="s">
        <v>26</v>
      </c>
      <c r="D490" s="8" t="s">
        <v>27</v>
      </c>
      <c r="E490" s="8" t="s">
        <v>17</v>
      </c>
      <c r="F490" s="8" t="s">
        <v>31</v>
      </c>
      <c r="G490" s="8" t="s">
        <v>39</v>
      </c>
      <c r="H490" s="9">
        <v>9433.0400000000009</v>
      </c>
      <c r="I490" s="8">
        <v>8</v>
      </c>
      <c r="J490" s="10">
        <v>2046</v>
      </c>
      <c r="K490" s="14" t="str" cm="1">
        <f t="array" ref="K490">_xlfn.IFS(Table43[[#This Row],[Sales]]&gt;40000,"Best Sales",Table43[[#This Row],[Sales]]&gt;20000,"Average Sales",Table43[[#This Row],[Sales]]&gt;0,"Poor Sales")</f>
        <v>Poor Sales</v>
      </c>
      <c r="L490" s="23">
        <f>YEAR(Table43[[#This Row],[Date]])</f>
        <v>2023</v>
      </c>
      <c r="M490" s="23">
        <f>MONTH(Table43[[#This Row],[Date]])</f>
        <v>8</v>
      </c>
      <c r="N490" s="25">
        <f>DAY(Table43[[#This Row],[Date]])</f>
        <v>5</v>
      </c>
      <c r="O490" s="25" t="str">
        <f>TEXT(DATE(2023,Table43[[#This Row],[Month]],1),"mmm")</f>
        <v>Aug</v>
      </c>
      <c r="P490" s="25"/>
      <c r="Q490" s="25"/>
    </row>
    <row r="491" spans="1:17" x14ac:dyDescent="0.3">
      <c r="A491" s="11">
        <v>490</v>
      </c>
      <c r="B491" s="12">
        <v>45217</v>
      </c>
      <c r="C491" s="13" t="s">
        <v>37</v>
      </c>
      <c r="D491" s="13" t="s">
        <v>27</v>
      </c>
      <c r="E491" s="13" t="s">
        <v>12</v>
      </c>
      <c r="F491" s="13" t="s">
        <v>24</v>
      </c>
      <c r="G491" s="13" t="s">
        <v>28</v>
      </c>
      <c r="H491" s="14">
        <v>2839.73</v>
      </c>
      <c r="I491" s="13">
        <v>9</v>
      </c>
      <c r="J491" s="15">
        <v>780.48</v>
      </c>
      <c r="K491" s="14" t="str" cm="1">
        <f t="array" ref="K491">_xlfn.IFS(Table43[[#This Row],[Sales]]&gt;40000,"Best Sales",Table43[[#This Row],[Sales]]&gt;20000,"Average Sales",Table43[[#This Row],[Sales]]&gt;0,"Poor Sales")</f>
        <v>Poor Sales</v>
      </c>
      <c r="L491" s="23">
        <f>YEAR(Table43[[#This Row],[Date]])</f>
        <v>2023</v>
      </c>
      <c r="M491" s="23">
        <f>MONTH(Table43[[#This Row],[Date]])</f>
        <v>10</v>
      </c>
      <c r="N491" s="25">
        <f>DAY(Table43[[#This Row],[Date]])</f>
        <v>18</v>
      </c>
      <c r="O491" s="25" t="str">
        <f>TEXT(DATE(2023,Table43[[#This Row],[Month]],1),"mmm")</f>
        <v>Oct</v>
      </c>
      <c r="P491" s="25"/>
      <c r="Q491" s="25"/>
    </row>
    <row r="492" spans="1:17" x14ac:dyDescent="0.3">
      <c r="A492" s="6">
        <v>491</v>
      </c>
      <c r="B492" s="7">
        <v>45187</v>
      </c>
      <c r="C492" s="8" t="s">
        <v>26</v>
      </c>
      <c r="D492" s="8" t="s">
        <v>27</v>
      </c>
      <c r="E492" s="8" t="s">
        <v>17</v>
      </c>
      <c r="F492" s="8" t="s">
        <v>31</v>
      </c>
      <c r="G492" s="8" t="s">
        <v>39</v>
      </c>
      <c r="H492" s="9">
        <v>37729.72</v>
      </c>
      <c r="I492" s="8">
        <v>8</v>
      </c>
      <c r="J492" s="10">
        <v>7417.54</v>
      </c>
      <c r="K492" s="14" t="str" cm="1">
        <f t="array" ref="K492">_xlfn.IFS(Table43[[#This Row],[Sales]]&gt;40000,"Best Sales",Table43[[#This Row],[Sales]]&gt;20000,"Average Sales",Table43[[#This Row],[Sales]]&gt;0,"Poor Sales")</f>
        <v>Average Sales</v>
      </c>
      <c r="L492" s="23">
        <f>YEAR(Table43[[#This Row],[Date]])</f>
        <v>2023</v>
      </c>
      <c r="M492" s="23">
        <f>MONTH(Table43[[#This Row],[Date]])</f>
        <v>9</v>
      </c>
      <c r="N492" s="25">
        <f>DAY(Table43[[#This Row],[Date]])</f>
        <v>18</v>
      </c>
      <c r="O492" s="25" t="str">
        <f>TEXT(DATE(2023,Table43[[#This Row],[Month]],1),"mmm")</f>
        <v>Sep</v>
      </c>
      <c r="P492" s="25"/>
      <c r="Q492" s="25"/>
    </row>
    <row r="493" spans="1:17" x14ac:dyDescent="0.3">
      <c r="A493" s="11">
        <v>492</v>
      </c>
      <c r="B493" s="12">
        <v>45082</v>
      </c>
      <c r="C493" s="13" t="s">
        <v>35</v>
      </c>
      <c r="D493" s="13" t="s">
        <v>36</v>
      </c>
      <c r="E493" s="13" t="s">
        <v>20</v>
      </c>
      <c r="F493" s="13" t="s">
        <v>13</v>
      </c>
      <c r="G493" s="13" t="s">
        <v>14</v>
      </c>
      <c r="H493" s="14">
        <v>42195.65</v>
      </c>
      <c r="I493" s="13">
        <v>8</v>
      </c>
      <c r="J493" s="15">
        <v>7879.74</v>
      </c>
      <c r="K493" s="14" t="str" cm="1">
        <f t="array" ref="K493">_xlfn.IFS(Table43[[#This Row],[Sales]]&gt;40000,"Best Sales",Table43[[#This Row],[Sales]]&gt;20000,"Average Sales",Table43[[#This Row],[Sales]]&gt;0,"Poor Sales")</f>
        <v>Best Sales</v>
      </c>
      <c r="L493" s="23">
        <f>YEAR(Table43[[#This Row],[Date]])</f>
        <v>2023</v>
      </c>
      <c r="M493" s="23">
        <f>MONTH(Table43[[#This Row],[Date]])</f>
        <v>6</v>
      </c>
      <c r="N493" s="25">
        <f>DAY(Table43[[#This Row],[Date]])</f>
        <v>5</v>
      </c>
      <c r="O493" s="25" t="str">
        <f>TEXT(DATE(2023,Table43[[#This Row],[Month]],1),"mmm")</f>
        <v>Jun</v>
      </c>
      <c r="P493" s="25"/>
      <c r="Q493" s="25"/>
    </row>
    <row r="494" spans="1:17" x14ac:dyDescent="0.3">
      <c r="A494" s="6">
        <v>493</v>
      </c>
      <c r="B494" s="7">
        <v>45163</v>
      </c>
      <c r="C494" s="8" t="s">
        <v>18</v>
      </c>
      <c r="D494" s="8" t="s">
        <v>19</v>
      </c>
      <c r="E494" s="8" t="s">
        <v>20</v>
      </c>
      <c r="F494" s="8" t="s">
        <v>24</v>
      </c>
      <c r="G494" s="8" t="s">
        <v>28</v>
      </c>
      <c r="H494" s="9">
        <v>43878.42</v>
      </c>
      <c r="I494" s="8">
        <v>7</v>
      </c>
      <c r="J494" s="10">
        <v>6784.49</v>
      </c>
      <c r="K494" s="14" t="str" cm="1">
        <f t="array" ref="K494">_xlfn.IFS(Table43[[#This Row],[Sales]]&gt;40000,"Best Sales",Table43[[#This Row],[Sales]]&gt;20000,"Average Sales",Table43[[#This Row],[Sales]]&gt;0,"Poor Sales")</f>
        <v>Best Sales</v>
      </c>
      <c r="L494" s="23">
        <f>YEAR(Table43[[#This Row],[Date]])</f>
        <v>2023</v>
      </c>
      <c r="M494" s="23">
        <f>MONTH(Table43[[#This Row],[Date]])</f>
        <v>8</v>
      </c>
      <c r="N494" s="25">
        <f>DAY(Table43[[#This Row],[Date]])</f>
        <v>25</v>
      </c>
      <c r="O494" s="25" t="str">
        <f>TEXT(DATE(2023,Table43[[#This Row],[Month]],1),"mmm")</f>
        <v>Aug</v>
      </c>
      <c r="P494" s="25"/>
      <c r="Q494" s="25"/>
    </row>
    <row r="495" spans="1:17" x14ac:dyDescent="0.3">
      <c r="A495" s="11">
        <v>494</v>
      </c>
      <c r="B495" s="12">
        <v>45203</v>
      </c>
      <c r="C495" s="13" t="s">
        <v>22</v>
      </c>
      <c r="D495" s="13" t="s">
        <v>22</v>
      </c>
      <c r="E495" s="13" t="s">
        <v>12</v>
      </c>
      <c r="F495" s="13" t="s">
        <v>24</v>
      </c>
      <c r="G495" s="13" t="s">
        <v>29</v>
      </c>
      <c r="H495" s="14">
        <v>38660.239999999998</v>
      </c>
      <c r="I495" s="13">
        <v>10</v>
      </c>
      <c r="J495" s="15">
        <v>4376.5</v>
      </c>
      <c r="K495" s="14" t="str" cm="1">
        <f t="array" ref="K495">_xlfn.IFS(Table43[[#This Row],[Sales]]&gt;40000,"Best Sales",Table43[[#This Row],[Sales]]&gt;20000,"Average Sales",Table43[[#This Row],[Sales]]&gt;0,"Poor Sales")</f>
        <v>Average Sales</v>
      </c>
      <c r="L495" s="23">
        <f>YEAR(Table43[[#This Row],[Date]])</f>
        <v>2023</v>
      </c>
      <c r="M495" s="23">
        <f>MONTH(Table43[[#This Row],[Date]])</f>
        <v>10</v>
      </c>
      <c r="N495" s="25">
        <f>DAY(Table43[[#This Row],[Date]])</f>
        <v>4</v>
      </c>
      <c r="O495" s="25" t="str">
        <f>TEXT(DATE(2023,Table43[[#This Row],[Month]],1),"mmm")</f>
        <v>Oct</v>
      </c>
      <c r="P495" s="25"/>
      <c r="Q495" s="25"/>
    </row>
    <row r="496" spans="1:17" x14ac:dyDescent="0.3">
      <c r="A496" s="6">
        <v>495</v>
      </c>
      <c r="B496" s="7">
        <v>45086</v>
      </c>
      <c r="C496" s="8" t="s">
        <v>38</v>
      </c>
      <c r="D496" s="8" t="s">
        <v>27</v>
      </c>
      <c r="E496" s="8" t="s">
        <v>17</v>
      </c>
      <c r="F496" s="8" t="s">
        <v>31</v>
      </c>
      <c r="G496" s="8" t="s">
        <v>32</v>
      </c>
      <c r="H496" s="9">
        <v>21116.26</v>
      </c>
      <c r="I496" s="8">
        <v>4</v>
      </c>
      <c r="J496" s="10">
        <v>5256.29</v>
      </c>
      <c r="K496" s="14" t="str" cm="1">
        <f t="array" ref="K496">_xlfn.IFS(Table43[[#This Row],[Sales]]&gt;40000,"Best Sales",Table43[[#This Row],[Sales]]&gt;20000,"Average Sales",Table43[[#This Row],[Sales]]&gt;0,"Poor Sales")</f>
        <v>Average Sales</v>
      </c>
      <c r="L496" s="23">
        <f>YEAR(Table43[[#This Row],[Date]])</f>
        <v>2023</v>
      </c>
      <c r="M496" s="23">
        <f>MONTH(Table43[[#This Row],[Date]])</f>
        <v>6</v>
      </c>
      <c r="N496" s="25">
        <f>DAY(Table43[[#This Row],[Date]])</f>
        <v>9</v>
      </c>
      <c r="O496" s="25" t="str">
        <f>TEXT(DATE(2023,Table43[[#This Row],[Month]],1),"mmm")</f>
        <v>Jun</v>
      </c>
      <c r="P496" s="25"/>
      <c r="Q496" s="25"/>
    </row>
    <row r="497" spans="1:17" x14ac:dyDescent="0.3">
      <c r="A497" s="11">
        <v>496</v>
      </c>
      <c r="B497" s="12">
        <v>45079</v>
      </c>
      <c r="C497" s="13" t="s">
        <v>38</v>
      </c>
      <c r="D497" s="13" t="s">
        <v>27</v>
      </c>
      <c r="E497" s="13" t="s">
        <v>12</v>
      </c>
      <c r="F497" s="13" t="s">
        <v>24</v>
      </c>
      <c r="G497" s="13" t="s">
        <v>29</v>
      </c>
      <c r="H497" s="14">
        <v>4757.99</v>
      </c>
      <c r="I497" s="13">
        <v>10</v>
      </c>
      <c r="J497" s="15">
        <v>1164.3900000000001</v>
      </c>
      <c r="K497" s="14" t="str" cm="1">
        <f t="array" ref="K497">_xlfn.IFS(Table43[[#This Row],[Sales]]&gt;40000,"Best Sales",Table43[[#This Row],[Sales]]&gt;20000,"Average Sales",Table43[[#This Row],[Sales]]&gt;0,"Poor Sales")</f>
        <v>Poor Sales</v>
      </c>
      <c r="L497" s="23">
        <f>YEAR(Table43[[#This Row],[Date]])</f>
        <v>2023</v>
      </c>
      <c r="M497" s="23">
        <f>MONTH(Table43[[#This Row],[Date]])</f>
        <v>6</v>
      </c>
      <c r="N497" s="25">
        <f>DAY(Table43[[#This Row],[Date]])</f>
        <v>2</v>
      </c>
      <c r="O497" s="25" t="str">
        <f>TEXT(DATE(2023,Table43[[#This Row],[Month]],1),"mmm")</f>
        <v>Jun</v>
      </c>
      <c r="P497" s="25"/>
      <c r="Q497" s="25"/>
    </row>
    <row r="498" spans="1:17" x14ac:dyDescent="0.3">
      <c r="A498" s="6">
        <v>497</v>
      </c>
      <c r="B498" s="7">
        <v>45195</v>
      </c>
      <c r="C498" s="8" t="s">
        <v>30</v>
      </c>
      <c r="D498" s="8" t="s">
        <v>16</v>
      </c>
      <c r="E498" s="8" t="s">
        <v>17</v>
      </c>
      <c r="F498" s="8" t="s">
        <v>31</v>
      </c>
      <c r="G498" s="8" t="s">
        <v>33</v>
      </c>
      <c r="H498" s="9">
        <v>8870.2800000000007</v>
      </c>
      <c r="I498" s="8">
        <v>2</v>
      </c>
      <c r="J498" s="10">
        <v>1105.6300000000001</v>
      </c>
      <c r="K498" s="14" t="str" cm="1">
        <f t="array" ref="K498">_xlfn.IFS(Table43[[#This Row],[Sales]]&gt;40000,"Best Sales",Table43[[#This Row],[Sales]]&gt;20000,"Average Sales",Table43[[#This Row],[Sales]]&gt;0,"Poor Sales")</f>
        <v>Poor Sales</v>
      </c>
      <c r="L498" s="23">
        <f>YEAR(Table43[[#This Row],[Date]])</f>
        <v>2023</v>
      </c>
      <c r="M498" s="23">
        <f>MONTH(Table43[[#This Row],[Date]])</f>
        <v>9</v>
      </c>
      <c r="N498" s="25">
        <f>DAY(Table43[[#This Row],[Date]])</f>
        <v>26</v>
      </c>
      <c r="O498" s="25" t="str">
        <f>TEXT(DATE(2023,Table43[[#This Row],[Month]],1),"mmm")</f>
        <v>Sep</v>
      </c>
      <c r="P498" s="25"/>
      <c r="Q498" s="25"/>
    </row>
    <row r="499" spans="1:17" x14ac:dyDescent="0.3">
      <c r="A499" s="11">
        <v>498</v>
      </c>
      <c r="B499" s="12">
        <v>45252</v>
      </c>
      <c r="C499" s="13" t="s">
        <v>30</v>
      </c>
      <c r="D499" s="13" t="s">
        <v>16</v>
      </c>
      <c r="E499" s="13" t="s">
        <v>20</v>
      </c>
      <c r="F499" s="13" t="s">
        <v>31</v>
      </c>
      <c r="G499" s="13" t="s">
        <v>33</v>
      </c>
      <c r="H499" s="14">
        <v>46482.94</v>
      </c>
      <c r="I499" s="13">
        <v>10</v>
      </c>
      <c r="J499" s="15">
        <v>7712.88</v>
      </c>
      <c r="K499" s="14" t="str" cm="1">
        <f t="array" ref="K499">_xlfn.IFS(Table43[[#This Row],[Sales]]&gt;40000,"Best Sales",Table43[[#This Row],[Sales]]&gt;20000,"Average Sales",Table43[[#This Row],[Sales]]&gt;0,"Poor Sales")</f>
        <v>Best Sales</v>
      </c>
      <c r="L499" s="23">
        <f>YEAR(Table43[[#This Row],[Date]])</f>
        <v>2023</v>
      </c>
      <c r="M499" s="23">
        <f>MONTH(Table43[[#This Row],[Date]])</f>
        <v>11</v>
      </c>
      <c r="N499" s="25">
        <f>DAY(Table43[[#This Row],[Date]])</f>
        <v>22</v>
      </c>
      <c r="O499" s="25" t="str">
        <f>TEXT(DATE(2023,Table43[[#This Row],[Month]],1),"mmm")</f>
        <v>Nov</v>
      </c>
      <c r="P499" s="25"/>
      <c r="Q499" s="25"/>
    </row>
    <row r="500" spans="1:17" x14ac:dyDescent="0.3">
      <c r="A500" s="6">
        <v>499</v>
      </c>
      <c r="B500" s="7">
        <v>45042</v>
      </c>
      <c r="C500" s="8" t="s">
        <v>30</v>
      </c>
      <c r="D500" s="8" t="s">
        <v>16</v>
      </c>
      <c r="E500" s="8" t="s">
        <v>20</v>
      </c>
      <c r="F500" s="8" t="s">
        <v>13</v>
      </c>
      <c r="G500" s="8" t="s">
        <v>14</v>
      </c>
      <c r="H500" s="9">
        <v>43505.83</v>
      </c>
      <c r="I500" s="8">
        <v>7</v>
      </c>
      <c r="J500" s="10">
        <v>7809.91</v>
      </c>
      <c r="K500" s="14" t="str" cm="1">
        <f t="array" ref="K500">_xlfn.IFS(Table43[[#This Row],[Sales]]&gt;40000,"Best Sales",Table43[[#This Row],[Sales]]&gt;20000,"Average Sales",Table43[[#This Row],[Sales]]&gt;0,"Poor Sales")</f>
        <v>Best Sales</v>
      </c>
      <c r="L500" s="23">
        <f>YEAR(Table43[[#This Row],[Date]])</f>
        <v>2023</v>
      </c>
      <c r="M500" s="23">
        <f>MONTH(Table43[[#This Row],[Date]])</f>
        <v>4</v>
      </c>
      <c r="N500" s="25">
        <f>DAY(Table43[[#This Row],[Date]])</f>
        <v>26</v>
      </c>
      <c r="O500" s="25" t="str">
        <f>TEXT(DATE(2023,Table43[[#This Row],[Month]],1),"mmm")</f>
        <v>Apr</v>
      </c>
      <c r="P500" s="25"/>
      <c r="Q500" s="25"/>
    </row>
    <row r="501" spans="1:17" x14ac:dyDescent="0.3">
      <c r="A501" s="16">
        <v>500</v>
      </c>
      <c r="B501" s="17">
        <v>45224</v>
      </c>
      <c r="C501" s="18" t="s">
        <v>15</v>
      </c>
      <c r="D501" s="18" t="s">
        <v>16</v>
      </c>
      <c r="E501" s="18" t="s">
        <v>12</v>
      </c>
      <c r="F501" s="18" t="s">
        <v>31</v>
      </c>
      <c r="G501" s="18" t="s">
        <v>32</v>
      </c>
      <c r="H501" s="19">
        <v>33463.57</v>
      </c>
      <c r="I501" s="18">
        <v>6</v>
      </c>
      <c r="J501" s="20">
        <v>6469.01</v>
      </c>
      <c r="K501" s="19" t="str" cm="1">
        <f t="array" ref="K501">_xlfn.IFS(Table43[[#This Row],[Sales]]&gt;40000,"Best Sales",Table43[[#This Row],[Sales]]&gt;20000,"Average Sales",Table43[[#This Row],[Sales]]&gt;0,"Poor Sales")</f>
        <v>Average Sales</v>
      </c>
      <c r="L501" s="23">
        <f>YEAR(Table43[[#This Row],[Date]])</f>
        <v>2023</v>
      </c>
      <c r="M501" s="23">
        <f>MONTH(Table43[[#This Row],[Date]])</f>
        <v>10</v>
      </c>
      <c r="N501" s="25">
        <f>DAY(Table43[[#This Row],[Date]])</f>
        <v>25</v>
      </c>
      <c r="O501" s="25" t="str">
        <f>TEXT(DATE(2023,Table43[[#This Row],[Month]],1),"mmm")</f>
        <v>Oct</v>
      </c>
      <c r="P501" s="25"/>
      <c r="Q501" s="25"/>
    </row>
  </sheetData>
  <conditionalFormatting sqref="H2:H501">
    <cfRule type="expression" dxfId="53" priority="1">
      <formula>AND($S$9="ON",$H2&gt;20000)</formula>
    </cfRule>
    <cfRule type="expression" dxfId="52" priority="2">
      <formula>AND($U$6="ON",$H2&gt;50000)</formula>
    </cfRule>
    <cfRule type="expression" dxfId="51" priority="3">
      <formula>AND($S$6="ON",$H2&gt;40000)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C6F6B8-B39F-4249-BAA3-33BAEE79DD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Data'!J2:J3</xm:f>
              <xm:sqref>P2</xm:sqref>
            </x14:sparkline>
            <x14:sparkline>
              <xm:f>'Main Data'!J3:J4</xm:f>
              <xm:sqref>P3</xm:sqref>
            </x14:sparkline>
            <x14:sparkline>
              <xm:f>'Main Data'!J4:J5</xm:f>
              <xm:sqref>P4</xm:sqref>
            </x14:sparkline>
            <x14:sparkline>
              <xm:f>'Main Data'!J5:J6</xm:f>
              <xm:sqref>P5</xm:sqref>
            </x14:sparkline>
            <x14:sparkline>
              <xm:f>'Main Data'!J6:J7</xm:f>
              <xm:sqref>P6</xm:sqref>
            </x14:sparkline>
            <x14:sparkline>
              <xm:f>'Main Data'!J7:J8</xm:f>
              <xm:sqref>P7</xm:sqref>
            </x14:sparkline>
            <x14:sparkline>
              <xm:f>'Main Data'!J8:J9</xm:f>
              <xm:sqref>P8</xm:sqref>
            </x14:sparkline>
            <x14:sparkline>
              <xm:f>'Main Data'!J9:J10</xm:f>
              <xm:sqref>P9</xm:sqref>
            </x14:sparkline>
            <x14:sparkline>
              <xm:f>'Main Data'!J10:J11</xm:f>
              <xm:sqref>P10</xm:sqref>
            </x14:sparkline>
            <x14:sparkline>
              <xm:f>'Main Data'!J11:J12</xm:f>
              <xm:sqref>P11</xm:sqref>
            </x14:sparkline>
            <x14:sparkline>
              <xm:f>'Main Data'!J12:J13</xm:f>
              <xm:sqref>P12</xm:sqref>
            </x14:sparkline>
            <x14:sparkline>
              <xm:f>'Main Data'!J13:J14</xm:f>
              <xm:sqref>P13</xm:sqref>
            </x14:sparkline>
            <x14:sparkline>
              <xm:f>'Main Data'!J14:J15</xm:f>
              <xm:sqref>P14</xm:sqref>
            </x14:sparkline>
            <x14:sparkline>
              <xm:f>'Main Data'!J15:J16</xm:f>
              <xm:sqref>P15</xm:sqref>
            </x14:sparkline>
            <x14:sparkline>
              <xm:f>'Main Data'!J16:J17</xm:f>
              <xm:sqref>P16</xm:sqref>
            </x14:sparkline>
            <x14:sparkline>
              <xm:f>'Main Data'!J17:J18</xm:f>
              <xm:sqref>P17</xm:sqref>
            </x14:sparkline>
            <x14:sparkline>
              <xm:f>'Main Data'!J18:J19</xm:f>
              <xm:sqref>P18</xm:sqref>
            </x14:sparkline>
            <x14:sparkline>
              <xm:f>'Main Data'!J19:J20</xm:f>
              <xm:sqref>P19</xm:sqref>
            </x14:sparkline>
            <x14:sparkline>
              <xm:f>'Main Data'!J20:J21</xm:f>
              <xm:sqref>P20</xm:sqref>
            </x14:sparkline>
            <x14:sparkline>
              <xm:f>'Main Data'!J21:J22</xm:f>
              <xm:sqref>P21</xm:sqref>
            </x14:sparkline>
            <x14:sparkline>
              <xm:f>'Main Data'!J22:J23</xm:f>
              <xm:sqref>P22</xm:sqref>
            </x14:sparkline>
            <x14:sparkline>
              <xm:f>'Main Data'!J23:J24</xm:f>
              <xm:sqref>P23</xm:sqref>
            </x14:sparkline>
            <x14:sparkline>
              <xm:f>'Main Data'!J24:J25</xm:f>
              <xm:sqref>P24</xm:sqref>
            </x14:sparkline>
            <x14:sparkline>
              <xm:f>'Main Data'!J25:J26</xm:f>
              <xm:sqref>P25</xm:sqref>
            </x14:sparkline>
            <x14:sparkline>
              <xm:f>'Main Data'!J26:J27</xm:f>
              <xm:sqref>P26</xm:sqref>
            </x14:sparkline>
            <x14:sparkline>
              <xm:f>'Main Data'!J27:J28</xm:f>
              <xm:sqref>P27</xm:sqref>
            </x14:sparkline>
            <x14:sparkline>
              <xm:f>'Main Data'!J28:J29</xm:f>
              <xm:sqref>P28</xm:sqref>
            </x14:sparkline>
            <x14:sparkline>
              <xm:f>'Main Data'!J29:J30</xm:f>
              <xm:sqref>P29</xm:sqref>
            </x14:sparkline>
            <x14:sparkline>
              <xm:f>'Main Data'!J30:J31</xm:f>
              <xm:sqref>P30</xm:sqref>
            </x14:sparkline>
            <x14:sparkline>
              <xm:f>'Main Data'!J31:J32</xm:f>
              <xm:sqref>P31</xm:sqref>
            </x14:sparkline>
            <x14:sparkline>
              <xm:f>'Main Data'!J32:J33</xm:f>
              <xm:sqref>P32</xm:sqref>
            </x14:sparkline>
            <x14:sparkline>
              <xm:f>'Main Data'!J33:J34</xm:f>
              <xm:sqref>P33</xm:sqref>
            </x14:sparkline>
            <x14:sparkline>
              <xm:f>'Main Data'!J34:J35</xm:f>
              <xm:sqref>P34</xm:sqref>
            </x14:sparkline>
            <x14:sparkline>
              <xm:f>'Main Data'!J35:J36</xm:f>
              <xm:sqref>P35</xm:sqref>
            </x14:sparkline>
            <x14:sparkline>
              <xm:f>'Main Data'!J36:J37</xm:f>
              <xm:sqref>P36</xm:sqref>
            </x14:sparkline>
            <x14:sparkline>
              <xm:f>'Main Data'!J37:J38</xm:f>
              <xm:sqref>P37</xm:sqref>
            </x14:sparkline>
            <x14:sparkline>
              <xm:f>'Main Data'!J38:J39</xm:f>
              <xm:sqref>P38</xm:sqref>
            </x14:sparkline>
            <x14:sparkline>
              <xm:f>'Main Data'!J39:J40</xm:f>
              <xm:sqref>P39</xm:sqref>
            </x14:sparkline>
            <x14:sparkline>
              <xm:f>'Main Data'!J40:J41</xm:f>
              <xm:sqref>P40</xm:sqref>
            </x14:sparkline>
            <x14:sparkline>
              <xm:f>'Main Data'!J41:J42</xm:f>
              <xm:sqref>P41</xm:sqref>
            </x14:sparkline>
            <x14:sparkline>
              <xm:f>'Main Data'!J42:J43</xm:f>
              <xm:sqref>P42</xm:sqref>
            </x14:sparkline>
            <x14:sparkline>
              <xm:f>'Main Data'!J43:J44</xm:f>
              <xm:sqref>P43</xm:sqref>
            </x14:sparkline>
            <x14:sparkline>
              <xm:f>'Main Data'!J44:J45</xm:f>
              <xm:sqref>P44</xm:sqref>
            </x14:sparkline>
            <x14:sparkline>
              <xm:f>'Main Data'!J45:J46</xm:f>
              <xm:sqref>P45</xm:sqref>
            </x14:sparkline>
            <x14:sparkline>
              <xm:f>'Main Data'!J46:J47</xm:f>
              <xm:sqref>P46</xm:sqref>
            </x14:sparkline>
            <x14:sparkline>
              <xm:f>'Main Data'!J47:J48</xm:f>
              <xm:sqref>P47</xm:sqref>
            </x14:sparkline>
            <x14:sparkline>
              <xm:f>'Main Data'!J48:J49</xm:f>
              <xm:sqref>P48</xm:sqref>
            </x14:sparkline>
            <x14:sparkline>
              <xm:f>'Main Data'!J49:J50</xm:f>
              <xm:sqref>P49</xm:sqref>
            </x14:sparkline>
            <x14:sparkline>
              <xm:f>'Main Data'!J50:J51</xm:f>
              <xm:sqref>P50</xm:sqref>
            </x14:sparkline>
            <x14:sparkline>
              <xm:f>'Main Data'!J51:J52</xm:f>
              <xm:sqref>P51</xm:sqref>
            </x14:sparkline>
            <x14:sparkline>
              <xm:f>'Main Data'!J52:J53</xm:f>
              <xm:sqref>P52</xm:sqref>
            </x14:sparkline>
            <x14:sparkline>
              <xm:f>'Main Data'!J53:J54</xm:f>
              <xm:sqref>P53</xm:sqref>
            </x14:sparkline>
            <x14:sparkline>
              <xm:f>'Main Data'!J54:J55</xm:f>
              <xm:sqref>P54</xm:sqref>
            </x14:sparkline>
            <x14:sparkline>
              <xm:f>'Main Data'!J55:J56</xm:f>
              <xm:sqref>P55</xm:sqref>
            </x14:sparkline>
            <x14:sparkline>
              <xm:f>'Main Data'!J56:J57</xm:f>
              <xm:sqref>P56</xm:sqref>
            </x14:sparkline>
            <x14:sparkline>
              <xm:f>'Main Data'!J57:J58</xm:f>
              <xm:sqref>P57</xm:sqref>
            </x14:sparkline>
            <x14:sparkline>
              <xm:f>'Main Data'!J58:J59</xm:f>
              <xm:sqref>P58</xm:sqref>
            </x14:sparkline>
            <x14:sparkline>
              <xm:f>'Main Data'!J59:J60</xm:f>
              <xm:sqref>P59</xm:sqref>
            </x14:sparkline>
            <x14:sparkline>
              <xm:f>'Main Data'!J60:J61</xm:f>
              <xm:sqref>P60</xm:sqref>
            </x14:sparkline>
            <x14:sparkline>
              <xm:f>'Main Data'!J61:J62</xm:f>
              <xm:sqref>P61</xm:sqref>
            </x14:sparkline>
            <x14:sparkline>
              <xm:f>'Main Data'!J62:J63</xm:f>
              <xm:sqref>P62</xm:sqref>
            </x14:sparkline>
            <x14:sparkline>
              <xm:f>'Main Data'!J63:J64</xm:f>
              <xm:sqref>P63</xm:sqref>
            </x14:sparkline>
            <x14:sparkline>
              <xm:f>'Main Data'!J64:J65</xm:f>
              <xm:sqref>P64</xm:sqref>
            </x14:sparkline>
            <x14:sparkline>
              <xm:f>'Main Data'!J65:J66</xm:f>
              <xm:sqref>P65</xm:sqref>
            </x14:sparkline>
            <x14:sparkline>
              <xm:f>'Main Data'!J66:J67</xm:f>
              <xm:sqref>P66</xm:sqref>
            </x14:sparkline>
            <x14:sparkline>
              <xm:f>'Main Data'!J67:J68</xm:f>
              <xm:sqref>P67</xm:sqref>
            </x14:sparkline>
            <x14:sparkline>
              <xm:f>'Main Data'!J68:J69</xm:f>
              <xm:sqref>P68</xm:sqref>
            </x14:sparkline>
            <x14:sparkline>
              <xm:f>'Main Data'!J69:J70</xm:f>
              <xm:sqref>P69</xm:sqref>
            </x14:sparkline>
            <x14:sparkline>
              <xm:f>'Main Data'!J70:J71</xm:f>
              <xm:sqref>P70</xm:sqref>
            </x14:sparkline>
            <x14:sparkline>
              <xm:f>'Main Data'!J71:J72</xm:f>
              <xm:sqref>P71</xm:sqref>
            </x14:sparkline>
            <x14:sparkline>
              <xm:f>'Main Data'!J72:J73</xm:f>
              <xm:sqref>P72</xm:sqref>
            </x14:sparkline>
            <x14:sparkline>
              <xm:f>'Main Data'!J73:J74</xm:f>
              <xm:sqref>P73</xm:sqref>
            </x14:sparkline>
            <x14:sparkline>
              <xm:f>'Main Data'!J74:J75</xm:f>
              <xm:sqref>P74</xm:sqref>
            </x14:sparkline>
            <x14:sparkline>
              <xm:f>'Main Data'!J75:J76</xm:f>
              <xm:sqref>P75</xm:sqref>
            </x14:sparkline>
            <x14:sparkline>
              <xm:f>'Main Data'!J76:J77</xm:f>
              <xm:sqref>P76</xm:sqref>
            </x14:sparkline>
            <x14:sparkline>
              <xm:f>'Main Data'!J77:J78</xm:f>
              <xm:sqref>P77</xm:sqref>
            </x14:sparkline>
            <x14:sparkline>
              <xm:f>'Main Data'!J78:J79</xm:f>
              <xm:sqref>P78</xm:sqref>
            </x14:sparkline>
            <x14:sparkline>
              <xm:f>'Main Data'!J79:J80</xm:f>
              <xm:sqref>P79</xm:sqref>
            </x14:sparkline>
            <x14:sparkline>
              <xm:f>'Main Data'!J80:J81</xm:f>
              <xm:sqref>P80</xm:sqref>
            </x14:sparkline>
            <x14:sparkline>
              <xm:f>'Main Data'!J81:J82</xm:f>
              <xm:sqref>P81</xm:sqref>
            </x14:sparkline>
            <x14:sparkline>
              <xm:f>'Main Data'!J82:J83</xm:f>
              <xm:sqref>P82</xm:sqref>
            </x14:sparkline>
            <x14:sparkline>
              <xm:f>'Main Data'!J83:J84</xm:f>
              <xm:sqref>P83</xm:sqref>
            </x14:sparkline>
            <x14:sparkline>
              <xm:f>'Main Data'!J84:J85</xm:f>
              <xm:sqref>P84</xm:sqref>
            </x14:sparkline>
            <x14:sparkline>
              <xm:f>'Main Data'!J85:J86</xm:f>
              <xm:sqref>P85</xm:sqref>
            </x14:sparkline>
            <x14:sparkline>
              <xm:f>'Main Data'!J86:J87</xm:f>
              <xm:sqref>P86</xm:sqref>
            </x14:sparkline>
            <x14:sparkline>
              <xm:f>'Main Data'!J87:J88</xm:f>
              <xm:sqref>P87</xm:sqref>
            </x14:sparkline>
            <x14:sparkline>
              <xm:f>'Main Data'!J88:J89</xm:f>
              <xm:sqref>P88</xm:sqref>
            </x14:sparkline>
            <x14:sparkline>
              <xm:f>'Main Data'!J89:J90</xm:f>
              <xm:sqref>P89</xm:sqref>
            </x14:sparkline>
            <x14:sparkline>
              <xm:f>'Main Data'!J90:J91</xm:f>
              <xm:sqref>P90</xm:sqref>
            </x14:sparkline>
            <x14:sparkline>
              <xm:f>'Main Data'!J91:J92</xm:f>
              <xm:sqref>P91</xm:sqref>
            </x14:sparkline>
            <x14:sparkline>
              <xm:f>'Main Data'!J92:J93</xm:f>
              <xm:sqref>P92</xm:sqref>
            </x14:sparkline>
            <x14:sparkline>
              <xm:f>'Main Data'!J93:J94</xm:f>
              <xm:sqref>P93</xm:sqref>
            </x14:sparkline>
            <x14:sparkline>
              <xm:f>'Main Data'!J94:J95</xm:f>
              <xm:sqref>P94</xm:sqref>
            </x14:sparkline>
            <x14:sparkline>
              <xm:f>'Main Data'!J95:J96</xm:f>
              <xm:sqref>P95</xm:sqref>
            </x14:sparkline>
            <x14:sparkline>
              <xm:f>'Main Data'!J96:J97</xm:f>
              <xm:sqref>P96</xm:sqref>
            </x14:sparkline>
            <x14:sparkline>
              <xm:f>'Main Data'!J97:J98</xm:f>
              <xm:sqref>P97</xm:sqref>
            </x14:sparkline>
            <x14:sparkline>
              <xm:f>'Main Data'!J98:J99</xm:f>
              <xm:sqref>P98</xm:sqref>
            </x14:sparkline>
            <x14:sparkline>
              <xm:f>'Main Data'!J99:J100</xm:f>
              <xm:sqref>P99</xm:sqref>
            </x14:sparkline>
            <x14:sparkline>
              <xm:f>'Main Data'!J100:J101</xm:f>
              <xm:sqref>P100</xm:sqref>
            </x14:sparkline>
            <x14:sparkline>
              <xm:f>'Main Data'!J101:J102</xm:f>
              <xm:sqref>P101</xm:sqref>
            </x14:sparkline>
            <x14:sparkline>
              <xm:f>'Main Data'!J102:J103</xm:f>
              <xm:sqref>P102</xm:sqref>
            </x14:sparkline>
            <x14:sparkline>
              <xm:f>'Main Data'!J103:J104</xm:f>
              <xm:sqref>P103</xm:sqref>
            </x14:sparkline>
            <x14:sparkline>
              <xm:f>'Main Data'!J104:J105</xm:f>
              <xm:sqref>P104</xm:sqref>
            </x14:sparkline>
            <x14:sparkline>
              <xm:f>'Main Data'!J105:J106</xm:f>
              <xm:sqref>P105</xm:sqref>
            </x14:sparkline>
            <x14:sparkline>
              <xm:f>'Main Data'!J106:J107</xm:f>
              <xm:sqref>P106</xm:sqref>
            </x14:sparkline>
            <x14:sparkline>
              <xm:f>'Main Data'!J107:J108</xm:f>
              <xm:sqref>P107</xm:sqref>
            </x14:sparkline>
            <x14:sparkline>
              <xm:f>'Main Data'!J108:J109</xm:f>
              <xm:sqref>P108</xm:sqref>
            </x14:sparkline>
            <x14:sparkline>
              <xm:f>'Main Data'!J109:J110</xm:f>
              <xm:sqref>P109</xm:sqref>
            </x14:sparkline>
            <x14:sparkline>
              <xm:f>'Main Data'!J110:J111</xm:f>
              <xm:sqref>P110</xm:sqref>
            </x14:sparkline>
            <x14:sparkline>
              <xm:f>'Main Data'!J111:J112</xm:f>
              <xm:sqref>P111</xm:sqref>
            </x14:sparkline>
            <x14:sparkline>
              <xm:f>'Main Data'!J112:J113</xm:f>
              <xm:sqref>P112</xm:sqref>
            </x14:sparkline>
            <x14:sparkline>
              <xm:f>'Main Data'!J113:J114</xm:f>
              <xm:sqref>P113</xm:sqref>
            </x14:sparkline>
            <x14:sparkline>
              <xm:f>'Main Data'!J114:J115</xm:f>
              <xm:sqref>P114</xm:sqref>
            </x14:sparkline>
            <x14:sparkline>
              <xm:f>'Main Data'!J115:J116</xm:f>
              <xm:sqref>P115</xm:sqref>
            </x14:sparkline>
            <x14:sparkline>
              <xm:f>'Main Data'!J116:J117</xm:f>
              <xm:sqref>P116</xm:sqref>
            </x14:sparkline>
            <x14:sparkline>
              <xm:f>'Main Data'!J117:J118</xm:f>
              <xm:sqref>P117</xm:sqref>
            </x14:sparkline>
            <x14:sparkline>
              <xm:f>'Main Data'!J118:J119</xm:f>
              <xm:sqref>P118</xm:sqref>
            </x14:sparkline>
            <x14:sparkline>
              <xm:f>'Main Data'!J119:J120</xm:f>
              <xm:sqref>P119</xm:sqref>
            </x14:sparkline>
            <x14:sparkline>
              <xm:f>'Main Data'!J120:J121</xm:f>
              <xm:sqref>P120</xm:sqref>
            </x14:sparkline>
            <x14:sparkline>
              <xm:f>'Main Data'!J121:J122</xm:f>
              <xm:sqref>P121</xm:sqref>
            </x14:sparkline>
            <x14:sparkline>
              <xm:f>'Main Data'!J122:J123</xm:f>
              <xm:sqref>P122</xm:sqref>
            </x14:sparkline>
            <x14:sparkline>
              <xm:f>'Main Data'!J123:J124</xm:f>
              <xm:sqref>P123</xm:sqref>
            </x14:sparkline>
            <x14:sparkline>
              <xm:f>'Main Data'!J124:J125</xm:f>
              <xm:sqref>P124</xm:sqref>
            </x14:sparkline>
            <x14:sparkline>
              <xm:f>'Main Data'!J125:J126</xm:f>
              <xm:sqref>P125</xm:sqref>
            </x14:sparkline>
            <x14:sparkline>
              <xm:f>'Main Data'!J126:J127</xm:f>
              <xm:sqref>P126</xm:sqref>
            </x14:sparkline>
            <x14:sparkline>
              <xm:f>'Main Data'!J127:J128</xm:f>
              <xm:sqref>P127</xm:sqref>
            </x14:sparkline>
            <x14:sparkline>
              <xm:f>'Main Data'!J128:J129</xm:f>
              <xm:sqref>P128</xm:sqref>
            </x14:sparkline>
            <x14:sparkline>
              <xm:f>'Main Data'!J129:J130</xm:f>
              <xm:sqref>P129</xm:sqref>
            </x14:sparkline>
            <x14:sparkline>
              <xm:f>'Main Data'!J130:J131</xm:f>
              <xm:sqref>P130</xm:sqref>
            </x14:sparkline>
            <x14:sparkline>
              <xm:f>'Main Data'!J131:J132</xm:f>
              <xm:sqref>P131</xm:sqref>
            </x14:sparkline>
            <x14:sparkline>
              <xm:f>'Main Data'!J132:J133</xm:f>
              <xm:sqref>P132</xm:sqref>
            </x14:sparkline>
            <x14:sparkline>
              <xm:f>'Main Data'!J133:J134</xm:f>
              <xm:sqref>P133</xm:sqref>
            </x14:sparkline>
            <x14:sparkline>
              <xm:f>'Main Data'!J134:J135</xm:f>
              <xm:sqref>P134</xm:sqref>
            </x14:sparkline>
            <x14:sparkline>
              <xm:f>'Main Data'!J135:J136</xm:f>
              <xm:sqref>P135</xm:sqref>
            </x14:sparkline>
            <x14:sparkline>
              <xm:f>'Main Data'!J136:J137</xm:f>
              <xm:sqref>P136</xm:sqref>
            </x14:sparkline>
            <x14:sparkline>
              <xm:f>'Main Data'!J137:J138</xm:f>
              <xm:sqref>P137</xm:sqref>
            </x14:sparkline>
            <x14:sparkline>
              <xm:f>'Main Data'!J138:J139</xm:f>
              <xm:sqref>P138</xm:sqref>
            </x14:sparkline>
            <x14:sparkline>
              <xm:f>'Main Data'!J139:J140</xm:f>
              <xm:sqref>P139</xm:sqref>
            </x14:sparkline>
            <x14:sparkline>
              <xm:f>'Main Data'!J140:J141</xm:f>
              <xm:sqref>P140</xm:sqref>
            </x14:sparkline>
            <x14:sparkline>
              <xm:f>'Main Data'!J141:J142</xm:f>
              <xm:sqref>P141</xm:sqref>
            </x14:sparkline>
            <x14:sparkline>
              <xm:f>'Main Data'!J142:J143</xm:f>
              <xm:sqref>P142</xm:sqref>
            </x14:sparkline>
            <x14:sparkline>
              <xm:f>'Main Data'!J143:J144</xm:f>
              <xm:sqref>P143</xm:sqref>
            </x14:sparkline>
            <x14:sparkline>
              <xm:f>'Main Data'!J144:J145</xm:f>
              <xm:sqref>P144</xm:sqref>
            </x14:sparkline>
            <x14:sparkline>
              <xm:f>'Main Data'!J145:J146</xm:f>
              <xm:sqref>P145</xm:sqref>
            </x14:sparkline>
            <x14:sparkline>
              <xm:f>'Main Data'!J146:J147</xm:f>
              <xm:sqref>P146</xm:sqref>
            </x14:sparkline>
            <x14:sparkline>
              <xm:f>'Main Data'!J147:J148</xm:f>
              <xm:sqref>P147</xm:sqref>
            </x14:sparkline>
            <x14:sparkline>
              <xm:f>'Main Data'!J148:J149</xm:f>
              <xm:sqref>P148</xm:sqref>
            </x14:sparkline>
            <x14:sparkline>
              <xm:f>'Main Data'!J149:J150</xm:f>
              <xm:sqref>P149</xm:sqref>
            </x14:sparkline>
            <x14:sparkline>
              <xm:f>'Main Data'!J150:J151</xm:f>
              <xm:sqref>P150</xm:sqref>
            </x14:sparkline>
            <x14:sparkline>
              <xm:f>'Main Data'!J151:J152</xm:f>
              <xm:sqref>P151</xm:sqref>
            </x14:sparkline>
            <x14:sparkline>
              <xm:f>'Main Data'!J152:J153</xm:f>
              <xm:sqref>P152</xm:sqref>
            </x14:sparkline>
            <x14:sparkline>
              <xm:f>'Main Data'!J153:J154</xm:f>
              <xm:sqref>P153</xm:sqref>
            </x14:sparkline>
            <x14:sparkline>
              <xm:f>'Main Data'!J154:J155</xm:f>
              <xm:sqref>P154</xm:sqref>
            </x14:sparkline>
            <x14:sparkline>
              <xm:f>'Main Data'!J155:J156</xm:f>
              <xm:sqref>P155</xm:sqref>
            </x14:sparkline>
            <x14:sparkline>
              <xm:f>'Main Data'!J156:J157</xm:f>
              <xm:sqref>P156</xm:sqref>
            </x14:sparkline>
            <x14:sparkline>
              <xm:f>'Main Data'!J157:J158</xm:f>
              <xm:sqref>P157</xm:sqref>
            </x14:sparkline>
            <x14:sparkline>
              <xm:f>'Main Data'!J158:J159</xm:f>
              <xm:sqref>P158</xm:sqref>
            </x14:sparkline>
            <x14:sparkline>
              <xm:f>'Main Data'!J159:J160</xm:f>
              <xm:sqref>P159</xm:sqref>
            </x14:sparkline>
            <x14:sparkline>
              <xm:f>'Main Data'!J160:J161</xm:f>
              <xm:sqref>P160</xm:sqref>
            </x14:sparkline>
            <x14:sparkline>
              <xm:f>'Main Data'!J161:J162</xm:f>
              <xm:sqref>P161</xm:sqref>
            </x14:sparkline>
            <x14:sparkline>
              <xm:f>'Main Data'!J162:J163</xm:f>
              <xm:sqref>P162</xm:sqref>
            </x14:sparkline>
            <x14:sparkline>
              <xm:f>'Main Data'!J163:J164</xm:f>
              <xm:sqref>P163</xm:sqref>
            </x14:sparkline>
            <x14:sparkline>
              <xm:f>'Main Data'!J164:J165</xm:f>
              <xm:sqref>P164</xm:sqref>
            </x14:sparkline>
            <x14:sparkline>
              <xm:f>'Main Data'!J165:J166</xm:f>
              <xm:sqref>P165</xm:sqref>
            </x14:sparkline>
            <x14:sparkline>
              <xm:f>'Main Data'!J166:J167</xm:f>
              <xm:sqref>P166</xm:sqref>
            </x14:sparkline>
            <x14:sparkline>
              <xm:f>'Main Data'!J167:J168</xm:f>
              <xm:sqref>P167</xm:sqref>
            </x14:sparkline>
            <x14:sparkline>
              <xm:f>'Main Data'!J168:J169</xm:f>
              <xm:sqref>P168</xm:sqref>
            </x14:sparkline>
            <x14:sparkline>
              <xm:f>'Main Data'!J169:J170</xm:f>
              <xm:sqref>P169</xm:sqref>
            </x14:sparkline>
            <x14:sparkline>
              <xm:f>'Main Data'!J170:J171</xm:f>
              <xm:sqref>P170</xm:sqref>
            </x14:sparkline>
            <x14:sparkline>
              <xm:f>'Main Data'!J171:J172</xm:f>
              <xm:sqref>P171</xm:sqref>
            </x14:sparkline>
            <x14:sparkline>
              <xm:f>'Main Data'!J172:J173</xm:f>
              <xm:sqref>P172</xm:sqref>
            </x14:sparkline>
            <x14:sparkline>
              <xm:f>'Main Data'!J173:J174</xm:f>
              <xm:sqref>P173</xm:sqref>
            </x14:sparkline>
            <x14:sparkline>
              <xm:f>'Main Data'!J174:J175</xm:f>
              <xm:sqref>P174</xm:sqref>
            </x14:sparkline>
            <x14:sparkline>
              <xm:f>'Main Data'!J175:J176</xm:f>
              <xm:sqref>P175</xm:sqref>
            </x14:sparkline>
            <x14:sparkline>
              <xm:f>'Main Data'!J176:J177</xm:f>
              <xm:sqref>P176</xm:sqref>
            </x14:sparkline>
            <x14:sparkline>
              <xm:f>'Main Data'!J177:J178</xm:f>
              <xm:sqref>P177</xm:sqref>
            </x14:sparkline>
            <x14:sparkline>
              <xm:f>'Main Data'!J178:J179</xm:f>
              <xm:sqref>P178</xm:sqref>
            </x14:sparkline>
            <x14:sparkline>
              <xm:f>'Main Data'!J179:J180</xm:f>
              <xm:sqref>P179</xm:sqref>
            </x14:sparkline>
            <x14:sparkline>
              <xm:f>'Main Data'!J180:J181</xm:f>
              <xm:sqref>P180</xm:sqref>
            </x14:sparkline>
            <x14:sparkline>
              <xm:f>'Main Data'!J181:J182</xm:f>
              <xm:sqref>P181</xm:sqref>
            </x14:sparkline>
            <x14:sparkline>
              <xm:f>'Main Data'!J182:J183</xm:f>
              <xm:sqref>P182</xm:sqref>
            </x14:sparkline>
            <x14:sparkline>
              <xm:f>'Main Data'!J183:J184</xm:f>
              <xm:sqref>P183</xm:sqref>
            </x14:sparkline>
            <x14:sparkline>
              <xm:f>'Main Data'!J184:J185</xm:f>
              <xm:sqref>P184</xm:sqref>
            </x14:sparkline>
            <x14:sparkline>
              <xm:f>'Main Data'!J185:J186</xm:f>
              <xm:sqref>P185</xm:sqref>
            </x14:sparkline>
            <x14:sparkline>
              <xm:f>'Main Data'!J186:J187</xm:f>
              <xm:sqref>P186</xm:sqref>
            </x14:sparkline>
            <x14:sparkline>
              <xm:f>'Main Data'!J187:J188</xm:f>
              <xm:sqref>P187</xm:sqref>
            </x14:sparkline>
            <x14:sparkline>
              <xm:f>'Main Data'!J188:J189</xm:f>
              <xm:sqref>P188</xm:sqref>
            </x14:sparkline>
            <x14:sparkline>
              <xm:f>'Main Data'!J189:J190</xm:f>
              <xm:sqref>P189</xm:sqref>
            </x14:sparkline>
            <x14:sparkline>
              <xm:f>'Main Data'!J190:J191</xm:f>
              <xm:sqref>P190</xm:sqref>
            </x14:sparkline>
            <x14:sparkline>
              <xm:f>'Main Data'!J191:J192</xm:f>
              <xm:sqref>P191</xm:sqref>
            </x14:sparkline>
            <x14:sparkline>
              <xm:f>'Main Data'!J192:J193</xm:f>
              <xm:sqref>P192</xm:sqref>
            </x14:sparkline>
            <x14:sparkline>
              <xm:f>'Main Data'!J193:J194</xm:f>
              <xm:sqref>P193</xm:sqref>
            </x14:sparkline>
            <x14:sparkline>
              <xm:f>'Main Data'!J194:J195</xm:f>
              <xm:sqref>P194</xm:sqref>
            </x14:sparkline>
            <x14:sparkline>
              <xm:f>'Main Data'!J195:J196</xm:f>
              <xm:sqref>P195</xm:sqref>
            </x14:sparkline>
            <x14:sparkline>
              <xm:f>'Main Data'!J196:J197</xm:f>
              <xm:sqref>P196</xm:sqref>
            </x14:sparkline>
            <x14:sparkline>
              <xm:f>'Main Data'!J197:J198</xm:f>
              <xm:sqref>P197</xm:sqref>
            </x14:sparkline>
            <x14:sparkline>
              <xm:f>'Main Data'!J198:J199</xm:f>
              <xm:sqref>P198</xm:sqref>
            </x14:sparkline>
            <x14:sparkline>
              <xm:f>'Main Data'!J199:J200</xm:f>
              <xm:sqref>P199</xm:sqref>
            </x14:sparkline>
            <x14:sparkline>
              <xm:f>'Main Data'!J200:J201</xm:f>
              <xm:sqref>P200</xm:sqref>
            </x14:sparkline>
            <x14:sparkline>
              <xm:f>'Main Data'!J201:J202</xm:f>
              <xm:sqref>P201</xm:sqref>
            </x14:sparkline>
            <x14:sparkline>
              <xm:f>'Main Data'!J202:J203</xm:f>
              <xm:sqref>P202</xm:sqref>
            </x14:sparkline>
            <x14:sparkline>
              <xm:f>'Main Data'!J203:J204</xm:f>
              <xm:sqref>P203</xm:sqref>
            </x14:sparkline>
            <x14:sparkline>
              <xm:f>'Main Data'!J204:J205</xm:f>
              <xm:sqref>P204</xm:sqref>
            </x14:sparkline>
            <x14:sparkline>
              <xm:f>'Main Data'!J205:J206</xm:f>
              <xm:sqref>P205</xm:sqref>
            </x14:sparkline>
            <x14:sparkline>
              <xm:f>'Main Data'!J206:J207</xm:f>
              <xm:sqref>P206</xm:sqref>
            </x14:sparkline>
            <x14:sparkline>
              <xm:f>'Main Data'!J207:J208</xm:f>
              <xm:sqref>P207</xm:sqref>
            </x14:sparkline>
            <x14:sparkline>
              <xm:f>'Main Data'!J208:J209</xm:f>
              <xm:sqref>P208</xm:sqref>
            </x14:sparkline>
            <x14:sparkline>
              <xm:f>'Main Data'!J209:J210</xm:f>
              <xm:sqref>P209</xm:sqref>
            </x14:sparkline>
            <x14:sparkline>
              <xm:f>'Main Data'!J210:J211</xm:f>
              <xm:sqref>P210</xm:sqref>
            </x14:sparkline>
            <x14:sparkline>
              <xm:f>'Main Data'!J211:J212</xm:f>
              <xm:sqref>P211</xm:sqref>
            </x14:sparkline>
            <x14:sparkline>
              <xm:f>'Main Data'!J212:J213</xm:f>
              <xm:sqref>P212</xm:sqref>
            </x14:sparkline>
            <x14:sparkline>
              <xm:f>'Main Data'!J213:J214</xm:f>
              <xm:sqref>P213</xm:sqref>
            </x14:sparkline>
            <x14:sparkline>
              <xm:f>'Main Data'!J214:J215</xm:f>
              <xm:sqref>P214</xm:sqref>
            </x14:sparkline>
            <x14:sparkline>
              <xm:f>'Main Data'!J215:J216</xm:f>
              <xm:sqref>P215</xm:sqref>
            </x14:sparkline>
            <x14:sparkline>
              <xm:f>'Main Data'!J216:J217</xm:f>
              <xm:sqref>P216</xm:sqref>
            </x14:sparkline>
            <x14:sparkline>
              <xm:f>'Main Data'!J217:J218</xm:f>
              <xm:sqref>P217</xm:sqref>
            </x14:sparkline>
            <x14:sparkline>
              <xm:f>'Main Data'!J218:J219</xm:f>
              <xm:sqref>P218</xm:sqref>
            </x14:sparkline>
            <x14:sparkline>
              <xm:f>'Main Data'!J219:J220</xm:f>
              <xm:sqref>P219</xm:sqref>
            </x14:sparkline>
            <x14:sparkline>
              <xm:f>'Main Data'!J220:J221</xm:f>
              <xm:sqref>P220</xm:sqref>
            </x14:sparkline>
            <x14:sparkline>
              <xm:f>'Main Data'!J221:J222</xm:f>
              <xm:sqref>P221</xm:sqref>
            </x14:sparkline>
            <x14:sparkline>
              <xm:f>'Main Data'!J222:J223</xm:f>
              <xm:sqref>P222</xm:sqref>
            </x14:sparkline>
            <x14:sparkline>
              <xm:f>'Main Data'!J223:J224</xm:f>
              <xm:sqref>P223</xm:sqref>
            </x14:sparkline>
            <x14:sparkline>
              <xm:f>'Main Data'!J224:J225</xm:f>
              <xm:sqref>P224</xm:sqref>
            </x14:sparkline>
            <x14:sparkline>
              <xm:f>'Main Data'!J225:J226</xm:f>
              <xm:sqref>P225</xm:sqref>
            </x14:sparkline>
            <x14:sparkline>
              <xm:f>'Main Data'!J226:J227</xm:f>
              <xm:sqref>P226</xm:sqref>
            </x14:sparkline>
            <x14:sparkline>
              <xm:f>'Main Data'!J227:J228</xm:f>
              <xm:sqref>P227</xm:sqref>
            </x14:sparkline>
            <x14:sparkline>
              <xm:f>'Main Data'!J228:J229</xm:f>
              <xm:sqref>P228</xm:sqref>
            </x14:sparkline>
            <x14:sparkline>
              <xm:f>'Main Data'!J229:J230</xm:f>
              <xm:sqref>P229</xm:sqref>
            </x14:sparkline>
            <x14:sparkline>
              <xm:f>'Main Data'!J230:J231</xm:f>
              <xm:sqref>P230</xm:sqref>
            </x14:sparkline>
            <x14:sparkline>
              <xm:f>'Main Data'!J231:J232</xm:f>
              <xm:sqref>P231</xm:sqref>
            </x14:sparkline>
            <x14:sparkline>
              <xm:f>'Main Data'!J232:J233</xm:f>
              <xm:sqref>P232</xm:sqref>
            </x14:sparkline>
            <x14:sparkline>
              <xm:f>'Main Data'!J233:J234</xm:f>
              <xm:sqref>P233</xm:sqref>
            </x14:sparkline>
            <x14:sparkline>
              <xm:f>'Main Data'!J234:J235</xm:f>
              <xm:sqref>P234</xm:sqref>
            </x14:sparkline>
            <x14:sparkline>
              <xm:f>'Main Data'!J235:J236</xm:f>
              <xm:sqref>P235</xm:sqref>
            </x14:sparkline>
            <x14:sparkline>
              <xm:f>'Main Data'!J236:J237</xm:f>
              <xm:sqref>P236</xm:sqref>
            </x14:sparkline>
            <x14:sparkline>
              <xm:f>'Main Data'!J237:J238</xm:f>
              <xm:sqref>P237</xm:sqref>
            </x14:sparkline>
            <x14:sparkline>
              <xm:f>'Main Data'!J238:J239</xm:f>
              <xm:sqref>P238</xm:sqref>
            </x14:sparkline>
            <x14:sparkline>
              <xm:f>'Main Data'!J239:J240</xm:f>
              <xm:sqref>P239</xm:sqref>
            </x14:sparkline>
            <x14:sparkline>
              <xm:f>'Main Data'!J240:J241</xm:f>
              <xm:sqref>P240</xm:sqref>
            </x14:sparkline>
            <x14:sparkline>
              <xm:f>'Main Data'!J241:J242</xm:f>
              <xm:sqref>P241</xm:sqref>
            </x14:sparkline>
            <x14:sparkline>
              <xm:f>'Main Data'!J242:J243</xm:f>
              <xm:sqref>P242</xm:sqref>
            </x14:sparkline>
            <x14:sparkline>
              <xm:f>'Main Data'!J243:J244</xm:f>
              <xm:sqref>P243</xm:sqref>
            </x14:sparkline>
            <x14:sparkline>
              <xm:f>'Main Data'!J244:J245</xm:f>
              <xm:sqref>P244</xm:sqref>
            </x14:sparkline>
            <x14:sparkline>
              <xm:f>'Main Data'!J245:J246</xm:f>
              <xm:sqref>P245</xm:sqref>
            </x14:sparkline>
            <x14:sparkline>
              <xm:f>'Main Data'!J246:J247</xm:f>
              <xm:sqref>P246</xm:sqref>
            </x14:sparkline>
            <x14:sparkline>
              <xm:f>'Main Data'!J247:J248</xm:f>
              <xm:sqref>P247</xm:sqref>
            </x14:sparkline>
            <x14:sparkline>
              <xm:f>'Main Data'!J248:J249</xm:f>
              <xm:sqref>P248</xm:sqref>
            </x14:sparkline>
            <x14:sparkline>
              <xm:f>'Main Data'!J249:J250</xm:f>
              <xm:sqref>P249</xm:sqref>
            </x14:sparkline>
            <x14:sparkline>
              <xm:f>'Main Data'!J250:J251</xm:f>
              <xm:sqref>P250</xm:sqref>
            </x14:sparkline>
            <x14:sparkline>
              <xm:f>'Main Data'!J251:J252</xm:f>
              <xm:sqref>P251</xm:sqref>
            </x14:sparkline>
            <x14:sparkline>
              <xm:f>'Main Data'!J252:J253</xm:f>
              <xm:sqref>P252</xm:sqref>
            </x14:sparkline>
            <x14:sparkline>
              <xm:f>'Main Data'!J253:J254</xm:f>
              <xm:sqref>P253</xm:sqref>
            </x14:sparkline>
            <x14:sparkline>
              <xm:f>'Main Data'!J254:J255</xm:f>
              <xm:sqref>P254</xm:sqref>
            </x14:sparkline>
            <x14:sparkline>
              <xm:f>'Main Data'!J255:J256</xm:f>
              <xm:sqref>P255</xm:sqref>
            </x14:sparkline>
            <x14:sparkline>
              <xm:f>'Main Data'!J256:J257</xm:f>
              <xm:sqref>P256</xm:sqref>
            </x14:sparkline>
            <x14:sparkline>
              <xm:f>'Main Data'!J257:J258</xm:f>
              <xm:sqref>P257</xm:sqref>
            </x14:sparkline>
            <x14:sparkline>
              <xm:f>'Main Data'!J258:J259</xm:f>
              <xm:sqref>P258</xm:sqref>
            </x14:sparkline>
            <x14:sparkline>
              <xm:f>'Main Data'!J259:J260</xm:f>
              <xm:sqref>P259</xm:sqref>
            </x14:sparkline>
            <x14:sparkline>
              <xm:f>'Main Data'!J260:J261</xm:f>
              <xm:sqref>P260</xm:sqref>
            </x14:sparkline>
            <x14:sparkline>
              <xm:f>'Main Data'!J261:J262</xm:f>
              <xm:sqref>P261</xm:sqref>
            </x14:sparkline>
            <x14:sparkline>
              <xm:f>'Main Data'!J262:J263</xm:f>
              <xm:sqref>P262</xm:sqref>
            </x14:sparkline>
            <x14:sparkline>
              <xm:f>'Main Data'!J263:J264</xm:f>
              <xm:sqref>P263</xm:sqref>
            </x14:sparkline>
            <x14:sparkline>
              <xm:f>'Main Data'!J264:J265</xm:f>
              <xm:sqref>P264</xm:sqref>
            </x14:sparkline>
            <x14:sparkline>
              <xm:f>'Main Data'!J265:J266</xm:f>
              <xm:sqref>P265</xm:sqref>
            </x14:sparkline>
            <x14:sparkline>
              <xm:f>'Main Data'!J266:J267</xm:f>
              <xm:sqref>P266</xm:sqref>
            </x14:sparkline>
            <x14:sparkline>
              <xm:f>'Main Data'!J267:J268</xm:f>
              <xm:sqref>P267</xm:sqref>
            </x14:sparkline>
            <x14:sparkline>
              <xm:f>'Main Data'!J268:J269</xm:f>
              <xm:sqref>P268</xm:sqref>
            </x14:sparkline>
            <x14:sparkline>
              <xm:f>'Main Data'!J269:J270</xm:f>
              <xm:sqref>P269</xm:sqref>
            </x14:sparkline>
            <x14:sparkline>
              <xm:f>'Main Data'!J270:J271</xm:f>
              <xm:sqref>P270</xm:sqref>
            </x14:sparkline>
            <x14:sparkline>
              <xm:f>'Main Data'!J271:J272</xm:f>
              <xm:sqref>P271</xm:sqref>
            </x14:sparkline>
            <x14:sparkline>
              <xm:f>'Main Data'!J272:J273</xm:f>
              <xm:sqref>P272</xm:sqref>
            </x14:sparkline>
            <x14:sparkline>
              <xm:f>'Main Data'!J273:J274</xm:f>
              <xm:sqref>P273</xm:sqref>
            </x14:sparkline>
            <x14:sparkline>
              <xm:f>'Main Data'!J274:J275</xm:f>
              <xm:sqref>P274</xm:sqref>
            </x14:sparkline>
            <x14:sparkline>
              <xm:f>'Main Data'!J275:J276</xm:f>
              <xm:sqref>P275</xm:sqref>
            </x14:sparkline>
            <x14:sparkline>
              <xm:f>'Main Data'!J276:J277</xm:f>
              <xm:sqref>P276</xm:sqref>
            </x14:sparkline>
            <x14:sparkline>
              <xm:f>'Main Data'!J277:J278</xm:f>
              <xm:sqref>P277</xm:sqref>
            </x14:sparkline>
            <x14:sparkline>
              <xm:f>'Main Data'!J278:J279</xm:f>
              <xm:sqref>P278</xm:sqref>
            </x14:sparkline>
            <x14:sparkline>
              <xm:f>'Main Data'!J279:J280</xm:f>
              <xm:sqref>P279</xm:sqref>
            </x14:sparkline>
            <x14:sparkline>
              <xm:f>'Main Data'!J280:J281</xm:f>
              <xm:sqref>P280</xm:sqref>
            </x14:sparkline>
            <x14:sparkline>
              <xm:f>'Main Data'!J281:J282</xm:f>
              <xm:sqref>P281</xm:sqref>
            </x14:sparkline>
            <x14:sparkline>
              <xm:f>'Main Data'!J282:J283</xm:f>
              <xm:sqref>P282</xm:sqref>
            </x14:sparkline>
            <x14:sparkline>
              <xm:f>'Main Data'!J283:J284</xm:f>
              <xm:sqref>P283</xm:sqref>
            </x14:sparkline>
            <x14:sparkline>
              <xm:f>'Main Data'!J284:J285</xm:f>
              <xm:sqref>P284</xm:sqref>
            </x14:sparkline>
            <x14:sparkline>
              <xm:f>'Main Data'!J285:J286</xm:f>
              <xm:sqref>P285</xm:sqref>
            </x14:sparkline>
            <x14:sparkline>
              <xm:f>'Main Data'!J286:J287</xm:f>
              <xm:sqref>P286</xm:sqref>
            </x14:sparkline>
            <x14:sparkline>
              <xm:f>'Main Data'!J287:J288</xm:f>
              <xm:sqref>P287</xm:sqref>
            </x14:sparkline>
            <x14:sparkline>
              <xm:f>'Main Data'!J288:J289</xm:f>
              <xm:sqref>P288</xm:sqref>
            </x14:sparkline>
            <x14:sparkline>
              <xm:f>'Main Data'!J289:J290</xm:f>
              <xm:sqref>P289</xm:sqref>
            </x14:sparkline>
            <x14:sparkline>
              <xm:f>'Main Data'!J290:J291</xm:f>
              <xm:sqref>P290</xm:sqref>
            </x14:sparkline>
            <x14:sparkline>
              <xm:f>'Main Data'!J291:J292</xm:f>
              <xm:sqref>P291</xm:sqref>
            </x14:sparkline>
            <x14:sparkline>
              <xm:f>'Main Data'!J292:J293</xm:f>
              <xm:sqref>P292</xm:sqref>
            </x14:sparkline>
            <x14:sparkline>
              <xm:f>'Main Data'!J293:J294</xm:f>
              <xm:sqref>P293</xm:sqref>
            </x14:sparkline>
            <x14:sparkline>
              <xm:f>'Main Data'!J294:J295</xm:f>
              <xm:sqref>P294</xm:sqref>
            </x14:sparkline>
            <x14:sparkline>
              <xm:f>'Main Data'!J295:J296</xm:f>
              <xm:sqref>P295</xm:sqref>
            </x14:sparkline>
            <x14:sparkline>
              <xm:f>'Main Data'!J296:J297</xm:f>
              <xm:sqref>P296</xm:sqref>
            </x14:sparkline>
            <x14:sparkline>
              <xm:f>'Main Data'!J297:J298</xm:f>
              <xm:sqref>P297</xm:sqref>
            </x14:sparkline>
            <x14:sparkline>
              <xm:f>'Main Data'!J298:J299</xm:f>
              <xm:sqref>P298</xm:sqref>
            </x14:sparkline>
            <x14:sparkline>
              <xm:f>'Main Data'!J299:J300</xm:f>
              <xm:sqref>P299</xm:sqref>
            </x14:sparkline>
            <x14:sparkline>
              <xm:f>'Main Data'!J300:J301</xm:f>
              <xm:sqref>P300</xm:sqref>
            </x14:sparkline>
            <x14:sparkline>
              <xm:f>'Main Data'!J301:J302</xm:f>
              <xm:sqref>P301</xm:sqref>
            </x14:sparkline>
            <x14:sparkline>
              <xm:f>'Main Data'!J302:J303</xm:f>
              <xm:sqref>P302</xm:sqref>
            </x14:sparkline>
            <x14:sparkline>
              <xm:f>'Main Data'!J303:J304</xm:f>
              <xm:sqref>P303</xm:sqref>
            </x14:sparkline>
            <x14:sparkline>
              <xm:f>'Main Data'!J304:J305</xm:f>
              <xm:sqref>P304</xm:sqref>
            </x14:sparkline>
            <x14:sparkline>
              <xm:f>'Main Data'!J305:J306</xm:f>
              <xm:sqref>P305</xm:sqref>
            </x14:sparkline>
            <x14:sparkline>
              <xm:f>'Main Data'!J306:J307</xm:f>
              <xm:sqref>P306</xm:sqref>
            </x14:sparkline>
            <x14:sparkline>
              <xm:f>'Main Data'!J307:J308</xm:f>
              <xm:sqref>P307</xm:sqref>
            </x14:sparkline>
            <x14:sparkline>
              <xm:f>'Main Data'!J308:J309</xm:f>
              <xm:sqref>P308</xm:sqref>
            </x14:sparkline>
            <x14:sparkline>
              <xm:f>'Main Data'!J309:J310</xm:f>
              <xm:sqref>P309</xm:sqref>
            </x14:sparkline>
            <x14:sparkline>
              <xm:f>'Main Data'!J310:J311</xm:f>
              <xm:sqref>P310</xm:sqref>
            </x14:sparkline>
            <x14:sparkline>
              <xm:f>'Main Data'!J311:J312</xm:f>
              <xm:sqref>P311</xm:sqref>
            </x14:sparkline>
            <x14:sparkline>
              <xm:f>'Main Data'!J312:J313</xm:f>
              <xm:sqref>P312</xm:sqref>
            </x14:sparkline>
            <x14:sparkline>
              <xm:f>'Main Data'!J313:J314</xm:f>
              <xm:sqref>P313</xm:sqref>
            </x14:sparkline>
            <x14:sparkline>
              <xm:f>'Main Data'!J314:J315</xm:f>
              <xm:sqref>P314</xm:sqref>
            </x14:sparkline>
            <x14:sparkline>
              <xm:f>'Main Data'!J315:J316</xm:f>
              <xm:sqref>P315</xm:sqref>
            </x14:sparkline>
            <x14:sparkline>
              <xm:f>'Main Data'!J316:J317</xm:f>
              <xm:sqref>P316</xm:sqref>
            </x14:sparkline>
            <x14:sparkline>
              <xm:f>'Main Data'!J317:J318</xm:f>
              <xm:sqref>P317</xm:sqref>
            </x14:sparkline>
            <x14:sparkline>
              <xm:f>'Main Data'!J318:J319</xm:f>
              <xm:sqref>P318</xm:sqref>
            </x14:sparkline>
            <x14:sparkline>
              <xm:f>'Main Data'!J319:J320</xm:f>
              <xm:sqref>P319</xm:sqref>
            </x14:sparkline>
            <x14:sparkline>
              <xm:f>'Main Data'!J320:J321</xm:f>
              <xm:sqref>P320</xm:sqref>
            </x14:sparkline>
            <x14:sparkline>
              <xm:f>'Main Data'!J321:J322</xm:f>
              <xm:sqref>P321</xm:sqref>
            </x14:sparkline>
            <x14:sparkline>
              <xm:f>'Main Data'!J322:J323</xm:f>
              <xm:sqref>P322</xm:sqref>
            </x14:sparkline>
            <x14:sparkline>
              <xm:f>'Main Data'!J323:J324</xm:f>
              <xm:sqref>P323</xm:sqref>
            </x14:sparkline>
            <x14:sparkline>
              <xm:f>'Main Data'!J324:J325</xm:f>
              <xm:sqref>P324</xm:sqref>
            </x14:sparkline>
            <x14:sparkline>
              <xm:f>'Main Data'!J325:J326</xm:f>
              <xm:sqref>P325</xm:sqref>
            </x14:sparkline>
            <x14:sparkline>
              <xm:f>'Main Data'!J326:J327</xm:f>
              <xm:sqref>P326</xm:sqref>
            </x14:sparkline>
            <x14:sparkline>
              <xm:f>'Main Data'!J327:J328</xm:f>
              <xm:sqref>P327</xm:sqref>
            </x14:sparkline>
            <x14:sparkline>
              <xm:f>'Main Data'!J328:J329</xm:f>
              <xm:sqref>P328</xm:sqref>
            </x14:sparkline>
            <x14:sparkline>
              <xm:f>'Main Data'!J329:J330</xm:f>
              <xm:sqref>P329</xm:sqref>
            </x14:sparkline>
            <x14:sparkline>
              <xm:f>'Main Data'!J330:J331</xm:f>
              <xm:sqref>P330</xm:sqref>
            </x14:sparkline>
            <x14:sparkline>
              <xm:f>'Main Data'!J331:J332</xm:f>
              <xm:sqref>P331</xm:sqref>
            </x14:sparkline>
            <x14:sparkline>
              <xm:f>'Main Data'!J332:J333</xm:f>
              <xm:sqref>P332</xm:sqref>
            </x14:sparkline>
            <x14:sparkline>
              <xm:f>'Main Data'!J333:J334</xm:f>
              <xm:sqref>P333</xm:sqref>
            </x14:sparkline>
            <x14:sparkline>
              <xm:f>'Main Data'!J334:J335</xm:f>
              <xm:sqref>P334</xm:sqref>
            </x14:sparkline>
            <x14:sparkline>
              <xm:f>'Main Data'!J335:J336</xm:f>
              <xm:sqref>P335</xm:sqref>
            </x14:sparkline>
            <x14:sparkline>
              <xm:f>'Main Data'!J336:J337</xm:f>
              <xm:sqref>P336</xm:sqref>
            </x14:sparkline>
            <x14:sparkline>
              <xm:f>'Main Data'!J337:J338</xm:f>
              <xm:sqref>P337</xm:sqref>
            </x14:sparkline>
            <x14:sparkline>
              <xm:f>'Main Data'!J338:J339</xm:f>
              <xm:sqref>P338</xm:sqref>
            </x14:sparkline>
            <x14:sparkline>
              <xm:f>'Main Data'!J339:J340</xm:f>
              <xm:sqref>P339</xm:sqref>
            </x14:sparkline>
            <x14:sparkline>
              <xm:f>'Main Data'!J340:J341</xm:f>
              <xm:sqref>P340</xm:sqref>
            </x14:sparkline>
            <x14:sparkline>
              <xm:f>'Main Data'!J341:J342</xm:f>
              <xm:sqref>P341</xm:sqref>
            </x14:sparkline>
            <x14:sparkline>
              <xm:f>'Main Data'!J342:J343</xm:f>
              <xm:sqref>P342</xm:sqref>
            </x14:sparkline>
            <x14:sparkline>
              <xm:f>'Main Data'!J343:J344</xm:f>
              <xm:sqref>P343</xm:sqref>
            </x14:sparkline>
            <x14:sparkline>
              <xm:f>'Main Data'!J344:J345</xm:f>
              <xm:sqref>P344</xm:sqref>
            </x14:sparkline>
            <x14:sparkline>
              <xm:f>'Main Data'!J345:J346</xm:f>
              <xm:sqref>P345</xm:sqref>
            </x14:sparkline>
            <x14:sparkline>
              <xm:f>'Main Data'!J346:J347</xm:f>
              <xm:sqref>P346</xm:sqref>
            </x14:sparkline>
            <x14:sparkline>
              <xm:f>'Main Data'!J347:J348</xm:f>
              <xm:sqref>P347</xm:sqref>
            </x14:sparkline>
            <x14:sparkline>
              <xm:f>'Main Data'!J348:J349</xm:f>
              <xm:sqref>P348</xm:sqref>
            </x14:sparkline>
            <x14:sparkline>
              <xm:f>'Main Data'!J349:J350</xm:f>
              <xm:sqref>P349</xm:sqref>
            </x14:sparkline>
            <x14:sparkline>
              <xm:f>'Main Data'!J350:J351</xm:f>
              <xm:sqref>P350</xm:sqref>
            </x14:sparkline>
            <x14:sparkline>
              <xm:f>'Main Data'!J351:J352</xm:f>
              <xm:sqref>P351</xm:sqref>
            </x14:sparkline>
            <x14:sparkline>
              <xm:f>'Main Data'!J352:J353</xm:f>
              <xm:sqref>P352</xm:sqref>
            </x14:sparkline>
            <x14:sparkline>
              <xm:f>'Main Data'!J353:J354</xm:f>
              <xm:sqref>P353</xm:sqref>
            </x14:sparkline>
            <x14:sparkline>
              <xm:f>'Main Data'!J354:J355</xm:f>
              <xm:sqref>P354</xm:sqref>
            </x14:sparkline>
            <x14:sparkline>
              <xm:f>'Main Data'!J355:J356</xm:f>
              <xm:sqref>P355</xm:sqref>
            </x14:sparkline>
            <x14:sparkline>
              <xm:f>'Main Data'!J356:J357</xm:f>
              <xm:sqref>P356</xm:sqref>
            </x14:sparkline>
            <x14:sparkline>
              <xm:f>'Main Data'!J357:J358</xm:f>
              <xm:sqref>P357</xm:sqref>
            </x14:sparkline>
            <x14:sparkline>
              <xm:f>'Main Data'!J358:J359</xm:f>
              <xm:sqref>P358</xm:sqref>
            </x14:sparkline>
            <x14:sparkline>
              <xm:f>'Main Data'!J359:J360</xm:f>
              <xm:sqref>P359</xm:sqref>
            </x14:sparkline>
            <x14:sparkline>
              <xm:f>'Main Data'!J360:J361</xm:f>
              <xm:sqref>P360</xm:sqref>
            </x14:sparkline>
            <x14:sparkline>
              <xm:f>'Main Data'!J361:J362</xm:f>
              <xm:sqref>P361</xm:sqref>
            </x14:sparkline>
            <x14:sparkline>
              <xm:f>'Main Data'!J362:J363</xm:f>
              <xm:sqref>P362</xm:sqref>
            </x14:sparkline>
            <x14:sparkline>
              <xm:f>'Main Data'!J363:J364</xm:f>
              <xm:sqref>P363</xm:sqref>
            </x14:sparkline>
            <x14:sparkline>
              <xm:f>'Main Data'!J364:J365</xm:f>
              <xm:sqref>P364</xm:sqref>
            </x14:sparkline>
            <x14:sparkline>
              <xm:f>'Main Data'!J365:J366</xm:f>
              <xm:sqref>P365</xm:sqref>
            </x14:sparkline>
            <x14:sparkline>
              <xm:f>'Main Data'!J366:J367</xm:f>
              <xm:sqref>P366</xm:sqref>
            </x14:sparkline>
            <x14:sparkline>
              <xm:f>'Main Data'!J367:J368</xm:f>
              <xm:sqref>P367</xm:sqref>
            </x14:sparkline>
            <x14:sparkline>
              <xm:f>'Main Data'!J368:J369</xm:f>
              <xm:sqref>P368</xm:sqref>
            </x14:sparkline>
            <x14:sparkline>
              <xm:f>'Main Data'!J369:J370</xm:f>
              <xm:sqref>P369</xm:sqref>
            </x14:sparkline>
            <x14:sparkline>
              <xm:f>'Main Data'!J370:J371</xm:f>
              <xm:sqref>P370</xm:sqref>
            </x14:sparkline>
            <x14:sparkline>
              <xm:f>'Main Data'!J371:J372</xm:f>
              <xm:sqref>P371</xm:sqref>
            </x14:sparkline>
            <x14:sparkline>
              <xm:f>'Main Data'!J372:J373</xm:f>
              <xm:sqref>P372</xm:sqref>
            </x14:sparkline>
            <x14:sparkline>
              <xm:f>'Main Data'!J373:J374</xm:f>
              <xm:sqref>P373</xm:sqref>
            </x14:sparkline>
            <x14:sparkline>
              <xm:f>'Main Data'!J374:J375</xm:f>
              <xm:sqref>P374</xm:sqref>
            </x14:sparkline>
            <x14:sparkline>
              <xm:f>'Main Data'!J375:J376</xm:f>
              <xm:sqref>P375</xm:sqref>
            </x14:sparkline>
            <x14:sparkline>
              <xm:f>'Main Data'!J376:J377</xm:f>
              <xm:sqref>P376</xm:sqref>
            </x14:sparkline>
            <x14:sparkline>
              <xm:f>'Main Data'!J377:J378</xm:f>
              <xm:sqref>P377</xm:sqref>
            </x14:sparkline>
            <x14:sparkline>
              <xm:f>'Main Data'!J378:J379</xm:f>
              <xm:sqref>P378</xm:sqref>
            </x14:sparkline>
            <x14:sparkline>
              <xm:f>'Main Data'!J379:J380</xm:f>
              <xm:sqref>P379</xm:sqref>
            </x14:sparkline>
            <x14:sparkline>
              <xm:f>'Main Data'!J380:J381</xm:f>
              <xm:sqref>P380</xm:sqref>
            </x14:sparkline>
            <x14:sparkline>
              <xm:f>'Main Data'!J381:J382</xm:f>
              <xm:sqref>P381</xm:sqref>
            </x14:sparkline>
            <x14:sparkline>
              <xm:f>'Main Data'!J382:J383</xm:f>
              <xm:sqref>P382</xm:sqref>
            </x14:sparkline>
            <x14:sparkline>
              <xm:f>'Main Data'!J383:J384</xm:f>
              <xm:sqref>P383</xm:sqref>
            </x14:sparkline>
            <x14:sparkline>
              <xm:f>'Main Data'!J384:J385</xm:f>
              <xm:sqref>P384</xm:sqref>
            </x14:sparkline>
            <x14:sparkline>
              <xm:f>'Main Data'!J385:J386</xm:f>
              <xm:sqref>P385</xm:sqref>
            </x14:sparkline>
            <x14:sparkline>
              <xm:f>'Main Data'!J386:J387</xm:f>
              <xm:sqref>P386</xm:sqref>
            </x14:sparkline>
            <x14:sparkline>
              <xm:f>'Main Data'!J387:J388</xm:f>
              <xm:sqref>P387</xm:sqref>
            </x14:sparkline>
            <x14:sparkline>
              <xm:f>'Main Data'!J388:J389</xm:f>
              <xm:sqref>P388</xm:sqref>
            </x14:sparkline>
            <x14:sparkline>
              <xm:f>'Main Data'!J389:J390</xm:f>
              <xm:sqref>P389</xm:sqref>
            </x14:sparkline>
            <x14:sparkline>
              <xm:f>'Main Data'!J390:J391</xm:f>
              <xm:sqref>P390</xm:sqref>
            </x14:sparkline>
            <x14:sparkline>
              <xm:f>'Main Data'!J391:J392</xm:f>
              <xm:sqref>P391</xm:sqref>
            </x14:sparkline>
            <x14:sparkline>
              <xm:f>'Main Data'!J392:J393</xm:f>
              <xm:sqref>P392</xm:sqref>
            </x14:sparkline>
            <x14:sparkline>
              <xm:f>'Main Data'!J393:J394</xm:f>
              <xm:sqref>P393</xm:sqref>
            </x14:sparkline>
            <x14:sparkline>
              <xm:f>'Main Data'!J394:J395</xm:f>
              <xm:sqref>P394</xm:sqref>
            </x14:sparkline>
            <x14:sparkline>
              <xm:f>'Main Data'!J395:J396</xm:f>
              <xm:sqref>P395</xm:sqref>
            </x14:sparkline>
            <x14:sparkline>
              <xm:f>'Main Data'!J396:J397</xm:f>
              <xm:sqref>P396</xm:sqref>
            </x14:sparkline>
            <x14:sparkline>
              <xm:f>'Main Data'!J397:J398</xm:f>
              <xm:sqref>P397</xm:sqref>
            </x14:sparkline>
            <x14:sparkline>
              <xm:f>'Main Data'!J398:J399</xm:f>
              <xm:sqref>P398</xm:sqref>
            </x14:sparkline>
            <x14:sparkline>
              <xm:f>'Main Data'!J399:J400</xm:f>
              <xm:sqref>P399</xm:sqref>
            </x14:sparkline>
            <x14:sparkline>
              <xm:f>'Main Data'!J400:J401</xm:f>
              <xm:sqref>P400</xm:sqref>
            </x14:sparkline>
            <x14:sparkline>
              <xm:f>'Main Data'!J401:J402</xm:f>
              <xm:sqref>P401</xm:sqref>
            </x14:sparkline>
            <x14:sparkline>
              <xm:f>'Main Data'!J402:J403</xm:f>
              <xm:sqref>P402</xm:sqref>
            </x14:sparkline>
            <x14:sparkline>
              <xm:f>'Main Data'!J403:J404</xm:f>
              <xm:sqref>P403</xm:sqref>
            </x14:sparkline>
            <x14:sparkline>
              <xm:f>'Main Data'!J404:J405</xm:f>
              <xm:sqref>P404</xm:sqref>
            </x14:sparkline>
            <x14:sparkline>
              <xm:f>'Main Data'!J405:J406</xm:f>
              <xm:sqref>P405</xm:sqref>
            </x14:sparkline>
            <x14:sparkline>
              <xm:f>'Main Data'!J406:J407</xm:f>
              <xm:sqref>P406</xm:sqref>
            </x14:sparkline>
            <x14:sparkline>
              <xm:f>'Main Data'!J407:J408</xm:f>
              <xm:sqref>P407</xm:sqref>
            </x14:sparkline>
            <x14:sparkline>
              <xm:f>'Main Data'!J408:J409</xm:f>
              <xm:sqref>P408</xm:sqref>
            </x14:sparkline>
            <x14:sparkline>
              <xm:f>'Main Data'!J409:J410</xm:f>
              <xm:sqref>P409</xm:sqref>
            </x14:sparkline>
            <x14:sparkline>
              <xm:f>'Main Data'!J410:J411</xm:f>
              <xm:sqref>P410</xm:sqref>
            </x14:sparkline>
            <x14:sparkline>
              <xm:f>'Main Data'!J411:J412</xm:f>
              <xm:sqref>P411</xm:sqref>
            </x14:sparkline>
            <x14:sparkline>
              <xm:f>'Main Data'!J412:J413</xm:f>
              <xm:sqref>P412</xm:sqref>
            </x14:sparkline>
            <x14:sparkline>
              <xm:f>'Main Data'!J413:J414</xm:f>
              <xm:sqref>P413</xm:sqref>
            </x14:sparkline>
            <x14:sparkline>
              <xm:f>'Main Data'!J414:J415</xm:f>
              <xm:sqref>P414</xm:sqref>
            </x14:sparkline>
            <x14:sparkline>
              <xm:f>'Main Data'!J415:J416</xm:f>
              <xm:sqref>P415</xm:sqref>
            </x14:sparkline>
            <x14:sparkline>
              <xm:f>'Main Data'!J416:J417</xm:f>
              <xm:sqref>P416</xm:sqref>
            </x14:sparkline>
            <x14:sparkline>
              <xm:f>'Main Data'!J417:J418</xm:f>
              <xm:sqref>P417</xm:sqref>
            </x14:sparkline>
            <x14:sparkline>
              <xm:f>'Main Data'!J418:J419</xm:f>
              <xm:sqref>P418</xm:sqref>
            </x14:sparkline>
            <x14:sparkline>
              <xm:f>'Main Data'!J419:J420</xm:f>
              <xm:sqref>P419</xm:sqref>
            </x14:sparkline>
            <x14:sparkline>
              <xm:f>'Main Data'!J420:J421</xm:f>
              <xm:sqref>P420</xm:sqref>
            </x14:sparkline>
            <x14:sparkline>
              <xm:f>'Main Data'!J421:J422</xm:f>
              <xm:sqref>P421</xm:sqref>
            </x14:sparkline>
            <x14:sparkline>
              <xm:f>'Main Data'!J422:J423</xm:f>
              <xm:sqref>P422</xm:sqref>
            </x14:sparkline>
            <x14:sparkline>
              <xm:f>'Main Data'!J423:J424</xm:f>
              <xm:sqref>P423</xm:sqref>
            </x14:sparkline>
            <x14:sparkline>
              <xm:f>'Main Data'!J424:J425</xm:f>
              <xm:sqref>P424</xm:sqref>
            </x14:sparkline>
            <x14:sparkline>
              <xm:f>'Main Data'!J425:J426</xm:f>
              <xm:sqref>P425</xm:sqref>
            </x14:sparkline>
            <x14:sparkline>
              <xm:f>'Main Data'!J426:J427</xm:f>
              <xm:sqref>P426</xm:sqref>
            </x14:sparkline>
            <x14:sparkline>
              <xm:f>'Main Data'!J427:J428</xm:f>
              <xm:sqref>P427</xm:sqref>
            </x14:sparkline>
            <x14:sparkline>
              <xm:f>'Main Data'!J428:J429</xm:f>
              <xm:sqref>P428</xm:sqref>
            </x14:sparkline>
            <x14:sparkline>
              <xm:f>'Main Data'!J429:J430</xm:f>
              <xm:sqref>P429</xm:sqref>
            </x14:sparkline>
            <x14:sparkline>
              <xm:f>'Main Data'!J430:J431</xm:f>
              <xm:sqref>P430</xm:sqref>
            </x14:sparkline>
            <x14:sparkline>
              <xm:f>'Main Data'!J431:J432</xm:f>
              <xm:sqref>P431</xm:sqref>
            </x14:sparkline>
            <x14:sparkline>
              <xm:f>'Main Data'!J432:J433</xm:f>
              <xm:sqref>P432</xm:sqref>
            </x14:sparkline>
            <x14:sparkline>
              <xm:f>'Main Data'!J433:J434</xm:f>
              <xm:sqref>P433</xm:sqref>
            </x14:sparkline>
            <x14:sparkline>
              <xm:f>'Main Data'!J434:J435</xm:f>
              <xm:sqref>P434</xm:sqref>
            </x14:sparkline>
            <x14:sparkline>
              <xm:f>'Main Data'!J435:J436</xm:f>
              <xm:sqref>P435</xm:sqref>
            </x14:sparkline>
            <x14:sparkline>
              <xm:f>'Main Data'!J436:J437</xm:f>
              <xm:sqref>P436</xm:sqref>
            </x14:sparkline>
            <x14:sparkline>
              <xm:f>'Main Data'!J437:J438</xm:f>
              <xm:sqref>P437</xm:sqref>
            </x14:sparkline>
            <x14:sparkline>
              <xm:f>'Main Data'!J438:J439</xm:f>
              <xm:sqref>P438</xm:sqref>
            </x14:sparkline>
            <x14:sparkline>
              <xm:f>'Main Data'!J439:J440</xm:f>
              <xm:sqref>P439</xm:sqref>
            </x14:sparkline>
            <x14:sparkline>
              <xm:f>'Main Data'!J440:J441</xm:f>
              <xm:sqref>P440</xm:sqref>
            </x14:sparkline>
            <x14:sparkline>
              <xm:f>'Main Data'!J441:J442</xm:f>
              <xm:sqref>P441</xm:sqref>
            </x14:sparkline>
            <x14:sparkline>
              <xm:f>'Main Data'!J442:J443</xm:f>
              <xm:sqref>P442</xm:sqref>
            </x14:sparkline>
            <x14:sparkline>
              <xm:f>'Main Data'!J443:J444</xm:f>
              <xm:sqref>P443</xm:sqref>
            </x14:sparkline>
            <x14:sparkline>
              <xm:f>'Main Data'!J444:J445</xm:f>
              <xm:sqref>P444</xm:sqref>
            </x14:sparkline>
            <x14:sparkline>
              <xm:f>'Main Data'!J445:J446</xm:f>
              <xm:sqref>P445</xm:sqref>
            </x14:sparkline>
            <x14:sparkline>
              <xm:f>'Main Data'!J446:J447</xm:f>
              <xm:sqref>P446</xm:sqref>
            </x14:sparkline>
            <x14:sparkline>
              <xm:f>'Main Data'!J447:J448</xm:f>
              <xm:sqref>P447</xm:sqref>
            </x14:sparkline>
            <x14:sparkline>
              <xm:f>'Main Data'!J448:J449</xm:f>
              <xm:sqref>P448</xm:sqref>
            </x14:sparkline>
            <x14:sparkline>
              <xm:f>'Main Data'!J449:J450</xm:f>
              <xm:sqref>P449</xm:sqref>
            </x14:sparkline>
            <x14:sparkline>
              <xm:f>'Main Data'!J450:J451</xm:f>
              <xm:sqref>P450</xm:sqref>
            </x14:sparkline>
            <x14:sparkline>
              <xm:f>'Main Data'!J451:J452</xm:f>
              <xm:sqref>P451</xm:sqref>
            </x14:sparkline>
            <x14:sparkline>
              <xm:f>'Main Data'!J452:J453</xm:f>
              <xm:sqref>P452</xm:sqref>
            </x14:sparkline>
            <x14:sparkline>
              <xm:f>'Main Data'!J453:J454</xm:f>
              <xm:sqref>P453</xm:sqref>
            </x14:sparkline>
            <x14:sparkline>
              <xm:f>'Main Data'!J454:J455</xm:f>
              <xm:sqref>P454</xm:sqref>
            </x14:sparkline>
            <x14:sparkline>
              <xm:f>'Main Data'!J455:J456</xm:f>
              <xm:sqref>P455</xm:sqref>
            </x14:sparkline>
            <x14:sparkline>
              <xm:f>'Main Data'!J456:J457</xm:f>
              <xm:sqref>P456</xm:sqref>
            </x14:sparkline>
            <x14:sparkline>
              <xm:f>'Main Data'!J457:J458</xm:f>
              <xm:sqref>P457</xm:sqref>
            </x14:sparkline>
            <x14:sparkline>
              <xm:f>'Main Data'!J458:J459</xm:f>
              <xm:sqref>P458</xm:sqref>
            </x14:sparkline>
            <x14:sparkline>
              <xm:f>'Main Data'!J459:J460</xm:f>
              <xm:sqref>P459</xm:sqref>
            </x14:sparkline>
            <x14:sparkline>
              <xm:f>'Main Data'!J460:J461</xm:f>
              <xm:sqref>P460</xm:sqref>
            </x14:sparkline>
            <x14:sparkline>
              <xm:f>'Main Data'!J461:J462</xm:f>
              <xm:sqref>P461</xm:sqref>
            </x14:sparkline>
            <x14:sparkline>
              <xm:f>'Main Data'!J462:J463</xm:f>
              <xm:sqref>P462</xm:sqref>
            </x14:sparkline>
            <x14:sparkline>
              <xm:f>'Main Data'!J463:J464</xm:f>
              <xm:sqref>P463</xm:sqref>
            </x14:sparkline>
            <x14:sparkline>
              <xm:f>'Main Data'!J464:J465</xm:f>
              <xm:sqref>P464</xm:sqref>
            </x14:sparkline>
            <x14:sparkline>
              <xm:f>'Main Data'!J465:J466</xm:f>
              <xm:sqref>P465</xm:sqref>
            </x14:sparkline>
            <x14:sparkline>
              <xm:f>'Main Data'!J466:J467</xm:f>
              <xm:sqref>P466</xm:sqref>
            </x14:sparkline>
            <x14:sparkline>
              <xm:f>'Main Data'!J467:J468</xm:f>
              <xm:sqref>P467</xm:sqref>
            </x14:sparkline>
            <x14:sparkline>
              <xm:f>'Main Data'!J468:J469</xm:f>
              <xm:sqref>P468</xm:sqref>
            </x14:sparkline>
            <x14:sparkline>
              <xm:f>'Main Data'!J469:J470</xm:f>
              <xm:sqref>P469</xm:sqref>
            </x14:sparkline>
            <x14:sparkline>
              <xm:f>'Main Data'!J470:J471</xm:f>
              <xm:sqref>P470</xm:sqref>
            </x14:sparkline>
            <x14:sparkline>
              <xm:f>'Main Data'!J471:J472</xm:f>
              <xm:sqref>P471</xm:sqref>
            </x14:sparkline>
            <x14:sparkline>
              <xm:f>'Main Data'!J472:J473</xm:f>
              <xm:sqref>P472</xm:sqref>
            </x14:sparkline>
            <x14:sparkline>
              <xm:f>'Main Data'!J473:J474</xm:f>
              <xm:sqref>P473</xm:sqref>
            </x14:sparkline>
            <x14:sparkline>
              <xm:f>'Main Data'!J474:J475</xm:f>
              <xm:sqref>P474</xm:sqref>
            </x14:sparkline>
            <x14:sparkline>
              <xm:f>'Main Data'!J475:J476</xm:f>
              <xm:sqref>P475</xm:sqref>
            </x14:sparkline>
            <x14:sparkline>
              <xm:f>'Main Data'!J476:J477</xm:f>
              <xm:sqref>P476</xm:sqref>
            </x14:sparkline>
            <x14:sparkline>
              <xm:f>'Main Data'!J477:J478</xm:f>
              <xm:sqref>P477</xm:sqref>
            </x14:sparkline>
            <x14:sparkline>
              <xm:f>'Main Data'!J478:J479</xm:f>
              <xm:sqref>P478</xm:sqref>
            </x14:sparkline>
            <x14:sparkline>
              <xm:f>'Main Data'!J479:J480</xm:f>
              <xm:sqref>P479</xm:sqref>
            </x14:sparkline>
            <x14:sparkline>
              <xm:f>'Main Data'!J480:J481</xm:f>
              <xm:sqref>P480</xm:sqref>
            </x14:sparkline>
            <x14:sparkline>
              <xm:f>'Main Data'!J481:J482</xm:f>
              <xm:sqref>P481</xm:sqref>
            </x14:sparkline>
            <x14:sparkline>
              <xm:f>'Main Data'!J482:J483</xm:f>
              <xm:sqref>P482</xm:sqref>
            </x14:sparkline>
            <x14:sparkline>
              <xm:f>'Main Data'!J483:J484</xm:f>
              <xm:sqref>P483</xm:sqref>
            </x14:sparkline>
            <x14:sparkline>
              <xm:f>'Main Data'!J484:J485</xm:f>
              <xm:sqref>P484</xm:sqref>
            </x14:sparkline>
            <x14:sparkline>
              <xm:f>'Main Data'!J485:J486</xm:f>
              <xm:sqref>P485</xm:sqref>
            </x14:sparkline>
            <x14:sparkline>
              <xm:f>'Main Data'!J486:J487</xm:f>
              <xm:sqref>P486</xm:sqref>
            </x14:sparkline>
            <x14:sparkline>
              <xm:f>'Main Data'!J487:J488</xm:f>
              <xm:sqref>P487</xm:sqref>
            </x14:sparkline>
            <x14:sparkline>
              <xm:f>'Main Data'!J488:J489</xm:f>
              <xm:sqref>P488</xm:sqref>
            </x14:sparkline>
            <x14:sparkline>
              <xm:f>'Main Data'!J489:J490</xm:f>
              <xm:sqref>P489</xm:sqref>
            </x14:sparkline>
            <x14:sparkline>
              <xm:f>'Main Data'!J490:J491</xm:f>
              <xm:sqref>P490</xm:sqref>
            </x14:sparkline>
            <x14:sparkline>
              <xm:f>'Main Data'!J491:J492</xm:f>
              <xm:sqref>P491</xm:sqref>
            </x14:sparkline>
            <x14:sparkline>
              <xm:f>'Main Data'!J492:J493</xm:f>
              <xm:sqref>P492</xm:sqref>
            </x14:sparkline>
            <x14:sparkline>
              <xm:f>'Main Data'!J493:J494</xm:f>
              <xm:sqref>P493</xm:sqref>
            </x14:sparkline>
            <x14:sparkline>
              <xm:f>'Main Data'!J494:J495</xm:f>
              <xm:sqref>P494</xm:sqref>
            </x14:sparkline>
            <x14:sparkline>
              <xm:f>'Main Data'!J495:J496</xm:f>
              <xm:sqref>P495</xm:sqref>
            </x14:sparkline>
            <x14:sparkline>
              <xm:f>'Main Data'!J496:J497</xm:f>
              <xm:sqref>P496</xm:sqref>
            </x14:sparkline>
            <x14:sparkline>
              <xm:f>'Main Data'!J497:J498</xm:f>
              <xm:sqref>P497</xm:sqref>
            </x14:sparkline>
            <x14:sparkline>
              <xm:f>'Main Data'!J498:J499</xm:f>
              <xm:sqref>P498</xm:sqref>
            </x14:sparkline>
            <x14:sparkline>
              <xm:f>'Main Data'!J499:J500</xm:f>
              <xm:sqref>P499</xm:sqref>
            </x14:sparkline>
            <x14:sparkline>
              <xm:f>'Main Data'!J500:J501</xm:f>
              <xm:sqref>P500</xm:sqref>
            </x14:sparkline>
          </x14:sparklines>
        </x14:sparklineGroup>
        <x14:sparklineGroup displayEmptyCellsAs="gap" xr2:uid="{A2CE8D01-1D25-4A5A-838C-EB22C00210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Data'!J500:J501</xm:f>
              <xm:sqref>P501</xm:sqref>
            </x14:sparkline>
          </x14:sparklines>
        </x14:sparklineGroup>
        <x14:sparklineGroup type="column" displayEmptyCellsAs="gap" xr2:uid="{25BFF5F3-3970-442B-BFA6-3BEADE15F4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Data'!J2:J3</xm:f>
              <xm:sqref>Q2</xm:sqref>
            </x14:sparkline>
            <x14:sparkline>
              <xm:f>'Main Data'!J3:J4</xm:f>
              <xm:sqref>Q3</xm:sqref>
            </x14:sparkline>
            <x14:sparkline>
              <xm:f>'Main Data'!J4:J5</xm:f>
              <xm:sqref>Q4</xm:sqref>
            </x14:sparkline>
            <x14:sparkline>
              <xm:f>'Main Data'!J5:J6</xm:f>
              <xm:sqref>Q5</xm:sqref>
            </x14:sparkline>
            <x14:sparkline>
              <xm:f>'Main Data'!J6:J7</xm:f>
              <xm:sqref>Q6</xm:sqref>
            </x14:sparkline>
            <x14:sparkline>
              <xm:f>'Main Data'!J7:J8</xm:f>
              <xm:sqref>Q7</xm:sqref>
            </x14:sparkline>
            <x14:sparkline>
              <xm:f>'Main Data'!J8:J9</xm:f>
              <xm:sqref>Q8</xm:sqref>
            </x14:sparkline>
            <x14:sparkline>
              <xm:f>'Main Data'!J9:J10</xm:f>
              <xm:sqref>Q9</xm:sqref>
            </x14:sparkline>
            <x14:sparkline>
              <xm:f>'Main Data'!J10:J11</xm:f>
              <xm:sqref>Q10</xm:sqref>
            </x14:sparkline>
            <x14:sparkline>
              <xm:f>'Main Data'!J11:J12</xm:f>
              <xm:sqref>Q11</xm:sqref>
            </x14:sparkline>
            <x14:sparkline>
              <xm:f>'Main Data'!J12:J13</xm:f>
              <xm:sqref>Q12</xm:sqref>
            </x14:sparkline>
            <x14:sparkline>
              <xm:f>'Main Data'!J13:J14</xm:f>
              <xm:sqref>Q13</xm:sqref>
            </x14:sparkline>
            <x14:sparkline>
              <xm:f>'Main Data'!J14:J15</xm:f>
              <xm:sqref>Q14</xm:sqref>
            </x14:sparkline>
            <x14:sparkline>
              <xm:f>'Main Data'!J15:J16</xm:f>
              <xm:sqref>Q15</xm:sqref>
            </x14:sparkline>
            <x14:sparkline>
              <xm:f>'Main Data'!J16:J17</xm:f>
              <xm:sqref>Q16</xm:sqref>
            </x14:sparkline>
            <x14:sparkline>
              <xm:f>'Main Data'!J17:J18</xm:f>
              <xm:sqref>Q17</xm:sqref>
            </x14:sparkline>
            <x14:sparkline>
              <xm:f>'Main Data'!J18:J19</xm:f>
              <xm:sqref>Q18</xm:sqref>
            </x14:sparkline>
            <x14:sparkline>
              <xm:f>'Main Data'!J19:J20</xm:f>
              <xm:sqref>Q19</xm:sqref>
            </x14:sparkline>
            <x14:sparkline>
              <xm:f>'Main Data'!J20:J21</xm:f>
              <xm:sqref>Q20</xm:sqref>
            </x14:sparkline>
            <x14:sparkline>
              <xm:f>'Main Data'!J21:J22</xm:f>
              <xm:sqref>Q21</xm:sqref>
            </x14:sparkline>
            <x14:sparkline>
              <xm:f>'Main Data'!J22:J23</xm:f>
              <xm:sqref>Q22</xm:sqref>
            </x14:sparkline>
            <x14:sparkline>
              <xm:f>'Main Data'!J23:J24</xm:f>
              <xm:sqref>Q23</xm:sqref>
            </x14:sparkline>
            <x14:sparkline>
              <xm:f>'Main Data'!J24:J25</xm:f>
              <xm:sqref>Q24</xm:sqref>
            </x14:sparkline>
            <x14:sparkline>
              <xm:f>'Main Data'!J25:J26</xm:f>
              <xm:sqref>Q25</xm:sqref>
            </x14:sparkline>
            <x14:sparkline>
              <xm:f>'Main Data'!J26:J27</xm:f>
              <xm:sqref>Q26</xm:sqref>
            </x14:sparkline>
            <x14:sparkline>
              <xm:f>'Main Data'!J27:J28</xm:f>
              <xm:sqref>Q27</xm:sqref>
            </x14:sparkline>
            <x14:sparkline>
              <xm:f>'Main Data'!J28:J29</xm:f>
              <xm:sqref>Q28</xm:sqref>
            </x14:sparkline>
            <x14:sparkline>
              <xm:f>'Main Data'!J29:J30</xm:f>
              <xm:sqref>Q29</xm:sqref>
            </x14:sparkline>
            <x14:sparkline>
              <xm:f>'Main Data'!J30:J31</xm:f>
              <xm:sqref>Q30</xm:sqref>
            </x14:sparkline>
            <x14:sparkline>
              <xm:f>'Main Data'!J31:J32</xm:f>
              <xm:sqref>Q31</xm:sqref>
            </x14:sparkline>
            <x14:sparkline>
              <xm:f>'Main Data'!J32:J33</xm:f>
              <xm:sqref>Q32</xm:sqref>
            </x14:sparkline>
            <x14:sparkline>
              <xm:f>'Main Data'!J33:J34</xm:f>
              <xm:sqref>Q33</xm:sqref>
            </x14:sparkline>
            <x14:sparkline>
              <xm:f>'Main Data'!J34:J35</xm:f>
              <xm:sqref>Q34</xm:sqref>
            </x14:sparkline>
            <x14:sparkline>
              <xm:f>'Main Data'!J35:J36</xm:f>
              <xm:sqref>Q35</xm:sqref>
            </x14:sparkline>
            <x14:sparkline>
              <xm:f>'Main Data'!J36:J37</xm:f>
              <xm:sqref>Q36</xm:sqref>
            </x14:sparkline>
            <x14:sparkline>
              <xm:f>'Main Data'!J37:J38</xm:f>
              <xm:sqref>Q37</xm:sqref>
            </x14:sparkline>
            <x14:sparkline>
              <xm:f>'Main Data'!J38:J39</xm:f>
              <xm:sqref>Q38</xm:sqref>
            </x14:sparkline>
            <x14:sparkline>
              <xm:f>'Main Data'!J39:J40</xm:f>
              <xm:sqref>Q39</xm:sqref>
            </x14:sparkline>
            <x14:sparkline>
              <xm:f>'Main Data'!J40:J41</xm:f>
              <xm:sqref>Q40</xm:sqref>
            </x14:sparkline>
            <x14:sparkline>
              <xm:f>'Main Data'!J41:J42</xm:f>
              <xm:sqref>Q41</xm:sqref>
            </x14:sparkline>
            <x14:sparkline>
              <xm:f>'Main Data'!J42:J43</xm:f>
              <xm:sqref>Q42</xm:sqref>
            </x14:sparkline>
            <x14:sparkline>
              <xm:f>'Main Data'!J43:J44</xm:f>
              <xm:sqref>Q43</xm:sqref>
            </x14:sparkline>
            <x14:sparkline>
              <xm:f>'Main Data'!J44:J45</xm:f>
              <xm:sqref>Q44</xm:sqref>
            </x14:sparkline>
            <x14:sparkline>
              <xm:f>'Main Data'!J45:J46</xm:f>
              <xm:sqref>Q45</xm:sqref>
            </x14:sparkline>
            <x14:sparkline>
              <xm:f>'Main Data'!J46:J47</xm:f>
              <xm:sqref>Q46</xm:sqref>
            </x14:sparkline>
            <x14:sparkline>
              <xm:f>'Main Data'!J47:J48</xm:f>
              <xm:sqref>Q47</xm:sqref>
            </x14:sparkline>
            <x14:sparkline>
              <xm:f>'Main Data'!J48:J49</xm:f>
              <xm:sqref>Q48</xm:sqref>
            </x14:sparkline>
            <x14:sparkline>
              <xm:f>'Main Data'!J49:J50</xm:f>
              <xm:sqref>Q49</xm:sqref>
            </x14:sparkline>
            <x14:sparkline>
              <xm:f>'Main Data'!J50:J51</xm:f>
              <xm:sqref>Q50</xm:sqref>
            </x14:sparkline>
            <x14:sparkline>
              <xm:f>'Main Data'!J51:J52</xm:f>
              <xm:sqref>Q51</xm:sqref>
            </x14:sparkline>
            <x14:sparkline>
              <xm:f>'Main Data'!J52:J53</xm:f>
              <xm:sqref>Q52</xm:sqref>
            </x14:sparkline>
            <x14:sparkline>
              <xm:f>'Main Data'!J53:J54</xm:f>
              <xm:sqref>Q53</xm:sqref>
            </x14:sparkline>
            <x14:sparkline>
              <xm:f>'Main Data'!J54:J55</xm:f>
              <xm:sqref>Q54</xm:sqref>
            </x14:sparkline>
            <x14:sparkline>
              <xm:f>'Main Data'!J55:J56</xm:f>
              <xm:sqref>Q55</xm:sqref>
            </x14:sparkline>
            <x14:sparkline>
              <xm:f>'Main Data'!J56:J57</xm:f>
              <xm:sqref>Q56</xm:sqref>
            </x14:sparkline>
            <x14:sparkline>
              <xm:f>'Main Data'!J57:J58</xm:f>
              <xm:sqref>Q57</xm:sqref>
            </x14:sparkline>
            <x14:sparkline>
              <xm:f>'Main Data'!J58:J59</xm:f>
              <xm:sqref>Q58</xm:sqref>
            </x14:sparkline>
            <x14:sparkline>
              <xm:f>'Main Data'!J59:J60</xm:f>
              <xm:sqref>Q59</xm:sqref>
            </x14:sparkline>
            <x14:sparkline>
              <xm:f>'Main Data'!J60:J61</xm:f>
              <xm:sqref>Q60</xm:sqref>
            </x14:sparkline>
            <x14:sparkline>
              <xm:f>'Main Data'!J61:J62</xm:f>
              <xm:sqref>Q61</xm:sqref>
            </x14:sparkline>
            <x14:sparkline>
              <xm:f>'Main Data'!J62:J63</xm:f>
              <xm:sqref>Q62</xm:sqref>
            </x14:sparkline>
            <x14:sparkline>
              <xm:f>'Main Data'!J63:J64</xm:f>
              <xm:sqref>Q63</xm:sqref>
            </x14:sparkline>
            <x14:sparkline>
              <xm:f>'Main Data'!J64:J65</xm:f>
              <xm:sqref>Q64</xm:sqref>
            </x14:sparkline>
            <x14:sparkline>
              <xm:f>'Main Data'!J65:J66</xm:f>
              <xm:sqref>Q65</xm:sqref>
            </x14:sparkline>
            <x14:sparkline>
              <xm:f>'Main Data'!J66:J67</xm:f>
              <xm:sqref>Q66</xm:sqref>
            </x14:sparkline>
            <x14:sparkline>
              <xm:f>'Main Data'!J67:J68</xm:f>
              <xm:sqref>Q67</xm:sqref>
            </x14:sparkline>
            <x14:sparkline>
              <xm:f>'Main Data'!J68:J69</xm:f>
              <xm:sqref>Q68</xm:sqref>
            </x14:sparkline>
            <x14:sparkline>
              <xm:f>'Main Data'!J69:J70</xm:f>
              <xm:sqref>Q69</xm:sqref>
            </x14:sparkline>
            <x14:sparkline>
              <xm:f>'Main Data'!J70:J71</xm:f>
              <xm:sqref>Q70</xm:sqref>
            </x14:sparkline>
            <x14:sparkline>
              <xm:f>'Main Data'!J71:J72</xm:f>
              <xm:sqref>Q71</xm:sqref>
            </x14:sparkline>
            <x14:sparkline>
              <xm:f>'Main Data'!J72:J73</xm:f>
              <xm:sqref>Q72</xm:sqref>
            </x14:sparkline>
            <x14:sparkline>
              <xm:f>'Main Data'!J73:J74</xm:f>
              <xm:sqref>Q73</xm:sqref>
            </x14:sparkline>
            <x14:sparkline>
              <xm:f>'Main Data'!J74:J75</xm:f>
              <xm:sqref>Q74</xm:sqref>
            </x14:sparkline>
            <x14:sparkline>
              <xm:f>'Main Data'!J75:J76</xm:f>
              <xm:sqref>Q75</xm:sqref>
            </x14:sparkline>
            <x14:sparkline>
              <xm:f>'Main Data'!J76:J77</xm:f>
              <xm:sqref>Q76</xm:sqref>
            </x14:sparkline>
            <x14:sparkline>
              <xm:f>'Main Data'!J77:J78</xm:f>
              <xm:sqref>Q77</xm:sqref>
            </x14:sparkline>
            <x14:sparkline>
              <xm:f>'Main Data'!J78:J79</xm:f>
              <xm:sqref>Q78</xm:sqref>
            </x14:sparkline>
            <x14:sparkline>
              <xm:f>'Main Data'!J79:J80</xm:f>
              <xm:sqref>Q79</xm:sqref>
            </x14:sparkline>
            <x14:sparkline>
              <xm:f>'Main Data'!J80:J81</xm:f>
              <xm:sqref>Q80</xm:sqref>
            </x14:sparkline>
            <x14:sparkline>
              <xm:f>'Main Data'!J81:J82</xm:f>
              <xm:sqref>Q81</xm:sqref>
            </x14:sparkline>
            <x14:sparkline>
              <xm:f>'Main Data'!J82:J83</xm:f>
              <xm:sqref>Q82</xm:sqref>
            </x14:sparkline>
            <x14:sparkline>
              <xm:f>'Main Data'!J83:J84</xm:f>
              <xm:sqref>Q83</xm:sqref>
            </x14:sparkline>
            <x14:sparkline>
              <xm:f>'Main Data'!J84:J85</xm:f>
              <xm:sqref>Q84</xm:sqref>
            </x14:sparkline>
            <x14:sparkline>
              <xm:f>'Main Data'!J85:J86</xm:f>
              <xm:sqref>Q85</xm:sqref>
            </x14:sparkline>
            <x14:sparkline>
              <xm:f>'Main Data'!J86:J87</xm:f>
              <xm:sqref>Q86</xm:sqref>
            </x14:sparkline>
            <x14:sparkline>
              <xm:f>'Main Data'!J87:J88</xm:f>
              <xm:sqref>Q87</xm:sqref>
            </x14:sparkline>
            <x14:sparkline>
              <xm:f>'Main Data'!J88:J89</xm:f>
              <xm:sqref>Q88</xm:sqref>
            </x14:sparkline>
            <x14:sparkline>
              <xm:f>'Main Data'!J89:J90</xm:f>
              <xm:sqref>Q89</xm:sqref>
            </x14:sparkline>
            <x14:sparkline>
              <xm:f>'Main Data'!J90:J91</xm:f>
              <xm:sqref>Q90</xm:sqref>
            </x14:sparkline>
            <x14:sparkline>
              <xm:f>'Main Data'!J91:J92</xm:f>
              <xm:sqref>Q91</xm:sqref>
            </x14:sparkline>
            <x14:sparkline>
              <xm:f>'Main Data'!J92:J93</xm:f>
              <xm:sqref>Q92</xm:sqref>
            </x14:sparkline>
            <x14:sparkline>
              <xm:f>'Main Data'!J93:J94</xm:f>
              <xm:sqref>Q93</xm:sqref>
            </x14:sparkline>
            <x14:sparkline>
              <xm:f>'Main Data'!J94:J95</xm:f>
              <xm:sqref>Q94</xm:sqref>
            </x14:sparkline>
            <x14:sparkline>
              <xm:f>'Main Data'!J95:J96</xm:f>
              <xm:sqref>Q95</xm:sqref>
            </x14:sparkline>
            <x14:sparkline>
              <xm:f>'Main Data'!J96:J97</xm:f>
              <xm:sqref>Q96</xm:sqref>
            </x14:sparkline>
            <x14:sparkline>
              <xm:f>'Main Data'!J97:J98</xm:f>
              <xm:sqref>Q97</xm:sqref>
            </x14:sparkline>
            <x14:sparkline>
              <xm:f>'Main Data'!J98:J99</xm:f>
              <xm:sqref>Q98</xm:sqref>
            </x14:sparkline>
            <x14:sparkline>
              <xm:f>'Main Data'!J99:J100</xm:f>
              <xm:sqref>Q99</xm:sqref>
            </x14:sparkline>
            <x14:sparkline>
              <xm:f>'Main Data'!J100:J101</xm:f>
              <xm:sqref>Q100</xm:sqref>
            </x14:sparkline>
            <x14:sparkline>
              <xm:f>'Main Data'!J101:J102</xm:f>
              <xm:sqref>Q101</xm:sqref>
            </x14:sparkline>
            <x14:sparkline>
              <xm:f>'Main Data'!J102:J103</xm:f>
              <xm:sqref>Q102</xm:sqref>
            </x14:sparkline>
            <x14:sparkline>
              <xm:f>'Main Data'!J103:J104</xm:f>
              <xm:sqref>Q103</xm:sqref>
            </x14:sparkline>
            <x14:sparkline>
              <xm:f>'Main Data'!J104:J105</xm:f>
              <xm:sqref>Q104</xm:sqref>
            </x14:sparkline>
            <x14:sparkline>
              <xm:f>'Main Data'!J105:J106</xm:f>
              <xm:sqref>Q105</xm:sqref>
            </x14:sparkline>
            <x14:sparkline>
              <xm:f>'Main Data'!J106:J107</xm:f>
              <xm:sqref>Q106</xm:sqref>
            </x14:sparkline>
            <x14:sparkline>
              <xm:f>'Main Data'!J107:J108</xm:f>
              <xm:sqref>Q107</xm:sqref>
            </x14:sparkline>
            <x14:sparkline>
              <xm:f>'Main Data'!J108:J109</xm:f>
              <xm:sqref>Q108</xm:sqref>
            </x14:sparkline>
            <x14:sparkline>
              <xm:f>'Main Data'!J109:J110</xm:f>
              <xm:sqref>Q109</xm:sqref>
            </x14:sparkline>
            <x14:sparkline>
              <xm:f>'Main Data'!J110:J111</xm:f>
              <xm:sqref>Q110</xm:sqref>
            </x14:sparkline>
            <x14:sparkline>
              <xm:f>'Main Data'!J111:J112</xm:f>
              <xm:sqref>Q111</xm:sqref>
            </x14:sparkline>
            <x14:sparkline>
              <xm:f>'Main Data'!J112:J113</xm:f>
              <xm:sqref>Q112</xm:sqref>
            </x14:sparkline>
            <x14:sparkline>
              <xm:f>'Main Data'!J113:J114</xm:f>
              <xm:sqref>Q113</xm:sqref>
            </x14:sparkline>
            <x14:sparkline>
              <xm:f>'Main Data'!J114:J115</xm:f>
              <xm:sqref>Q114</xm:sqref>
            </x14:sparkline>
            <x14:sparkline>
              <xm:f>'Main Data'!J115:J116</xm:f>
              <xm:sqref>Q115</xm:sqref>
            </x14:sparkline>
            <x14:sparkline>
              <xm:f>'Main Data'!J116:J117</xm:f>
              <xm:sqref>Q116</xm:sqref>
            </x14:sparkline>
            <x14:sparkline>
              <xm:f>'Main Data'!J117:J118</xm:f>
              <xm:sqref>Q117</xm:sqref>
            </x14:sparkline>
            <x14:sparkline>
              <xm:f>'Main Data'!J118:J119</xm:f>
              <xm:sqref>Q118</xm:sqref>
            </x14:sparkline>
            <x14:sparkline>
              <xm:f>'Main Data'!J119:J120</xm:f>
              <xm:sqref>Q119</xm:sqref>
            </x14:sparkline>
            <x14:sparkline>
              <xm:f>'Main Data'!J120:J121</xm:f>
              <xm:sqref>Q120</xm:sqref>
            </x14:sparkline>
            <x14:sparkline>
              <xm:f>'Main Data'!J121:J122</xm:f>
              <xm:sqref>Q121</xm:sqref>
            </x14:sparkline>
            <x14:sparkline>
              <xm:f>'Main Data'!J122:J123</xm:f>
              <xm:sqref>Q122</xm:sqref>
            </x14:sparkline>
            <x14:sparkline>
              <xm:f>'Main Data'!J123:J124</xm:f>
              <xm:sqref>Q123</xm:sqref>
            </x14:sparkline>
            <x14:sparkline>
              <xm:f>'Main Data'!J124:J125</xm:f>
              <xm:sqref>Q124</xm:sqref>
            </x14:sparkline>
            <x14:sparkline>
              <xm:f>'Main Data'!J125:J126</xm:f>
              <xm:sqref>Q125</xm:sqref>
            </x14:sparkline>
            <x14:sparkline>
              <xm:f>'Main Data'!J126:J127</xm:f>
              <xm:sqref>Q126</xm:sqref>
            </x14:sparkline>
            <x14:sparkline>
              <xm:f>'Main Data'!J127:J128</xm:f>
              <xm:sqref>Q127</xm:sqref>
            </x14:sparkline>
            <x14:sparkline>
              <xm:f>'Main Data'!J128:J129</xm:f>
              <xm:sqref>Q128</xm:sqref>
            </x14:sparkline>
            <x14:sparkline>
              <xm:f>'Main Data'!J129:J130</xm:f>
              <xm:sqref>Q129</xm:sqref>
            </x14:sparkline>
            <x14:sparkline>
              <xm:f>'Main Data'!J130:J131</xm:f>
              <xm:sqref>Q130</xm:sqref>
            </x14:sparkline>
            <x14:sparkline>
              <xm:f>'Main Data'!J131:J132</xm:f>
              <xm:sqref>Q131</xm:sqref>
            </x14:sparkline>
            <x14:sparkline>
              <xm:f>'Main Data'!J132:J133</xm:f>
              <xm:sqref>Q132</xm:sqref>
            </x14:sparkline>
            <x14:sparkline>
              <xm:f>'Main Data'!J133:J134</xm:f>
              <xm:sqref>Q133</xm:sqref>
            </x14:sparkline>
            <x14:sparkline>
              <xm:f>'Main Data'!J134:J135</xm:f>
              <xm:sqref>Q134</xm:sqref>
            </x14:sparkline>
            <x14:sparkline>
              <xm:f>'Main Data'!J135:J136</xm:f>
              <xm:sqref>Q135</xm:sqref>
            </x14:sparkline>
            <x14:sparkline>
              <xm:f>'Main Data'!J136:J137</xm:f>
              <xm:sqref>Q136</xm:sqref>
            </x14:sparkline>
            <x14:sparkline>
              <xm:f>'Main Data'!J137:J138</xm:f>
              <xm:sqref>Q137</xm:sqref>
            </x14:sparkline>
            <x14:sparkline>
              <xm:f>'Main Data'!J138:J139</xm:f>
              <xm:sqref>Q138</xm:sqref>
            </x14:sparkline>
            <x14:sparkline>
              <xm:f>'Main Data'!J139:J140</xm:f>
              <xm:sqref>Q139</xm:sqref>
            </x14:sparkline>
            <x14:sparkline>
              <xm:f>'Main Data'!J140:J141</xm:f>
              <xm:sqref>Q140</xm:sqref>
            </x14:sparkline>
            <x14:sparkline>
              <xm:f>'Main Data'!J141:J142</xm:f>
              <xm:sqref>Q141</xm:sqref>
            </x14:sparkline>
            <x14:sparkline>
              <xm:f>'Main Data'!J142:J143</xm:f>
              <xm:sqref>Q142</xm:sqref>
            </x14:sparkline>
            <x14:sparkline>
              <xm:f>'Main Data'!J143:J144</xm:f>
              <xm:sqref>Q143</xm:sqref>
            </x14:sparkline>
            <x14:sparkline>
              <xm:f>'Main Data'!J144:J145</xm:f>
              <xm:sqref>Q144</xm:sqref>
            </x14:sparkline>
            <x14:sparkline>
              <xm:f>'Main Data'!J145:J146</xm:f>
              <xm:sqref>Q145</xm:sqref>
            </x14:sparkline>
            <x14:sparkline>
              <xm:f>'Main Data'!J146:J147</xm:f>
              <xm:sqref>Q146</xm:sqref>
            </x14:sparkline>
            <x14:sparkline>
              <xm:f>'Main Data'!J147:J148</xm:f>
              <xm:sqref>Q147</xm:sqref>
            </x14:sparkline>
            <x14:sparkline>
              <xm:f>'Main Data'!J148:J149</xm:f>
              <xm:sqref>Q148</xm:sqref>
            </x14:sparkline>
            <x14:sparkline>
              <xm:f>'Main Data'!J149:J150</xm:f>
              <xm:sqref>Q149</xm:sqref>
            </x14:sparkline>
            <x14:sparkline>
              <xm:f>'Main Data'!J150:J151</xm:f>
              <xm:sqref>Q150</xm:sqref>
            </x14:sparkline>
            <x14:sparkline>
              <xm:f>'Main Data'!J151:J152</xm:f>
              <xm:sqref>Q151</xm:sqref>
            </x14:sparkline>
            <x14:sparkline>
              <xm:f>'Main Data'!J152:J153</xm:f>
              <xm:sqref>Q152</xm:sqref>
            </x14:sparkline>
            <x14:sparkline>
              <xm:f>'Main Data'!J153:J154</xm:f>
              <xm:sqref>Q153</xm:sqref>
            </x14:sparkline>
            <x14:sparkline>
              <xm:f>'Main Data'!J154:J155</xm:f>
              <xm:sqref>Q154</xm:sqref>
            </x14:sparkline>
            <x14:sparkline>
              <xm:f>'Main Data'!J155:J156</xm:f>
              <xm:sqref>Q155</xm:sqref>
            </x14:sparkline>
            <x14:sparkline>
              <xm:f>'Main Data'!J156:J157</xm:f>
              <xm:sqref>Q156</xm:sqref>
            </x14:sparkline>
            <x14:sparkline>
              <xm:f>'Main Data'!J157:J158</xm:f>
              <xm:sqref>Q157</xm:sqref>
            </x14:sparkline>
            <x14:sparkline>
              <xm:f>'Main Data'!J158:J159</xm:f>
              <xm:sqref>Q158</xm:sqref>
            </x14:sparkline>
            <x14:sparkline>
              <xm:f>'Main Data'!J159:J160</xm:f>
              <xm:sqref>Q159</xm:sqref>
            </x14:sparkline>
            <x14:sparkline>
              <xm:f>'Main Data'!J160:J161</xm:f>
              <xm:sqref>Q160</xm:sqref>
            </x14:sparkline>
            <x14:sparkline>
              <xm:f>'Main Data'!J161:J162</xm:f>
              <xm:sqref>Q161</xm:sqref>
            </x14:sparkline>
            <x14:sparkline>
              <xm:f>'Main Data'!J162:J163</xm:f>
              <xm:sqref>Q162</xm:sqref>
            </x14:sparkline>
            <x14:sparkline>
              <xm:f>'Main Data'!J163:J164</xm:f>
              <xm:sqref>Q163</xm:sqref>
            </x14:sparkline>
            <x14:sparkline>
              <xm:f>'Main Data'!J164:J165</xm:f>
              <xm:sqref>Q164</xm:sqref>
            </x14:sparkline>
            <x14:sparkline>
              <xm:f>'Main Data'!J165:J166</xm:f>
              <xm:sqref>Q165</xm:sqref>
            </x14:sparkline>
            <x14:sparkline>
              <xm:f>'Main Data'!J166:J167</xm:f>
              <xm:sqref>Q166</xm:sqref>
            </x14:sparkline>
            <x14:sparkline>
              <xm:f>'Main Data'!J167:J168</xm:f>
              <xm:sqref>Q167</xm:sqref>
            </x14:sparkline>
            <x14:sparkline>
              <xm:f>'Main Data'!J168:J169</xm:f>
              <xm:sqref>Q168</xm:sqref>
            </x14:sparkline>
            <x14:sparkline>
              <xm:f>'Main Data'!J169:J170</xm:f>
              <xm:sqref>Q169</xm:sqref>
            </x14:sparkline>
            <x14:sparkline>
              <xm:f>'Main Data'!J170:J171</xm:f>
              <xm:sqref>Q170</xm:sqref>
            </x14:sparkline>
            <x14:sparkline>
              <xm:f>'Main Data'!J171:J172</xm:f>
              <xm:sqref>Q171</xm:sqref>
            </x14:sparkline>
            <x14:sparkline>
              <xm:f>'Main Data'!J172:J173</xm:f>
              <xm:sqref>Q172</xm:sqref>
            </x14:sparkline>
            <x14:sparkline>
              <xm:f>'Main Data'!J173:J174</xm:f>
              <xm:sqref>Q173</xm:sqref>
            </x14:sparkline>
            <x14:sparkline>
              <xm:f>'Main Data'!J174:J175</xm:f>
              <xm:sqref>Q174</xm:sqref>
            </x14:sparkline>
            <x14:sparkline>
              <xm:f>'Main Data'!J175:J176</xm:f>
              <xm:sqref>Q175</xm:sqref>
            </x14:sparkline>
            <x14:sparkline>
              <xm:f>'Main Data'!J176:J177</xm:f>
              <xm:sqref>Q176</xm:sqref>
            </x14:sparkline>
            <x14:sparkline>
              <xm:f>'Main Data'!J177:J178</xm:f>
              <xm:sqref>Q177</xm:sqref>
            </x14:sparkline>
            <x14:sparkline>
              <xm:f>'Main Data'!J178:J179</xm:f>
              <xm:sqref>Q178</xm:sqref>
            </x14:sparkline>
            <x14:sparkline>
              <xm:f>'Main Data'!J179:J180</xm:f>
              <xm:sqref>Q179</xm:sqref>
            </x14:sparkline>
            <x14:sparkline>
              <xm:f>'Main Data'!J180:J181</xm:f>
              <xm:sqref>Q180</xm:sqref>
            </x14:sparkline>
            <x14:sparkline>
              <xm:f>'Main Data'!J181:J182</xm:f>
              <xm:sqref>Q181</xm:sqref>
            </x14:sparkline>
            <x14:sparkline>
              <xm:f>'Main Data'!J182:J183</xm:f>
              <xm:sqref>Q182</xm:sqref>
            </x14:sparkline>
            <x14:sparkline>
              <xm:f>'Main Data'!J183:J184</xm:f>
              <xm:sqref>Q183</xm:sqref>
            </x14:sparkline>
            <x14:sparkline>
              <xm:f>'Main Data'!J184:J185</xm:f>
              <xm:sqref>Q184</xm:sqref>
            </x14:sparkline>
            <x14:sparkline>
              <xm:f>'Main Data'!J185:J186</xm:f>
              <xm:sqref>Q185</xm:sqref>
            </x14:sparkline>
            <x14:sparkline>
              <xm:f>'Main Data'!J186:J187</xm:f>
              <xm:sqref>Q186</xm:sqref>
            </x14:sparkline>
            <x14:sparkline>
              <xm:f>'Main Data'!J187:J188</xm:f>
              <xm:sqref>Q187</xm:sqref>
            </x14:sparkline>
            <x14:sparkline>
              <xm:f>'Main Data'!J188:J189</xm:f>
              <xm:sqref>Q188</xm:sqref>
            </x14:sparkline>
            <x14:sparkline>
              <xm:f>'Main Data'!J189:J190</xm:f>
              <xm:sqref>Q189</xm:sqref>
            </x14:sparkline>
            <x14:sparkline>
              <xm:f>'Main Data'!J190:J191</xm:f>
              <xm:sqref>Q190</xm:sqref>
            </x14:sparkline>
            <x14:sparkline>
              <xm:f>'Main Data'!J191:J192</xm:f>
              <xm:sqref>Q191</xm:sqref>
            </x14:sparkline>
            <x14:sparkline>
              <xm:f>'Main Data'!J192:J193</xm:f>
              <xm:sqref>Q192</xm:sqref>
            </x14:sparkline>
            <x14:sparkline>
              <xm:f>'Main Data'!J193:J194</xm:f>
              <xm:sqref>Q193</xm:sqref>
            </x14:sparkline>
            <x14:sparkline>
              <xm:f>'Main Data'!J194:J195</xm:f>
              <xm:sqref>Q194</xm:sqref>
            </x14:sparkline>
            <x14:sparkline>
              <xm:f>'Main Data'!J195:J196</xm:f>
              <xm:sqref>Q195</xm:sqref>
            </x14:sparkline>
            <x14:sparkline>
              <xm:f>'Main Data'!J196:J197</xm:f>
              <xm:sqref>Q196</xm:sqref>
            </x14:sparkline>
            <x14:sparkline>
              <xm:f>'Main Data'!J197:J198</xm:f>
              <xm:sqref>Q197</xm:sqref>
            </x14:sparkline>
            <x14:sparkline>
              <xm:f>'Main Data'!J198:J199</xm:f>
              <xm:sqref>Q198</xm:sqref>
            </x14:sparkline>
            <x14:sparkline>
              <xm:f>'Main Data'!J199:J200</xm:f>
              <xm:sqref>Q199</xm:sqref>
            </x14:sparkline>
            <x14:sparkline>
              <xm:f>'Main Data'!J200:J201</xm:f>
              <xm:sqref>Q200</xm:sqref>
            </x14:sparkline>
            <x14:sparkline>
              <xm:f>'Main Data'!J201:J202</xm:f>
              <xm:sqref>Q201</xm:sqref>
            </x14:sparkline>
            <x14:sparkline>
              <xm:f>'Main Data'!J202:J203</xm:f>
              <xm:sqref>Q202</xm:sqref>
            </x14:sparkline>
            <x14:sparkline>
              <xm:f>'Main Data'!J203:J204</xm:f>
              <xm:sqref>Q203</xm:sqref>
            </x14:sparkline>
            <x14:sparkline>
              <xm:f>'Main Data'!J204:J205</xm:f>
              <xm:sqref>Q204</xm:sqref>
            </x14:sparkline>
            <x14:sparkline>
              <xm:f>'Main Data'!J205:J206</xm:f>
              <xm:sqref>Q205</xm:sqref>
            </x14:sparkline>
            <x14:sparkline>
              <xm:f>'Main Data'!J206:J207</xm:f>
              <xm:sqref>Q206</xm:sqref>
            </x14:sparkline>
            <x14:sparkline>
              <xm:f>'Main Data'!J207:J208</xm:f>
              <xm:sqref>Q207</xm:sqref>
            </x14:sparkline>
            <x14:sparkline>
              <xm:f>'Main Data'!J208:J209</xm:f>
              <xm:sqref>Q208</xm:sqref>
            </x14:sparkline>
            <x14:sparkline>
              <xm:f>'Main Data'!J209:J210</xm:f>
              <xm:sqref>Q209</xm:sqref>
            </x14:sparkline>
            <x14:sparkline>
              <xm:f>'Main Data'!J210:J211</xm:f>
              <xm:sqref>Q210</xm:sqref>
            </x14:sparkline>
            <x14:sparkline>
              <xm:f>'Main Data'!J211:J212</xm:f>
              <xm:sqref>Q211</xm:sqref>
            </x14:sparkline>
            <x14:sparkline>
              <xm:f>'Main Data'!J212:J213</xm:f>
              <xm:sqref>Q212</xm:sqref>
            </x14:sparkline>
            <x14:sparkline>
              <xm:f>'Main Data'!J213:J214</xm:f>
              <xm:sqref>Q213</xm:sqref>
            </x14:sparkline>
            <x14:sparkline>
              <xm:f>'Main Data'!J214:J215</xm:f>
              <xm:sqref>Q214</xm:sqref>
            </x14:sparkline>
            <x14:sparkline>
              <xm:f>'Main Data'!J215:J216</xm:f>
              <xm:sqref>Q215</xm:sqref>
            </x14:sparkline>
            <x14:sparkline>
              <xm:f>'Main Data'!J216:J217</xm:f>
              <xm:sqref>Q216</xm:sqref>
            </x14:sparkline>
            <x14:sparkline>
              <xm:f>'Main Data'!J217:J218</xm:f>
              <xm:sqref>Q217</xm:sqref>
            </x14:sparkline>
            <x14:sparkline>
              <xm:f>'Main Data'!J218:J219</xm:f>
              <xm:sqref>Q218</xm:sqref>
            </x14:sparkline>
            <x14:sparkline>
              <xm:f>'Main Data'!J219:J220</xm:f>
              <xm:sqref>Q219</xm:sqref>
            </x14:sparkline>
            <x14:sparkline>
              <xm:f>'Main Data'!J220:J221</xm:f>
              <xm:sqref>Q220</xm:sqref>
            </x14:sparkline>
            <x14:sparkline>
              <xm:f>'Main Data'!J221:J222</xm:f>
              <xm:sqref>Q221</xm:sqref>
            </x14:sparkline>
            <x14:sparkline>
              <xm:f>'Main Data'!J222:J223</xm:f>
              <xm:sqref>Q222</xm:sqref>
            </x14:sparkline>
            <x14:sparkline>
              <xm:f>'Main Data'!J223:J224</xm:f>
              <xm:sqref>Q223</xm:sqref>
            </x14:sparkline>
            <x14:sparkline>
              <xm:f>'Main Data'!J224:J225</xm:f>
              <xm:sqref>Q224</xm:sqref>
            </x14:sparkline>
            <x14:sparkline>
              <xm:f>'Main Data'!J225:J226</xm:f>
              <xm:sqref>Q225</xm:sqref>
            </x14:sparkline>
            <x14:sparkline>
              <xm:f>'Main Data'!J226:J227</xm:f>
              <xm:sqref>Q226</xm:sqref>
            </x14:sparkline>
            <x14:sparkline>
              <xm:f>'Main Data'!J227:J228</xm:f>
              <xm:sqref>Q227</xm:sqref>
            </x14:sparkline>
            <x14:sparkline>
              <xm:f>'Main Data'!J228:J229</xm:f>
              <xm:sqref>Q228</xm:sqref>
            </x14:sparkline>
            <x14:sparkline>
              <xm:f>'Main Data'!J229:J230</xm:f>
              <xm:sqref>Q229</xm:sqref>
            </x14:sparkline>
            <x14:sparkline>
              <xm:f>'Main Data'!J230:J231</xm:f>
              <xm:sqref>Q230</xm:sqref>
            </x14:sparkline>
            <x14:sparkline>
              <xm:f>'Main Data'!J231:J232</xm:f>
              <xm:sqref>Q231</xm:sqref>
            </x14:sparkline>
            <x14:sparkline>
              <xm:f>'Main Data'!J232:J233</xm:f>
              <xm:sqref>Q232</xm:sqref>
            </x14:sparkline>
            <x14:sparkline>
              <xm:f>'Main Data'!J233:J234</xm:f>
              <xm:sqref>Q233</xm:sqref>
            </x14:sparkline>
            <x14:sparkline>
              <xm:f>'Main Data'!J234:J235</xm:f>
              <xm:sqref>Q234</xm:sqref>
            </x14:sparkline>
            <x14:sparkline>
              <xm:f>'Main Data'!J235:J236</xm:f>
              <xm:sqref>Q235</xm:sqref>
            </x14:sparkline>
            <x14:sparkline>
              <xm:f>'Main Data'!J236:J237</xm:f>
              <xm:sqref>Q236</xm:sqref>
            </x14:sparkline>
            <x14:sparkline>
              <xm:f>'Main Data'!J237:J238</xm:f>
              <xm:sqref>Q237</xm:sqref>
            </x14:sparkline>
            <x14:sparkline>
              <xm:f>'Main Data'!J238:J239</xm:f>
              <xm:sqref>Q238</xm:sqref>
            </x14:sparkline>
            <x14:sparkline>
              <xm:f>'Main Data'!J239:J240</xm:f>
              <xm:sqref>Q239</xm:sqref>
            </x14:sparkline>
            <x14:sparkline>
              <xm:f>'Main Data'!J240:J241</xm:f>
              <xm:sqref>Q240</xm:sqref>
            </x14:sparkline>
            <x14:sparkline>
              <xm:f>'Main Data'!J241:J242</xm:f>
              <xm:sqref>Q241</xm:sqref>
            </x14:sparkline>
            <x14:sparkline>
              <xm:f>'Main Data'!J242:J243</xm:f>
              <xm:sqref>Q242</xm:sqref>
            </x14:sparkline>
            <x14:sparkline>
              <xm:f>'Main Data'!J243:J244</xm:f>
              <xm:sqref>Q243</xm:sqref>
            </x14:sparkline>
            <x14:sparkline>
              <xm:f>'Main Data'!J244:J245</xm:f>
              <xm:sqref>Q244</xm:sqref>
            </x14:sparkline>
            <x14:sparkline>
              <xm:f>'Main Data'!J245:J246</xm:f>
              <xm:sqref>Q245</xm:sqref>
            </x14:sparkline>
            <x14:sparkline>
              <xm:f>'Main Data'!J246:J247</xm:f>
              <xm:sqref>Q246</xm:sqref>
            </x14:sparkline>
            <x14:sparkline>
              <xm:f>'Main Data'!J247:J248</xm:f>
              <xm:sqref>Q247</xm:sqref>
            </x14:sparkline>
            <x14:sparkline>
              <xm:f>'Main Data'!J248:J249</xm:f>
              <xm:sqref>Q248</xm:sqref>
            </x14:sparkline>
            <x14:sparkline>
              <xm:f>'Main Data'!J249:J250</xm:f>
              <xm:sqref>Q249</xm:sqref>
            </x14:sparkline>
            <x14:sparkline>
              <xm:f>'Main Data'!J250:J251</xm:f>
              <xm:sqref>Q250</xm:sqref>
            </x14:sparkline>
            <x14:sparkline>
              <xm:f>'Main Data'!J251:J252</xm:f>
              <xm:sqref>Q251</xm:sqref>
            </x14:sparkline>
            <x14:sparkline>
              <xm:f>'Main Data'!J252:J253</xm:f>
              <xm:sqref>Q252</xm:sqref>
            </x14:sparkline>
            <x14:sparkline>
              <xm:f>'Main Data'!J253:J254</xm:f>
              <xm:sqref>Q253</xm:sqref>
            </x14:sparkline>
            <x14:sparkline>
              <xm:f>'Main Data'!J254:J255</xm:f>
              <xm:sqref>Q254</xm:sqref>
            </x14:sparkline>
            <x14:sparkline>
              <xm:f>'Main Data'!J255:J256</xm:f>
              <xm:sqref>Q255</xm:sqref>
            </x14:sparkline>
            <x14:sparkline>
              <xm:f>'Main Data'!J256:J257</xm:f>
              <xm:sqref>Q256</xm:sqref>
            </x14:sparkline>
            <x14:sparkline>
              <xm:f>'Main Data'!J257:J258</xm:f>
              <xm:sqref>Q257</xm:sqref>
            </x14:sparkline>
            <x14:sparkline>
              <xm:f>'Main Data'!J258:J259</xm:f>
              <xm:sqref>Q258</xm:sqref>
            </x14:sparkline>
            <x14:sparkline>
              <xm:f>'Main Data'!J259:J260</xm:f>
              <xm:sqref>Q259</xm:sqref>
            </x14:sparkline>
            <x14:sparkline>
              <xm:f>'Main Data'!J260:J261</xm:f>
              <xm:sqref>Q260</xm:sqref>
            </x14:sparkline>
            <x14:sparkline>
              <xm:f>'Main Data'!J261:J262</xm:f>
              <xm:sqref>Q261</xm:sqref>
            </x14:sparkline>
            <x14:sparkline>
              <xm:f>'Main Data'!J262:J263</xm:f>
              <xm:sqref>Q262</xm:sqref>
            </x14:sparkline>
            <x14:sparkline>
              <xm:f>'Main Data'!J263:J264</xm:f>
              <xm:sqref>Q263</xm:sqref>
            </x14:sparkline>
            <x14:sparkline>
              <xm:f>'Main Data'!J264:J265</xm:f>
              <xm:sqref>Q264</xm:sqref>
            </x14:sparkline>
            <x14:sparkline>
              <xm:f>'Main Data'!J265:J266</xm:f>
              <xm:sqref>Q265</xm:sqref>
            </x14:sparkline>
            <x14:sparkline>
              <xm:f>'Main Data'!J266:J267</xm:f>
              <xm:sqref>Q266</xm:sqref>
            </x14:sparkline>
            <x14:sparkline>
              <xm:f>'Main Data'!J267:J268</xm:f>
              <xm:sqref>Q267</xm:sqref>
            </x14:sparkline>
            <x14:sparkline>
              <xm:f>'Main Data'!J268:J269</xm:f>
              <xm:sqref>Q268</xm:sqref>
            </x14:sparkline>
            <x14:sparkline>
              <xm:f>'Main Data'!J269:J270</xm:f>
              <xm:sqref>Q269</xm:sqref>
            </x14:sparkline>
            <x14:sparkline>
              <xm:f>'Main Data'!J270:J271</xm:f>
              <xm:sqref>Q270</xm:sqref>
            </x14:sparkline>
            <x14:sparkline>
              <xm:f>'Main Data'!J271:J272</xm:f>
              <xm:sqref>Q271</xm:sqref>
            </x14:sparkline>
            <x14:sparkline>
              <xm:f>'Main Data'!J272:J273</xm:f>
              <xm:sqref>Q272</xm:sqref>
            </x14:sparkline>
            <x14:sparkline>
              <xm:f>'Main Data'!J273:J274</xm:f>
              <xm:sqref>Q273</xm:sqref>
            </x14:sparkline>
            <x14:sparkline>
              <xm:f>'Main Data'!J274:J275</xm:f>
              <xm:sqref>Q274</xm:sqref>
            </x14:sparkline>
            <x14:sparkline>
              <xm:f>'Main Data'!J275:J276</xm:f>
              <xm:sqref>Q275</xm:sqref>
            </x14:sparkline>
            <x14:sparkline>
              <xm:f>'Main Data'!J276:J277</xm:f>
              <xm:sqref>Q276</xm:sqref>
            </x14:sparkline>
            <x14:sparkline>
              <xm:f>'Main Data'!J277:J278</xm:f>
              <xm:sqref>Q277</xm:sqref>
            </x14:sparkline>
            <x14:sparkline>
              <xm:f>'Main Data'!J278:J279</xm:f>
              <xm:sqref>Q278</xm:sqref>
            </x14:sparkline>
            <x14:sparkline>
              <xm:f>'Main Data'!J279:J280</xm:f>
              <xm:sqref>Q279</xm:sqref>
            </x14:sparkline>
            <x14:sparkline>
              <xm:f>'Main Data'!J280:J281</xm:f>
              <xm:sqref>Q280</xm:sqref>
            </x14:sparkline>
            <x14:sparkline>
              <xm:f>'Main Data'!J281:J282</xm:f>
              <xm:sqref>Q281</xm:sqref>
            </x14:sparkline>
            <x14:sparkline>
              <xm:f>'Main Data'!J282:J283</xm:f>
              <xm:sqref>Q282</xm:sqref>
            </x14:sparkline>
            <x14:sparkline>
              <xm:f>'Main Data'!J283:J284</xm:f>
              <xm:sqref>Q283</xm:sqref>
            </x14:sparkline>
            <x14:sparkline>
              <xm:f>'Main Data'!J284:J285</xm:f>
              <xm:sqref>Q284</xm:sqref>
            </x14:sparkline>
            <x14:sparkline>
              <xm:f>'Main Data'!J285:J286</xm:f>
              <xm:sqref>Q285</xm:sqref>
            </x14:sparkline>
            <x14:sparkline>
              <xm:f>'Main Data'!J286:J287</xm:f>
              <xm:sqref>Q286</xm:sqref>
            </x14:sparkline>
            <x14:sparkline>
              <xm:f>'Main Data'!J287:J288</xm:f>
              <xm:sqref>Q287</xm:sqref>
            </x14:sparkline>
            <x14:sparkline>
              <xm:f>'Main Data'!J288:J289</xm:f>
              <xm:sqref>Q288</xm:sqref>
            </x14:sparkline>
            <x14:sparkline>
              <xm:f>'Main Data'!J289:J290</xm:f>
              <xm:sqref>Q289</xm:sqref>
            </x14:sparkline>
            <x14:sparkline>
              <xm:f>'Main Data'!J290:J291</xm:f>
              <xm:sqref>Q290</xm:sqref>
            </x14:sparkline>
            <x14:sparkline>
              <xm:f>'Main Data'!J291:J292</xm:f>
              <xm:sqref>Q291</xm:sqref>
            </x14:sparkline>
            <x14:sparkline>
              <xm:f>'Main Data'!J292:J293</xm:f>
              <xm:sqref>Q292</xm:sqref>
            </x14:sparkline>
            <x14:sparkline>
              <xm:f>'Main Data'!J293:J294</xm:f>
              <xm:sqref>Q293</xm:sqref>
            </x14:sparkline>
            <x14:sparkline>
              <xm:f>'Main Data'!J294:J295</xm:f>
              <xm:sqref>Q294</xm:sqref>
            </x14:sparkline>
            <x14:sparkline>
              <xm:f>'Main Data'!J295:J296</xm:f>
              <xm:sqref>Q295</xm:sqref>
            </x14:sparkline>
            <x14:sparkline>
              <xm:f>'Main Data'!J296:J297</xm:f>
              <xm:sqref>Q296</xm:sqref>
            </x14:sparkline>
            <x14:sparkline>
              <xm:f>'Main Data'!J297:J298</xm:f>
              <xm:sqref>Q297</xm:sqref>
            </x14:sparkline>
            <x14:sparkline>
              <xm:f>'Main Data'!J298:J299</xm:f>
              <xm:sqref>Q298</xm:sqref>
            </x14:sparkline>
            <x14:sparkline>
              <xm:f>'Main Data'!J299:J300</xm:f>
              <xm:sqref>Q299</xm:sqref>
            </x14:sparkline>
            <x14:sparkline>
              <xm:f>'Main Data'!J300:J301</xm:f>
              <xm:sqref>Q300</xm:sqref>
            </x14:sparkline>
            <x14:sparkline>
              <xm:f>'Main Data'!J301:J302</xm:f>
              <xm:sqref>Q301</xm:sqref>
            </x14:sparkline>
            <x14:sparkline>
              <xm:f>'Main Data'!J302:J303</xm:f>
              <xm:sqref>Q302</xm:sqref>
            </x14:sparkline>
            <x14:sparkline>
              <xm:f>'Main Data'!J303:J304</xm:f>
              <xm:sqref>Q303</xm:sqref>
            </x14:sparkline>
            <x14:sparkline>
              <xm:f>'Main Data'!J304:J305</xm:f>
              <xm:sqref>Q304</xm:sqref>
            </x14:sparkline>
            <x14:sparkline>
              <xm:f>'Main Data'!J305:J306</xm:f>
              <xm:sqref>Q305</xm:sqref>
            </x14:sparkline>
            <x14:sparkline>
              <xm:f>'Main Data'!J306:J307</xm:f>
              <xm:sqref>Q306</xm:sqref>
            </x14:sparkline>
            <x14:sparkline>
              <xm:f>'Main Data'!J307:J308</xm:f>
              <xm:sqref>Q307</xm:sqref>
            </x14:sparkline>
            <x14:sparkline>
              <xm:f>'Main Data'!J308:J309</xm:f>
              <xm:sqref>Q308</xm:sqref>
            </x14:sparkline>
            <x14:sparkline>
              <xm:f>'Main Data'!J309:J310</xm:f>
              <xm:sqref>Q309</xm:sqref>
            </x14:sparkline>
            <x14:sparkline>
              <xm:f>'Main Data'!J310:J311</xm:f>
              <xm:sqref>Q310</xm:sqref>
            </x14:sparkline>
            <x14:sparkline>
              <xm:f>'Main Data'!J311:J312</xm:f>
              <xm:sqref>Q311</xm:sqref>
            </x14:sparkline>
            <x14:sparkline>
              <xm:f>'Main Data'!J312:J313</xm:f>
              <xm:sqref>Q312</xm:sqref>
            </x14:sparkline>
            <x14:sparkline>
              <xm:f>'Main Data'!J313:J314</xm:f>
              <xm:sqref>Q313</xm:sqref>
            </x14:sparkline>
            <x14:sparkline>
              <xm:f>'Main Data'!J314:J315</xm:f>
              <xm:sqref>Q314</xm:sqref>
            </x14:sparkline>
            <x14:sparkline>
              <xm:f>'Main Data'!J315:J316</xm:f>
              <xm:sqref>Q315</xm:sqref>
            </x14:sparkline>
            <x14:sparkline>
              <xm:f>'Main Data'!J316:J317</xm:f>
              <xm:sqref>Q316</xm:sqref>
            </x14:sparkline>
            <x14:sparkline>
              <xm:f>'Main Data'!J317:J318</xm:f>
              <xm:sqref>Q317</xm:sqref>
            </x14:sparkline>
            <x14:sparkline>
              <xm:f>'Main Data'!J318:J319</xm:f>
              <xm:sqref>Q318</xm:sqref>
            </x14:sparkline>
            <x14:sparkline>
              <xm:f>'Main Data'!J319:J320</xm:f>
              <xm:sqref>Q319</xm:sqref>
            </x14:sparkline>
            <x14:sparkline>
              <xm:f>'Main Data'!J320:J321</xm:f>
              <xm:sqref>Q320</xm:sqref>
            </x14:sparkline>
            <x14:sparkline>
              <xm:f>'Main Data'!J321:J322</xm:f>
              <xm:sqref>Q321</xm:sqref>
            </x14:sparkline>
            <x14:sparkline>
              <xm:f>'Main Data'!J322:J323</xm:f>
              <xm:sqref>Q322</xm:sqref>
            </x14:sparkline>
            <x14:sparkline>
              <xm:f>'Main Data'!J323:J324</xm:f>
              <xm:sqref>Q323</xm:sqref>
            </x14:sparkline>
            <x14:sparkline>
              <xm:f>'Main Data'!J324:J325</xm:f>
              <xm:sqref>Q324</xm:sqref>
            </x14:sparkline>
            <x14:sparkline>
              <xm:f>'Main Data'!J325:J326</xm:f>
              <xm:sqref>Q325</xm:sqref>
            </x14:sparkline>
            <x14:sparkline>
              <xm:f>'Main Data'!J326:J327</xm:f>
              <xm:sqref>Q326</xm:sqref>
            </x14:sparkline>
            <x14:sparkline>
              <xm:f>'Main Data'!J327:J328</xm:f>
              <xm:sqref>Q327</xm:sqref>
            </x14:sparkline>
            <x14:sparkline>
              <xm:f>'Main Data'!J328:J329</xm:f>
              <xm:sqref>Q328</xm:sqref>
            </x14:sparkline>
            <x14:sparkline>
              <xm:f>'Main Data'!J329:J330</xm:f>
              <xm:sqref>Q329</xm:sqref>
            </x14:sparkline>
            <x14:sparkline>
              <xm:f>'Main Data'!J330:J331</xm:f>
              <xm:sqref>Q330</xm:sqref>
            </x14:sparkline>
            <x14:sparkline>
              <xm:f>'Main Data'!J331:J332</xm:f>
              <xm:sqref>Q331</xm:sqref>
            </x14:sparkline>
            <x14:sparkline>
              <xm:f>'Main Data'!J332:J333</xm:f>
              <xm:sqref>Q332</xm:sqref>
            </x14:sparkline>
            <x14:sparkline>
              <xm:f>'Main Data'!J333:J334</xm:f>
              <xm:sqref>Q333</xm:sqref>
            </x14:sparkline>
            <x14:sparkline>
              <xm:f>'Main Data'!J334:J335</xm:f>
              <xm:sqref>Q334</xm:sqref>
            </x14:sparkline>
            <x14:sparkline>
              <xm:f>'Main Data'!J335:J336</xm:f>
              <xm:sqref>Q335</xm:sqref>
            </x14:sparkline>
            <x14:sparkline>
              <xm:f>'Main Data'!J336:J337</xm:f>
              <xm:sqref>Q336</xm:sqref>
            </x14:sparkline>
            <x14:sparkline>
              <xm:f>'Main Data'!J337:J338</xm:f>
              <xm:sqref>Q337</xm:sqref>
            </x14:sparkline>
            <x14:sparkline>
              <xm:f>'Main Data'!J338:J339</xm:f>
              <xm:sqref>Q338</xm:sqref>
            </x14:sparkline>
            <x14:sparkline>
              <xm:f>'Main Data'!J339:J340</xm:f>
              <xm:sqref>Q339</xm:sqref>
            </x14:sparkline>
            <x14:sparkline>
              <xm:f>'Main Data'!J340:J341</xm:f>
              <xm:sqref>Q340</xm:sqref>
            </x14:sparkline>
            <x14:sparkline>
              <xm:f>'Main Data'!J341:J342</xm:f>
              <xm:sqref>Q341</xm:sqref>
            </x14:sparkline>
            <x14:sparkline>
              <xm:f>'Main Data'!J342:J343</xm:f>
              <xm:sqref>Q342</xm:sqref>
            </x14:sparkline>
            <x14:sparkline>
              <xm:f>'Main Data'!J343:J344</xm:f>
              <xm:sqref>Q343</xm:sqref>
            </x14:sparkline>
            <x14:sparkline>
              <xm:f>'Main Data'!J344:J345</xm:f>
              <xm:sqref>Q344</xm:sqref>
            </x14:sparkline>
            <x14:sparkline>
              <xm:f>'Main Data'!J345:J346</xm:f>
              <xm:sqref>Q345</xm:sqref>
            </x14:sparkline>
            <x14:sparkline>
              <xm:f>'Main Data'!J346:J347</xm:f>
              <xm:sqref>Q346</xm:sqref>
            </x14:sparkline>
            <x14:sparkline>
              <xm:f>'Main Data'!J347:J348</xm:f>
              <xm:sqref>Q347</xm:sqref>
            </x14:sparkline>
            <x14:sparkline>
              <xm:f>'Main Data'!J348:J349</xm:f>
              <xm:sqref>Q348</xm:sqref>
            </x14:sparkline>
            <x14:sparkline>
              <xm:f>'Main Data'!J349:J350</xm:f>
              <xm:sqref>Q349</xm:sqref>
            </x14:sparkline>
            <x14:sparkline>
              <xm:f>'Main Data'!J350:J351</xm:f>
              <xm:sqref>Q350</xm:sqref>
            </x14:sparkline>
            <x14:sparkline>
              <xm:f>'Main Data'!J351:J352</xm:f>
              <xm:sqref>Q351</xm:sqref>
            </x14:sparkline>
            <x14:sparkline>
              <xm:f>'Main Data'!J352:J353</xm:f>
              <xm:sqref>Q352</xm:sqref>
            </x14:sparkline>
            <x14:sparkline>
              <xm:f>'Main Data'!J353:J354</xm:f>
              <xm:sqref>Q353</xm:sqref>
            </x14:sparkline>
            <x14:sparkline>
              <xm:f>'Main Data'!J354:J355</xm:f>
              <xm:sqref>Q354</xm:sqref>
            </x14:sparkline>
            <x14:sparkline>
              <xm:f>'Main Data'!J355:J356</xm:f>
              <xm:sqref>Q355</xm:sqref>
            </x14:sparkline>
            <x14:sparkline>
              <xm:f>'Main Data'!J356:J357</xm:f>
              <xm:sqref>Q356</xm:sqref>
            </x14:sparkline>
            <x14:sparkline>
              <xm:f>'Main Data'!J357:J358</xm:f>
              <xm:sqref>Q357</xm:sqref>
            </x14:sparkline>
            <x14:sparkline>
              <xm:f>'Main Data'!J358:J359</xm:f>
              <xm:sqref>Q358</xm:sqref>
            </x14:sparkline>
            <x14:sparkline>
              <xm:f>'Main Data'!J359:J360</xm:f>
              <xm:sqref>Q359</xm:sqref>
            </x14:sparkline>
            <x14:sparkline>
              <xm:f>'Main Data'!J360:J361</xm:f>
              <xm:sqref>Q360</xm:sqref>
            </x14:sparkline>
            <x14:sparkline>
              <xm:f>'Main Data'!J361:J362</xm:f>
              <xm:sqref>Q361</xm:sqref>
            </x14:sparkline>
            <x14:sparkline>
              <xm:f>'Main Data'!J362:J363</xm:f>
              <xm:sqref>Q362</xm:sqref>
            </x14:sparkline>
            <x14:sparkline>
              <xm:f>'Main Data'!J363:J364</xm:f>
              <xm:sqref>Q363</xm:sqref>
            </x14:sparkline>
            <x14:sparkline>
              <xm:f>'Main Data'!J364:J365</xm:f>
              <xm:sqref>Q364</xm:sqref>
            </x14:sparkline>
            <x14:sparkline>
              <xm:f>'Main Data'!J365:J366</xm:f>
              <xm:sqref>Q365</xm:sqref>
            </x14:sparkline>
            <x14:sparkline>
              <xm:f>'Main Data'!J366:J367</xm:f>
              <xm:sqref>Q366</xm:sqref>
            </x14:sparkline>
            <x14:sparkline>
              <xm:f>'Main Data'!J367:J368</xm:f>
              <xm:sqref>Q367</xm:sqref>
            </x14:sparkline>
            <x14:sparkline>
              <xm:f>'Main Data'!J368:J369</xm:f>
              <xm:sqref>Q368</xm:sqref>
            </x14:sparkline>
            <x14:sparkline>
              <xm:f>'Main Data'!J369:J370</xm:f>
              <xm:sqref>Q369</xm:sqref>
            </x14:sparkline>
            <x14:sparkline>
              <xm:f>'Main Data'!J370:J371</xm:f>
              <xm:sqref>Q370</xm:sqref>
            </x14:sparkline>
            <x14:sparkline>
              <xm:f>'Main Data'!J371:J372</xm:f>
              <xm:sqref>Q371</xm:sqref>
            </x14:sparkline>
            <x14:sparkline>
              <xm:f>'Main Data'!J372:J373</xm:f>
              <xm:sqref>Q372</xm:sqref>
            </x14:sparkline>
            <x14:sparkline>
              <xm:f>'Main Data'!J373:J374</xm:f>
              <xm:sqref>Q373</xm:sqref>
            </x14:sparkline>
            <x14:sparkline>
              <xm:f>'Main Data'!J374:J375</xm:f>
              <xm:sqref>Q374</xm:sqref>
            </x14:sparkline>
            <x14:sparkline>
              <xm:f>'Main Data'!J375:J376</xm:f>
              <xm:sqref>Q375</xm:sqref>
            </x14:sparkline>
            <x14:sparkline>
              <xm:f>'Main Data'!J376:J377</xm:f>
              <xm:sqref>Q376</xm:sqref>
            </x14:sparkline>
            <x14:sparkline>
              <xm:f>'Main Data'!J377:J378</xm:f>
              <xm:sqref>Q377</xm:sqref>
            </x14:sparkline>
            <x14:sparkline>
              <xm:f>'Main Data'!J378:J379</xm:f>
              <xm:sqref>Q378</xm:sqref>
            </x14:sparkline>
            <x14:sparkline>
              <xm:f>'Main Data'!J379:J380</xm:f>
              <xm:sqref>Q379</xm:sqref>
            </x14:sparkline>
            <x14:sparkline>
              <xm:f>'Main Data'!J380:J381</xm:f>
              <xm:sqref>Q380</xm:sqref>
            </x14:sparkline>
            <x14:sparkline>
              <xm:f>'Main Data'!J381:J382</xm:f>
              <xm:sqref>Q381</xm:sqref>
            </x14:sparkline>
            <x14:sparkline>
              <xm:f>'Main Data'!J382:J383</xm:f>
              <xm:sqref>Q382</xm:sqref>
            </x14:sparkline>
            <x14:sparkline>
              <xm:f>'Main Data'!J383:J384</xm:f>
              <xm:sqref>Q383</xm:sqref>
            </x14:sparkline>
            <x14:sparkline>
              <xm:f>'Main Data'!J384:J385</xm:f>
              <xm:sqref>Q384</xm:sqref>
            </x14:sparkline>
            <x14:sparkline>
              <xm:f>'Main Data'!J385:J386</xm:f>
              <xm:sqref>Q385</xm:sqref>
            </x14:sparkline>
            <x14:sparkline>
              <xm:f>'Main Data'!J386:J387</xm:f>
              <xm:sqref>Q386</xm:sqref>
            </x14:sparkline>
            <x14:sparkline>
              <xm:f>'Main Data'!J387:J388</xm:f>
              <xm:sqref>Q387</xm:sqref>
            </x14:sparkline>
            <x14:sparkline>
              <xm:f>'Main Data'!J388:J389</xm:f>
              <xm:sqref>Q388</xm:sqref>
            </x14:sparkline>
            <x14:sparkline>
              <xm:f>'Main Data'!J389:J390</xm:f>
              <xm:sqref>Q389</xm:sqref>
            </x14:sparkline>
            <x14:sparkline>
              <xm:f>'Main Data'!J390:J391</xm:f>
              <xm:sqref>Q390</xm:sqref>
            </x14:sparkline>
            <x14:sparkline>
              <xm:f>'Main Data'!J391:J392</xm:f>
              <xm:sqref>Q391</xm:sqref>
            </x14:sparkline>
            <x14:sparkline>
              <xm:f>'Main Data'!J392:J393</xm:f>
              <xm:sqref>Q392</xm:sqref>
            </x14:sparkline>
            <x14:sparkline>
              <xm:f>'Main Data'!J393:J394</xm:f>
              <xm:sqref>Q393</xm:sqref>
            </x14:sparkline>
            <x14:sparkline>
              <xm:f>'Main Data'!J394:J395</xm:f>
              <xm:sqref>Q394</xm:sqref>
            </x14:sparkline>
            <x14:sparkline>
              <xm:f>'Main Data'!J395:J396</xm:f>
              <xm:sqref>Q395</xm:sqref>
            </x14:sparkline>
            <x14:sparkline>
              <xm:f>'Main Data'!J396:J397</xm:f>
              <xm:sqref>Q396</xm:sqref>
            </x14:sparkline>
            <x14:sparkline>
              <xm:f>'Main Data'!J397:J398</xm:f>
              <xm:sqref>Q397</xm:sqref>
            </x14:sparkline>
            <x14:sparkline>
              <xm:f>'Main Data'!J398:J399</xm:f>
              <xm:sqref>Q398</xm:sqref>
            </x14:sparkline>
            <x14:sparkline>
              <xm:f>'Main Data'!J399:J400</xm:f>
              <xm:sqref>Q399</xm:sqref>
            </x14:sparkline>
            <x14:sparkline>
              <xm:f>'Main Data'!J400:J401</xm:f>
              <xm:sqref>Q400</xm:sqref>
            </x14:sparkline>
            <x14:sparkline>
              <xm:f>'Main Data'!J401:J402</xm:f>
              <xm:sqref>Q401</xm:sqref>
            </x14:sparkline>
            <x14:sparkline>
              <xm:f>'Main Data'!J402:J403</xm:f>
              <xm:sqref>Q402</xm:sqref>
            </x14:sparkline>
            <x14:sparkline>
              <xm:f>'Main Data'!J403:J404</xm:f>
              <xm:sqref>Q403</xm:sqref>
            </x14:sparkline>
            <x14:sparkline>
              <xm:f>'Main Data'!J404:J405</xm:f>
              <xm:sqref>Q404</xm:sqref>
            </x14:sparkline>
            <x14:sparkline>
              <xm:f>'Main Data'!J405:J406</xm:f>
              <xm:sqref>Q405</xm:sqref>
            </x14:sparkline>
            <x14:sparkline>
              <xm:f>'Main Data'!J406:J407</xm:f>
              <xm:sqref>Q406</xm:sqref>
            </x14:sparkline>
            <x14:sparkline>
              <xm:f>'Main Data'!J407:J408</xm:f>
              <xm:sqref>Q407</xm:sqref>
            </x14:sparkline>
            <x14:sparkline>
              <xm:f>'Main Data'!J408:J409</xm:f>
              <xm:sqref>Q408</xm:sqref>
            </x14:sparkline>
            <x14:sparkline>
              <xm:f>'Main Data'!J409:J410</xm:f>
              <xm:sqref>Q409</xm:sqref>
            </x14:sparkline>
            <x14:sparkline>
              <xm:f>'Main Data'!J410:J411</xm:f>
              <xm:sqref>Q410</xm:sqref>
            </x14:sparkline>
            <x14:sparkline>
              <xm:f>'Main Data'!J411:J412</xm:f>
              <xm:sqref>Q411</xm:sqref>
            </x14:sparkline>
            <x14:sparkline>
              <xm:f>'Main Data'!J412:J413</xm:f>
              <xm:sqref>Q412</xm:sqref>
            </x14:sparkline>
            <x14:sparkline>
              <xm:f>'Main Data'!J413:J414</xm:f>
              <xm:sqref>Q413</xm:sqref>
            </x14:sparkline>
            <x14:sparkline>
              <xm:f>'Main Data'!J414:J415</xm:f>
              <xm:sqref>Q414</xm:sqref>
            </x14:sparkline>
            <x14:sparkline>
              <xm:f>'Main Data'!J415:J416</xm:f>
              <xm:sqref>Q415</xm:sqref>
            </x14:sparkline>
            <x14:sparkline>
              <xm:f>'Main Data'!J416:J417</xm:f>
              <xm:sqref>Q416</xm:sqref>
            </x14:sparkline>
            <x14:sparkline>
              <xm:f>'Main Data'!J417:J418</xm:f>
              <xm:sqref>Q417</xm:sqref>
            </x14:sparkline>
            <x14:sparkline>
              <xm:f>'Main Data'!J418:J419</xm:f>
              <xm:sqref>Q418</xm:sqref>
            </x14:sparkline>
            <x14:sparkline>
              <xm:f>'Main Data'!J419:J420</xm:f>
              <xm:sqref>Q419</xm:sqref>
            </x14:sparkline>
            <x14:sparkline>
              <xm:f>'Main Data'!J420:J421</xm:f>
              <xm:sqref>Q420</xm:sqref>
            </x14:sparkline>
            <x14:sparkline>
              <xm:f>'Main Data'!J421:J422</xm:f>
              <xm:sqref>Q421</xm:sqref>
            </x14:sparkline>
            <x14:sparkline>
              <xm:f>'Main Data'!J422:J423</xm:f>
              <xm:sqref>Q422</xm:sqref>
            </x14:sparkline>
            <x14:sparkline>
              <xm:f>'Main Data'!J423:J424</xm:f>
              <xm:sqref>Q423</xm:sqref>
            </x14:sparkline>
            <x14:sparkline>
              <xm:f>'Main Data'!J424:J425</xm:f>
              <xm:sqref>Q424</xm:sqref>
            </x14:sparkline>
            <x14:sparkline>
              <xm:f>'Main Data'!J425:J426</xm:f>
              <xm:sqref>Q425</xm:sqref>
            </x14:sparkline>
            <x14:sparkline>
              <xm:f>'Main Data'!J426:J427</xm:f>
              <xm:sqref>Q426</xm:sqref>
            </x14:sparkline>
            <x14:sparkline>
              <xm:f>'Main Data'!J427:J428</xm:f>
              <xm:sqref>Q427</xm:sqref>
            </x14:sparkline>
            <x14:sparkline>
              <xm:f>'Main Data'!J428:J429</xm:f>
              <xm:sqref>Q428</xm:sqref>
            </x14:sparkline>
            <x14:sparkline>
              <xm:f>'Main Data'!J429:J430</xm:f>
              <xm:sqref>Q429</xm:sqref>
            </x14:sparkline>
            <x14:sparkline>
              <xm:f>'Main Data'!J430:J431</xm:f>
              <xm:sqref>Q430</xm:sqref>
            </x14:sparkline>
            <x14:sparkline>
              <xm:f>'Main Data'!J431:J432</xm:f>
              <xm:sqref>Q431</xm:sqref>
            </x14:sparkline>
            <x14:sparkline>
              <xm:f>'Main Data'!J432:J433</xm:f>
              <xm:sqref>Q432</xm:sqref>
            </x14:sparkline>
            <x14:sparkline>
              <xm:f>'Main Data'!J433:J434</xm:f>
              <xm:sqref>Q433</xm:sqref>
            </x14:sparkline>
            <x14:sparkline>
              <xm:f>'Main Data'!J434:J435</xm:f>
              <xm:sqref>Q434</xm:sqref>
            </x14:sparkline>
            <x14:sparkline>
              <xm:f>'Main Data'!J435:J436</xm:f>
              <xm:sqref>Q435</xm:sqref>
            </x14:sparkline>
            <x14:sparkline>
              <xm:f>'Main Data'!J436:J437</xm:f>
              <xm:sqref>Q436</xm:sqref>
            </x14:sparkline>
            <x14:sparkline>
              <xm:f>'Main Data'!J437:J438</xm:f>
              <xm:sqref>Q437</xm:sqref>
            </x14:sparkline>
            <x14:sparkline>
              <xm:f>'Main Data'!J438:J439</xm:f>
              <xm:sqref>Q438</xm:sqref>
            </x14:sparkline>
            <x14:sparkline>
              <xm:f>'Main Data'!J439:J440</xm:f>
              <xm:sqref>Q439</xm:sqref>
            </x14:sparkline>
            <x14:sparkline>
              <xm:f>'Main Data'!J440:J441</xm:f>
              <xm:sqref>Q440</xm:sqref>
            </x14:sparkline>
            <x14:sparkline>
              <xm:f>'Main Data'!J441:J442</xm:f>
              <xm:sqref>Q441</xm:sqref>
            </x14:sparkline>
            <x14:sparkline>
              <xm:f>'Main Data'!J442:J443</xm:f>
              <xm:sqref>Q442</xm:sqref>
            </x14:sparkline>
            <x14:sparkline>
              <xm:f>'Main Data'!J443:J444</xm:f>
              <xm:sqref>Q443</xm:sqref>
            </x14:sparkline>
            <x14:sparkline>
              <xm:f>'Main Data'!J444:J445</xm:f>
              <xm:sqref>Q444</xm:sqref>
            </x14:sparkline>
            <x14:sparkline>
              <xm:f>'Main Data'!J445:J446</xm:f>
              <xm:sqref>Q445</xm:sqref>
            </x14:sparkline>
            <x14:sparkline>
              <xm:f>'Main Data'!J446:J447</xm:f>
              <xm:sqref>Q446</xm:sqref>
            </x14:sparkline>
            <x14:sparkline>
              <xm:f>'Main Data'!J447:J448</xm:f>
              <xm:sqref>Q447</xm:sqref>
            </x14:sparkline>
            <x14:sparkline>
              <xm:f>'Main Data'!J448:J449</xm:f>
              <xm:sqref>Q448</xm:sqref>
            </x14:sparkline>
            <x14:sparkline>
              <xm:f>'Main Data'!J449:J450</xm:f>
              <xm:sqref>Q449</xm:sqref>
            </x14:sparkline>
            <x14:sparkline>
              <xm:f>'Main Data'!J450:J451</xm:f>
              <xm:sqref>Q450</xm:sqref>
            </x14:sparkline>
            <x14:sparkline>
              <xm:f>'Main Data'!J451:J452</xm:f>
              <xm:sqref>Q451</xm:sqref>
            </x14:sparkline>
            <x14:sparkline>
              <xm:f>'Main Data'!J452:J453</xm:f>
              <xm:sqref>Q452</xm:sqref>
            </x14:sparkline>
            <x14:sparkline>
              <xm:f>'Main Data'!J453:J454</xm:f>
              <xm:sqref>Q453</xm:sqref>
            </x14:sparkline>
            <x14:sparkline>
              <xm:f>'Main Data'!J454:J455</xm:f>
              <xm:sqref>Q454</xm:sqref>
            </x14:sparkline>
            <x14:sparkline>
              <xm:f>'Main Data'!J455:J456</xm:f>
              <xm:sqref>Q455</xm:sqref>
            </x14:sparkline>
            <x14:sparkline>
              <xm:f>'Main Data'!J456:J457</xm:f>
              <xm:sqref>Q456</xm:sqref>
            </x14:sparkline>
            <x14:sparkline>
              <xm:f>'Main Data'!J457:J458</xm:f>
              <xm:sqref>Q457</xm:sqref>
            </x14:sparkline>
            <x14:sparkline>
              <xm:f>'Main Data'!J458:J459</xm:f>
              <xm:sqref>Q458</xm:sqref>
            </x14:sparkline>
            <x14:sparkline>
              <xm:f>'Main Data'!J459:J460</xm:f>
              <xm:sqref>Q459</xm:sqref>
            </x14:sparkline>
            <x14:sparkline>
              <xm:f>'Main Data'!J460:J461</xm:f>
              <xm:sqref>Q460</xm:sqref>
            </x14:sparkline>
            <x14:sparkline>
              <xm:f>'Main Data'!J461:J462</xm:f>
              <xm:sqref>Q461</xm:sqref>
            </x14:sparkline>
            <x14:sparkline>
              <xm:f>'Main Data'!J462:J463</xm:f>
              <xm:sqref>Q462</xm:sqref>
            </x14:sparkline>
            <x14:sparkline>
              <xm:f>'Main Data'!J463:J464</xm:f>
              <xm:sqref>Q463</xm:sqref>
            </x14:sparkline>
            <x14:sparkline>
              <xm:f>'Main Data'!J464:J465</xm:f>
              <xm:sqref>Q464</xm:sqref>
            </x14:sparkline>
            <x14:sparkline>
              <xm:f>'Main Data'!J465:J466</xm:f>
              <xm:sqref>Q465</xm:sqref>
            </x14:sparkline>
            <x14:sparkline>
              <xm:f>'Main Data'!J466:J467</xm:f>
              <xm:sqref>Q466</xm:sqref>
            </x14:sparkline>
            <x14:sparkline>
              <xm:f>'Main Data'!J467:J468</xm:f>
              <xm:sqref>Q467</xm:sqref>
            </x14:sparkline>
            <x14:sparkline>
              <xm:f>'Main Data'!J468:J469</xm:f>
              <xm:sqref>Q468</xm:sqref>
            </x14:sparkline>
            <x14:sparkline>
              <xm:f>'Main Data'!J469:J470</xm:f>
              <xm:sqref>Q469</xm:sqref>
            </x14:sparkline>
            <x14:sparkline>
              <xm:f>'Main Data'!J470:J471</xm:f>
              <xm:sqref>Q470</xm:sqref>
            </x14:sparkline>
            <x14:sparkline>
              <xm:f>'Main Data'!J471:J472</xm:f>
              <xm:sqref>Q471</xm:sqref>
            </x14:sparkline>
            <x14:sparkline>
              <xm:f>'Main Data'!J472:J473</xm:f>
              <xm:sqref>Q472</xm:sqref>
            </x14:sparkline>
            <x14:sparkline>
              <xm:f>'Main Data'!J473:J474</xm:f>
              <xm:sqref>Q473</xm:sqref>
            </x14:sparkline>
            <x14:sparkline>
              <xm:f>'Main Data'!J474:J475</xm:f>
              <xm:sqref>Q474</xm:sqref>
            </x14:sparkline>
            <x14:sparkline>
              <xm:f>'Main Data'!J475:J476</xm:f>
              <xm:sqref>Q475</xm:sqref>
            </x14:sparkline>
            <x14:sparkline>
              <xm:f>'Main Data'!J476:J477</xm:f>
              <xm:sqref>Q476</xm:sqref>
            </x14:sparkline>
            <x14:sparkline>
              <xm:f>'Main Data'!J477:J478</xm:f>
              <xm:sqref>Q477</xm:sqref>
            </x14:sparkline>
            <x14:sparkline>
              <xm:f>'Main Data'!J478:J479</xm:f>
              <xm:sqref>Q478</xm:sqref>
            </x14:sparkline>
            <x14:sparkline>
              <xm:f>'Main Data'!J479:J480</xm:f>
              <xm:sqref>Q479</xm:sqref>
            </x14:sparkline>
            <x14:sparkline>
              <xm:f>'Main Data'!J480:J481</xm:f>
              <xm:sqref>Q480</xm:sqref>
            </x14:sparkline>
            <x14:sparkline>
              <xm:f>'Main Data'!J481:J482</xm:f>
              <xm:sqref>Q481</xm:sqref>
            </x14:sparkline>
            <x14:sparkline>
              <xm:f>'Main Data'!J482:J483</xm:f>
              <xm:sqref>Q482</xm:sqref>
            </x14:sparkline>
            <x14:sparkline>
              <xm:f>'Main Data'!J483:J484</xm:f>
              <xm:sqref>Q483</xm:sqref>
            </x14:sparkline>
            <x14:sparkline>
              <xm:f>'Main Data'!J484:J485</xm:f>
              <xm:sqref>Q484</xm:sqref>
            </x14:sparkline>
            <x14:sparkline>
              <xm:f>'Main Data'!J485:J486</xm:f>
              <xm:sqref>Q485</xm:sqref>
            </x14:sparkline>
            <x14:sparkline>
              <xm:f>'Main Data'!J486:J487</xm:f>
              <xm:sqref>Q486</xm:sqref>
            </x14:sparkline>
            <x14:sparkline>
              <xm:f>'Main Data'!J487:J488</xm:f>
              <xm:sqref>Q487</xm:sqref>
            </x14:sparkline>
            <x14:sparkline>
              <xm:f>'Main Data'!J488:J489</xm:f>
              <xm:sqref>Q488</xm:sqref>
            </x14:sparkline>
            <x14:sparkline>
              <xm:f>'Main Data'!J489:J490</xm:f>
              <xm:sqref>Q489</xm:sqref>
            </x14:sparkline>
            <x14:sparkline>
              <xm:f>'Main Data'!J490:J491</xm:f>
              <xm:sqref>Q490</xm:sqref>
            </x14:sparkline>
            <x14:sparkline>
              <xm:f>'Main Data'!J491:J492</xm:f>
              <xm:sqref>Q491</xm:sqref>
            </x14:sparkline>
            <x14:sparkline>
              <xm:f>'Main Data'!J492:J493</xm:f>
              <xm:sqref>Q492</xm:sqref>
            </x14:sparkline>
            <x14:sparkline>
              <xm:f>'Main Data'!J493:J494</xm:f>
              <xm:sqref>Q493</xm:sqref>
            </x14:sparkline>
            <x14:sparkline>
              <xm:f>'Main Data'!J494:J495</xm:f>
              <xm:sqref>Q494</xm:sqref>
            </x14:sparkline>
            <x14:sparkline>
              <xm:f>'Main Data'!J495:J496</xm:f>
              <xm:sqref>Q495</xm:sqref>
            </x14:sparkline>
            <x14:sparkline>
              <xm:f>'Main Data'!J496:J497</xm:f>
              <xm:sqref>Q496</xm:sqref>
            </x14:sparkline>
            <x14:sparkline>
              <xm:f>'Main Data'!J497:J498</xm:f>
              <xm:sqref>Q497</xm:sqref>
            </x14:sparkline>
            <x14:sparkline>
              <xm:f>'Main Data'!J498:J499</xm:f>
              <xm:sqref>Q498</xm:sqref>
            </x14:sparkline>
            <x14:sparkline>
              <xm:f>'Main Data'!J499:J500</xm:f>
              <xm:sqref>Q499</xm:sqref>
            </x14:sparkline>
            <x14:sparkline>
              <xm:f>'Main Data'!J500:J501</xm:f>
              <xm:sqref>Q500</xm:sqref>
            </x14:sparkline>
            <x14:sparkline>
              <xm:f>'Main Data'!J501:J502</xm:f>
              <xm:sqref>Q501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523379A-DCCA-45B4-9977-5648DF9EEF52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AAD0D9E-F551-4DF4-97D8-113B320354FE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F9455797-BAAA-4BE4-9988-550BFDDA69C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VALIDATIONS</vt:lpstr>
      <vt:lpstr>CONDITIONAL FORMATTING</vt:lpstr>
      <vt:lpstr>ADVANCED CONDITIONALS</vt:lpstr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dcterms:created xsi:type="dcterms:W3CDTF">2026-05-13T07:35:03Z</dcterms:created>
  <dcterms:modified xsi:type="dcterms:W3CDTF">2026-05-18T09:42:33Z</dcterms:modified>
</cp:coreProperties>
</file>