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xml" ContentType="application/vnd.openxmlformats-officedocument.drawing+xml"/>
  <Override PartName="/xl/slicers/slicer1.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ince patel\Documents\prelytix-data_analytics\Day 6\"/>
    </mc:Choice>
  </mc:AlternateContent>
  <xr:revisionPtr revIDLastSave="0" documentId="13_ncr:1_{DB233E76-E708-400C-BCCC-96368169297E}" xr6:coauthVersionLast="47" xr6:coauthVersionMax="47" xr10:uidLastSave="{00000000-0000-0000-0000-000000000000}"/>
  <bookViews>
    <workbookView xWindow="-108" yWindow="-108" windowWidth="23256" windowHeight="12456" activeTab="5" xr2:uid="{286C331A-0234-456D-BCB5-B5EAF27D0401}"/>
  </bookViews>
  <sheets>
    <sheet name="Main Data" sheetId="1" r:id="rId1"/>
    <sheet name="Pivots Tasks" sheetId="2" r:id="rId2"/>
    <sheet name="KPIS" sheetId="7" r:id="rId3"/>
    <sheet name="Data Sets 2" sheetId="3" r:id="rId4"/>
    <sheet name="Problem Statements" sheetId="4" r:id="rId5"/>
    <sheet name="DASHBOARDS" sheetId="6" r:id="rId6"/>
  </sheets>
  <definedNames>
    <definedName name="Slicer_Product">#N/A</definedName>
    <definedName name="Slicer_Region">#N/A</definedName>
    <definedName name="Slicer_Year">#N/A</definedName>
  </definedNames>
  <calcPr calcId="191029"/>
  <pivotCaches>
    <pivotCache cacheId="3"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43" i="7" l="1"/>
  <c r="AC48" i="7"/>
  <c r="AC49" i="7"/>
  <c r="AC50" i="7"/>
  <c r="AC51" i="7"/>
  <c r="AC52" i="7"/>
  <c r="AC53" i="7"/>
  <c r="AC54" i="7"/>
  <c r="AC55" i="7"/>
  <c r="AC47" i="7"/>
  <c r="AA48" i="7"/>
  <c r="AA49" i="7"/>
  <c r="AA50" i="7"/>
  <c r="AA51" i="7"/>
  <c r="AA52" i="7"/>
  <c r="AA53" i="7"/>
  <c r="AA54" i="7"/>
  <c r="AA55" i="7"/>
  <c r="Z48" i="7"/>
  <c r="Z49" i="7"/>
  <c r="Z50" i="7"/>
  <c r="Z51" i="7"/>
  <c r="Z52" i="7"/>
  <c r="Z53" i="7"/>
  <c r="Z54" i="7"/>
  <c r="Z55" i="7"/>
  <c r="Y47" i="7" a="1"/>
  <c r="Y47" i="7" s="1"/>
  <c r="AE41" i="7"/>
  <c r="AF41" i="7" s="1"/>
  <c r="W40" i="7"/>
  <c r="W41" i="7"/>
  <c r="W42" i="7"/>
  <c r="W43" i="7"/>
  <c r="W44" i="7"/>
  <c r="W39" i="7"/>
  <c r="V39" i="7"/>
  <c r="V41" i="7"/>
  <c r="V42" i="7"/>
  <c r="V43" i="7"/>
  <c r="V44" i="7"/>
  <c r="V40" i="7"/>
  <c r="Z32" i="7"/>
  <c r="Z31" i="7"/>
  <c r="Y32" i="7"/>
  <c r="W32" i="7" s="1"/>
  <c r="Y31" i="7"/>
  <c r="W31" i="7" s="1"/>
  <c r="Z30" i="7"/>
  <c r="Y30" i="7"/>
  <c r="W30" i="7" s="1"/>
  <c r="V35" i="7"/>
  <c r="V34" i="7"/>
  <c r="V33" i="7"/>
  <c r="W19" i="7"/>
  <c r="W13" i="7"/>
  <c r="W9" i="7"/>
  <c r="W8" i="7"/>
  <c r="W6" i="7"/>
  <c r="AB53" i="7" s="1"/>
  <c r="W5" i="7"/>
  <c r="W14" i="7" s="1"/>
  <c r="N501" i="7"/>
  <c r="M501" i="7"/>
  <c r="O501" i="7" s="1"/>
  <c r="L501" i="7"/>
  <c r="K501" i="7" a="1"/>
  <c r="K501" i="7" s="1"/>
  <c r="N500" i="7"/>
  <c r="M500" i="7"/>
  <c r="O500" i="7" s="1"/>
  <c r="L500" i="7"/>
  <c r="K500" i="7" a="1"/>
  <c r="K500" i="7" s="1"/>
  <c r="N499" i="7"/>
  <c r="M499" i="7"/>
  <c r="O499" i="7" s="1"/>
  <c r="L499" i="7"/>
  <c r="K499" i="7" a="1"/>
  <c r="K499" i="7" s="1"/>
  <c r="N498" i="7"/>
  <c r="M498" i="7"/>
  <c r="O498" i="7" s="1"/>
  <c r="L498" i="7"/>
  <c r="K498" i="7" a="1"/>
  <c r="K498" i="7" s="1"/>
  <c r="O497" i="7"/>
  <c r="N497" i="7"/>
  <c r="M497" i="7"/>
  <c r="L497" i="7"/>
  <c r="K497" i="7" a="1"/>
  <c r="K497" i="7" s="1"/>
  <c r="N496" i="7"/>
  <c r="M496" i="7"/>
  <c r="O496" i="7" s="1"/>
  <c r="L496" i="7"/>
  <c r="K496" i="7" a="1"/>
  <c r="K496" i="7" s="1"/>
  <c r="N495" i="7"/>
  <c r="M495" i="7"/>
  <c r="O495" i="7" s="1"/>
  <c r="L495" i="7"/>
  <c r="K495" i="7" a="1"/>
  <c r="K495" i="7" s="1"/>
  <c r="N494" i="7"/>
  <c r="M494" i="7"/>
  <c r="O494" i="7" s="1"/>
  <c r="L494" i="7"/>
  <c r="K494" i="7" a="1"/>
  <c r="K494" i="7" s="1"/>
  <c r="N493" i="7"/>
  <c r="M493" i="7"/>
  <c r="O493" i="7" s="1"/>
  <c r="L493" i="7"/>
  <c r="K493" i="7" a="1"/>
  <c r="K493" i="7" s="1"/>
  <c r="N492" i="7"/>
  <c r="M492" i="7"/>
  <c r="O492" i="7" s="1"/>
  <c r="L492" i="7"/>
  <c r="K492" i="7" a="1"/>
  <c r="K492" i="7" s="1"/>
  <c r="N491" i="7"/>
  <c r="M491" i="7"/>
  <c r="O491" i="7" s="1"/>
  <c r="L491" i="7"/>
  <c r="K491" i="7" a="1"/>
  <c r="K491" i="7" s="1"/>
  <c r="N490" i="7"/>
  <c r="M490" i="7"/>
  <c r="O490" i="7" s="1"/>
  <c r="L490" i="7"/>
  <c r="K490" i="7" a="1"/>
  <c r="K490" i="7" s="1"/>
  <c r="N489" i="7"/>
  <c r="M489" i="7"/>
  <c r="O489" i="7" s="1"/>
  <c r="L489" i="7"/>
  <c r="K489" i="7" a="1"/>
  <c r="K489" i="7" s="1"/>
  <c r="N488" i="7"/>
  <c r="M488" i="7"/>
  <c r="O488" i="7" s="1"/>
  <c r="L488" i="7"/>
  <c r="K488" i="7" a="1"/>
  <c r="K488" i="7" s="1"/>
  <c r="N487" i="7"/>
  <c r="M487" i="7"/>
  <c r="O487" i="7" s="1"/>
  <c r="L487" i="7"/>
  <c r="K487" i="7" a="1"/>
  <c r="K487" i="7" s="1"/>
  <c r="N486" i="7"/>
  <c r="M486" i="7"/>
  <c r="O486" i="7" s="1"/>
  <c r="L486" i="7"/>
  <c r="K486" i="7" a="1"/>
  <c r="K486" i="7" s="1"/>
  <c r="N485" i="7"/>
  <c r="M485" i="7"/>
  <c r="O485" i="7" s="1"/>
  <c r="L485" i="7"/>
  <c r="K485" i="7" a="1"/>
  <c r="K485" i="7" s="1"/>
  <c r="N484" i="7"/>
  <c r="M484" i="7"/>
  <c r="O484" i="7" s="1"/>
  <c r="L484" i="7"/>
  <c r="K484" i="7" a="1"/>
  <c r="K484" i="7" s="1"/>
  <c r="N483" i="7"/>
  <c r="M483" i="7"/>
  <c r="O483" i="7" s="1"/>
  <c r="L483" i="7"/>
  <c r="K483" i="7" a="1"/>
  <c r="K483" i="7" s="1"/>
  <c r="N482" i="7"/>
  <c r="M482" i="7"/>
  <c r="O482" i="7" s="1"/>
  <c r="L482" i="7"/>
  <c r="K482" i="7" a="1"/>
  <c r="K482" i="7" s="1"/>
  <c r="N481" i="7"/>
  <c r="M481" i="7"/>
  <c r="O481" i="7" s="1"/>
  <c r="L481" i="7"/>
  <c r="K481" i="7" a="1"/>
  <c r="K481" i="7" s="1"/>
  <c r="N480" i="7"/>
  <c r="M480" i="7"/>
  <c r="O480" i="7" s="1"/>
  <c r="L480" i="7"/>
  <c r="K480" i="7" a="1"/>
  <c r="K480" i="7" s="1"/>
  <c r="N479" i="7"/>
  <c r="M479" i="7"/>
  <c r="O479" i="7" s="1"/>
  <c r="L479" i="7"/>
  <c r="K479" i="7" a="1"/>
  <c r="K479" i="7" s="1"/>
  <c r="N478" i="7"/>
  <c r="M478" i="7"/>
  <c r="O478" i="7" s="1"/>
  <c r="L478" i="7"/>
  <c r="K478" i="7" a="1"/>
  <c r="K478" i="7" s="1"/>
  <c r="N477" i="7"/>
  <c r="M477" i="7"/>
  <c r="O477" i="7" s="1"/>
  <c r="L477" i="7"/>
  <c r="K477" i="7" a="1"/>
  <c r="K477" i="7" s="1"/>
  <c r="N476" i="7"/>
  <c r="M476" i="7"/>
  <c r="O476" i="7" s="1"/>
  <c r="L476" i="7"/>
  <c r="K476" i="7" a="1"/>
  <c r="K476" i="7" s="1"/>
  <c r="O475" i="7"/>
  <c r="N475" i="7"/>
  <c r="M475" i="7"/>
  <c r="L475" i="7"/>
  <c r="K475" i="7" a="1"/>
  <c r="K475" i="7" s="1"/>
  <c r="N474" i="7"/>
  <c r="M474" i="7"/>
  <c r="O474" i="7" s="1"/>
  <c r="L474" i="7"/>
  <c r="K474" i="7" a="1"/>
  <c r="K474" i="7" s="1"/>
  <c r="N473" i="7"/>
  <c r="M473" i="7"/>
  <c r="O473" i="7" s="1"/>
  <c r="L473" i="7"/>
  <c r="K473" i="7" a="1"/>
  <c r="K473" i="7" s="1"/>
  <c r="N472" i="7"/>
  <c r="M472" i="7"/>
  <c r="O472" i="7" s="1"/>
  <c r="L472" i="7"/>
  <c r="K472" i="7" a="1"/>
  <c r="K472" i="7" s="1"/>
  <c r="N471" i="7"/>
  <c r="M471" i="7"/>
  <c r="O471" i="7" s="1"/>
  <c r="L471" i="7"/>
  <c r="K471" i="7" a="1"/>
  <c r="K471" i="7" s="1"/>
  <c r="N470" i="7"/>
  <c r="M470" i="7"/>
  <c r="O470" i="7" s="1"/>
  <c r="L470" i="7"/>
  <c r="K470" i="7" a="1"/>
  <c r="K470" i="7" s="1"/>
  <c r="N469" i="7"/>
  <c r="M469" i="7"/>
  <c r="O469" i="7" s="1"/>
  <c r="L469" i="7"/>
  <c r="K469" i="7" a="1"/>
  <c r="K469" i="7" s="1"/>
  <c r="N468" i="7"/>
  <c r="M468" i="7"/>
  <c r="O468" i="7" s="1"/>
  <c r="L468" i="7"/>
  <c r="K468" i="7" a="1"/>
  <c r="K468" i="7" s="1"/>
  <c r="N467" i="7"/>
  <c r="M467" i="7"/>
  <c r="O467" i="7" s="1"/>
  <c r="L467" i="7"/>
  <c r="K467" i="7" a="1"/>
  <c r="K467" i="7" s="1"/>
  <c r="N466" i="7"/>
  <c r="M466" i="7"/>
  <c r="O466" i="7" s="1"/>
  <c r="L466" i="7"/>
  <c r="K466" i="7" a="1"/>
  <c r="K466" i="7" s="1"/>
  <c r="N465" i="7"/>
  <c r="M465" i="7"/>
  <c r="O465" i="7" s="1"/>
  <c r="L465" i="7"/>
  <c r="K465" i="7" a="1"/>
  <c r="K465" i="7" s="1"/>
  <c r="N464" i="7"/>
  <c r="M464" i="7"/>
  <c r="O464" i="7" s="1"/>
  <c r="L464" i="7"/>
  <c r="K464" i="7" a="1"/>
  <c r="K464" i="7" s="1"/>
  <c r="N463" i="7"/>
  <c r="M463" i="7"/>
  <c r="O463" i="7" s="1"/>
  <c r="L463" i="7"/>
  <c r="K463" i="7" a="1"/>
  <c r="K463" i="7" s="1"/>
  <c r="N462" i="7"/>
  <c r="M462" i="7"/>
  <c r="O462" i="7" s="1"/>
  <c r="L462" i="7"/>
  <c r="K462" i="7" a="1"/>
  <c r="K462" i="7" s="1"/>
  <c r="N461" i="7"/>
  <c r="M461" i="7"/>
  <c r="O461" i="7" s="1"/>
  <c r="L461" i="7"/>
  <c r="K461" i="7" a="1"/>
  <c r="K461" i="7" s="1"/>
  <c r="N460" i="7"/>
  <c r="M460" i="7"/>
  <c r="O460" i="7" s="1"/>
  <c r="L460" i="7"/>
  <c r="K460" i="7" a="1"/>
  <c r="K460" i="7" s="1"/>
  <c r="N459" i="7"/>
  <c r="M459" i="7"/>
  <c r="O459" i="7" s="1"/>
  <c r="L459" i="7"/>
  <c r="K459" i="7" a="1"/>
  <c r="K459" i="7" s="1"/>
  <c r="N458" i="7"/>
  <c r="M458" i="7"/>
  <c r="O458" i="7" s="1"/>
  <c r="L458" i="7"/>
  <c r="K458" i="7" a="1"/>
  <c r="K458" i="7" s="1"/>
  <c r="N457" i="7"/>
  <c r="M457" i="7"/>
  <c r="O457" i="7" s="1"/>
  <c r="L457" i="7"/>
  <c r="K457" i="7" a="1"/>
  <c r="K457" i="7" s="1"/>
  <c r="N456" i="7"/>
  <c r="M456" i="7"/>
  <c r="O456" i="7" s="1"/>
  <c r="L456" i="7"/>
  <c r="K456" i="7" a="1"/>
  <c r="K456" i="7" s="1"/>
  <c r="N455" i="7"/>
  <c r="M455" i="7"/>
  <c r="O455" i="7" s="1"/>
  <c r="L455" i="7"/>
  <c r="K455" i="7" a="1"/>
  <c r="K455" i="7" s="1"/>
  <c r="N454" i="7"/>
  <c r="M454" i="7"/>
  <c r="O454" i="7" s="1"/>
  <c r="L454" i="7"/>
  <c r="K454" i="7" a="1"/>
  <c r="K454" i="7" s="1"/>
  <c r="N453" i="7"/>
  <c r="M453" i="7"/>
  <c r="O453" i="7" s="1"/>
  <c r="L453" i="7"/>
  <c r="K453" i="7" a="1"/>
  <c r="K453" i="7" s="1"/>
  <c r="N452" i="7"/>
  <c r="M452" i="7"/>
  <c r="O452" i="7" s="1"/>
  <c r="L452" i="7"/>
  <c r="K452" i="7" a="1"/>
  <c r="K452" i="7" s="1"/>
  <c r="N451" i="7"/>
  <c r="M451" i="7"/>
  <c r="O451" i="7" s="1"/>
  <c r="L451" i="7"/>
  <c r="K451" i="7" a="1"/>
  <c r="K451" i="7" s="1"/>
  <c r="N450" i="7"/>
  <c r="M450" i="7"/>
  <c r="O450" i="7" s="1"/>
  <c r="L450" i="7"/>
  <c r="K450" i="7" a="1"/>
  <c r="K450" i="7" s="1"/>
  <c r="N449" i="7"/>
  <c r="M449" i="7"/>
  <c r="O449" i="7" s="1"/>
  <c r="L449" i="7"/>
  <c r="K449" i="7" a="1"/>
  <c r="K449" i="7" s="1"/>
  <c r="N448" i="7"/>
  <c r="M448" i="7"/>
  <c r="O448" i="7" s="1"/>
  <c r="L448" i="7"/>
  <c r="K448" i="7" a="1"/>
  <c r="K448" i="7" s="1"/>
  <c r="N447" i="7"/>
  <c r="M447" i="7"/>
  <c r="O447" i="7" s="1"/>
  <c r="L447" i="7"/>
  <c r="K447" i="7" a="1"/>
  <c r="K447" i="7" s="1"/>
  <c r="N446" i="7"/>
  <c r="M446" i="7"/>
  <c r="O446" i="7" s="1"/>
  <c r="L446" i="7"/>
  <c r="K446" i="7" a="1"/>
  <c r="K446" i="7" s="1"/>
  <c r="N445" i="7"/>
  <c r="M445" i="7"/>
  <c r="O445" i="7" s="1"/>
  <c r="L445" i="7"/>
  <c r="K445" i="7" a="1"/>
  <c r="K445" i="7" s="1"/>
  <c r="N444" i="7"/>
  <c r="M444" i="7"/>
  <c r="O444" i="7" s="1"/>
  <c r="L444" i="7"/>
  <c r="K444" i="7" a="1"/>
  <c r="K444" i="7" s="1"/>
  <c r="N443" i="7"/>
  <c r="M443" i="7"/>
  <c r="O443" i="7" s="1"/>
  <c r="L443" i="7"/>
  <c r="K443" i="7" a="1"/>
  <c r="K443" i="7" s="1"/>
  <c r="N442" i="7"/>
  <c r="M442" i="7"/>
  <c r="O442" i="7" s="1"/>
  <c r="L442" i="7"/>
  <c r="K442" i="7" a="1"/>
  <c r="K442" i="7" s="1"/>
  <c r="N441" i="7"/>
  <c r="M441" i="7"/>
  <c r="O441" i="7" s="1"/>
  <c r="L441" i="7"/>
  <c r="K441" i="7" a="1"/>
  <c r="K441" i="7" s="1"/>
  <c r="N440" i="7"/>
  <c r="M440" i="7"/>
  <c r="O440" i="7" s="1"/>
  <c r="L440" i="7"/>
  <c r="K440" i="7" a="1"/>
  <c r="K440" i="7" s="1"/>
  <c r="N439" i="7"/>
  <c r="M439" i="7"/>
  <c r="O439" i="7" s="1"/>
  <c r="L439" i="7"/>
  <c r="K439" i="7" a="1"/>
  <c r="K439" i="7" s="1"/>
  <c r="N438" i="7"/>
  <c r="M438" i="7"/>
  <c r="O438" i="7" s="1"/>
  <c r="L438" i="7"/>
  <c r="K438" i="7" a="1"/>
  <c r="K438" i="7" s="1"/>
  <c r="N437" i="7"/>
  <c r="M437" i="7"/>
  <c r="O437" i="7" s="1"/>
  <c r="L437" i="7"/>
  <c r="K437" i="7" a="1"/>
  <c r="K437" i="7" s="1"/>
  <c r="N436" i="7"/>
  <c r="M436" i="7"/>
  <c r="O436" i="7" s="1"/>
  <c r="L436" i="7"/>
  <c r="K436" i="7" a="1"/>
  <c r="K436" i="7" s="1"/>
  <c r="N435" i="7"/>
  <c r="M435" i="7"/>
  <c r="O435" i="7" s="1"/>
  <c r="L435" i="7"/>
  <c r="K435" i="7" a="1"/>
  <c r="K435" i="7" s="1"/>
  <c r="N434" i="7"/>
  <c r="M434" i="7"/>
  <c r="O434" i="7" s="1"/>
  <c r="L434" i="7"/>
  <c r="K434" i="7" a="1"/>
  <c r="K434" i="7" s="1"/>
  <c r="N433" i="7"/>
  <c r="M433" i="7"/>
  <c r="O433" i="7" s="1"/>
  <c r="L433" i="7"/>
  <c r="K433" i="7" a="1"/>
  <c r="K433" i="7" s="1"/>
  <c r="N432" i="7"/>
  <c r="M432" i="7"/>
  <c r="O432" i="7" s="1"/>
  <c r="L432" i="7"/>
  <c r="K432" i="7" a="1"/>
  <c r="K432" i="7" s="1"/>
  <c r="N431" i="7"/>
  <c r="M431" i="7"/>
  <c r="O431" i="7" s="1"/>
  <c r="L431" i="7"/>
  <c r="K431" i="7" a="1"/>
  <c r="K431" i="7" s="1"/>
  <c r="N430" i="7"/>
  <c r="M430" i="7"/>
  <c r="O430" i="7" s="1"/>
  <c r="L430" i="7"/>
  <c r="K430" i="7" a="1"/>
  <c r="K430" i="7" s="1"/>
  <c r="N429" i="7"/>
  <c r="M429" i="7"/>
  <c r="O429" i="7" s="1"/>
  <c r="L429" i="7"/>
  <c r="K429" i="7" a="1"/>
  <c r="K429" i="7" s="1"/>
  <c r="N428" i="7"/>
  <c r="M428" i="7"/>
  <c r="O428" i="7" s="1"/>
  <c r="L428" i="7"/>
  <c r="K428" i="7" a="1"/>
  <c r="K428" i="7" s="1"/>
  <c r="N427" i="7"/>
  <c r="M427" i="7"/>
  <c r="O427" i="7" s="1"/>
  <c r="L427" i="7"/>
  <c r="K427" i="7" a="1"/>
  <c r="K427" i="7" s="1"/>
  <c r="N426" i="7"/>
  <c r="M426" i="7"/>
  <c r="O426" i="7" s="1"/>
  <c r="L426" i="7"/>
  <c r="K426" i="7" a="1"/>
  <c r="K426" i="7" s="1"/>
  <c r="N425" i="7"/>
  <c r="M425" i="7"/>
  <c r="O425" i="7" s="1"/>
  <c r="L425" i="7"/>
  <c r="K425" i="7" a="1"/>
  <c r="K425" i="7" s="1"/>
  <c r="N424" i="7"/>
  <c r="M424" i="7"/>
  <c r="O424" i="7" s="1"/>
  <c r="L424" i="7"/>
  <c r="K424" i="7" a="1"/>
  <c r="K424" i="7" s="1"/>
  <c r="N423" i="7"/>
  <c r="M423" i="7"/>
  <c r="O423" i="7" s="1"/>
  <c r="L423" i="7"/>
  <c r="K423" i="7" a="1"/>
  <c r="K423" i="7" s="1"/>
  <c r="N422" i="7"/>
  <c r="M422" i="7"/>
  <c r="O422" i="7" s="1"/>
  <c r="L422" i="7"/>
  <c r="K422" i="7" a="1"/>
  <c r="K422" i="7" s="1"/>
  <c r="N421" i="7"/>
  <c r="M421" i="7"/>
  <c r="O421" i="7" s="1"/>
  <c r="L421" i="7"/>
  <c r="K421" i="7" a="1"/>
  <c r="K421" i="7" s="1"/>
  <c r="N420" i="7"/>
  <c r="M420" i="7"/>
  <c r="O420" i="7" s="1"/>
  <c r="L420" i="7"/>
  <c r="K420" i="7" a="1"/>
  <c r="K420" i="7" s="1"/>
  <c r="N419" i="7"/>
  <c r="M419" i="7"/>
  <c r="O419" i="7" s="1"/>
  <c r="L419" i="7"/>
  <c r="K419" i="7" a="1"/>
  <c r="K419" i="7" s="1"/>
  <c r="N418" i="7"/>
  <c r="M418" i="7"/>
  <c r="O418" i="7" s="1"/>
  <c r="L418" i="7"/>
  <c r="K418" i="7" a="1"/>
  <c r="K418" i="7" s="1"/>
  <c r="N417" i="7"/>
  <c r="M417" i="7"/>
  <c r="O417" i="7" s="1"/>
  <c r="L417" i="7"/>
  <c r="K417" i="7" a="1"/>
  <c r="K417" i="7" s="1"/>
  <c r="N416" i="7"/>
  <c r="M416" i="7"/>
  <c r="O416" i="7" s="1"/>
  <c r="L416" i="7"/>
  <c r="K416" i="7" a="1"/>
  <c r="K416" i="7" s="1"/>
  <c r="N415" i="7"/>
  <c r="M415" i="7"/>
  <c r="O415" i="7" s="1"/>
  <c r="L415" i="7"/>
  <c r="K415" i="7" a="1"/>
  <c r="K415" i="7" s="1"/>
  <c r="N414" i="7"/>
  <c r="M414" i="7"/>
  <c r="O414" i="7" s="1"/>
  <c r="L414" i="7"/>
  <c r="K414" i="7" a="1"/>
  <c r="K414" i="7" s="1"/>
  <c r="N413" i="7"/>
  <c r="M413" i="7"/>
  <c r="O413" i="7" s="1"/>
  <c r="L413" i="7"/>
  <c r="K413" i="7" a="1"/>
  <c r="K413" i="7" s="1"/>
  <c r="N412" i="7"/>
  <c r="M412" i="7"/>
  <c r="O412" i="7" s="1"/>
  <c r="L412" i="7"/>
  <c r="K412" i="7" a="1"/>
  <c r="K412" i="7" s="1"/>
  <c r="N411" i="7"/>
  <c r="M411" i="7"/>
  <c r="O411" i="7" s="1"/>
  <c r="L411" i="7"/>
  <c r="K411" i="7" a="1"/>
  <c r="K411" i="7" s="1"/>
  <c r="N410" i="7"/>
  <c r="M410" i="7"/>
  <c r="O410" i="7" s="1"/>
  <c r="L410" i="7"/>
  <c r="K410" i="7" a="1"/>
  <c r="K410" i="7" s="1"/>
  <c r="N409" i="7"/>
  <c r="M409" i="7"/>
  <c r="O409" i="7" s="1"/>
  <c r="L409" i="7"/>
  <c r="K409" i="7" a="1"/>
  <c r="K409" i="7" s="1"/>
  <c r="N408" i="7"/>
  <c r="M408" i="7"/>
  <c r="O408" i="7" s="1"/>
  <c r="L408" i="7"/>
  <c r="K408" i="7" a="1"/>
  <c r="K408" i="7" s="1"/>
  <c r="N407" i="7"/>
  <c r="M407" i="7"/>
  <c r="O407" i="7" s="1"/>
  <c r="L407" i="7"/>
  <c r="K407" i="7" a="1"/>
  <c r="K407" i="7" s="1"/>
  <c r="N406" i="7"/>
  <c r="M406" i="7"/>
  <c r="O406" i="7" s="1"/>
  <c r="L406" i="7"/>
  <c r="K406" i="7" a="1"/>
  <c r="K406" i="7" s="1"/>
  <c r="N405" i="7"/>
  <c r="M405" i="7"/>
  <c r="O405" i="7" s="1"/>
  <c r="L405" i="7"/>
  <c r="K405" i="7" a="1"/>
  <c r="K405" i="7" s="1"/>
  <c r="N404" i="7"/>
  <c r="M404" i="7"/>
  <c r="O404" i="7" s="1"/>
  <c r="L404" i="7"/>
  <c r="K404" i="7" a="1"/>
  <c r="K404" i="7" s="1"/>
  <c r="N403" i="7"/>
  <c r="M403" i="7"/>
  <c r="O403" i="7" s="1"/>
  <c r="L403" i="7"/>
  <c r="K403" i="7" a="1"/>
  <c r="K403" i="7" s="1"/>
  <c r="N402" i="7"/>
  <c r="M402" i="7"/>
  <c r="O402" i="7" s="1"/>
  <c r="L402" i="7"/>
  <c r="K402" i="7" a="1"/>
  <c r="K402" i="7" s="1"/>
  <c r="N401" i="7"/>
  <c r="M401" i="7"/>
  <c r="O401" i="7" s="1"/>
  <c r="L401" i="7"/>
  <c r="K401" i="7" a="1"/>
  <c r="K401" i="7" s="1"/>
  <c r="N400" i="7"/>
  <c r="M400" i="7"/>
  <c r="O400" i="7" s="1"/>
  <c r="L400" i="7"/>
  <c r="K400" i="7" a="1"/>
  <c r="K400" i="7" s="1"/>
  <c r="N399" i="7"/>
  <c r="M399" i="7"/>
  <c r="O399" i="7" s="1"/>
  <c r="L399" i="7"/>
  <c r="K399" i="7" a="1"/>
  <c r="K399" i="7" s="1"/>
  <c r="N398" i="7"/>
  <c r="M398" i="7"/>
  <c r="O398" i="7" s="1"/>
  <c r="L398" i="7"/>
  <c r="K398" i="7" a="1"/>
  <c r="K398" i="7" s="1"/>
  <c r="N397" i="7"/>
  <c r="M397" i="7"/>
  <c r="O397" i="7" s="1"/>
  <c r="L397" i="7"/>
  <c r="K397" i="7" a="1"/>
  <c r="K397" i="7" s="1"/>
  <c r="N396" i="7"/>
  <c r="M396" i="7"/>
  <c r="O396" i="7" s="1"/>
  <c r="L396" i="7"/>
  <c r="K396" i="7" a="1"/>
  <c r="K396" i="7" s="1"/>
  <c r="N395" i="7"/>
  <c r="M395" i="7"/>
  <c r="O395" i="7" s="1"/>
  <c r="L395" i="7"/>
  <c r="K395" i="7" a="1"/>
  <c r="K395" i="7" s="1"/>
  <c r="N394" i="7"/>
  <c r="M394" i="7"/>
  <c r="O394" i="7" s="1"/>
  <c r="L394" i="7"/>
  <c r="K394" i="7" a="1"/>
  <c r="K394" i="7" s="1"/>
  <c r="N393" i="7"/>
  <c r="M393" i="7"/>
  <c r="O393" i="7" s="1"/>
  <c r="L393" i="7"/>
  <c r="K393" i="7" a="1"/>
  <c r="K393" i="7" s="1"/>
  <c r="N392" i="7"/>
  <c r="M392" i="7"/>
  <c r="O392" i="7" s="1"/>
  <c r="L392" i="7"/>
  <c r="K392" i="7" a="1"/>
  <c r="K392" i="7" s="1"/>
  <c r="N391" i="7"/>
  <c r="M391" i="7"/>
  <c r="O391" i="7" s="1"/>
  <c r="L391" i="7"/>
  <c r="K391" i="7" a="1"/>
  <c r="K391" i="7" s="1"/>
  <c r="N390" i="7"/>
  <c r="M390" i="7"/>
  <c r="O390" i="7" s="1"/>
  <c r="L390" i="7"/>
  <c r="K390" i="7" a="1"/>
  <c r="K390" i="7" s="1"/>
  <c r="N389" i="7"/>
  <c r="M389" i="7"/>
  <c r="O389" i="7" s="1"/>
  <c r="L389" i="7"/>
  <c r="K389" i="7" a="1"/>
  <c r="K389" i="7" s="1"/>
  <c r="N388" i="7"/>
  <c r="M388" i="7"/>
  <c r="O388" i="7" s="1"/>
  <c r="L388" i="7"/>
  <c r="K388" i="7" a="1"/>
  <c r="K388" i="7" s="1"/>
  <c r="N387" i="7"/>
  <c r="M387" i="7"/>
  <c r="O387" i="7" s="1"/>
  <c r="L387" i="7"/>
  <c r="K387" i="7" a="1"/>
  <c r="K387" i="7" s="1"/>
  <c r="N386" i="7"/>
  <c r="M386" i="7"/>
  <c r="O386" i="7" s="1"/>
  <c r="L386" i="7"/>
  <c r="K386" i="7" a="1"/>
  <c r="K386" i="7" s="1"/>
  <c r="N385" i="7"/>
  <c r="M385" i="7"/>
  <c r="O385" i="7" s="1"/>
  <c r="L385" i="7"/>
  <c r="K385" i="7" a="1"/>
  <c r="K385" i="7" s="1"/>
  <c r="N384" i="7"/>
  <c r="M384" i="7"/>
  <c r="O384" i="7" s="1"/>
  <c r="L384" i="7"/>
  <c r="K384" i="7" a="1"/>
  <c r="K384" i="7" s="1"/>
  <c r="N383" i="7"/>
  <c r="M383" i="7"/>
  <c r="O383" i="7" s="1"/>
  <c r="L383" i="7"/>
  <c r="K383" i="7" a="1"/>
  <c r="K383" i="7" s="1"/>
  <c r="N382" i="7"/>
  <c r="M382" i="7"/>
  <c r="O382" i="7" s="1"/>
  <c r="L382" i="7"/>
  <c r="K382" i="7" a="1"/>
  <c r="K382" i="7" s="1"/>
  <c r="N381" i="7"/>
  <c r="M381" i="7"/>
  <c r="O381" i="7" s="1"/>
  <c r="L381" i="7"/>
  <c r="K381" i="7" a="1"/>
  <c r="K381" i="7" s="1"/>
  <c r="N380" i="7"/>
  <c r="M380" i="7"/>
  <c r="O380" i="7" s="1"/>
  <c r="L380" i="7"/>
  <c r="K380" i="7" a="1"/>
  <c r="K380" i="7" s="1"/>
  <c r="N379" i="7"/>
  <c r="M379" i="7"/>
  <c r="O379" i="7" s="1"/>
  <c r="L379" i="7"/>
  <c r="K379" i="7" a="1"/>
  <c r="K379" i="7" s="1"/>
  <c r="N378" i="7"/>
  <c r="M378" i="7"/>
  <c r="O378" i="7" s="1"/>
  <c r="L378" i="7"/>
  <c r="K378" i="7" a="1"/>
  <c r="K378" i="7" s="1"/>
  <c r="N377" i="7"/>
  <c r="M377" i="7"/>
  <c r="O377" i="7" s="1"/>
  <c r="L377" i="7"/>
  <c r="K377" i="7" a="1"/>
  <c r="K377" i="7" s="1"/>
  <c r="N376" i="7"/>
  <c r="M376" i="7"/>
  <c r="O376" i="7" s="1"/>
  <c r="L376" i="7"/>
  <c r="K376" i="7" a="1"/>
  <c r="K376" i="7" s="1"/>
  <c r="N375" i="7"/>
  <c r="M375" i="7"/>
  <c r="O375" i="7" s="1"/>
  <c r="L375" i="7"/>
  <c r="K375" i="7" a="1"/>
  <c r="K375" i="7" s="1"/>
  <c r="N374" i="7"/>
  <c r="M374" i="7"/>
  <c r="O374" i="7" s="1"/>
  <c r="L374" i="7"/>
  <c r="K374" i="7" a="1"/>
  <c r="K374" i="7" s="1"/>
  <c r="N373" i="7"/>
  <c r="M373" i="7"/>
  <c r="O373" i="7" s="1"/>
  <c r="L373" i="7"/>
  <c r="K373" i="7" a="1"/>
  <c r="K373" i="7" s="1"/>
  <c r="N372" i="7"/>
  <c r="M372" i="7"/>
  <c r="O372" i="7" s="1"/>
  <c r="L372" i="7"/>
  <c r="K372" i="7" a="1"/>
  <c r="K372" i="7" s="1"/>
  <c r="N371" i="7"/>
  <c r="M371" i="7"/>
  <c r="O371" i="7" s="1"/>
  <c r="L371" i="7"/>
  <c r="K371" i="7" a="1"/>
  <c r="K371" i="7" s="1"/>
  <c r="N370" i="7"/>
  <c r="M370" i="7"/>
  <c r="O370" i="7" s="1"/>
  <c r="L370" i="7"/>
  <c r="K370" i="7" a="1"/>
  <c r="K370" i="7" s="1"/>
  <c r="N369" i="7"/>
  <c r="M369" i="7"/>
  <c r="O369" i="7" s="1"/>
  <c r="L369" i="7"/>
  <c r="K369" i="7" a="1"/>
  <c r="K369" i="7" s="1"/>
  <c r="N368" i="7"/>
  <c r="M368" i="7"/>
  <c r="O368" i="7" s="1"/>
  <c r="L368" i="7"/>
  <c r="K368" i="7" a="1"/>
  <c r="K368" i="7" s="1"/>
  <c r="N367" i="7"/>
  <c r="M367" i="7"/>
  <c r="O367" i="7" s="1"/>
  <c r="L367" i="7"/>
  <c r="K367" i="7" a="1"/>
  <c r="K367" i="7" s="1"/>
  <c r="N366" i="7"/>
  <c r="M366" i="7"/>
  <c r="O366" i="7" s="1"/>
  <c r="L366" i="7"/>
  <c r="K366" i="7" a="1"/>
  <c r="K366" i="7" s="1"/>
  <c r="N365" i="7"/>
  <c r="M365" i="7"/>
  <c r="O365" i="7" s="1"/>
  <c r="L365" i="7"/>
  <c r="K365" i="7" a="1"/>
  <c r="K365" i="7" s="1"/>
  <c r="N364" i="7"/>
  <c r="M364" i="7"/>
  <c r="O364" i="7" s="1"/>
  <c r="L364" i="7"/>
  <c r="K364" i="7" a="1"/>
  <c r="K364" i="7" s="1"/>
  <c r="N363" i="7"/>
  <c r="M363" i="7"/>
  <c r="O363" i="7" s="1"/>
  <c r="L363" i="7"/>
  <c r="K363" i="7" a="1"/>
  <c r="K363" i="7" s="1"/>
  <c r="N362" i="7"/>
  <c r="M362" i="7"/>
  <c r="O362" i="7" s="1"/>
  <c r="L362" i="7"/>
  <c r="K362" i="7" a="1"/>
  <c r="K362" i="7" s="1"/>
  <c r="N361" i="7"/>
  <c r="M361" i="7"/>
  <c r="O361" i="7" s="1"/>
  <c r="L361" i="7"/>
  <c r="K361" i="7" a="1"/>
  <c r="K361" i="7" s="1"/>
  <c r="N360" i="7"/>
  <c r="M360" i="7"/>
  <c r="O360" i="7" s="1"/>
  <c r="L360" i="7"/>
  <c r="K360" i="7" a="1"/>
  <c r="K360" i="7" s="1"/>
  <c r="N359" i="7"/>
  <c r="M359" i="7"/>
  <c r="O359" i="7" s="1"/>
  <c r="L359" i="7"/>
  <c r="K359" i="7" a="1"/>
  <c r="K359" i="7" s="1"/>
  <c r="N358" i="7"/>
  <c r="M358" i="7"/>
  <c r="O358" i="7" s="1"/>
  <c r="L358" i="7"/>
  <c r="K358" i="7" a="1"/>
  <c r="K358" i="7" s="1"/>
  <c r="N357" i="7"/>
  <c r="M357" i="7"/>
  <c r="O357" i="7" s="1"/>
  <c r="L357" i="7"/>
  <c r="K357" i="7" a="1"/>
  <c r="K357" i="7" s="1"/>
  <c r="N356" i="7"/>
  <c r="M356" i="7"/>
  <c r="O356" i="7" s="1"/>
  <c r="L356" i="7"/>
  <c r="K356" i="7" a="1"/>
  <c r="K356" i="7" s="1"/>
  <c r="N355" i="7"/>
  <c r="M355" i="7"/>
  <c r="O355" i="7" s="1"/>
  <c r="L355" i="7"/>
  <c r="K355" i="7" a="1"/>
  <c r="K355" i="7" s="1"/>
  <c r="N354" i="7"/>
  <c r="M354" i="7"/>
  <c r="O354" i="7" s="1"/>
  <c r="L354" i="7"/>
  <c r="K354" i="7" a="1"/>
  <c r="K354" i="7" s="1"/>
  <c r="N353" i="7"/>
  <c r="M353" i="7"/>
  <c r="O353" i="7" s="1"/>
  <c r="L353" i="7"/>
  <c r="K353" i="7" a="1"/>
  <c r="K353" i="7" s="1"/>
  <c r="N352" i="7"/>
  <c r="M352" i="7"/>
  <c r="O352" i="7" s="1"/>
  <c r="L352" i="7"/>
  <c r="K352" i="7" a="1"/>
  <c r="K352" i="7" s="1"/>
  <c r="N351" i="7"/>
  <c r="M351" i="7"/>
  <c r="O351" i="7" s="1"/>
  <c r="L351" i="7"/>
  <c r="K351" i="7" a="1"/>
  <c r="K351" i="7" s="1"/>
  <c r="N350" i="7"/>
  <c r="M350" i="7"/>
  <c r="O350" i="7" s="1"/>
  <c r="L350" i="7"/>
  <c r="K350" i="7" a="1"/>
  <c r="K350" i="7" s="1"/>
  <c r="N349" i="7"/>
  <c r="M349" i="7"/>
  <c r="O349" i="7" s="1"/>
  <c r="L349" i="7"/>
  <c r="K349" i="7" a="1"/>
  <c r="K349" i="7" s="1"/>
  <c r="N348" i="7"/>
  <c r="M348" i="7"/>
  <c r="O348" i="7" s="1"/>
  <c r="L348" i="7"/>
  <c r="K348" i="7" a="1"/>
  <c r="K348" i="7" s="1"/>
  <c r="N347" i="7"/>
  <c r="M347" i="7"/>
  <c r="O347" i="7" s="1"/>
  <c r="L347" i="7"/>
  <c r="K347" i="7" a="1"/>
  <c r="K347" i="7" s="1"/>
  <c r="N346" i="7"/>
  <c r="M346" i="7"/>
  <c r="O346" i="7" s="1"/>
  <c r="L346" i="7"/>
  <c r="K346" i="7" a="1"/>
  <c r="K346" i="7" s="1"/>
  <c r="N345" i="7"/>
  <c r="M345" i="7"/>
  <c r="O345" i="7" s="1"/>
  <c r="L345" i="7"/>
  <c r="K345" i="7" a="1"/>
  <c r="K345" i="7" s="1"/>
  <c r="N344" i="7"/>
  <c r="M344" i="7"/>
  <c r="O344" i="7" s="1"/>
  <c r="L344" i="7"/>
  <c r="K344" i="7" a="1"/>
  <c r="K344" i="7" s="1"/>
  <c r="N343" i="7"/>
  <c r="M343" i="7"/>
  <c r="O343" i="7" s="1"/>
  <c r="L343" i="7"/>
  <c r="K343" i="7" a="1"/>
  <c r="K343" i="7" s="1"/>
  <c r="N342" i="7"/>
  <c r="M342" i="7"/>
  <c r="O342" i="7" s="1"/>
  <c r="L342" i="7"/>
  <c r="K342" i="7" a="1"/>
  <c r="K342" i="7" s="1"/>
  <c r="N341" i="7"/>
  <c r="M341" i="7"/>
  <c r="O341" i="7" s="1"/>
  <c r="L341" i="7"/>
  <c r="K341" i="7" a="1"/>
  <c r="K341" i="7" s="1"/>
  <c r="N340" i="7"/>
  <c r="M340" i="7"/>
  <c r="O340" i="7" s="1"/>
  <c r="L340" i="7"/>
  <c r="K340" i="7" a="1"/>
  <c r="K340" i="7" s="1"/>
  <c r="N339" i="7"/>
  <c r="M339" i="7"/>
  <c r="O339" i="7" s="1"/>
  <c r="L339" i="7"/>
  <c r="K339" i="7" a="1"/>
  <c r="K339" i="7" s="1"/>
  <c r="N338" i="7"/>
  <c r="M338" i="7"/>
  <c r="O338" i="7" s="1"/>
  <c r="L338" i="7"/>
  <c r="K338" i="7" a="1"/>
  <c r="K338" i="7" s="1"/>
  <c r="N337" i="7"/>
  <c r="M337" i="7"/>
  <c r="O337" i="7" s="1"/>
  <c r="L337" i="7"/>
  <c r="K337" i="7" a="1"/>
  <c r="K337" i="7" s="1"/>
  <c r="N336" i="7"/>
  <c r="M336" i="7"/>
  <c r="O336" i="7" s="1"/>
  <c r="L336" i="7"/>
  <c r="K336" i="7" a="1"/>
  <c r="K336" i="7" s="1"/>
  <c r="N335" i="7"/>
  <c r="M335" i="7"/>
  <c r="O335" i="7" s="1"/>
  <c r="L335" i="7"/>
  <c r="K335" i="7" a="1"/>
  <c r="K335" i="7" s="1"/>
  <c r="N334" i="7"/>
  <c r="M334" i="7"/>
  <c r="O334" i="7" s="1"/>
  <c r="L334" i="7"/>
  <c r="K334" i="7" a="1"/>
  <c r="K334" i="7" s="1"/>
  <c r="N333" i="7"/>
  <c r="M333" i="7"/>
  <c r="O333" i="7" s="1"/>
  <c r="L333" i="7"/>
  <c r="K333" i="7" a="1"/>
  <c r="K333" i="7" s="1"/>
  <c r="N332" i="7"/>
  <c r="M332" i="7"/>
  <c r="O332" i="7" s="1"/>
  <c r="L332" i="7"/>
  <c r="K332" i="7" a="1"/>
  <c r="K332" i="7" s="1"/>
  <c r="N331" i="7"/>
  <c r="M331" i="7"/>
  <c r="O331" i="7" s="1"/>
  <c r="L331" i="7"/>
  <c r="K331" i="7" a="1"/>
  <c r="K331" i="7" s="1"/>
  <c r="N330" i="7"/>
  <c r="M330" i="7"/>
  <c r="O330" i="7" s="1"/>
  <c r="L330" i="7"/>
  <c r="K330" i="7" a="1"/>
  <c r="K330" i="7" s="1"/>
  <c r="O329" i="7"/>
  <c r="N329" i="7"/>
  <c r="M329" i="7"/>
  <c r="L329" i="7"/>
  <c r="K329" i="7" a="1"/>
  <c r="K329" i="7" s="1"/>
  <c r="N328" i="7"/>
  <c r="M328" i="7"/>
  <c r="O328" i="7" s="1"/>
  <c r="L328" i="7"/>
  <c r="K328" i="7" a="1"/>
  <c r="K328" i="7" s="1"/>
  <c r="N327" i="7"/>
  <c r="M327" i="7"/>
  <c r="O327" i="7" s="1"/>
  <c r="L327" i="7"/>
  <c r="K327" i="7" a="1"/>
  <c r="K327" i="7" s="1"/>
  <c r="N326" i="7"/>
  <c r="M326" i="7"/>
  <c r="O326" i="7" s="1"/>
  <c r="L326" i="7"/>
  <c r="K326" i="7" a="1"/>
  <c r="K326" i="7" s="1"/>
  <c r="O325" i="7"/>
  <c r="N325" i="7"/>
  <c r="M325" i="7"/>
  <c r="L325" i="7"/>
  <c r="K325" i="7" a="1"/>
  <c r="K325" i="7" s="1"/>
  <c r="N324" i="7"/>
  <c r="M324" i="7"/>
  <c r="O324" i="7" s="1"/>
  <c r="L324" i="7"/>
  <c r="K324" i="7" a="1"/>
  <c r="K324" i="7" s="1"/>
  <c r="N323" i="7"/>
  <c r="M323" i="7"/>
  <c r="O323" i="7" s="1"/>
  <c r="L323" i="7"/>
  <c r="K323" i="7" a="1"/>
  <c r="K323" i="7" s="1"/>
  <c r="N322" i="7"/>
  <c r="M322" i="7"/>
  <c r="O322" i="7" s="1"/>
  <c r="L322" i="7"/>
  <c r="K322" i="7" a="1"/>
  <c r="K322" i="7" s="1"/>
  <c r="N321" i="7"/>
  <c r="M321" i="7"/>
  <c r="O321" i="7" s="1"/>
  <c r="L321" i="7"/>
  <c r="K321" i="7" a="1"/>
  <c r="K321" i="7" s="1"/>
  <c r="N320" i="7"/>
  <c r="M320" i="7"/>
  <c r="O320" i="7" s="1"/>
  <c r="L320" i="7"/>
  <c r="K320" i="7" a="1"/>
  <c r="K320" i="7" s="1"/>
  <c r="N319" i="7"/>
  <c r="M319" i="7"/>
  <c r="O319" i="7" s="1"/>
  <c r="L319" i="7"/>
  <c r="K319" i="7" a="1"/>
  <c r="K319" i="7" s="1"/>
  <c r="N318" i="7"/>
  <c r="M318" i="7"/>
  <c r="O318" i="7" s="1"/>
  <c r="L318" i="7"/>
  <c r="K318" i="7" a="1"/>
  <c r="K318" i="7" s="1"/>
  <c r="N317" i="7"/>
  <c r="M317" i="7"/>
  <c r="O317" i="7" s="1"/>
  <c r="L317" i="7"/>
  <c r="K317" i="7" a="1"/>
  <c r="K317" i="7" s="1"/>
  <c r="N316" i="7"/>
  <c r="M316" i="7"/>
  <c r="O316" i="7" s="1"/>
  <c r="L316" i="7"/>
  <c r="K316" i="7" a="1"/>
  <c r="K316" i="7" s="1"/>
  <c r="N315" i="7"/>
  <c r="M315" i="7"/>
  <c r="O315" i="7" s="1"/>
  <c r="L315" i="7"/>
  <c r="K315" i="7" a="1"/>
  <c r="K315" i="7" s="1"/>
  <c r="N314" i="7"/>
  <c r="M314" i="7"/>
  <c r="O314" i="7" s="1"/>
  <c r="L314" i="7"/>
  <c r="K314" i="7" a="1"/>
  <c r="K314" i="7" s="1"/>
  <c r="N313" i="7"/>
  <c r="M313" i="7"/>
  <c r="O313" i="7" s="1"/>
  <c r="L313" i="7"/>
  <c r="K313" i="7" a="1"/>
  <c r="K313" i="7" s="1"/>
  <c r="N312" i="7"/>
  <c r="M312" i="7"/>
  <c r="O312" i="7" s="1"/>
  <c r="L312" i="7"/>
  <c r="K312" i="7" a="1"/>
  <c r="K312" i="7" s="1"/>
  <c r="N311" i="7"/>
  <c r="M311" i="7"/>
  <c r="O311" i="7" s="1"/>
  <c r="L311" i="7"/>
  <c r="K311" i="7" a="1"/>
  <c r="K311" i="7" s="1"/>
  <c r="N310" i="7"/>
  <c r="M310" i="7"/>
  <c r="O310" i="7" s="1"/>
  <c r="L310" i="7"/>
  <c r="K310" i="7" a="1"/>
  <c r="K310" i="7" s="1"/>
  <c r="N309" i="7"/>
  <c r="M309" i="7"/>
  <c r="O309" i="7" s="1"/>
  <c r="L309" i="7"/>
  <c r="K309" i="7" a="1"/>
  <c r="K309" i="7" s="1"/>
  <c r="N308" i="7"/>
  <c r="M308" i="7"/>
  <c r="O308" i="7" s="1"/>
  <c r="L308" i="7"/>
  <c r="K308" i="7" a="1"/>
  <c r="K308" i="7" s="1"/>
  <c r="N307" i="7"/>
  <c r="M307" i="7"/>
  <c r="O307" i="7" s="1"/>
  <c r="L307" i="7"/>
  <c r="K307" i="7" a="1"/>
  <c r="K307" i="7" s="1"/>
  <c r="N306" i="7"/>
  <c r="M306" i="7"/>
  <c r="O306" i="7" s="1"/>
  <c r="L306" i="7"/>
  <c r="K306" i="7" a="1"/>
  <c r="K306" i="7" s="1"/>
  <c r="N305" i="7"/>
  <c r="M305" i="7"/>
  <c r="O305" i="7" s="1"/>
  <c r="L305" i="7"/>
  <c r="K305" i="7" a="1"/>
  <c r="K305" i="7" s="1"/>
  <c r="N304" i="7"/>
  <c r="M304" i="7"/>
  <c r="O304" i="7" s="1"/>
  <c r="L304" i="7"/>
  <c r="K304" i="7" a="1"/>
  <c r="K304" i="7" s="1"/>
  <c r="N303" i="7"/>
  <c r="M303" i="7"/>
  <c r="O303" i="7" s="1"/>
  <c r="L303" i="7"/>
  <c r="K303" i="7" a="1"/>
  <c r="K303" i="7" s="1"/>
  <c r="N302" i="7"/>
  <c r="M302" i="7"/>
  <c r="O302" i="7" s="1"/>
  <c r="L302" i="7"/>
  <c r="K302" i="7" a="1"/>
  <c r="K302" i="7" s="1"/>
  <c r="N301" i="7"/>
  <c r="M301" i="7"/>
  <c r="O301" i="7" s="1"/>
  <c r="L301" i="7"/>
  <c r="K301" i="7" a="1"/>
  <c r="K301" i="7" s="1"/>
  <c r="N300" i="7"/>
  <c r="M300" i="7"/>
  <c r="O300" i="7" s="1"/>
  <c r="L300" i="7"/>
  <c r="K300" i="7" a="1"/>
  <c r="K300" i="7" s="1"/>
  <c r="N299" i="7"/>
  <c r="M299" i="7"/>
  <c r="O299" i="7" s="1"/>
  <c r="L299" i="7"/>
  <c r="K299" i="7" a="1"/>
  <c r="K299" i="7" s="1"/>
  <c r="N298" i="7"/>
  <c r="M298" i="7"/>
  <c r="O298" i="7" s="1"/>
  <c r="L298" i="7"/>
  <c r="K298" i="7" a="1"/>
  <c r="K298" i="7" s="1"/>
  <c r="N297" i="7"/>
  <c r="M297" i="7"/>
  <c r="O297" i="7" s="1"/>
  <c r="L297" i="7"/>
  <c r="K297" i="7" a="1"/>
  <c r="K297" i="7" s="1"/>
  <c r="N296" i="7"/>
  <c r="M296" i="7"/>
  <c r="O296" i="7" s="1"/>
  <c r="L296" i="7"/>
  <c r="K296" i="7" a="1"/>
  <c r="K296" i="7" s="1"/>
  <c r="N295" i="7"/>
  <c r="M295" i="7"/>
  <c r="O295" i="7" s="1"/>
  <c r="L295" i="7"/>
  <c r="K295" i="7" a="1"/>
  <c r="K295" i="7" s="1"/>
  <c r="N294" i="7"/>
  <c r="M294" i="7"/>
  <c r="O294" i="7" s="1"/>
  <c r="L294" i="7"/>
  <c r="K294" i="7" a="1"/>
  <c r="K294" i="7" s="1"/>
  <c r="N293" i="7"/>
  <c r="M293" i="7"/>
  <c r="O293" i="7" s="1"/>
  <c r="L293" i="7"/>
  <c r="K293" i="7" a="1"/>
  <c r="K293" i="7" s="1"/>
  <c r="N292" i="7"/>
  <c r="M292" i="7"/>
  <c r="O292" i="7" s="1"/>
  <c r="L292" i="7"/>
  <c r="K292" i="7" a="1"/>
  <c r="K292" i="7" s="1"/>
  <c r="N291" i="7"/>
  <c r="M291" i="7"/>
  <c r="O291" i="7" s="1"/>
  <c r="L291" i="7"/>
  <c r="K291" i="7" a="1"/>
  <c r="K291" i="7" s="1"/>
  <c r="N290" i="7"/>
  <c r="M290" i="7"/>
  <c r="O290" i="7" s="1"/>
  <c r="L290" i="7"/>
  <c r="K290" i="7" a="1"/>
  <c r="K290" i="7" s="1"/>
  <c r="N289" i="7"/>
  <c r="M289" i="7"/>
  <c r="O289" i="7" s="1"/>
  <c r="L289" i="7"/>
  <c r="K289" i="7" a="1"/>
  <c r="K289" i="7" s="1"/>
  <c r="N288" i="7"/>
  <c r="M288" i="7"/>
  <c r="O288" i="7" s="1"/>
  <c r="L288" i="7"/>
  <c r="K288" i="7" a="1"/>
  <c r="K288" i="7" s="1"/>
  <c r="N287" i="7"/>
  <c r="M287" i="7"/>
  <c r="O287" i="7" s="1"/>
  <c r="L287" i="7"/>
  <c r="K287" i="7" a="1"/>
  <c r="K287" i="7" s="1"/>
  <c r="N286" i="7"/>
  <c r="M286" i="7"/>
  <c r="O286" i="7" s="1"/>
  <c r="L286" i="7"/>
  <c r="K286" i="7" a="1"/>
  <c r="K286" i="7" s="1"/>
  <c r="N285" i="7"/>
  <c r="M285" i="7"/>
  <c r="O285" i="7" s="1"/>
  <c r="L285" i="7"/>
  <c r="K285" i="7" a="1"/>
  <c r="K285" i="7" s="1"/>
  <c r="O284" i="7"/>
  <c r="N284" i="7"/>
  <c r="M284" i="7"/>
  <c r="L284" i="7"/>
  <c r="K284" i="7" a="1"/>
  <c r="K284" i="7" s="1"/>
  <c r="N283" i="7"/>
  <c r="M283" i="7"/>
  <c r="O283" i="7" s="1"/>
  <c r="L283" i="7"/>
  <c r="K283" i="7" a="1"/>
  <c r="K283" i="7" s="1"/>
  <c r="N282" i="7"/>
  <c r="M282" i="7"/>
  <c r="O282" i="7" s="1"/>
  <c r="L282" i="7"/>
  <c r="K282" i="7" a="1"/>
  <c r="K282" i="7" s="1"/>
  <c r="N281" i="7"/>
  <c r="M281" i="7"/>
  <c r="O281" i="7" s="1"/>
  <c r="L281" i="7"/>
  <c r="K281" i="7" a="1"/>
  <c r="K281" i="7" s="1"/>
  <c r="N280" i="7"/>
  <c r="M280" i="7"/>
  <c r="O280" i="7" s="1"/>
  <c r="L280" i="7"/>
  <c r="K280" i="7" a="1"/>
  <c r="K280" i="7" s="1"/>
  <c r="O279" i="7"/>
  <c r="N279" i="7"/>
  <c r="M279" i="7"/>
  <c r="L279" i="7"/>
  <c r="K279" i="7" a="1"/>
  <c r="K279" i="7" s="1"/>
  <c r="N278" i="7"/>
  <c r="M278" i="7"/>
  <c r="O278" i="7" s="1"/>
  <c r="L278" i="7"/>
  <c r="K278" i="7" a="1"/>
  <c r="K278" i="7" s="1"/>
  <c r="N277" i="7"/>
  <c r="M277" i="7"/>
  <c r="O277" i="7" s="1"/>
  <c r="L277" i="7"/>
  <c r="K277" i="7" a="1"/>
  <c r="K277" i="7" s="1"/>
  <c r="N276" i="7"/>
  <c r="M276" i="7"/>
  <c r="O276" i="7" s="1"/>
  <c r="L276" i="7"/>
  <c r="K276" i="7" a="1"/>
  <c r="K276" i="7" s="1"/>
  <c r="N275" i="7"/>
  <c r="M275" i="7"/>
  <c r="O275" i="7" s="1"/>
  <c r="L275" i="7"/>
  <c r="K275" i="7" a="1"/>
  <c r="K275" i="7" s="1"/>
  <c r="N274" i="7"/>
  <c r="M274" i="7"/>
  <c r="O274" i="7" s="1"/>
  <c r="L274" i="7"/>
  <c r="K274" i="7" a="1"/>
  <c r="K274" i="7" s="1"/>
  <c r="O273" i="7"/>
  <c r="N273" i="7"/>
  <c r="M273" i="7"/>
  <c r="L273" i="7"/>
  <c r="K273" i="7" a="1"/>
  <c r="K273" i="7" s="1"/>
  <c r="N272" i="7"/>
  <c r="M272" i="7"/>
  <c r="O272" i="7" s="1"/>
  <c r="L272" i="7"/>
  <c r="K272" i="7" a="1"/>
  <c r="K272" i="7" s="1"/>
  <c r="N271" i="7"/>
  <c r="M271" i="7"/>
  <c r="O271" i="7" s="1"/>
  <c r="L271" i="7"/>
  <c r="K271" i="7" a="1"/>
  <c r="K271" i="7" s="1"/>
  <c r="N270" i="7"/>
  <c r="M270" i="7"/>
  <c r="O270" i="7" s="1"/>
  <c r="L270" i="7"/>
  <c r="K270" i="7" a="1"/>
  <c r="K270" i="7" s="1"/>
  <c r="N269" i="7"/>
  <c r="M269" i="7"/>
  <c r="O269" i="7" s="1"/>
  <c r="L269" i="7"/>
  <c r="K269" i="7" a="1"/>
  <c r="K269" i="7" s="1"/>
  <c r="N268" i="7"/>
  <c r="M268" i="7"/>
  <c r="O268" i="7" s="1"/>
  <c r="L268" i="7"/>
  <c r="K268" i="7" a="1"/>
  <c r="K268" i="7" s="1"/>
  <c r="N267" i="7"/>
  <c r="M267" i="7"/>
  <c r="O267" i="7" s="1"/>
  <c r="L267" i="7"/>
  <c r="K267" i="7" a="1"/>
  <c r="K267" i="7" s="1"/>
  <c r="N266" i="7"/>
  <c r="M266" i="7"/>
  <c r="O266" i="7" s="1"/>
  <c r="L266" i="7"/>
  <c r="K266" i="7" a="1"/>
  <c r="K266" i="7" s="1"/>
  <c r="N265" i="7"/>
  <c r="M265" i="7"/>
  <c r="O265" i="7" s="1"/>
  <c r="L265" i="7"/>
  <c r="K265" i="7" a="1"/>
  <c r="K265" i="7" s="1"/>
  <c r="N264" i="7"/>
  <c r="M264" i="7"/>
  <c r="O264" i="7" s="1"/>
  <c r="L264" i="7"/>
  <c r="K264" i="7" a="1"/>
  <c r="K264" i="7" s="1"/>
  <c r="N263" i="7"/>
  <c r="M263" i="7"/>
  <c r="O263" i="7" s="1"/>
  <c r="L263" i="7"/>
  <c r="K263" i="7" a="1"/>
  <c r="K263" i="7" s="1"/>
  <c r="N262" i="7"/>
  <c r="M262" i="7"/>
  <c r="O262" i="7" s="1"/>
  <c r="L262" i="7"/>
  <c r="K262" i="7" a="1"/>
  <c r="K262" i="7" s="1"/>
  <c r="N261" i="7"/>
  <c r="M261" i="7"/>
  <c r="O261" i="7" s="1"/>
  <c r="L261" i="7"/>
  <c r="K261" i="7" a="1"/>
  <c r="K261" i="7" s="1"/>
  <c r="N260" i="7"/>
  <c r="M260" i="7"/>
  <c r="O260" i="7" s="1"/>
  <c r="L260" i="7"/>
  <c r="K260" i="7" a="1"/>
  <c r="K260" i="7" s="1"/>
  <c r="N259" i="7"/>
  <c r="M259" i="7"/>
  <c r="O259" i="7" s="1"/>
  <c r="L259" i="7"/>
  <c r="K259" i="7" a="1"/>
  <c r="K259" i="7" s="1"/>
  <c r="N258" i="7"/>
  <c r="M258" i="7"/>
  <c r="O258" i="7" s="1"/>
  <c r="L258" i="7"/>
  <c r="K258" i="7" a="1"/>
  <c r="K258" i="7" s="1"/>
  <c r="N257" i="7"/>
  <c r="M257" i="7"/>
  <c r="O257" i="7" s="1"/>
  <c r="L257" i="7"/>
  <c r="K257" i="7" a="1"/>
  <c r="K257" i="7" s="1"/>
  <c r="N256" i="7"/>
  <c r="M256" i="7"/>
  <c r="O256" i="7" s="1"/>
  <c r="L256" i="7"/>
  <c r="K256" i="7" a="1"/>
  <c r="K256" i="7" s="1"/>
  <c r="N255" i="7"/>
  <c r="M255" i="7"/>
  <c r="O255" i="7" s="1"/>
  <c r="L255" i="7"/>
  <c r="K255" i="7" a="1"/>
  <c r="K255" i="7" s="1"/>
  <c r="N254" i="7"/>
  <c r="M254" i="7"/>
  <c r="O254" i="7" s="1"/>
  <c r="L254" i="7"/>
  <c r="K254" i="7" a="1"/>
  <c r="K254" i="7" s="1"/>
  <c r="N253" i="7"/>
  <c r="M253" i="7"/>
  <c r="O253" i="7" s="1"/>
  <c r="L253" i="7"/>
  <c r="K253" i="7" a="1"/>
  <c r="K253" i="7" s="1"/>
  <c r="N252" i="7"/>
  <c r="M252" i="7"/>
  <c r="O252" i="7" s="1"/>
  <c r="L252" i="7"/>
  <c r="K252" i="7" a="1"/>
  <c r="K252" i="7" s="1"/>
  <c r="N251" i="7"/>
  <c r="M251" i="7"/>
  <c r="O251" i="7" s="1"/>
  <c r="L251" i="7"/>
  <c r="K251" i="7" a="1"/>
  <c r="K251" i="7" s="1"/>
  <c r="N250" i="7"/>
  <c r="M250" i="7"/>
  <c r="O250" i="7" s="1"/>
  <c r="L250" i="7"/>
  <c r="K250" i="7" a="1"/>
  <c r="K250" i="7" s="1"/>
  <c r="O249" i="7"/>
  <c r="N249" i="7"/>
  <c r="M249" i="7"/>
  <c r="L249" i="7"/>
  <c r="K249" i="7" a="1"/>
  <c r="K249" i="7" s="1"/>
  <c r="N248" i="7"/>
  <c r="M248" i="7"/>
  <c r="O248" i="7" s="1"/>
  <c r="L248" i="7"/>
  <c r="K248" i="7" a="1"/>
  <c r="K248" i="7" s="1"/>
  <c r="N247" i="7"/>
  <c r="M247" i="7"/>
  <c r="O247" i="7" s="1"/>
  <c r="L247" i="7"/>
  <c r="K247" i="7" a="1"/>
  <c r="K247" i="7" s="1"/>
  <c r="N246" i="7"/>
  <c r="M246" i="7"/>
  <c r="O246" i="7" s="1"/>
  <c r="L246" i="7"/>
  <c r="K246" i="7" a="1"/>
  <c r="K246" i="7" s="1"/>
  <c r="N245" i="7"/>
  <c r="M245" i="7"/>
  <c r="O245" i="7" s="1"/>
  <c r="L245" i="7"/>
  <c r="K245" i="7" a="1"/>
  <c r="K245" i="7" s="1"/>
  <c r="N244" i="7"/>
  <c r="M244" i="7"/>
  <c r="O244" i="7" s="1"/>
  <c r="L244" i="7"/>
  <c r="K244" i="7" a="1"/>
  <c r="K244" i="7" s="1"/>
  <c r="N243" i="7"/>
  <c r="M243" i="7"/>
  <c r="O243" i="7" s="1"/>
  <c r="L243" i="7"/>
  <c r="K243" i="7" a="1"/>
  <c r="K243" i="7" s="1"/>
  <c r="N242" i="7"/>
  <c r="M242" i="7"/>
  <c r="O242" i="7" s="1"/>
  <c r="L242" i="7"/>
  <c r="K242" i="7" a="1"/>
  <c r="K242" i="7" s="1"/>
  <c r="N241" i="7"/>
  <c r="M241" i="7"/>
  <c r="O241" i="7" s="1"/>
  <c r="L241" i="7"/>
  <c r="K241" i="7" a="1"/>
  <c r="K241" i="7" s="1"/>
  <c r="N240" i="7"/>
  <c r="M240" i="7"/>
  <c r="O240" i="7" s="1"/>
  <c r="L240" i="7"/>
  <c r="K240" i="7" a="1"/>
  <c r="K240" i="7" s="1"/>
  <c r="O239" i="7"/>
  <c r="N239" i="7"/>
  <c r="M239" i="7"/>
  <c r="L239" i="7"/>
  <c r="K239" i="7" a="1"/>
  <c r="K239" i="7" s="1"/>
  <c r="N238" i="7"/>
  <c r="M238" i="7"/>
  <c r="O238" i="7" s="1"/>
  <c r="L238" i="7"/>
  <c r="K238" i="7" a="1"/>
  <c r="K238" i="7" s="1"/>
  <c r="N237" i="7"/>
  <c r="M237" i="7"/>
  <c r="O237" i="7" s="1"/>
  <c r="L237" i="7"/>
  <c r="K237" i="7" a="1"/>
  <c r="K237" i="7" s="1"/>
  <c r="N236" i="7"/>
  <c r="M236" i="7"/>
  <c r="O236" i="7" s="1"/>
  <c r="L236" i="7"/>
  <c r="K236" i="7" a="1"/>
  <c r="K236" i="7" s="1"/>
  <c r="O235" i="7"/>
  <c r="N235" i="7"/>
  <c r="M235" i="7"/>
  <c r="L235" i="7"/>
  <c r="K235" i="7" a="1"/>
  <c r="K235" i="7" s="1"/>
  <c r="N234" i="7"/>
  <c r="M234" i="7"/>
  <c r="O234" i="7" s="1"/>
  <c r="L234" i="7"/>
  <c r="K234" i="7" a="1"/>
  <c r="K234" i="7" s="1"/>
  <c r="N233" i="7"/>
  <c r="M233" i="7"/>
  <c r="O233" i="7" s="1"/>
  <c r="L233" i="7"/>
  <c r="K233" i="7" a="1"/>
  <c r="K233" i="7" s="1"/>
  <c r="N232" i="7"/>
  <c r="M232" i="7"/>
  <c r="O232" i="7" s="1"/>
  <c r="L232" i="7"/>
  <c r="K232" i="7" a="1"/>
  <c r="K232" i="7" s="1"/>
  <c r="N231" i="7"/>
  <c r="M231" i="7"/>
  <c r="O231" i="7" s="1"/>
  <c r="L231" i="7"/>
  <c r="K231" i="7" a="1"/>
  <c r="K231" i="7" s="1"/>
  <c r="N230" i="7"/>
  <c r="M230" i="7"/>
  <c r="O230" i="7" s="1"/>
  <c r="L230" i="7"/>
  <c r="K230" i="7" a="1"/>
  <c r="K230" i="7" s="1"/>
  <c r="N229" i="7"/>
  <c r="M229" i="7"/>
  <c r="O229" i="7" s="1"/>
  <c r="L229" i="7"/>
  <c r="K229" i="7" a="1"/>
  <c r="K229" i="7" s="1"/>
  <c r="N228" i="7"/>
  <c r="M228" i="7"/>
  <c r="O228" i="7" s="1"/>
  <c r="L228" i="7"/>
  <c r="K228" i="7" a="1"/>
  <c r="K228" i="7" s="1"/>
  <c r="N227" i="7"/>
  <c r="M227" i="7"/>
  <c r="O227" i="7" s="1"/>
  <c r="L227" i="7"/>
  <c r="K227" i="7" a="1"/>
  <c r="K227" i="7" s="1"/>
  <c r="N226" i="7"/>
  <c r="M226" i="7"/>
  <c r="O226" i="7" s="1"/>
  <c r="L226" i="7"/>
  <c r="K226" i="7" a="1"/>
  <c r="K226" i="7" s="1"/>
  <c r="N225" i="7"/>
  <c r="M225" i="7"/>
  <c r="O225" i="7" s="1"/>
  <c r="L225" i="7"/>
  <c r="K225" i="7" a="1"/>
  <c r="K225" i="7" s="1"/>
  <c r="N224" i="7"/>
  <c r="M224" i="7"/>
  <c r="O224" i="7" s="1"/>
  <c r="L224" i="7"/>
  <c r="K224" i="7" a="1"/>
  <c r="K224" i="7" s="1"/>
  <c r="N223" i="7"/>
  <c r="M223" i="7"/>
  <c r="O223" i="7" s="1"/>
  <c r="L223" i="7"/>
  <c r="K223" i="7" a="1"/>
  <c r="K223" i="7" s="1"/>
  <c r="N222" i="7"/>
  <c r="M222" i="7"/>
  <c r="O222" i="7" s="1"/>
  <c r="L222" i="7"/>
  <c r="K222" i="7" a="1"/>
  <c r="K222" i="7" s="1"/>
  <c r="N221" i="7"/>
  <c r="M221" i="7"/>
  <c r="O221" i="7" s="1"/>
  <c r="L221" i="7"/>
  <c r="K221" i="7" a="1"/>
  <c r="K221" i="7" s="1"/>
  <c r="N220" i="7"/>
  <c r="M220" i="7"/>
  <c r="O220" i="7" s="1"/>
  <c r="L220" i="7"/>
  <c r="K220" i="7" a="1"/>
  <c r="K220" i="7" s="1"/>
  <c r="N219" i="7"/>
  <c r="M219" i="7"/>
  <c r="O219" i="7" s="1"/>
  <c r="L219" i="7"/>
  <c r="K219" i="7" a="1"/>
  <c r="K219" i="7" s="1"/>
  <c r="N218" i="7"/>
  <c r="M218" i="7"/>
  <c r="O218" i="7" s="1"/>
  <c r="L218" i="7"/>
  <c r="K218" i="7" a="1"/>
  <c r="K218" i="7" s="1"/>
  <c r="N217" i="7"/>
  <c r="M217" i="7"/>
  <c r="O217" i="7" s="1"/>
  <c r="L217" i="7"/>
  <c r="K217" i="7" a="1"/>
  <c r="K217" i="7" s="1"/>
  <c r="N216" i="7"/>
  <c r="M216" i="7"/>
  <c r="O216" i="7" s="1"/>
  <c r="L216" i="7"/>
  <c r="K216" i="7" a="1"/>
  <c r="K216" i="7" s="1"/>
  <c r="O215" i="7"/>
  <c r="N215" i="7"/>
  <c r="M215" i="7"/>
  <c r="L215" i="7"/>
  <c r="K215" i="7" a="1"/>
  <c r="K215" i="7" s="1"/>
  <c r="N214" i="7"/>
  <c r="M214" i="7"/>
  <c r="O214" i="7" s="1"/>
  <c r="L214" i="7"/>
  <c r="K214" i="7" a="1"/>
  <c r="K214" i="7" s="1"/>
  <c r="O213" i="7"/>
  <c r="N213" i="7"/>
  <c r="M213" i="7"/>
  <c r="L213" i="7"/>
  <c r="K213" i="7" a="1"/>
  <c r="K213" i="7" s="1"/>
  <c r="N212" i="7"/>
  <c r="M212" i="7"/>
  <c r="O212" i="7" s="1"/>
  <c r="L212" i="7"/>
  <c r="K212" i="7" a="1"/>
  <c r="K212" i="7" s="1"/>
  <c r="N211" i="7"/>
  <c r="M211" i="7"/>
  <c r="O211" i="7" s="1"/>
  <c r="L211" i="7"/>
  <c r="K211" i="7" a="1"/>
  <c r="K211" i="7" s="1"/>
  <c r="N210" i="7"/>
  <c r="M210" i="7"/>
  <c r="O210" i="7" s="1"/>
  <c r="L210" i="7"/>
  <c r="K210" i="7" a="1"/>
  <c r="K210" i="7" s="1"/>
  <c r="N209" i="7"/>
  <c r="M209" i="7"/>
  <c r="O209" i="7" s="1"/>
  <c r="L209" i="7"/>
  <c r="K209" i="7" a="1"/>
  <c r="K209" i="7" s="1"/>
  <c r="O208" i="7"/>
  <c r="N208" i="7"/>
  <c r="M208" i="7"/>
  <c r="L208" i="7"/>
  <c r="K208" i="7" a="1"/>
  <c r="K208" i="7" s="1"/>
  <c r="N207" i="7"/>
  <c r="M207" i="7"/>
  <c r="O207" i="7" s="1"/>
  <c r="L207" i="7"/>
  <c r="K207" i="7" a="1"/>
  <c r="K207" i="7" s="1"/>
  <c r="N206" i="7"/>
  <c r="M206" i="7"/>
  <c r="O206" i="7" s="1"/>
  <c r="L206" i="7"/>
  <c r="K206" i="7" a="1"/>
  <c r="K206" i="7" s="1"/>
  <c r="N205" i="7"/>
  <c r="M205" i="7"/>
  <c r="O205" i="7" s="1"/>
  <c r="L205" i="7"/>
  <c r="K205" i="7" a="1"/>
  <c r="K205" i="7" s="1"/>
  <c r="N204" i="7"/>
  <c r="M204" i="7"/>
  <c r="O204" i="7" s="1"/>
  <c r="L204" i="7"/>
  <c r="K204" i="7" a="1"/>
  <c r="K204" i="7" s="1"/>
  <c r="N203" i="7"/>
  <c r="M203" i="7"/>
  <c r="O203" i="7" s="1"/>
  <c r="L203" i="7"/>
  <c r="K203" i="7" a="1"/>
  <c r="K203" i="7" s="1"/>
  <c r="N202" i="7"/>
  <c r="M202" i="7"/>
  <c r="O202" i="7" s="1"/>
  <c r="L202" i="7"/>
  <c r="K202" i="7" a="1"/>
  <c r="K202" i="7" s="1"/>
  <c r="N201" i="7"/>
  <c r="M201" i="7"/>
  <c r="O201" i="7" s="1"/>
  <c r="L201" i="7"/>
  <c r="K201" i="7" a="1"/>
  <c r="K201" i="7" s="1"/>
  <c r="N200" i="7"/>
  <c r="M200" i="7"/>
  <c r="O200" i="7" s="1"/>
  <c r="L200" i="7"/>
  <c r="K200" i="7" a="1"/>
  <c r="K200" i="7" s="1"/>
  <c r="N199" i="7"/>
  <c r="M199" i="7"/>
  <c r="O199" i="7" s="1"/>
  <c r="L199" i="7"/>
  <c r="K199" i="7" a="1"/>
  <c r="K199" i="7" s="1"/>
  <c r="N198" i="7"/>
  <c r="M198" i="7"/>
  <c r="O198" i="7" s="1"/>
  <c r="L198" i="7"/>
  <c r="K198" i="7" a="1"/>
  <c r="K198" i="7" s="1"/>
  <c r="N197" i="7"/>
  <c r="M197" i="7"/>
  <c r="O197" i="7" s="1"/>
  <c r="L197" i="7"/>
  <c r="K197" i="7" a="1"/>
  <c r="K197" i="7" s="1"/>
  <c r="N196" i="7"/>
  <c r="M196" i="7"/>
  <c r="O196" i="7" s="1"/>
  <c r="L196" i="7"/>
  <c r="K196" i="7" a="1"/>
  <c r="K196" i="7" s="1"/>
  <c r="N195" i="7"/>
  <c r="M195" i="7"/>
  <c r="O195" i="7" s="1"/>
  <c r="L195" i="7"/>
  <c r="K195" i="7" a="1"/>
  <c r="K195" i="7" s="1"/>
  <c r="N194" i="7"/>
  <c r="M194" i="7"/>
  <c r="O194" i="7" s="1"/>
  <c r="L194" i="7"/>
  <c r="K194" i="7" a="1"/>
  <c r="K194" i="7" s="1"/>
  <c r="O193" i="7"/>
  <c r="N193" i="7"/>
  <c r="M193" i="7"/>
  <c r="L193" i="7"/>
  <c r="K193" i="7" a="1"/>
  <c r="K193" i="7" s="1"/>
  <c r="N192" i="7"/>
  <c r="M192" i="7"/>
  <c r="O192" i="7" s="1"/>
  <c r="L192" i="7"/>
  <c r="K192" i="7" a="1"/>
  <c r="K192" i="7" s="1"/>
  <c r="N191" i="7"/>
  <c r="M191" i="7"/>
  <c r="O191" i="7" s="1"/>
  <c r="L191" i="7"/>
  <c r="K191" i="7" a="1"/>
  <c r="K191" i="7" s="1"/>
  <c r="N190" i="7"/>
  <c r="M190" i="7"/>
  <c r="O190" i="7" s="1"/>
  <c r="L190" i="7"/>
  <c r="K190" i="7" a="1"/>
  <c r="K190" i="7" s="1"/>
  <c r="N189" i="7"/>
  <c r="M189" i="7"/>
  <c r="O189" i="7" s="1"/>
  <c r="L189" i="7"/>
  <c r="K189" i="7" a="1"/>
  <c r="K189" i="7" s="1"/>
  <c r="N188" i="7"/>
  <c r="M188" i="7"/>
  <c r="O188" i="7" s="1"/>
  <c r="L188" i="7"/>
  <c r="K188" i="7" a="1"/>
  <c r="K188" i="7" s="1"/>
  <c r="O187" i="7"/>
  <c r="N187" i="7"/>
  <c r="M187" i="7"/>
  <c r="L187" i="7"/>
  <c r="K187" i="7" a="1"/>
  <c r="K187" i="7" s="1"/>
  <c r="N186" i="7"/>
  <c r="M186" i="7"/>
  <c r="O186" i="7" s="1"/>
  <c r="L186" i="7"/>
  <c r="K186" i="7" a="1"/>
  <c r="K186" i="7" s="1"/>
  <c r="N185" i="7"/>
  <c r="M185" i="7"/>
  <c r="O185" i="7" s="1"/>
  <c r="L185" i="7"/>
  <c r="K185" i="7" a="1"/>
  <c r="K185" i="7" s="1"/>
  <c r="N184" i="7"/>
  <c r="M184" i="7"/>
  <c r="O184" i="7" s="1"/>
  <c r="L184" i="7"/>
  <c r="K184" i="7" a="1"/>
  <c r="K184" i="7" s="1"/>
  <c r="O183" i="7"/>
  <c r="N183" i="7"/>
  <c r="M183" i="7"/>
  <c r="L183" i="7"/>
  <c r="K183" i="7" a="1"/>
  <c r="K183" i="7" s="1"/>
  <c r="N182" i="7"/>
  <c r="M182" i="7"/>
  <c r="O182" i="7" s="1"/>
  <c r="L182" i="7"/>
  <c r="K182" i="7" a="1"/>
  <c r="K182" i="7" s="1"/>
  <c r="N181" i="7"/>
  <c r="M181" i="7"/>
  <c r="O181" i="7" s="1"/>
  <c r="L181" i="7"/>
  <c r="K181" i="7" a="1"/>
  <c r="K181" i="7" s="1"/>
  <c r="N180" i="7"/>
  <c r="M180" i="7"/>
  <c r="O180" i="7" s="1"/>
  <c r="L180" i="7"/>
  <c r="K180" i="7" a="1"/>
  <c r="K180" i="7" s="1"/>
  <c r="N179" i="7"/>
  <c r="M179" i="7"/>
  <c r="O179" i="7" s="1"/>
  <c r="L179" i="7"/>
  <c r="K179" i="7" a="1"/>
  <c r="K179" i="7" s="1"/>
  <c r="N178" i="7"/>
  <c r="M178" i="7"/>
  <c r="O178" i="7" s="1"/>
  <c r="L178" i="7"/>
  <c r="K178" i="7" a="1"/>
  <c r="K178" i="7" s="1"/>
  <c r="N177" i="7"/>
  <c r="M177" i="7"/>
  <c r="O177" i="7" s="1"/>
  <c r="L177" i="7"/>
  <c r="K177" i="7" a="1"/>
  <c r="K177" i="7" s="1"/>
  <c r="N176" i="7"/>
  <c r="M176" i="7"/>
  <c r="O176" i="7" s="1"/>
  <c r="L176" i="7"/>
  <c r="K176" i="7" a="1"/>
  <c r="K176" i="7" s="1"/>
  <c r="N175" i="7"/>
  <c r="M175" i="7"/>
  <c r="O175" i="7" s="1"/>
  <c r="L175" i="7"/>
  <c r="K175" i="7" a="1"/>
  <c r="K175" i="7" s="1"/>
  <c r="N174" i="7"/>
  <c r="M174" i="7"/>
  <c r="O174" i="7" s="1"/>
  <c r="L174" i="7"/>
  <c r="K174" i="7" a="1"/>
  <c r="K174" i="7" s="1"/>
  <c r="N173" i="7"/>
  <c r="M173" i="7"/>
  <c r="O173" i="7" s="1"/>
  <c r="L173" i="7"/>
  <c r="K173" i="7" a="1"/>
  <c r="K173" i="7" s="1"/>
  <c r="N172" i="7"/>
  <c r="M172" i="7"/>
  <c r="O172" i="7" s="1"/>
  <c r="L172" i="7"/>
  <c r="K172" i="7" a="1"/>
  <c r="K172" i="7" s="1"/>
  <c r="N171" i="7"/>
  <c r="M171" i="7"/>
  <c r="O171" i="7" s="1"/>
  <c r="L171" i="7"/>
  <c r="K171" i="7" a="1"/>
  <c r="K171" i="7" s="1"/>
  <c r="N170" i="7"/>
  <c r="M170" i="7"/>
  <c r="O170" i="7" s="1"/>
  <c r="L170" i="7"/>
  <c r="K170" i="7" a="1"/>
  <c r="K170" i="7" s="1"/>
  <c r="N169" i="7"/>
  <c r="M169" i="7"/>
  <c r="O169" i="7" s="1"/>
  <c r="L169" i="7"/>
  <c r="K169" i="7" a="1"/>
  <c r="K169" i="7" s="1"/>
  <c r="N168" i="7"/>
  <c r="M168" i="7"/>
  <c r="O168" i="7" s="1"/>
  <c r="L168" i="7"/>
  <c r="K168" i="7" a="1"/>
  <c r="K168" i="7" s="1"/>
  <c r="N167" i="7"/>
  <c r="M167" i="7"/>
  <c r="O167" i="7" s="1"/>
  <c r="L167" i="7"/>
  <c r="K167" i="7" a="1"/>
  <c r="K167" i="7" s="1"/>
  <c r="N166" i="7"/>
  <c r="M166" i="7"/>
  <c r="O166" i="7" s="1"/>
  <c r="L166" i="7"/>
  <c r="K166" i="7" a="1"/>
  <c r="K166" i="7" s="1"/>
  <c r="N165" i="7"/>
  <c r="M165" i="7"/>
  <c r="O165" i="7" s="1"/>
  <c r="L165" i="7"/>
  <c r="K165" i="7" a="1"/>
  <c r="K165" i="7" s="1"/>
  <c r="N164" i="7"/>
  <c r="M164" i="7"/>
  <c r="O164" i="7" s="1"/>
  <c r="L164" i="7"/>
  <c r="K164" i="7" a="1"/>
  <c r="K164" i="7" s="1"/>
  <c r="N163" i="7"/>
  <c r="M163" i="7"/>
  <c r="O163" i="7" s="1"/>
  <c r="L163" i="7"/>
  <c r="K163" i="7" a="1"/>
  <c r="K163" i="7" s="1"/>
  <c r="N162" i="7"/>
  <c r="M162" i="7"/>
  <c r="O162" i="7" s="1"/>
  <c r="L162" i="7"/>
  <c r="K162" i="7" a="1"/>
  <c r="K162" i="7" s="1"/>
  <c r="N161" i="7"/>
  <c r="M161" i="7"/>
  <c r="O161" i="7" s="1"/>
  <c r="L161" i="7"/>
  <c r="K161" i="7" a="1"/>
  <c r="K161" i="7" s="1"/>
  <c r="N160" i="7"/>
  <c r="M160" i="7"/>
  <c r="O160" i="7" s="1"/>
  <c r="L160" i="7"/>
  <c r="K160" i="7" a="1"/>
  <c r="K160" i="7" s="1"/>
  <c r="N159" i="7"/>
  <c r="M159" i="7"/>
  <c r="O159" i="7" s="1"/>
  <c r="L159" i="7"/>
  <c r="K159" i="7" a="1"/>
  <c r="K159" i="7" s="1"/>
  <c r="N158" i="7"/>
  <c r="M158" i="7"/>
  <c r="O158" i="7" s="1"/>
  <c r="L158" i="7"/>
  <c r="K158" i="7" a="1"/>
  <c r="K158" i="7" s="1"/>
  <c r="N157" i="7"/>
  <c r="M157" i="7"/>
  <c r="O157" i="7" s="1"/>
  <c r="L157" i="7"/>
  <c r="K157" i="7" a="1"/>
  <c r="K157" i="7" s="1"/>
  <c r="N156" i="7"/>
  <c r="M156" i="7"/>
  <c r="O156" i="7" s="1"/>
  <c r="L156" i="7"/>
  <c r="K156" i="7" a="1"/>
  <c r="K156" i="7" s="1"/>
  <c r="N155" i="7"/>
  <c r="M155" i="7"/>
  <c r="O155" i="7" s="1"/>
  <c r="L155" i="7"/>
  <c r="K155" i="7" a="1"/>
  <c r="K155" i="7" s="1"/>
  <c r="N154" i="7"/>
  <c r="M154" i="7"/>
  <c r="O154" i="7" s="1"/>
  <c r="L154" i="7"/>
  <c r="K154" i="7" a="1"/>
  <c r="K154" i="7" s="1"/>
  <c r="N153" i="7"/>
  <c r="M153" i="7"/>
  <c r="O153" i="7" s="1"/>
  <c r="L153" i="7"/>
  <c r="K153" i="7" a="1"/>
  <c r="K153" i="7" s="1"/>
  <c r="N152" i="7"/>
  <c r="M152" i="7"/>
  <c r="O152" i="7" s="1"/>
  <c r="L152" i="7"/>
  <c r="K152" i="7" a="1"/>
  <c r="K152" i="7" s="1"/>
  <c r="N151" i="7"/>
  <c r="M151" i="7"/>
  <c r="O151" i="7" s="1"/>
  <c r="L151" i="7"/>
  <c r="K151" i="7" a="1"/>
  <c r="K151" i="7" s="1"/>
  <c r="N150" i="7"/>
  <c r="M150" i="7"/>
  <c r="O150" i="7" s="1"/>
  <c r="L150" i="7"/>
  <c r="K150" i="7" a="1"/>
  <c r="K150" i="7" s="1"/>
  <c r="N149" i="7"/>
  <c r="M149" i="7"/>
  <c r="O149" i="7" s="1"/>
  <c r="L149" i="7"/>
  <c r="K149" i="7" a="1"/>
  <c r="K149" i="7" s="1"/>
  <c r="N148" i="7"/>
  <c r="M148" i="7"/>
  <c r="O148" i="7" s="1"/>
  <c r="L148" i="7"/>
  <c r="K148" i="7" a="1"/>
  <c r="K148" i="7" s="1"/>
  <c r="N147" i="7"/>
  <c r="M147" i="7"/>
  <c r="O147" i="7" s="1"/>
  <c r="L147" i="7"/>
  <c r="K147" i="7" a="1"/>
  <c r="K147" i="7" s="1"/>
  <c r="N146" i="7"/>
  <c r="M146" i="7"/>
  <c r="O146" i="7" s="1"/>
  <c r="L146" i="7"/>
  <c r="K146" i="7" a="1"/>
  <c r="K146" i="7" s="1"/>
  <c r="N145" i="7"/>
  <c r="M145" i="7"/>
  <c r="O145" i="7" s="1"/>
  <c r="L145" i="7"/>
  <c r="K145" i="7" a="1"/>
  <c r="K145" i="7" s="1"/>
  <c r="N144" i="7"/>
  <c r="M144" i="7"/>
  <c r="O144" i="7" s="1"/>
  <c r="L144" i="7"/>
  <c r="K144" i="7" a="1"/>
  <c r="K144" i="7" s="1"/>
  <c r="N143" i="7"/>
  <c r="M143" i="7"/>
  <c r="O143" i="7" s="1"/>
  <c r="L143" i="7"/>
  <c r="K143" i="7" a="1"/>
  <c r="K143" i="7" s="1"/>
  <c r="O142" i="7"/>
  <c r="N142" i="7"/>
  <c r="M142" i="7"/>
  <c r="L142" i="7"/>
  <c r="K142" i="7" a="1"/>
  <c r="K142" i="7" s="1"/>
  <c r="N141" i="7"/>
  <c r="M141" i="7"/>
  <c r="O141" i="7" s="1"/>
  <c r="L141" i="7"/>
  <c r="K141" i="7" a="1"/>
  <c r="K141" i="7" s="1"/>
  <c r="N140" i="7"/>
  <c r="M140" i="7"/>
  <c r="O140" i="7" s="1"/>
  <c r="L140" i="7"/>
  <c r="K140" i="7" a="1"/>
  <c r="K140" i="7" s="1"/>
  <c r="N139" i="7"/>
  <c r="M139" i="7"/>
  <c r="O139" i="7" s="1"/>
  <c r="L139" i="7"/>
  <c r="K139" i="7" a="1"/>
  <c r="K139" i="7" s="1"/>
  <c r="N138" i="7"/>
  <c r="M138" i="7"/>
  <c r="O138" i="7" s="1"/>
  <c r="L138" i="7"/>
  <c r="K138" i="7" a="1"/>
  <c r="K138" i="7" s="1"/>
  <c r="O137" i="7"/>
  <c r="N137" i="7"/>
  <c r="M137" i="7"/>
  <c r="L137" i="7"/>
  <c r="K137" i="7" a="1"/>
  <c r="K137" i="7" s="1"/>
  <c r="N136" i="7"/>
  <c r="M136" i="7"/>
  <c r="O136" i="7" s="1"/>
  <c r="L136" i="7"/>
  <c r="K136" i="7" a="1"/>
  <c r="K136" i="7" s="1"/>
  <c r="N135" i="7"/>
  <c r="M135" i="7"/>
  <c r="O135" i="7" s="1"/>
  <c r="L135" i="7"/>
  <c r="K135" i="7" a="1"/>
  <c r="K135" i="7" s="1"/>
  <c r="N134" i="7"/>
  <c r="M134" i="7"/>
  <c r="O134" i="7" s="1"/>
  <c r="L134" i="7"/>
  <c r="K134" i="7" a="1"/>
  <c r="K134" i="7" s="1"/>
  <c r="N133" i="7"/>
  <c r="M133" i="7"/>
  <c r="O133" i="7" s="1"/>
  <c r="L133" i="7"/>
  <c r="K133" i="7" a="1"/>
  <c r="K133" i="7" s="1"/>
  <c r="N132" i="7"/>
  <c r="M132" i="7"/>
  <c r="O132" i="7" s="1"/>
  <c r="L132" i="7"/>
  <c r="K132" i="7" a="1"/>
  <c r="K132" i="7" s="1"/>
  <c r="O131" i="7"/>
  <c r="N131" i="7"/>
  <c r="M131" i="7"/>
  <c r="L131" i="7"/>
  <c r="K131" i="7" a="1"/>
  <c r="K131" i="7" s="1"/>
  <c r="N130" i="7"/>
  <c r="M130" i="7"/>
  <c r="O130" i="7" s="1"/>
  <c r="L130" i="7"/>
  <c r="K130" i="7" a="1"/>
  <c r="K130" i="7" s="1"/>
  <c r="N129" i="7"/>
  <c r="M129" i="7"/>
  <c r="O129" i="7" s="1"/>
  <c r="L129" i="7"/>
  <c r="K129" i="7" a="1"/>
  <c r="K129" i="7" s="1"/>
  <c r="N128" i="7"/>
  <c r="M128" i="7"/>
  <c r="O128" i="7" s="1"/>
  <c r="L128" i="7"/>
  <c r="K128" i="7" a="1"/>
  <c r="K128" i="7" s="1"/>
  <c r="N127" i="7"/>
  <c r="M127" i="7"/>
  <c r="O127" i="7" s="1"/>
  <c r="L127" i="7"/>
  <c r="K127" i="7" a="1"/>
  <c r="K127" i="7" s="1"/>
  <c r="N126" i="7"/>
  <c r="M126" i="7"/>
  <c r="O126" i="7" s="1"/>
  <c r="L126" i="7"/>
  <c r="K126" i="7" a="1"/>
  <c r="K126" i="7" s="1"/>
  <c r="N125" i="7"/>
  <c r="M125" i="7"/>
  <c r="O125" i="7" s="1"/>
  <c r="L125" i="7"/>
  <c r="K125" i="7" a="1"/>
  <c r="K125" i="7" s="1"/>
  <c r="N124" i="7"/>
  <c r="M124" i="7"/>
  <c r="O124" i="7" s="1"/>
  <c r="L124" i="7"/>
  <c r="K124" i="7" a="1"/>
  <c r="K124" i="7" s="1"/>
  <c r="N123" i="7"/>
  <c r="M123" i="7"/>
  <c r="O123" i="7" s="1"/>
  <c r="L123" i="7"/>
  <c r="K123" i="7" a="1"/>
  <c r="K123" i="7" s="1"/>
  <c r="N122" i="7"/>
  <c r="M122" i="7"/>
  <c r="O122" i="7" s="1"/>
  <c r="L122" i="7"/>
  <c r="K122" i="7" a="1"/>
  <c r="K122" i="7" s="1"/>
  <c r="N121" i="7"/>
  <c r="M121" i="7"/>
  <c r="O121" i="7" s="1"/>
  <c r="L121" i="7"/>
  <c r="K121" i="7" a="1"/>
  <c r="K121" i="7" s="1"/>
  <c r="N120" i="7"/>
  <c r="M120" i="7"/>
  <c r="O120" i="7" s="1"/>
  <c r="L120" i="7"/>
  <c r="K120" i="7" a="1"/>
  <c r="K120" i="7" s="1"/>
  <c r="N119" i="7"/>
  <c r="M119" i="7"/>
  <c r="O119" i="7" s="1"/>
  <c r="L119" i="7"/>
  <c r="K119" i="7" a="1"/>
  <c r="K119" i="7" s="1"/>
  <c r="N118" i="7"/>
  <c r="M118" i="7"/>
  <c r="O118" i="7" s="1"/>
  <c r="L118" i="7"/>
  <c r="K118" i="7" a="1"/>
  <c r="K118" i="7" s="1"/>
  <c r="N117" i="7"/>
  <c r="M117" i="7"/>
  <c r="O117" i="7" s="1"/>
  <c r="L117" i="7"/>
  <c r="K117" i="7" a="1"/>
  <c r="K117" i="7" s="1"/>
  <c r="N116" i="7"/>
  <c r="M116" i="7"/>
  <c r="O116" i="7" s="1"/>
  <c r="L116" i="7"/>
  <c r="K116" i="7" a="1"/>
  <c r="K116" i="7" s="1"/>
  <c r="N115" i="7"/>
  <c r="M115" i="7"/>
  <c r="O115" i="7" s="1"/>
  <c r="L115" i="7"/>
  <c r="K115" i="7" a="1"/>
  <c r="K115" i="7" s="1"/>
  <c r="N114" i="7"/>
  <c r="M114" i="7"/>
  <c r="O114" i="7" s="1"/>
  <c r="L114" i="7"/>
  <c r="K114" i="7" a="1"/>
  <c r="K114" i="7" s="1"/>
  <c r="N113" i="7"/>
  <c r="M113" i="7"/>
  <c r="O113" i="7" s="1"/>
  <c r="L113" i="7"/>
  <c r="K113" i="7" a="1"/>
  <c r="K113" i="7" s="1"/>
  <c r="N112" i="7"/>
  <c r="M112" i="7"/>
  <c r="O112" i="7" s="1"/>
  <c r="L112" i="7"/>
  <c r="K112" i="7" a="1"/>
  <c r="K112" i="7" s="1"/>
  <c r="N111" i="7"/>
  <c r="M111" i="7"/>
  <c r="O111" i="7" s="1"/>
  <c r="L111" i="7"/>
  <c r="K111" i="7" a="1"/>
  <c r="K111" i="7" s="1"/>
  <c r="N110" i="7"/>
  <c r="M110" i="7"/>
  <c r="O110" i="7" s="1"/>
  <c r="L110" i="7"/>
  <c r="K110" i="7" a="1"/>
  <c r="K110" i="7" s="1"/>
  <c r="O109" i="7"/>
  <c r="N109" i="7"/>
  <c r="M109" i="7"/>
  <c r="L109" i="7"/>
  <c r="K109" i="7" a="1"/>
  <c r="K109" i="7" s="1"/>
  <c r="N108" i="7"/>
  <c r="M108" i="7"/>
  <c r="O108" i="7" s="1"/>
  <c r="L108" i="7"/>
  <c r="K108" i="7" a="1"/>
  <c r="K108" i="7" s="1"/>
  <c r="N107" i="7"/>
  <c r="M107" i="7"/>
  <c r="O107" i="7" s="1"/>
  <c r="L107" i="7"/>
  <c r="K107" i="7" a="1"/>
  <c r="K107" i="7" s="1"/>
  <c r="N106" i="7"/>
  <c r="M106" i="7"/>
  <c r="O106" i="7" s="1"/>
  <c r="L106" i="7"/>
  <c r="K106" i="7" a="1"/>
  <c r="K106" i="7" s="1"/>
  <c r="N105" i="7"/>
  <c r="M105" i="7"/>
  <c r="O105" i="7" s="1"/>
  <c r="L105" i="7"/>
  <c r="K105" i="7" a="1"/>
  <c r="K105" i="7" s="1"/>
  <c r="N104" i="7"/>
  <c r="M104" i="7"/>
  <c r="O104" i="7" s="1"/>
  <c r="L104" i="7"/>
  <c r="K104" i="7" a="1"/>
  <c r="K104" i="7" s="1"/>
  <c r="N103" i="7"/>
  <c r="M103" i="7"/>
  <c r="O103" i="7" s="1"/>
  <c r="L103" i="7"/>
  <c r="K103" i="7" a="1"/>
  <c r="K103" i="7" s="1"/>
  <c r="N102" i="7"/>
  <c r="M102" i="7"/>
  <c r="O102" i="7" s="1"/>
  <c r="L102" i="7"/>
  <c r="K102" i="7" a="1"/>
  <c r="K102" i="7" s="1"/>
  <c r="N101" i="7"/>
  <c r="M101" i="7"/>
  <c r="O101" i="7" s="1"/>
  <c r="L101" i="7"/>
  <c r="K101" i="7" a="1"/>
  <c r="K101" i="7" s="1"/>
  <c r="N100" i="7"/>
  <c r="M100" i="7"/>
  <c r="O100" i="7" s="1"/>
  <c r="L100" i="7"/>
  <c r="K100" i="7" a="1"/>
  <c r="K100" i="7" s="1"/>
  <c r="N99" i="7"/>
  <c r="M99" i="7"/>
  <c r="O99" i="7" s="1"/>
  <c r="L99" i="7"/>
  <c r="K99" i="7" a="1"/>
  <c r="K99" i="7" s="1"/>
  <c r="N98" i="7"/>
  <c r="M98" i="7"/>
  <c r="O98" i="7" s="1"/>
  <c r="L98" i="7"/>
  <c r="K98" i="7" a="1"/>
  <c r="K98" i="7" s="1"/>
  <c r="N97" i="7"/>
  <c r="M97" i="7"/>
  <c r="O97" i="7" s="1"/>
  <c r="L97" i="7"/>
  <c r="K97" i="7" a="1"/>
  <c r="K97" i="7" s="1"/>
  <c r="N96" i="7"/>
  <c r="M96" i="7"/>
  <c r="O96" i="7" s="1"/>
  <c r="L96" i="7"/>
  <c r="K96" i="7" a="1"/>
  <c r="K96" i="7" s="1"/>
  <c r="N95" i="7"/>
  <c r="M95" i="7"/>
  <c r="O95" i="7" s="1"/>
  <c r="L95" i="7"/>
  <c r="K95" i="7" a="1"/>
  <c r="K95" i="7" s="1"/>
  <c r="N94" i="7"/>
  <c r="M94" i="7"/>
  <c r="O94" i="7" s="1"/>
  <c r="L94" i="7"/>
  <c r="K94" i="7" a="1"/>
  <c r="K94" i="7" s="1"/>
  <c r="N93" i="7"/>
  <c r="M93" i="7"/>
  <c r="O93" i="7" s="1"/>
  <c r="L93" i="7"/>
  <c r="K93" i="7" a="1"/>
  <c r="K93" i="7" s="1"/>
  <c r="N92" i="7"/>
  <c r="M92" i="7"/>
  <c r="O92" i="7" s="1"/>
  <c r="L92" i="7"/>
  <c r="K92" i="7" a="1"/>
  <c r="K92" i="7" s="1"/>
  <c r="N91" i="7"/>
  <c r="M91" i="7"/>
  <c r="O91" i="7" s="1"/>
  <c r="L91" i="7"/>
  <c r="K91" i="7" a="1"/>
  <c r="K91" i="7" s="1"/>
  <c r="N90" i="7"/>
  <c r="M90" i="7"/>
  <c r="O90" i="7" s="1"/>
  <c r="L90" i="7"/>
  <c r="K90" i="7" a="1"/>
  <c r="K90" i="7" s="1"/>
  <c r="N89" i="7"/>
  <c r="M89" i="7"/>
  <c r="O89" i="7" s="1"/>
  <c r="L89" i="7"/>
  <c r="K89" i="7" a="1"/>
  <c r="K89" i="7" s="1"/>
  <c r="N88" i="7"/>
  <c r="M88" i="7"/>
  <c r="O88" i="7" s="1"/>
  <c r="L88" i="7"/>
  <c r="K88" i="7" a="1"/>
  <c r="K88" i="7" s="1"/>
  <c r="N87" i="7"/>
  <c r="M87" i="7"/>
  <c r="O87" i="7" s="1"/>
  <c r="L87" i="7"/>
  <c r="K87" i="7" a="1"/>
  <c r="K87" i="7" s="1"/>
  <c r="N86" i="7"/>
  <c r="M86" i="7"/>
  <c r="O86" i="7" s="1"/>
  <c r="L86" i="7"/>
  <c r="K86" i="7" a="1"/>
  <c r="K86" i="7" s="1"/>
  <c r="N85" i="7"/>
  <c r="M85" i="7"/>
  <c r="O85" i="7" s="1"/>
  <c r="L85" i="7"/>
  <c r="K85" i="7" a="1"/>
  <c r="K85" i="7" s="1"/>
  <c r="N84" i="7"/>
  <c r="M84" i="7"/>
  <c r="O84" i="7" s="1"/>
  <c r="L84" i="7"/>
  <c r="K84" i="7" a="1"/>
  <c r="K84" i="7" s="1"/>
  <c r="N83" i="7"/>
  <c r="M83" i="7"/>
  <c r="O83" i="7" s="1"/>
  <c r="L83" i="7"/>
  <c r="K83" i="7" a="1"/>
  <c r="K83" i="7" s="1"/>
  <c r="N82" i="7"/>
  <c r="M82" i="7"/>
  <c r="O82" i="7" s="1"/>
  <c r="L82" i="7"/>
  <c r="K82" i="7" a="1"/>
  <c r="K82" i="7" s="1"/>
  <c r="N81" i="7"/>
  <c r="M81" i="7"/>
  <c r="O81" i="7" s="1"/>
  <c r="L81" i="7"/>
  <c r="K81" i="7" a="1"/>
  <c r="K81" i="7" s="1"/>
  <c r="N80" i="7"/>
  <c r="M80" i="7"/>
  <c r="O80" i="7" s="1"/>
  <c r="L80" i="7"/>
  <c r="K80" i="7" a="1"/>
  <c r="K80" i="7" s="1"/>
  <c r="N79" i="7"/>
  <c r="M79" i="7"/>
  <c r="O79" i="7" s="1"/>
  <c r="L79" i="7"/>
  <c r="K79" i="7" a="1"/>
  <c r="K79" i="7" s="1"/>
  <c r="N78" i="7"/>
  <c r="M78" i="7"/>
  <c r="O78" i="7" s="1"/>
  <c r="L78" i="7"/>
  <c r="K78" i="7" a="1"/>
  <c r="K78" i="7" s="1"/>
  <c r="N77" i="7"/>
  <c r="M77" i="7"/>
  <c r="O77" i="7" s="1"/>
  <c r="L77" i="7"/>
  <c r="K77" i="7" a="1"/>
  <c r="K77" i="7" s="1"/>
  <c r="N76" i="7"/>
  <c r="M76" i="7"/>
  <c r="O76" i="7" s="1"/>
  <c r="L76" i="7"/>
  <c r="K76" i="7" a="1"/>
  <c r="K76" i="7" s="1"/>
  <c r="N75" i="7"/>
  <c r="M75" i="7"/>
  <c r="O75" i="7" s="1"/>
  <c r="L75" i="7"/>
  <c r="K75" i="7" a="1"/>
  <c r="K75" i="7" s="1"/>
  <c r="N74" i="7"/>
  <c r="M74" i="7"/>
  <c r="O74" i="7" s="1"/>
  <c r="L74" i="7"/>
  <c r="K74" i="7" a="1"/>
  <c r="K74" i="7" s="1"/>
  <c r="N73" i="7"/>
  <c r="M73" i="7"/>
  <c r="O73" i="7" s="1"/>
  <c r="L73" i="7"/>
  <c r="K73" i="7" a="1"/>
  <c r="K73" i="7" s="1"/>
  <c r="N72" i="7"/>
  <c r="M72" i="7"/>
  <c r="O72" i="7" s="1"/>
  <c r="L72" i="7"/>
  <c r="K72" i="7" a="1"/>
  <c r="K72" i="7" s="1"/>
  <c r="N71" i="7"/>
  <c r="M71" i="7"/>
  <c r="O71" i="7" s="1"/>
  <c r="L71" i="7"/>
  <c r="K71" i="7" a="1"/>
  <c r="K71" i="7" s="1"/>
  <c r="N70" i="7"/>
  <c r="M70" i="7"/>
  <c r="O70" i="7" s="1"/>
  <c r="L70" i="7"/>
  <c r="K70" i="7" a="1"/>
  <c r="K70" i="7" s="1"/>
  <c r="N69" i="7"/>
  <c r="M69" i="7"/>
  <c r="O69" i="7" s="1"/>
  <c r="L69" i="7"/>
  <c r="K69" i="7" a="1"/>
  <c r="K69" i="7" s="1"/>
  <c r="N68" i="7"/>
  <c r="M68" i="7"/>
  <c r="O68" i="7" s="1"/>
  <c r="L68" i="7"/>
  <c r="K68" i="7" a="1"/>
  <c r="K68" i="7" s="1"/>
  <c r="O67" i="7"/>
  <c r="N67" i="7"/>
  <c r="M67" i="7"/>
  <c r="L67" i="7"/>
  <c r="K67" i="7" a="1"/>
  <c r="K67" i="7" s="1"/>
  <c r="N66" i="7"/>
  <c r="M66" i="7"/>
  <c r="O66" i="7" s="1"/>
  <c r="L66" i="7"/>
  <c r="K66" i="7" a="1"/>
  <c r="K66" i="7" s="1"/>
  <c r="N65" i="7"/>
  <c r="M65" i="7"/>
  <c r="O65" i="7" s="1"/>
  <c r="L65" i="7"/>
  <c r="K65" i="7" a="1"/>
  <c r="K65" i="7" s="1"/>
  <c r="N64" i="7"/>
  <c r="M64" i="7"/>
  <c r="O64" i="7" s="1"/>
  <c r="L64" i="7"/>
  <c r="K64" i="7" a="1"/>
  <c r="K64" i="7" s="1"/>
  <c r="N63" i="7"/>
  <c r="M63" i="7"/>
  <c r="O63" i="7" s="1"/>
  <c r="L63" i="7"/>
  <c r="K63" i="7" a="1"/>
  <c r="K63" i="7" s="1"/>
  <c r="N62" i="7"/>
  <c r="M62" i="7"/>
  <c r="O62" i="7" s="1"/>
  <c r="L62" i="7"/>
  <c r="K62" i="7" a="1"/>
  <c r="K62" i="7" s="1"/>
  <c r="N61" i="7"/>
  <c r="M61" i="7"/>
  <c r="O61" i="7" s="1"/>
  <c r="L61" i="7"/>
  <c r="K61" i="7" a="1"/>
  <c r="K61" i="7" s="1"/>
  <c r="N60" i="7"/>
  <c r="M60" i="7"/>
  <c r="O60" i="7" s="1"/>
  <c r="L60" i="7"/>
  <c r="K60" i="7" a="1"/>
  <c r="K60" i="7" s="1"/>
  <c r="N59" i="7"/>
  <c r="M59" i="7"/>
  <c r="O59" i="7" s="1"/>
  <c r="L59" i="7"/>
  <c r="K59" i="7" a="1"/>
  <c r="K59" i="7" s="1"/>
  <c r="N58" i="7"/>
  <c r="M58" i="7"/>
  <c r="O58" i="7" s="1"/>
  <c r="L58" i="7"/>
  <c r="K58" i="7" a="1"/>
  <c r="K58" i="7" s="1"/>
  <c r="N57" i="7"/>
  <c r="M57" i="7"/>
  <c r="O57" i="7" s="1"/>
  <c r="L57" i="7"/>
  <c r="K57" i="7" a="1"/>
  <c r="K57" i="7" s="1"/>
  <c r="N56" i="7"/>
  <c r="M56" i="7"/>
  <c r="O56" i="7" s="1"/>
  <c r="L56" i="7"/>
  <c r="K56" i="7" a="1"/>
  <c r="K56" i="7" s="1"/>
  <c r="N55" i="7"/>
  <c r="M55" i="7"/>
  <c r="O55" i="7" s="1"/>
  <c r="L55" i="7"/>
  <c r="K55" i="7" a="1"/>
  <c r="K55" i="7" s="1"/>
  <c r="N54" i="7"/>
  <c r="M54" i="7"/>
  <c r="O54" i="7" s="1"/>
  <c r="L54" i="7"/>
  <c r="K54" i="7" a="1"/>
  <c r="K54" i="7" s="1"/>
  <c r="N53" i="7"/>
  <c r="M53" i="7"/>
  <c r="O53" i="7" s="1"/>
  <c r="L53" i="7"/>
  <c r="K53" i="7" a="1"/>
  <c r="K53" i="7" s="1"/>
  <c r="N52" i="7"/>
  <c r="M52" i="7"/>
  <c r="O52" i="7" s="1"/>
  <c r="L52" i="7"/>
  <c r="K52" i="7" a="1"/>
  <c r="K52" i="7" s="1"/>
  <c r="N51" i="7"/>
  <c r="M51" i="7"/>
  <c r="O51" i="7" s="1"/>
  <c r="L51" i="7"/>
  <c r="K51" i="7" a="1"/>
  <c r="K51" i="7" s="1"/>
  <c r="N50" i="7"/>
  <c r="M50" i="7"/>
  <c r="O50" i="7" s="1"/>
  <c r="L50" i="7"/>
  <c r="K50" i="7" a="1"/>
  <c r="K50" i="7" s="1"/>
  <c r="N49" i="7"/>
  <c r="M49" i="7"/>
  <c r="O49" i="7" s="1"/>
  <c r="L49" i="7"/>
  <c r="K49" i="7" a="1"/>
  <c r="K49" i="7" s="1"/>
  <c r="N48" i="7"/>
  <c r="M48" i="7"/>
  <c r="O48" i="7" s="1"/>
  <c r="L48" i="7"/>
  <c r="K48" i="7" a="1"/>
  <c r="K48" i="7" s="1"/>
  <c r="N47" i="7"/>
  <c r="M47" i="7"/>
  <c r="O47" i="7" s="1"/>
  <c r="L47" i="7"/>
  <c r="K47" i="7" a="1"/>
  <c r="K47" i="7" s="1"/>
  <c r="N46" i="7"/>
  <c r="M46" i="7"/>
  <c r="O46" i="7" s="1"/>
  <c r="L46" i="7"/>
  <c r="K46" i="7" a="1"/>
  <c r="K46" i="7" s="1"/>
  <c r="N45" i="7"/>
  <c r="M45" i="7"/>
  <c r="O45" i="7" s="1"/>
  <c r="L45" i="7"/>
  <c r="K45" i="7" a="1"/>
  <c r="K45" i="7" s="1"/>
  <c r="N44" i="7"/>
  <c r="M44" i="7"/>
  <c r="O44" i="7" s="1"/>
  <c r="L44" i="7"/>
  <c r="K44" i="7" a="1"/>
  <c r="K44" i="7" s="1"/>
  <c r="N43" i="7"/>
  <c r="M43" i="7"/>
  <c r="O43" i="7" s="1"/>
  <c r="L43" i="7"/>
  <c r="K43" i="7" a="1"/>
  <c r="K43" i="7" s="1"/>
  <c r="N42" i="7"/>
  <c r="M42" i="7"/>
  <c r="O42" i="7" s="1"/>
  <c r="L42" i="7"/>
  <c r="K42" i="7" a="1"/>
  <c r="K42" i="7" s="1"/>
  <c r="N41" i="7"/>
  <c r="M41" i="7"/>
  <c r="O41" i="7" s="1"/>
  <c r="L41" i="7"/>
  <c r="K41" i="7" a="1"/>
  <c r="K41" i="7" s="1"/>
  <c r="N40" i="7"/>
  <c r="M40" i="7"/>
  <c r="O40" i="7" s="1"/>
  <c r="L40" i="7"/>
  <c r="K40" i="7" a="1"/>
  <c r="K40" i="7" s="1"/>
  <c r="N39" i="7"/>
  <c r="M39" i="7"/>
  <c r="O39" i="7" s="1"/>
  <c r="L39" i="7"/>
  <c r="K39" i="7" a="1"/>
  <c r="K39" i="7" s="1"/>
  <c r="N38" i="7"/>
  <c r="M38" i="7"/>
  <c r="O38" i="7" s="1"/>
  <c r="L38" i="7"/>
  <c r="K38" i="7" a="1"/>
  <c r="K38" i="7" s="1"/>
  <c r="N37" i="7"/>
  <c r="M37" i="7"/>
  <c r="O37" i="7" s="1"/>
  <c r="L37" i="7"/>
  <c r="K37" i="7" a="1"/>
  <c r="K37" i="7" s="1"/>
  <c r="N36" i="7"/>
  <c r="M36" i="7"/>
  <c r="O36" i="7" s="1"/>
  <c r="L36" i="7"/>
  <c r="K36" i="7" a="1"/>
  <c r="K36" i="7" s="1"/>
  <c r="N35" i="7"/>
  <c r="M35" i="7"/>
  <c r="O35" i="7" s="1"/>
  <c r="L35" i="7"/>
  <c r="K35" i="7" a="1"/>
  <c r="K35" i="7" s="1"/>
  <c r="N34" i="7"/>
  <c r="M34" i="7"/>
  <c r="O34" i="7" s="1"/>
  <c r="L34" i="7"/>
  <c r="K34" i="7" a="1"/>
  <c r="K34" i="7" s="1"/>
  <c r="O33" i="7"/>
  <c r="N33" i="7"/>
  <c r="M33" i="7"/>
  <c r="L33" i="7"/>
  <c r="K33" i="7" a="1"/>
  <c r="K33" i="7" s="1"/>
  <c r="N32" i="7"/>
  <c r="M32" i="7"/>
  <c r="O32" i="7" s="1"/>
  <c r="L32" i="7"/>
  <c r="K32" i="7" a="1"/>
  <c r="K32" i="7" s="1"/>
  <c r="N31" i="7"/>
  <c r="M31" i="7"/>
  <c r="O31" i="7" s="1"/>
  <c r="L31" i="7"/>
  <c r="K31" i="7" a="1"/>
  <c r="K31" i="7" s="1"/>
  <c r="N30" i="7"/>
  <c r="M30" i="7"/>
  <c r="O30" i="7" s="1"/>
  <c r="L30" i="7"/>
  <c r="K30" i="7" a="1"/>
  <c r="K30" i="7" s="1"/>
  <c r="N29" i="7"/>
  <c r="M29" i="7"/>
  <c r="O29" i="7" s="1"/>
  <c r="L29" i="7"/>
  <c r="K29" i="7" a="1"/>
  <c r="K29" i="7" s="1"/>
  <c r="N28" i="7"/>
  <c r="M28" i="7"/>
  <c r="O28" i="7" s="1"/>
  <c r="L28" i="7"/>
  <c r="K28" i="7" a="1"/>
  <c r="K28" i="7" s="1"/>
  <c r="N27" i="7"/>
  <c r="M27" i="7"/>
  <c r="O27" i="7" s="1"/>
  <c r="L27" i="7"/>
  <c r="K27" i="7" a="1"/>
  <c r="K27" i="7" s="1"/>
  <c r="N26" i="7"/>
  <c r="M26" i="7"/>
  <c r="O26" i="7" s="1"/>
  <c r="L26" i="7"/>
  <c r="K26" i="7" a="1"/>
  <c r="K26" i="7" s="1"/>
  <c r="N25" i="7"/>
  <c r="M25" i="7"/>
  <c r="O25" i="7" s="1"/>
  <c r="L25" i="7"/>
  <c r="K25" i="7" a="1"/>
  <c r="K25" i="7" s="1"/>
  <c r="N24" i="7"/>
  <c r="M24" i="7"/>
  <c r="O24" i="7" s="1"/>
  <c r="L24" i="7"/>
  <c r="K24" i="7" a="1"/>
  <c r="K24" i="7" s="1"/>
  <c r="N23" i="7"/>
  <c r="M23" i="7"/>
  <c r="O23" i="7" s="1"/>
  <c r="L23" i="7"/>
  <c r="K23" i="7" a="1"/>
  <c r="K23" i="7" s="1"/>
  <c r="N22" i="7"/>
  <c r="M22" i="7"/>
  <c r="O22" i="7" s="1"/>
  <c r="L22" i="7"/>
  <c r="K22" i="7" a="1"/>
  <c r="K22" i="7" s="1"/>
  <c r="N21" i="7"/>
  <c r="M21" i="7"/>
  <c r="O21" i="7" s="1"/>
  <c r="L21" i="7"/>
  <c r="K21" i="7" a="1"/>
  <c r="K21" i="7" s="1"/>
  <c r="N20" i="7"/>
  <c r="M20" i="7"/>
  <c r="O20" i="7" s="1"/>
  <c r="L20" i="7"/>
  <c r="K20" i="7" a="1"/>
  <c r="K20" i="7" s="1"/>
  <c r="N19" i="7"/>
  <c r="M19" i="7"/>
  <c r="O19" i="7" s="1"/>
  <c r="L19" i="7"/>
  <c r="K19" i="7" a="1"/>
  <c r="K19" i="7" s="1"/>
  <c r="N18" i="7"/>
  <c r="M18" i="7"/>
  <c r="O18" i="7" s="1"/>
  <c r="L18" i="7"/>
  <c r="K18" i="7" a="1"/>
  <c r="K18" i="7" s="1"/>
  <c r="N17" i="7"/>
  <c r="M17" i="7"/>
  <c r="O17" i="7" s="1"/>
  <c r="L17" i="7"/>
  <c r="K17" i="7" a="1"/>
  <c r="K17" i="7" s="1"/>
  <c r="N16" i="7"/>
  <c r="M16" i="7"/>
  <c r="O16" i="7" s="1"/>
  <c r="L16" i="7"/>
  <c r="K16" i="7" a="1"/>
  <c r="K16" i="7" s="1"/>
  <c r="N15" i="7"/>
  <c r="M15" i="7"/>
  <c r="O15" i="7" s="1"/>
  <c r="L15" i="7"/>
  <c r="K15" i="7" a="1"/>
  <c r="K15" i="7" s="1"/>
  <c r="N14" i="7"/>
  <c r="M14" i="7"/>
  <c r="O14" i="7" s="1"/>
  <c r="L14" i="7"/>
  <c r="K14" i="7" a="1"/>
  <c r="K14" i="7" s="1"/>
  <c r="N13" i="7"/>
  <c r="M13" i="7"/>
  <c r="O13" i="7" s="1"/>
  <c r="L13" i="7"/>
  <c r="K13" i="7" a="1"/>
  <c r="K13" i="7" s="1"/>
  <c r="N12" i="7"/>
  <c r="M12" i="7"/>
  <c r="O12" i="7" s="1"/>
  <c r="L12" i="7"/>
  <c r="K12" i="7" a="1"/>
  <c r="K12" i="7" s="1"/>
  <c r="N11" i="7"/>
  <c r="M11" i="7"/>
  <c r="O11" i="7" s="1"/>
  <c r="L11" i="7"/>
  <c r="K11" i="7" a="1"/>
  <c r="K11" i="7" s="1"/>
  <c r="N10" i="7"/>
  <c r="M10" i="7"/>
  <c r="O10" i="7" s="1"/>
  <c r="L10" i="7"/>
  <c r="K10" i="7" a="1"/>
  <c r="K10" i="7" s="1"/>
  <c r="N9" i="7"/>
  <c r="M9" i="7"/>
  <c r="O9" i="7" s="1"/>
  <c r="L9" i="7"/>
  <c r="K9" i="7" a="1"/>
  <c r="K9" i="7" s="1"/>
  <c r="N8" i="7"/>
  <c r="M8" i="7"/>
  <c r="O8" i="7" s="1"/>
  <c r="L8" i="7"/>
  <c r="K8" i="7" a="1"/>
  <c r="K8" i="7" s="1"/>
  <c r="N7" i="7"/>
  <c r="M7" i="7"/>
  <c r="O7" i="7" s="1"/>
  <c r="L7" i="7"/>
  <c r="K7" i="7" a="1"/>
  <c r="K7" i="7" s="1"/>
  <c r="N6" i="7"/>
  <c r="M6" i="7"/>
  <c r="O6" i="7" s="1"/>
  <c r="L6" i="7"/>
  <c r="K6" i="7" a="1"/>
  <c r="K6" i="7" s="1"/>
  <c r="N5" i="7"/>
  <c r="M5" i="7"/>
  <c r="O5" i="7" s="1"/>
  <c r="L5" i="7"/>
  <c r="K5" i="7" a="1"/>
  <c r="K5" i="7" s="1"/>
  <c r="N4" i="7"/>
  <c r="M4" i="7"/>
  <c r="O4" i="7" s="1"/>
  <c r="L4" i="7"/>
  <c r="K4" i="7" a="1"/>
  <c r="K4" i="7" s="1"/>
  <c r="O3" i="7"/>
  <c r="N3" i="7"/>
  <c r="M3" i="7"/>
  <c r="L3" i="7"/>
  <c r="K3" i="7" a="1"/>
  <c r="K3" i="7" s="1"/>
  <c r="N2" i="7"/>
  <c r="M2" i="7"/>
  <c r="O2" i="7" s="1"/>
  <c r="L2" i="7"/>
  <c r="K2" i="7" a="1"/>
  <c r="K2" i="7" s="1"/>
  <c r="N501" i="1"/>
  <c r="M501" i="1"/>
  <c r="O501" i="1" s="1"/>
  <c r="L501" i="1"/>
  <c r="K501" i="1" a="1"/>
  <c r="K501" i="1" s="1"/>
  <c r="N500" i="1"/>
  <c r="M500" i="1"/>
  <c r="O500" i="1" s="1"/>
  <c r="L500" i="1"/>
  <c r="K500" i="1" a="1"/>
  <c r="K500" i="1" s="1"/>
  <c r="N499" i="1"/>
  <c r="M499" i="1"/>
  <c r="O499" i="1" s="1"/>
  <c r="L499" i="1"/>
  <c r="K499" i="1" a="1"/>
  <c r="K499" i="1" s="1"/>
  <c r="N498" i="1"/>
  <c r="M498" i="1"/>
  <c r="O498" i="1" s="1"/>
  <c r="L498" i="1"/>
  <c r="K498" i="1" a="1"/>
  <c r="K498" i="1" s="1"/>
  <c r="N497" i="1"/>
  <c r="M497" i="1"/>
  <c r="O497" i="1" s="1"/>
  <c r="L497" i="1"/>
  <c r="K497" i="1" a="1"/>
  <c r="K497" i="1" s="1"/>
  <c r="N496" i="1"/>
  <c r="M496" i="1"/>
  <c r="O496" i="1" s="1"/>
  <c r="L496" i="1"/>
  <c r="K496" i="1" a="1"/>
  <c r="K496" i="1" s="1"/>
  <c r="N495" i="1"/>
  <c r="M495" i="1"/>
  <c r="O495" i="1" s="1"/>
  <c r="L495" i="1"/>
  <c r="K495" i="1" a="1"/>
  <c r="K495" i="1" s="1"/>
  <c r="N494" i="1"/>
  <c r="M494" i="1"/>
  <c r="O494" i="1" s="1"/>
  <c r="L494" i="1"/>
  <c r="K494" i="1" a="1"/>
  <c r="K494" i="1" s="1"/>
  <c r="N493" i="1"/>
  <c r="M493" i="1"/>
  <c r="O493" i="1" s="1"/>
  <c r="L493" i="1"/>
  <c r="K493" i="1" a="1"/>
  <c r="K493" i="1" s="1"/>
  <c r="N492" i="1"/>
  <c r="M492" i="1"/>
  <c r="O492" i="1" s="1"/>
  <c r="L492" i="1"/>
  <c r="K492" i="1" a="1"/>
  <c r="K492" i="1" s="1"/>
  <c r="N491" i="1"/>
  <c r="M491" i="1"/>
  <c r="O491" i="1" s="1"/>
  <c r="L491" i="1"/>
  <c r="K491" i="1" a="1"/>
  <c r="K491" i="1" s="1"/>
  <c r="N490" i="1"/>
  <c r="M490" i="1"/>
  <c r="O490" i="1" s="1"/>
  <c r="L490" i="1"/>
  <c r="K490" i="1" a="1"/>
  <c r="K490" i="1" s="1"/>
  <c r="N489" i="1"/>
  <c r="M489" i="1"/>
  <c r="O489" i="1" s="1"/>
  <c r="L489" i="1"/>
  <c r="K489" i="1" a="1"/>
  <c r="K489" i="1" s="1"/>
  <c r="N488" i="1"/>
  <c r="M488" i="1"/>
  <c r="O488" i="1" s="1"/>
  <c r="L488" i="1"/>
  <c r="K488" i="1" a="1"/>
  <c r="K488" i="1" s="1"/>
  <c r="N487" i="1"/>
  <c r="M487" i="1"/>
  <c r="O487" i="1" s="1"/>
  <c r="L487" i="1"/>
  <c r="K487" i="1" a="1"/>
  <c r="K487" i="1" s="1"/>
  <c r="N486" i="1"/>
  <c r="M486" i="1"/>
  <c r="O486" i="1" s="1"/>
  <c r="L486" i="1"/>
  <c r="K486" i="1" a="1"/>
  <c r="K486" i="1" s="1"/>
  <c r="N485" i="1"/>
  <c r="M485" i="1"/>
  <c r="O485" i="1" s="1"/>
  <c r="L485" i="1"/>
  <c r="K485" i="1" a="1"/>
  <c r="K485" i="1" s="1"/>
  <c r="N484" i="1"/>
  <c r="M484" i="1"/>
  <c r="O484" i="1" s="1"/>
  <c r="L484" i="1"/>
  <c r="K484" i="1" a="1"/>
  <c r="K484" i="1" s="1"/>
  <c r="N483" i="1"/>
  <c r="M483" i="1"/>
  <c r="O483" i="1" s="1"/>
  <c r="L483" i="1"/>
  <c r="K483" i="1" a="1"/>
  <c r="K483" i="1" s="1"/>
  <c r="N482" i="1"/>
  <c r="M482" i="1"/>
  <c r="O482" i="1" s="1"/>
  <c r="L482" i="1"/>
  <c r="K482" i="1" a="1"/>
  <c r="K482" i="1" s="1"/>
  <c r="N481" i="1"/>
  <c r="M481" i="1"/>
  <c r="O481" i="1" s="1"/>
  <c r="L481" i="1"/>
  <c r="K481" i="1" a="1"/>
  <c r="K481" i="1" s="1"/>
  <c r="N480" i="1"/>
  <c r="M480" i="1"/>
  <c r="O480" i="1" s="1"/>
  <c r="L480" i="1"/>
  <c r="K480" i="1" a="1"/>
  <c r="K480" i="1" s="1"/>
  <c r="N479" i="1"/>
  <c r="M479" i="1"/>
  <c r="O479" i="1" s="1"/>
  <c r="L479" i="1"/>
  <c r="K479" i="1" a="1"/>
  <c r="K479" i="1" s="1"/>
  <c r="N478" i="1"/>
  <c r="M478" i="1"/>
  <c r="O478" i="1" s="1"/>
  <c r="L478" i="1"/>
  <c r="K478" i="1" a="1"/>
  <c r="K478" i="1" s="1"/>
  <c r="N477" i="1"/>
  <c r="M477" i="1"/>
  <c r="O477" i="1" s="1"/>
  <c r="L477" i="1"/>
  <c r="K477" i="1" a="1"/>
  <c r="K477" i="1" s="1"/>
  <c r="N476" i="1"/>
  <c r="M476" i="1"/>
  <c r="O476" i="1" s="1"/>
  <c r="L476" i="1"/>
  <c r="K476" i="1" a="1"/>
  <c r="K476" i="1" s="1"/>
  <c r="N475" i="1"/>
  <c r="M475" i="1"/>
  <c r="O475" i="1" s="1"/>
  <c r="L475" i="1"/>
  <c r="K475" i="1" a="1"/>
  <c r="K475" i="1" s="1"/>
  <c r="N474" i="1"/>
  <c r="M474" i="1"/>
  <c r="O474" i="1" s="1"/>
  <c r="L474" i="1"/>
  <c r="K474" i="1" a="1"/>
  <c r="K474" i="1" s="1"/>
  <c r="N473" i="1"/>
  <c r="M473" i="1"/>
  <c r="O473" i="1" s="1"/>
  <c r="L473" i="1"/>
  <c r="K473" i="1" a="1"/>
  <c r="K473" i="1" s="1"/>
  <c r="N472" i="1"/>
  <c r="M472" i="1"/>
  <c r="O472" i="1" s="1"/>
  <c r="L472" i="1"/>
  <c r="K472" i="1" a="1"/>
  <c r="K472" i="1" s="1"/>
  <c r="N471" i="1"/>
  <c r="M471" i="1"/>
  <c r="O471" i="1" s="1"/>
  <c r="L471" i="1"/>
  <c r="K471" i="1" a="1"/>
  <c r="K471" i="1" s="1"/>
  <c r="N470" i="1"/>
  <c r="M470" i="1"/>
  <c r="O470" i="1" s="1"/>
  <c r="L470" i="1"/>
  <c r="K470" i="1" a="1"/>
  <c r="K470" i="1" s="1"/>
  <c r="N469" i="1"/>
  <c r="M469" i="1"/>
  <c r="O469" i="1" s="1"/>
  <c r="L469" i="1"/>
  <c r="K469" i="1" a="1"/>
  <c r="K469" i="1" s="1"/>
  <c r="N468" i="1"/>
  <c r="M468" i="1"/>
  <c r="O468" i="1" s="1"/>
  <c r="L468" i="1"/>
  <c r="K468" i="1" a="1"/>
  <c r="K468" i="1" s="1"/>
  <c r="N467" i="1"/>
  <c r="M467" i="1"/>
  <c r="O467" i="1" s="1"/>
  <c r="L467" i="1"/>
  <c r="K467" i="1" a="1"/>
  <c r="K467" i="1" s="1"/>
  <c r="N466" i="1"/>
  <c r="M466" i="1"/>
  <c r="O466" i="1" s="1"/>
  <c r="L466" i="1"/>
  <c r="K466" i="1" a="1"/>
  <c r="K466" i="1" s="1"/>
  <c r="N465" i="1"/>
  <c r="M465" i="1"/>
  <c r="O465" i="1" s="1"/>
  <c r="L465" i="1"/>
  <c r="K465" i="1" a="1"/>
  <c r="K465" i="1" s="1"/>
  <c r="N464" i="1"/>
  <c r="M464" i="1"/>
  <c r="O464" i="1" s="1"/>
  <c r="L464" i="1"/>
  <c r="K464" i="1" a="1"/>
  <c r="K464" i="1" s="1"/>
  <c r="N463" i="1"/>
  <c r="M463" i="1"/>
  <c r="O463" i="1" s="1"/>
  <c r="L463" i="1"/>
  <c r="K463" i="1" a="1"/>
  <c r="K463" i="1" s="1"/>
  <c r="N462" i="1"/>
  <c r="M462" i="1"/>
  <c r="O462" i="1" s="1"/>
  <c r="L462" i="1"/>
  <c r="K462" i="1" a="1"/>
  <c r="K462" i="1" s="1"/>
  <c r="N461" i="1"/>
  <c r="M461" i="1"/>
  <c r="O461" i="1" s="1"/>
  <c r="L461" i="1"/>
  <c r="K461" i="1" a="1"/>
  <c r="K461" i="1" s="1"/>
  <c r="N460" i="1"/>
  <c r="M460" i="1"/>
  <c r="O460" i="1" s="1"/>
  <c r="L460" i="1"/>
  <c r="K460" i="1" a="1"/>
  <c r="K460" i="1" s="1"/>
  <c r="N459" i="1"/>
  <c r="M459" i="1"/>
  <c r="O459" i="1" s="1"/>
  <c r="L459" i="1"/>
  <c r="K459" i="1" a="1"/>
  <c r="K459" i="1" s="1"/>
  <c r="N458" i="1"/>
  <c r="M458" i="1"/>
  <c r="O458" i="1" s="1"/>
  <c r="L458" i="1"/>
  <c r="K458" i="1" a="1"/>
  <c r="K458" i="1" s="1"/>
  <c r="N457" i="1"/>
  <c r="M457" i="1"/>
  <c r="O457" i="1" s="1"/>
  <c r="L457" i="1"/>
  <c r="K457" i="1" a="1"/>
  <c r="K457" i="1" s="1"/>
  <c r="N456" i="1"/>
  <c r="M456" i="1"/>
  <c r="O456" i="1" s="1"/>
  <c r="L456" i="1"/>
  <c r="K456" i="1" a="1"/>
  <c r="K456" i="1" s="1"/>
  <c r="N455" i="1"/>
  <c r="M455" i="1"/>
  <c r="O455" i="1" s="1"/>
  <c r="L455" i="1"/>
  <c r="K455" i="1" a="1"/>
  <c r="K455" i="1" s="1"/>
  <c r="N454" i="1"/>
  <c r="M454" i="1"/>
  <c r="O454" i="1" s="1"/>
  <c r="L454" i="1"/>
  <c r="K454" i="1" a="1"/>
  <c r="K454" i="1" s="1"/>
  <c r="N453" i="1"/>
  <c r="M453" i="1"/>
  <c r="O453" i="1" s="1"/>
  <c r="L453" i="1"/>
  <c r="K453" i="1" a="1"/>
  <c r="K453" i="1" s="1"/>
  <c r="N452" i="1"/>
  <c r="M452" i="1"/>
  <c r="O452" i="1" s="1"/>
  <c r="L452" i="1"/>
  <c r="K452" i="1" a="1"/>
  <c r="K452" i="1" s="1"/>
  <c r="N451" i="1"/>
  <c r="M451" i="1"/>
  <c r="O451" i="1" s="1"/>
  <c r="L451" i="1"/>
  <c r="K451" i="1" a="1"/>
  <c r="K451" i="1" s="1"/>
  <c r="N450" i="1"/>
  <c r="M450" i="1"/>
  <c r="O450" i="1" s="1"/>
  <c r="L450" i="1"/>
  <c r="K450" i="1" a="1"/>
  <c r="K450" i="1" s="1"/>
  <c r="N449" i="1"/>
  <c r="M449" i="1"/>
  <c r="O449" i="1" s="1"/>
  <c r="L449" i="1"/>
  <c r="K449" i="1" a="1"/>
  <c r="K449" i="1" s="1"/>
  <c r="N448" i="1"/>
  <c r="M448" i="1"/>
  <c r="O448" i="1" s="1"/>
  <c r="L448" i="1"/>
  <c r="K448" i="1" a="1"/>
  <c r="K448" i="1" s="1"/>
  <c r="N447" i="1"/>
  <c r="M447" i="1"/>
  <c r="O447" i="1" s="1"/>
  <c r="L447" i="1"/>
  <c r="K447" i="1" a="1"/>
  <c r="K447" i="1" s="1"/>
  <c r="N446" i="1"/>
  <c r="M446" i="1"/>
  <c r="O446" i="1" s="1"/>
  <c r="L446" i="1"/>
  <c r="K446" i="1" a="1"/>
  <c r="K446" i="1" s="1"/>
  <c r="N445" i="1"/>
  <c r="M445" i="1"/>
  <c r="O445" i="1" s="1"/>
  <c r="L445" i="1"/>
  <c r="K445" i="1" a="1"/>
  <c r="K445" i="1" s="1"/>
  <c r="N444" i="1"/>
  <c r="M444" i="1"/>
  <c r="O444" i="1" s="1"/>
  <c r="L444" i="1"/>
  <c r="K444" i="1" a="1"/>
  <c r="K444" i="1" s="1"/>
  <c r="N443" i="1"/>
  <c r="M443" i="1"/>
  <c r="O443" i="1" s="1"/>
  <c r="L443" i="1"/>
  <c r="K443" i="1" a="1"/>
  <c r="K443" i="1" s="1"/>
  <c r="N442" i="1"/>
  <c r="M442" i="1"/>
  <c r="O442" i="1" s="1"/>
  <c r="L442" i="1"/>
  <c r="K442" i="1" a="1"/>
  <c r="K442" i="1" s="1"/>
  <c r="N441" i="1"/>
  <c r="M441" i="1"/>
  <c r="O441" i="1" s="1"/>
  <c r="L441" i="1"/>
  <c r="K441" i="1" a="1"/>
  <c r="K441" i="1" s="1"/>
  <c r="N440" i="1"/>
  <c r="M440" i="1"/>
  <c r="O440" i="1" s="1"/>
  <c r="L440" i="1"/>
  <c r="K440" i="1" a="1"/>
  <c r="K440" i="1" s="1"/>
  <c r="N439" i="1"/>
  <c r="M439" i="1"/>
  <c r="O439" i="1" s="1"/>
  <c r="L439" i="1"/>
  <c r="K439" i="1" a="1"/>
  <c r="K439" i="1" s="1"/>
  <c r="N438" i="1"/>
  <c r="M438" i="1"/>
  <c r="O438" i="1" s="1"/>
  <c r="L438" i="1"/>
  <c r="K438" i="1" a="1"/>
  <c r="K438" i="1" s="1"/>
  <c r="N437" i="1"/>
  <c r="M437" i="1"/>
  <c r="O437" i="1" s="1"/>
  <c r="L437" i="1"/>
  <c r="K437" i="1" a="1"/>
  <c r="K437" i="1" s="1"/>
  <c r="N436" i="1"/>
  <c r="M436" i="1"/>
  <c r="O436" i="1" s="1"/>
  <c r="L436" i="1"/>
  <c r="K436" i="1" a="1"/>
  <c r="K436" i="1" s="1"/>
  <c r="N435" i="1"/>
  <c r="M435" i="1"/>
  <c r="O435" i="1" s="1"/>
  <c r="L435" i="1"/>
  <c r="K435" i="1" a="1"/>
  <c r="K435" i="1" s="1"/>
  <c r="N434" i="1"/>
  <c r="M434" i="1"/>
  <c r="O434" i="1" s="1"/>
  <c r="L434" i="1"/>
  <c r="K434" i="1" a="1"/>
  <c r="K434" i="1" s="1"/>
  <c r="N433" i="1"/>
  <c r="M433" i="1"/>
  <c r="O433" i="1" s="1"/>
  <c r="L433" i="1"/>
  <c r="K433" i="1" a="1"/>
  <c r="K433" i="1" s="1"/>
  <c r="N432" i="1"/>
  <c r="M432" i="1"/>
  <c r="O432" i="1" s="1"/>
  <c r="L432" i="1"/>
  <c r="K432" i="1" a="1"/>
  <c r="K432" i="1" s="1"/>
  <c r="N431" i="1"/>
  <c r="M431" i="1"/>
  <c r="O431" i="1" s="1"/>
  <c r="L431" i="1"/>
  <c r="K431" i="1" a="1"/>
  <c r="K431" i="1" s="1"/>
  <c r="N430" i="1"/>
  <c r="M430" i="1"/>
  <c r="O430" i="1" s="1"/>
  <c r="L430" i="1"/>
  <c r="K430" i="1" a="1"/>
  <c r="K430" i="1" s="1"/>
  <c r="N429" i="1"/>
  <c r="M429" i="1"/>
  <c r="O429" i="1" s="1"/>
  <c r="L429" i="1"/>
  <c r="K429" i="1" a="1"/>
  <c r="K429" i="1" s="1"/>
  <c r="N428" i="1"/>
  <c r="M428" i="1"/>
  <c r="O428" i="1" s="1"/>
  <c r="L428" i="1"/>
  <c r="K428" i="1" a="1"/>
  <c r="K428" i="1" s="1"/>
  <c r="N427" i="1"/>
  <c r="M427" i="1"/>
  <c r="O427" i="1" s="1"/>
  <c r="L427" i="1"/>
  <c r="K427" i="1" a="1"/>
  <c r="K427" i="1" s="1"/>
  <c r="N426" i="1"/>
  <c r="M426" i="1"/>
  <c r="O426" i="1" s="1"/>
  <c r="L426" i="1"/>
  <c r="K426" i="1" a="1"/>
  <c r="K426" i="1" s="1"/>
  <c r="N425" i="1"/>
  <c r="M425" i="1"/>
  <c r="O425" i="1" s="1"/>
  <c r="L425" i="1"/>
  <c r="K425" i="1" a="1"/>
  <c r="K425" i="1" s="1"/>
  <c r="N424" i="1"/>
  <c r="M424" i="1"/>
  <c r="O424" i="1" s="1"/>
  <c r="L424" i="1"/>
  <c r="K424" i="1" a="1"/>
  <c r="K424" i="1" s="1"/>
  <c r="N423" i="1"/>
  <c r="M423" i="1"/>
  <c r="O423" i="1" s="1"/>
  <c r="L423" i="1"/>
  <c r="K423" i="1" a="1"/>
  <c r="K423" i="1" s="1"/>
  <c r="N422" i="1"/>
  <c r="M422" i="1"/>
  <c r="O422" i="1" s="1"/>
  <c r="L422" i="1"/>
  <c r="K422" i="1" a="1"/>
  <c r="K422" i="1" s="1"/>
  <c r="N421" i="1"/>
  <c r="M421" i="1"/>
  <c r="O421" i="1" s="1"/>
  <c r="L421" i="1"/>
  <c r="K421" i="1" a="1"/>
  <c r="K421" i="1" s="1"/>
  <c r="N420" i="1"/>
  <c r="M420" i="1"/>
  <c r="O420" i="1" s="1"/>
  <c r="L420" i="1"/>
  <c r="K420" i="1" a="1"/>
  <c r="K420" i="1" s="1"/>
  <c r="N419" i="1"/>
  <c r="M419" i="1"/>
  <c r="O419" i="1" s="1"/>
  <c r="L419" i="1"/>
  <c r="K419" i="1" a="1"/>
  <c r="K419" i="1" s="1"/>
  <c r="N418" i="1"/>
  <c r="M418" i="1"/>
  <c r="O418" i="1" s="1"/>
  <c r="L418" i="1"/>
  <c r="K418" i="1" a="1"/>
  <c r="K418" i="1" s="1"/>
  <c r="N417" i="1"/>
  <c r="M417" i="1"/>
  <c r="O417" i="1" s="1"/>
  <c r="L417" i="1"/>
  <c r="K417" i="1" a="1"/>
  <c r="K417" i="1" s="1"/>
  <c r="N416" i="1"/>
  <c r="M416" i="1"/>
  <c r="O416" i="1" s="1"/>
  <c r="L416" i="1"/>
  <c r="K416" i="1" a="1"/>
  <c r="K416" i="1" s="1"/>
  <c r="N415" i="1"/>
  <c r="M415" i="1"/>
  <c r="O415" i="1" s="1"/>
  <c r="L415" i="1"/>
  <c r="K415" i="1" a="1"/>
  <c r="K415" i="1" s="1"/>
  <c r="N414" i="1"/>
  <c r="M414" i="1"/>
  <c r="O414" i="1" s="1"/>
  <c r="L414" i="1"/>
  <c r="K414" i="1" a="1"/>
  <c r="K414" i="1" s="1"/>
  <c r="N413" i="1"/>
  <c r="M413" i="1"/>
  <c r="O413" i="1" s="1"/>
  <c r="L413" i="1"/>
  <c r="K413" i="1" a="1"/>
  <c r="K413" i="1" s="1"/>
  <c r="N412" i="1"/>
  <c r="M412" i="1"/>
  <c r="O412" i="1" s="1"/>
  <c r="L412" i="1"/>
  <c r="K412" i="1" a="1"/>
  <c r="K412" i="1" s="1"/>
  <c r="N411" i="1"/>
  <c r="M411" i="1"/>
  <c r="O411" i="1" s="1"/>
  <c r="L411" i="1"/>
  <c r="K411" i="1" a="1"/>
  <c r="K411" i="1" s="1"/>
  <c r="N410" i="1"/>
  <c r="M410" i="1"/>
  <c r="O410" i="1" s="1"/>
  <c r="L410" i="1"/>
  <c r="K410" i="1" a="1"/>
  <c r="K410" i="1" s="1"/>
  <c r="N409" i="1"/>
  <c r="M409" i="1"/>
  <c r="O409" i="1" s="1"/>
  <c r="L409" i="1"/>
  <c r="K409" i="1" a="1"/>
  <c r="K409" i="1" s="1"/>
  <c r="N408" i="1"/>
  <c r="M408" i="1"/>
  <c r="O408" i="1" s="1"/>
  <c r="L408" i="1"/>
  <c r="K408" i="1" a="1"/>
  <c r="K408" i="1" s="1"/>
  <c r="N407" i="1"/>
  <c r="M407" i="1"/>
  <c r="O407" i="1" s="1"/>
  <c r="L407" i="1"/>
  <c r="K407" i="1" a="1"/>
  <c r="K407" i="1" s="1"/>
  <c r="N406" i="1"/>
  <c r="M406" i="1"/>
  <c r="O406" i="1" s="1"/>
  <c r="L406" i="1"/>
  <c r="K406" i="1" a="1"/>
  <c r="K406" i="1" s="1"/>
  <c r="N405" i="1"/>
  <c r="M405" i="1"/>
  <c r="O405" i="1" s="1"/>
  <c r="L405" i="1"/>
  <c r="K405" i="1" a="1"/>
  <c r="K405" i="1" s="1"/>
  <c r="N404" i="1"/>
  <c r="M404" i="1"/>
  <c r="O404" i="1" s="1"/>
  <c r="L404" i="1"/>
  <c r="K404" i="1" a="1"/>
  <c r="K404" i="1" s="1"/>
  <c r="N403" i="1"/>
  <c r="M403" i="1"/>
  <c r="O403" i="1" s="1"/>
  <c r="L403" i="1"/>
  <c r="K403" i="1" a="1"/>
  <c r="K403" i="1" s="1"/>
  <c r="N402" i="1"/>
  <c r="M402" i="1"/>
  <c r="O402" i="1" s="1"/>
  <c r="L402" i="1"/>
  <c r="K402" i="1" a="1"/>
  <c r="K402" i="1" s="1"/>
  <c r="N401" i="1"/>
  <c r="M401" i="1"/>
  <c r="O401" i="1" s="1"/>
  <c r="L401" i="1"/>
  <c r="K401" i="1" a="1"/>
  <c r="K401" i="1" s="1"/>
  <c r="N400" i="1"/>
  <c r="M400" i="1"/>
  <c r="O400" i="1" s="1"/>
  <c r="L400" i="1"/>
  <c r="K400" i="1" a="1"/>
  <c r="K400" i="1" s="1"/>
  <c r="N399" i="1"/>
  <c r="M399" i="1"/>
  <c r="O399" i="1" s="1"/>
  <c r="L399" i="1"/>
  <c r="K399" i="1" a="1"/>
  <c r="K399" i="1" s="1"/>
  <c r="N398" i="1"/>
  <c r="M398" i="1"/>
  <c r="O398" i="1" s="1"/>
  <c r="L398" i="1"/>
  <c r="K398" i="1" a="1"/>
  <c r="K398" i="1" s="1"/>
  <c r="N397" i="1"/>
  <c r="M397" i="1"/>
  <c r="O397" i="1" s="1"/>
  <c r="L397" i="1"/>
  <c r="K397" i="1" a="1"/>
  <c r="K397" i="1" s="1"/>
  <c r="N396" i="1"/>
  <c r="M396" i="1"/>
  <c r="O396" i="1" s="1"/>
  <c r="L396" i="1"/>
  <c r="K396" i="1" a="1"/>
  <c r="K396" i="1" s="1"/>
  <c r="N395" i="1"/>
  <c r="M395" i="1"/>
  <c r="O395" i="1" s="1"/>
  <c r="L395" i="1"/>
  <c r="K395" i="1" a="1"/>
  <c r="K395" i="1" s="1"/>
  <c r="N394" i="1"/>
  <c r="M394" i="1"/>
  <c r="O394" i="1" s="1"/>
  <c r="L394" i="1"/>
  <c r="K394" i="1" a="1"/>
  <c r="K394" i="1" s="1"/>
  <c r="N393" i="1"/>
  <c r="M393" i="1"/>
  <c r="O393" i="1" s="1"/>
  <c r="L393" i="1"/>
  <c r="K393" i="1" a="1"/>
  <c r="K393" i="1" s="1"/>
  <c r="N392" i="1"/>
  <c r="M392" i="1"/>
  <c r="O392" i="1" s="1"/>
  <c r="L392" i="1"/>
  <c r="K392" i="1" a="1"/>
  <c r="K392" i="1" s="1"/>
  <c r="N391" i="1"/>
  <c r="M391" i="1"/>
  <c r="O391" i="1" s="1"/>
  <c r="L391" i="1"/>
  <c r="K391" i="1" a="1"/>
  <c r="K391" i="1" s="1"/>
  <c r="N390" i="1"/>
  <c r="M390" i="1"/>
  <c r="O390" i="1" s="1"/>
  <c r="L390" i="1"/>
  <c r="K390" i="1" a="1"/>
  <c r="K390" i="1" s="1"/>
  <c r="N389" i="1"/>
  <c r="M389" i="1"/>
  <c r="O389" i="1" s="1"/>
  <c r="L389" i="1"/>
  <c r="K389" i="1" a="1"/>
  <c r="K389" i="1" s="1"/>
  <c r="N388" i="1"/>
  <c r="M388" i="1"/>
  <c r="O388" i="1" s="1"/>
  <c r="L388" i="1"/>
  <c r="K388" i="1" a="1"/>
  <c r="K388" i="1" s="1"/>
  <c r="N387" i="1"/>
  <c r="M387" i="1"/>
  <c r="O387" i="1" s="1"/>
  <c r="L387" i="1"/>
  <c r="K387" i="1" a="1"/>
  <c r="K387" i="1" s="1"/>
  <c r="N386" i="1"/>
  <c r="M386" i="1"/>
  <c r="O386" i="1" s="1"/>
  <c r="L386" i="1"/>
  <c r="K386" i="1" a="1"/>
  <c r="K386" i="1" s="1"/>
  <c r="N385" i="1"/>
  <c r="M385" i="1"/>
  <c r="O385" i="1" s="1"/>
  <c r="L385" i="1"/>
  <c r="K385" i="1" a="1"/>
  <c r="K385" i="1" s="1"/>
  <c r="N384" i="1"/>
  <c r="M384" i="1"/>
  <c r="O384" i="1" s="1"/>
  <c r="L384" i="1"/>
  <c r="K384" i="1" a="1"/>
  <c r="K384" i="1" s="1"/>
  <c r="N383" i="1"/>
  <c r="M383" i="1"/>
  <c r="O383" i="1" s="1"/>
  <c r="L383" i="1"/>
  <c r="K383" i="1" a="1"/>
  <c r="K383" i="1" s="1"/>
  <c r="N382" i="1"/>
  <c r="M382" i="1"/>
  <c r="O382" i="1" s="1"/>
  <c r="L382" i="1"/>
  <c r="K382" i="1" a="1"/>
  <c r="K382" i="1" s="1"/>
  <c r="N381" i="1"/>
  <c r="M381" i="1"/>
  <c r="O381" i="1" s="1"/>
  <c r="L381" i="1"/>
  <c r="K381" i="1" a="1"/>
  <c r="K381" i="1" s="1"/>
  <c r="N380" i="1"/>
  <c r="M380" i="1"/>
  <c r="O380" i="1" s="1"/>
  <c r="L380" i="1"/>
  <c r="K380" i="1" a="1"/>
  <c r="K380" i="1" s="1"/>
  <c r="N379" i="1"/>
  <c r="M379" i="1"/>
  <c r="O379" i="1" s="1"/>
  <c r="L379" i="1"/>
  <c r="K379" i="1" a="1"/>
  <c r="K379" i="1" s="1"/>
  <c r="N378" i="1"/>
  <c r="M378" i="1"/>
  <c r="O378" i="1" s="1"/>
  <c r="L378" i="1"/>
  <c r="K378" i="1" a="1"/>
  <c r="K378" i="1" s="1"/>
  <c r="N377" i="1"/>
  <c r="M377" i="1"/>
  <c r="O377" i="1" s="1"/>
  <c r="L377" i="1"/>
  <c r="K377" i="1" a="1"/>
  <c r="K377" i="1" s="1"/>
  <c r="N376" i="1"/>
  <c r="M376" i="1"/>
  <c r="O376" i="1" s="1"/>
  <c r="L376" i="1"/>
  <c r="K376" i="1" a="1"/>
  <c r="K376" i="1" s="1"/>
  <c r="N375" i="1"/>
  <c r="M375" i="1"/>
  <c r="O375" i="1" s="1"/>
  <c r="L375" i="1"/>
  <c r="K375" i="1" a="1"/>
  <c r="K375" i="1" s="1"/>
  <c r="N374" i="1"/>
  <c r="M374" i="1"/>
  <c r="O374" i="1" s="1"/>
  <c r="L374" i="1"/>
  <c r="K374" i="1" a="1"/>
  <c r="K374" i="1" s="1"/>
  <c r="N373" i="1"/>
  <c r="M373" i="1"/>
  <c r="O373" i="1" s="1"/>
  <c r="L373" i="1"/>
  <c r="K373" i="1" a="1"/>
  <c r="K373" i="1" s="1"/>
  <c r="N372" i="1"/>
  <c r="M372" i="1"/>
  <c r="O372" i="1" s="1"/>
  <c r="L372" i="1"/>
  <c r="K372" i="1" a="1"/>
  <c r="K372" i="1" s="1"/>
  <c r="N371" i="1"/>
  <c r="M371" i="1"/>
  <c r="O371" i="1" s="1"/>
  <c r="L371" i="1"/>
  <c r="K371" i="1" a="1"/>
  <c r="K371" i="1" s="1"/>
  <c r="N370" i="1"/>
  <c r="M370" i="1"/>
  <c r="O370" i="1" s="1"/>
  <c r="L370" i="1"/>
  <c r="K370" i="1" a="1"/>
  <c r="K370" i="1" s="1"/>
  <c r="N369" i="1"/>
  <c r="M369" i="1"/>
  <c r="O369" i="1" s="1"/>
  <c r="L369" i="1"/>
  <c r="K369" i="1" a="1"/>
  <c r="K369" i="1" s="1"/>
  <c r="N368" i="1"/>
  <c r="M368" i="1"/>
  <c r="O368" i="1" s="1"/>
  <c r="L368" i="1"/>
  <c r="K368" i="1" a="1"/>
  <c r="K368" i="1" s="1"/>
  <c r="N367" i="1"/>
  <c r="M367" i="1"/>
  <c r="O367" i="1" s="1"/>
  <c r="L367" i="1"/>
  <c r="K367" i="1" a="1"/>
  <c r="K367" i="1" s="1"/>
  <c r="N366" i="1"/>
  <c r="M366" i="1"/>
  <c r="O366" i="1" s="1"/>
  <c r="L366" i="1"/>
  <c r="K366" i="1" a="1"/>
  <c r="K366" i="1" s="1"/>
  <c r="N365" i="1"/>
  <c r="M365" i="1"/>
  <c r="O365" i="1" s="1"/>
  <c r="L365" i="1"/>
  <c r="K365" i="1" a="1"/>
  <c r="K365" i="1" s="1"/>
  <c r="N364" i="1"/>
  <c r="M364" i="1"/>
  <c r="O364" i="1" s="1"/>
  <c r="L364" i="1"/>
  <c r="K364" i="1" a="1"/>
  <c r="K364" i="1" s="1"/>
  <c r="N363" i="1"/>
  <c r="M363" i="1"/>
  <c r="O363" i="1" s="1"/>
  <c r="L363" i="1"/>
  <c r="K363" i="1" a="1"/>
  <c r="K363" i="1" s="1"/>
  <c r="N362" i="1"/>
  <c r="M362" i="1"/>
  <c r="O362" i="1" s="1"/>
  <c r="L362" i="1"/>
  <c r="K362" i="1" a="1"/>
  <c r="K362" i="1" s="1"/>
  <c r="N361" i="1"/>
  <c r="M361" i="1"/>
  <c r="O361" i="1" s="1"/>
  <c r="L361" i="1"/>
  <c r="K361" i="1" a="1"/>
  <c r="K361" i="1" s="1"/>
  <c r="N360" i="1"/>
  <c r="M360" i="1"/>
  <c r="O360" i="1" s="1"/>
  <c r="L360" i="1"/>
  <c r="K360" i="1" a="1"/>
  <c r="K360" i="1" s="1"/>
  <c r="N359" i="1"/>
  <c r="M359" i="1"/>
  <c r="O359" i="1" s="1"/>
  <c r="L359" i="1"/>
  <c r="K359" i="1" a="1"/>
  <c r="K359" i="1" s="1"/>
  <c r="N358" i="1"/>
  <c r="M358" i="1"/>
  <c r="O358" i="1" s="1"/>
  <c r="L358" i="1"/>
  <c r="K358" i="1" a="1"/>
  <c r="K358" i="1" s="1"/>
  <c r="N357" i="1"/>
  <c r="M357" i="1"/>
  <c r="O357" i="1" s="1"/>
  <c r="L357" i="1"/>
  <c r="K357" i="1" a="1"/>
  <c r="K357" i="1" s="1"/>
  <c r="N356" i="1"/>
  <c r="M356" i="1"/>
  <c r="O356" i="1" s="1"/>
  <c r="L356" i="1"/>
  <c r="K356" i="1" a="1"/>
  <c r="K356" i="1" s="1"/>
  <c r="N355" i="1"/>
  <c r="M355" i="1"/>
  <c r="O355" i="1" s="1"/>
  <c r="L355" i="1"/>
  <c r="K355" i="1" a="1"/>
  <c r="K355" i="1" s="1"/>
  <c r="N354" i="1"/>
  <c r="M354" i="1"/>
  <c r="O354" i="1" s="1"/>
  <c r="L354" i="1"/>
  <c r="K354" i="1" a="1"/>
  <c r="K354" i="1" s="1"/>
  <c r="N353" i="1"/>
  <c r="M353" i="1"/>
  <c r="O353" i="1" s="1"/>
  <c r="L353" i="1"/>
  <c r="K353" i="1" a="1"/>
  <c r="K353" i="1" s="1"/>
  <c r="N352" i="1"/>
  <c r="M352" i="1"/>
  <c r="O352" i="1" s="1"/>
  <c r="L352" i="1"/>
  <c r="K352" i="1" a="1"/>
  <c r="K352" i="1" s="1"/>
  <c r="N351" i="1"/>
  <c r="M351" i="1"/>
  <c r="O351" i="1" s="1"/>
  <c r="L351" i="1"/>
  <c r="K351" i="1" a="1"/>
  <c r="K351" i="1" s="1"/>
  <c r="N350" i="1"/>
  <c r="M350" i="1"/>
  <c r="O350" i="1" s="1"/>
  <c r="L350" i="1"/>
  <c r="K350" i="1" a="1"/>
  <c r="K350" i="1" s="1"/>
  <c r="N349" i="1"/>
  <c r="M349" i="1"/>
  <c r="O349" i="1" s="1"/>
  <c r="L349" i="1"/>
  <c r="K349" i="1" a="1"/>
  <c r="K349" i="1" s="1"/>
  <c r="N348" i="1"/>
  <c r="M348" i="1"/>
  <c r="O348" i="1" s="1"/>
  <c r="L348" i="1"/>
  <c r="K348" i="1" a="1"/>
  <c r="K348" i="1" s="1"/>
  <c r="N347" i="1"/>
  <c r="M347" i="1"/>
  <c r="O347" i="1" s="1"/>
  <c r="L347" i="1"/>
  <c r="K347" i="1" a="1"/>
  <c r="K347" i="1" s="1"/>
  <c r="N346" i="1"/>
  <c r="M346" i="1"/>
  <c r="O346" i="1" s="1"/>
  <c r="L346" i="1"/>
  <c r="K346" i="1" a="1"/>
  <c r="K346" i="1" s="1"/>
  <c r="N345" i="1"/>
  <c r="M345" i="1"/>
  <c r="O345" i="1" s="1"/>
  <c r="L345" i="1"/>
  <c r="K345" i="1" a="1"/>
  <c r="K345" i="1" s="1"/>
  <c r="N344" i="1"/>
  <c r="M344" i="1"/>
  <c r="O344" i="1" s="1"/>
  <c r="L344" i="1"/>
  <c r="K344" i="1" a="1"/>
  <c r="K344" i="1" s="1"/>
  <c r="N343" i="1"/>
  <c r="M343" i="1"/>
  <c r="O343" i="1" s="1"/>
  <c r="L343" i="1"/>
  <c r="K343" i="1" a="1"/>
  <c r="K343" i="1" s="1"/>
  <c r="N342" i="1"/>
  <c r="M342" i="1"/>
  <c r="O342" i="1" s="1"/>
  <c r="L342" i="1"/>
  <c r="K342" i="1" a="1"/>
  <c r="K342" i="1" s="1"/>
  <c r="N341" i="1"/>
  <c r="M341" i="1"/>
  <c r="O341" i="1" s="1"/>
  <c r="L341" i="1"/>
  <c r="K341" i="1" a="1"/>
  <c r="K341" i="1" s="1"/>
  <c r="N340" i="1"/>
  <c r="M340" i="1"/>
  <c r="O340" i="1" s="1"/>
  <c r="L340" i="1"/>
  <c r="K340" i="1" a="1"/>
  <c r="K340" i="1" s="1"/>
  <c r="N339" i="1"/>
  <c r="M339" i="1"/>
  <c r="O339" i="1" s="1"/>
  <c r="L339" i="1"/>
  <c r="K339" i="1" a="1"/>
  <c r="K339" i="1" s="1"/>
  <c r="N338" i="1"/>
  <c r="M338" i="1"/>
  <c r="O338" i="1" s="1"/>
  <c r="L338" i="1"/>
  <c r="K338" i="1" a="1"/>
  <c r="K338" i="1" s="1"/>
  <c r="N337" i="1"/>
  <c r="M337" i="1"/>
  <c r="O337" i="1" s="1"/>
  <c r="L337" i="1"/>
  <c r="K337" i="1" a="1"/>
  <c r="K337" i="1" s="1"/>
  <c r="N336" i="1"/>
  <c r="M336" i="1"/>
  <c r="O336" i="1" s="1"/>
  <c r="L336" i="1"/>
  <c r="K336" i="1" a="1"/>
  <c r="K336" i="1" s="1"/>
  <c r="N335" i="1"/>
  <c r="M335" i="1"/>
  <c r="O335" i="1" s="1"/>
  <c r="L335" i="1"/>
  <c r="K335" i="1" a="1"/>
  <c r="K335" i="1" s="1"/>
  <c r="N334" i="1"/>
  <c r="M334" i="1"/>
  <c r="O334" i="1" s="1"/>
  <c r="L334" i="1"/>
  <c r="K334" i="1" a="1"/>
  <c r="K334" i="1" s="1"/>
  <c r="N333" i="1"/>
  <c r="M333" i="1"/>
  <c r="O333" i="1" s="1"/>
  <c r="L333" i="1"/>
  <c r="K333" i="1" a="1"/>
  <c r="K333" i="1" s="1"/>
  <c r="N332" i="1"/>
  <c r="M332" i="1"/>
  <c r="O332" i="1" s="1"/>
  <c r="L332" i="1"/>
  <c r="K332" i="1" a="1"/>
  <c r="K332" i="1" s="1"/>
  <c r="N331" i="1"/>
  <c r="M331" i="1"/>
  <c r="O331" i="1" s="1"/>
  <c r="L331" i="1"/>
  <c r="K331" i="1" a="1"/>
  <c r="K331" i="1" s="1"/>
  <c r="N330" i="1"/>
  <c r="M330" i="1"/>
  <c r="O330" i="1" s="1"/>
  <c r="L330" i="1"/>
  <c r="K330" i="1" a="1"/>
  <c r="K330" i="1" s="1"/>
  <c r="N329" i="1"/>
  <c r="M329" i="1"/>
  <c r="O329" i="1" s="1"/>
  <c r="L329" i="1"/>
  <c r="K329" i="1" a="1"/>
  <c r="K329" i="1" s="1"/>
  <c r="N328" i="1"/>
  <c r="M328" i="1"/>
  <c r="O328" i="1" s="1"/>
  <c r="L328" i="1"/>
  <c r="K328" i="1" a="1"/>
  <c r="K328" i="1" s="1"/>
  <c r="N327" i="1"/>
  <c r="M327" i="1"/>
  <c r="O327" i="1" s="1"/>
  <c r="L327" i="1"/>
  <c r="K327" i="1" a="1"/>
  <c r="K327" i="1" s="1"/>
  <c r="N326" i="1"/>
  <c r="M326" i="1"/>
  <c r="O326" i="1" s="1"/>
  <c r="L326" i="1"/>
  <c r="K326" i="1" a="1"/>
  <c r="K326" i="1" s="1"/>
  <c r="N325" i="1"/>
  <c r="M325" i="1"/>
  <c r="O325" i="1" s="1"/>
  <c r="L325" i="1"/>
  <c r="K325" i="1" a="1"/>
  <c r="K325" i="1" s="1"/>
  <c r="N324" i="1"/>
  <c r="M324" i="1"/>
  <c r="O324" i="1" s="1"/>
  <c r="L324" i="1"/>
  <c r="K324" i="1" a="1"/>
  <c r="K324" i="1" s="1"/>
  <c r="N323" i="1"/>
  <c r="M323" i="1"/>
  <c r="O323" i="1" s="1"/>
  <c r="L323" i="1"/>
  <c r="K323" i="1" a="1"/>
  <c r="K323" i="1" s="1"/>
  <c r="N322" i="1"/>
  <c r="M322" i="1"/>
  <c r="O322" i="1" s="1"/>
  <c r="L322" i="1"/>
  <c r="K322" i="1" a="1"/>
  <c r="K322" i="1" s="1"/>
  <c r="N321" i="1"/>
  <c r="M321" i="1"/>
  <c r="O321" i="1" s="1"/>
  <c r="L321" i="1"/>
  <c r="K321" i="1" a="1"/>
  <c r="K321" i="1" s="1"/>
  <c r="N320" i="1"/>
  <c r="M320" i="1"/>
  <c r="O320" i="1" s="1"/>
  <c r="L320" i="1"/>
  <c r="K320" i="1" a="1"/>
  <c r="K320" i="1" s="1"/>
  <c r="N319" i="1"/>
  <c r="M319" i="1"/>
  <c r="O319" i="1" s="1"/>
  <c r="L319" i="1"/>
  <c r="K319" i="1" a="1"/>
  <c r="K319" i="1" s="1"/>
  <c r="N318" i="1"/>
  <c r="M318" i="1"/>
  <c r="O318" i="1" s="1"/>
  <c r="L318" i="1"/>
  <c r="K318" i="1" a="1"/>
  <c r="K318" i="1" s="1"/>
  <c r="N317" i="1"/>
  <c r="M317" i="1"/>
  <c r="O317" i="1" s="1"/>
  <c r="L317" i="1"/>
  <c r="K317" i="1" a="1"/>
  <c r="K317" i="1" s="1"/>
  <c r="N316" i="1"/>
  <c r="M316" i="1"/>
  <c r="O316" i="1" s="1"/>
  <c r="L316" i="1"/>
  <c r="K316" i="1" a="1"/>
  <c r="K316" i="1" s="1"/>
  <c r="N315" i="1"/>
  <c r="M315" i="1"/>
  <c r="O315" i="1" s="1"/>
  <c r="L315" i="1"/>
  <c r="K315" i="1" a="1"/>
  <c r="K315" i="1" s="1"/>
  <c r="N314" i="1"/>
  <c r="M314" i="1"/>
  <c r="O314" i="1" s="1"/>
  <c r="L314" i="1"/>
  <c r="K314" i="1" a="1"/>
  <c r="K314" i="1" s="1"/>
  <c r="N313" i="1"/>
  <c r="M313" i="1"/>
  <c r="O313" i="1" s="1"/>
  <c r="L313" i="1"/>
  <c r="K313" i="1" a="1"/>
  <c r="K313" i="1" s="1"/>
  <c r="N312" i="1"/>
  <c r="M312" i="1"/>
  <c r="O312" i="1" s="1"/>
  <c r="L312" i="1"/>
  <c r="K312" i="1" a="1"/>
  <c r="K312" i="1" s="1"/>
  <c r="N311" i="1"/>
  <c r="M311" i="1"/>
  <c r="O311" i="1" s="1"/>
  <c r="L311" i="1"/>
  <c r="K311" i="1" a="1"/>
  <c r="K311" i="1" s="1"/>
  <c r="N310" i="1"/>
  <c r="M310" i="1"/>
  <c r="O310" i="1" s="1"/>
  <c r="L310" i="1"/>
  <c r="K310" i="1" a="1"/>
  <c r="K310" i="1" s="1"/>
  <c r="N309" i="1"/>
  <c r="M309" i="1"/>
  <c r="O309" i="1" s="1"/>
  <c r="L309" i="1"/>
  <c r="K309" i="1" a="1"/>
  <c r="K309" i="1" s="1"/>
  <c r="N308" i="1"/>
  <c r="M308" i="1"/>
  <c r="O308" i="1" s="1"/>
  <c r="L308" i="1"/>
  <c r="K308" i="1" a="1"/>
  <c r="K308" i="1" s="1"/>
  <c r="N307" i="1"/>
  <c r="M307" i="1"/>
  <c r="O307" i="1" s="1"/>
  <c r="L307" i="1"/>
  <c r="K307" i="1" a="1"/>
  <c r="K307" i="1" s="1"/>
  <c r="N306" i="1"/>
  <c r="M306" i="1"/>
  <c r="O306" i="1" s="1"/>
  <c r="L306" i="1"/>
  <c r="K306" i="1" a="1"/>
  <c r="K306" i="1" s="1"/>
  <c r="N305" i="1"/>
  <c r="M305" i="1"/>
  <c r="O305" i="1" s="1"/>
  <c r="L305" i="1"/>
  <c r="K305" i="1" a="1"/>
  <c r="K305" i="1" s="1"/>
  <c r="N304" i="1"/>
  <c r="M304" i="1"/>
  <c r="O304" i="1" s="1"/>
  <c r="L304" i="1"/>
  <c r="K304" i="1" a="1"/>
  <c r="K304" i="1" s="1"/>
  <c r="N303" i="1"/>
  <c r="M303" i="1"/>
  <c r="O303" i="1" s="1"/>
  <c r="L303" i="1"/>
  <c r="K303" i="1" a="1"/>
  <c r="K303" i="1" s="1"/>
  <c r="N302" i="1"/>
  <c r="M302" i="1"/>
  <c r="O302" i="1" s="1"/>
  <c r="L302" i="1"/>
  <c r="K302" i="1" a="1"/>
  <c r="K302" i="1" s="1"/>
  <c r="N301" i="1"/>
  <c r="M301" i="1"/>
  <c r="O301" i="1" s="1"/>
  <c r="L301" i="1"/>
  <c r="K301" i="1" a="1"/>
  <c r="K301" i="1" s="1"/>
  <c r="N300" i="1"/>
  <c r="M300" i="1"/>
  <c r="O300" i="1" s="1"/>
  <c r="L300" i="1"/>
  <c r="K300" i="1" a="1"/>
  <c r="K300" i="1" s="1"/>
  <c r="N299" i="1"/>
  <c r="M299" i="1"/>
  <c r="O299" i="1" s="1"/>
  <c r="L299" i="1"/>
  <c r="K299" i="1" a="1"/>
  <c r="K299" i="1" s="1"/>
  <c r="N298" i="1"/>
  <c r="M298" i="1"/>
  <c r="O298" i="1" s="1"/>
  <c r="L298" i="1"/>
  <c r="K298" i="1" a="1"/>
  <c r="K298" i="1" s="1"/>
  <c r="N297" i="1"/>
  <c r="M297" i="1"/>
  <c r="O297" i="1" s="1"/>
  <c r="L297" i="1"/>
  <c r="K297" i="1" a="1"/>
  <c r="K297" i="1" s="1"/>
  <c r="N296" i="1"/>
  <c r="M296" i="1"/>
  <c r="O296" i="1" s="1"/>
  <c r="L296" i="1"/>
  <c r="K296" i="1" a="1"/>
  <c r="K296" i="1" s="1"/>
  <c r="N295" i="1"/>
  <c r="M295" i="1"/>
  <c r="O295" i="1" s="1"/>
  <c r="L295" i="1"/>
  <c r="K295" i="1" a="1"/>
  <c r="K295" i="1" s="1"/>
  <c r="N294" i="1"/>
  <c r="M294" i="1"/>
  <c r="O294" i="1" s="1"/>
  <c r="L294" i="1"/>
  <c r="K294" i="1" a="1"/>
  <c r="K294" i="1" s="1"/>
  <c r="N293" i="1"/>
  <c r="M293" i="1"/>
  <c r="O293" i="1" s="1"/>
  <c r="L293" i="1"/>
  <c r="K293" i="1" a="1"/>
  <c r="K293" i="1" s="1"/>
  <c r="N292" i="1"/>
  <c r="M292" i="1"/>
  <c r="O292" i="1" s="1"/>
  <c r="L292" i="1"/>
  <c r="K292" i="1" a="1"/>
  <c r="K292" i="1" s="1"/>
  <c r="N291" i="1"/>
  <c r="M291" i="1"/>
  <c r="O291" i="1" s="1"/>
  <c r="L291" i="1"/>
  <c r="K291" i="1" a="1"/>
  <c r="K291" i="1" s="1"/>
  <c r="N290" i="1"/>
  <c r="M290" i="1"/>
  <c r="O290" i="1" s="1"/>
  <c r="L290" i="1"/>
  <c r="K290" i="1" a="1"/>
  <c r="K290" i="1" s="1"/>
  <c r="N289" i="1"/>
  <c r="M289" i="1"/>
  <c r="O289" i="1" s="1"/>
  <c r="L289" i="1"/>
  <c r="K289" i="1" a="1"/>
  <c r="K289" i="1" s="1"/>
  <c r="N288" i="1"/>
  <c r="M288" i="1"/>
  <c r="O288" i="1" s="1"/>
  <c r="L288" i="1"/>
  <c r="K288" i="1" a="1"/>
  <c r="K288" i="1" s="1"/>
  <c r="N287" i="1"/>
  <c r="M287" i="1"/>
  <c r="O287" i="1" s="1"/>
  <c r="L287" i="1"/>
  <c r="K287" i="1" a="1"/>
  <c r="K287" i="1" s="1"/>
  <c r="N286" i="1"/>
  <c r="M286" i="1"/>
  <c r="O286" i="1" s="1"/>
  <c r="L286" i="1"/>
  <c r="K286" i="1" a="1"/>
  <c r="K286" i="1" s="1"/>
  <c r="N285" i="1"/>
  <c r="M285" i="1"/>
  <c r="O285" i="1" s="1"/>
  <c r="L285" i="1"/>
  <c r="K285" i="1" a="1"/>
  <c r="K285" i="1" s="1"/>
  <c r="N284" i="1"/>
  <c r="M284" i="1"/>
  <c r="O284" i="1" s="1"/>
  <c r="L284" i="1"/>
  <c r="K284" i="1" a="1"/>
  <c r="K284" i="1" s="1"/>
  <c r="O283" i="1"/>
  <c r="N283" i="1"/>
  <c r="M283" i="1"/>
  <c r="L283" i="1"/>
  <c r="K283" i="1" a="1"/>
  <c r="K283" i="1" s="1"/>
  <c r="N282" i="1"/>
  <c r="M282" i="1"/>
  <c r="O282" i="1" s="1"/>
  <c r="L282" i="1"/>
  <c r="K282" i="1" a="1"/>
  <c r="K282" i="1" s="1"/>
  <c r="N281" i="1"/>
  <c r="M281" i="1"/>
  <c r="O281" i="1" s="1"/>
  <c r="L281" i="1"/>
  <c r="K281" i="1" a="1"/>
  <c r="K281" i="1" s="1"/>
  <c r="N280" i="1"/>
  <c r="M280" i="1"/>
  <c r="O280" i="1" s="1"/>
  <c r="L280" i="1"/>
  <c r="K280" i="1" a="1"/>
  <c r="K280" i="1" s="1"/>
  <c r="N279" i="1"/>
  <c r="M279" i="1"/>
  <c r="O279" i="1" s="1"/>
  <c r="L279" i="1"/>
  <c r="K279" i="1" a="1"/>
  <c r="K279" i="1" s="1"/>
  <c r="N278" i="1"/>
  <c r="M278" i="1"/>
  <c r="O278" i="1" s="1"/>
  <c r="L278" i="1"/>
  <c r="K278" i="1" a="1"/>
  <c r="K278" i="1" s="1"/>
  <c r="N277" i="1"/>
  <c r="M277" i="1"/>
  <c r="O277" i="1" s="1"/>
  <c r="L277" i="1"/>
  <c r="K277" i="1" a="1"/>
  <c r="K277" i="1" s="1"/>
  <c r="N276" i="1"/>
  <c r="M276" i="1"/>
  <c r="O276" i="1" s="1"/>
  <c r="L276" i="1"/>
  <c r="K276" i="1" a="1"/>
  <c r="K276" i="1" s="1"/>
  <c r="N275" i="1"/>
  <c r="M275" i="1"/>
  <c r="O275" i="1" s="1"/>
  <c r="L275" i="1"/>
  <c r="K275" i="1" a="1"/>
  <c r="K275" i="1" s="1"/>
  <c r="N274" i="1"/>
  <c r="M274" i="1"/>
  <c r="O274" i="1" s="1"/>
  <c r="L274" i="1"/>
  <c r="K274" i="1" a="1"/>
  <c r="K274" i="1" s="1"/>
  <c r="N273" i="1"/>
  <c r="M273" i="1"/>
  <c r="O273" i="1" s="1"/>
  <c r="L273" i="1"/>
  <c r="K273" i="1" a="1"/>
  <c r="K273" i="1" s="1"/>
  <c r="N272" i="1"/>
  <c r="M272" i="1"/>
  <c r="O272" i="1" s="1"/>
  <c r="L272" i="1"/>
  <c r="K272" i="1" a="1"/>
  <c r="K272" i="1" s="1"/>
  <c r="N271" i="1"/>
  <c r="M271" i="1"/>
  <c r="O271" i="1" s="1"/>
  <c r="L271" i="1"/>
  <c r="K271" i="1" a="1"/>
  <c r="K271" i="1" s="1"/>
  <c r="N270" i="1"/>
  <c r="M270" i="1"/>
  <c r="O270" i="1" s="1"/>
  <c r="L270" i="1"/>
  <c r="K270" i="1" a="1"/>
  <c r="K270" i="1" s="1"/>
  <c r="N269" i="1"/>
  <c r="M269" i="1"/>
  <c r="O269" i="1" s="1"/>
  <c r="L269" i="1"/>
  <c r="K269" i="1" a="1"/>
  <c r="K269" i="1" s="1"/>
  <c r="N268" i="1"/>
  <c r="M268" i="1"/>
  <c r="O268" i="1" s="1"/>
  <c r="L268" i="1"/>
  <c r="K268" i="1" a="1"/>
  <c r="K268" i="1" s="1"/>
  <c r="N267" i="1"/>
  <c r="M267" i="1"/>
  <c r="O267" i="1" s="1"/>
  <c r="L267" i="1"/>
  <c r="K267" i="1" a="1"/>
  <c r="K267" i="1" s="1"/>
  <c r="N266" i="1"/>
  <c r="M266" i="1"/>
  <c r="O266" i="1" s="1"/>
  <c r="L266" i="1"/>
  <c r="K266" i="1" a="1"/>
  <c r="K266" i="1" s="1"/>
  <c r="N265" i="1"/>
  <c r="M265" i="1"/>
  <c r="O265" i="1" s="1"/>
  <c r="L265" i="1"/>
  <c r="K265" i="1" a="1"/>
  <c r="K265" i="1" s="1"/>
  <c r="N264" i="1"/>
  <c r="M264" i="1"/>
  <c r="O264" i="1" s="1"/>
  <c r="L264" i="1"/>
  <c r="K264" i="1" a="1"/>
  <c r="K264" i="1" s="1"/>
  <c r="N263" i="1"/>
  <c r="M263" i="1"/>
  <c r="O263" i="1" s="1"/>
  <c r="L263" i="1"/>
  <c r="K263" i="1" a="1"/>
  <c r="K263" i="1" s="1"/>
  <c r="N262" i="1"/>
  <c r="M262" i="1"/>
  <c r="O262" i="1" s="1"/>
  <c r="L262" i="1"/>
  <c r="K262" i="1" a="1"/>
  <c r="K262" i="1" s="1"/>
  <c r="N261" i="1"/>
  <c r="M261" i="1"/>
  <c r="O261" i="1" s="1"/>
  <c r="L261" i="1"/>
  <c r="K261" i="1" a="1"/>
  <c r="K261" i="1" s="1"/>
  <c r="N260" i="1"/>
  <c r="M260" i="1"/>
  <c r="O260" i="1" s="1"/>
  <c r="L260" i="1"/>
  <c r="K260" i="1" a="1"/>
  <c r="K260" i="1" s="1"/>
  <c r="N259" i="1"/>
  <c r="M259" i="1"/>
  <c r="O259" i="1" s="1"/>
  <c r="L259" i="1"/>
  <c r="K259" i="1" a="1"/>
  <c r="K259" i="1" s="1"/>
  <c r="N258" i="1"/>
  <c r="M258" i="1"/>
  <c r="O258" i="1" s="1"/>
  <c r="L258" i="1"/>
  <c r="K258" i="1" a="1"/>
  <c r="K258" i="1" s="1"/>
  <c r="N257" i="1"/>
  <c r="M257" i="1"/>
  <c r="O257" i="1" s="1"/>
  <c r="L257" i="1"/>
  <c r="K257" i="1" a="1"/>
  <c r="K257" i="1" s="1"/>
  <c r="N256" i="1"/>
  <c r="M256" i="1"/>
  <c r="O256" i="1" s="1"/>
  <c r="L256" i="1"/>
  <c r="K256" i="1" a="1"/>
  <c r="K256" i="1" s="1"/>
  <c r="N255" i="1"/>
  <c r="M255" i="1"/>
  <c r="O255" i="1" s="1"/>
  <c r="L255" i="1"/>
  <c r="K255" i="1" a="1"/>
  <c r="K255" i="1" s="1"/>
  <c r="N254" i="1"/>
  <c r="M254" i="1"/>
  <c r="O254" i="1" s="1"/>
  <c r="L254" i="1"/>
  <c r="K254" i="1" a="1"/>
  <c r="K254" i="1" s="1"/>
  <c r="N253" i="1"/>
  <c r="M253" i="1"/>
  <c r="O253" i="1" s="1"/>
  <c r="L253" i="1"/>
  <c r="K253" i="1" a="1"/>
  <c r="K253" i="1" s="1"/>
  <c r="N252" i="1"/>
  <c r="M252" i="1"/>
  <c r="O252" i="1" s="1"/>
  <c r="L252" i="1"/>
  <c r="K252" i="1" a="1"/>
  <c r="K252" i="1" s="1"/>
  <c r="N251" i="1"/>
  <c r="M251" i="1"/>
  <c r="O251" i="1" s="1"/>
  <c r="L251" i="1"/>
  <c r="K251" i="1" a="1"/>
  <c r="K251" i="1" s="1"/>
  <c r="N250" i="1"/>
  <c r="M250" i="1"/>
  <c r="O250" i="1" s="1"/>
  <c r="L250" i="1"/>
  <c r="K250" i="1" a="1"/>
  <c r="K250" i="1" s="1"/>
  <c r="N249" i="1"/>
  <c r="M249" i="1"/>
  <c r="O249" i="1" s="1"/>
  <c r="L249" i="1"/>
  <c r="K249" i="1" a="1"/>
  <c r="K249" i="1" s="1"/>
  <c r="N248" i="1"/>
  <c r="M248" i="1"/>
  <c r="O248" i="1" s="1"/>
  <c r="L248" i="1"/>
  <c r="K248" i="1" a="1"/>
  <c r="K248" i="1" s="1"/>
  <c r="N247" i="1"/>
  <c r="M247" i="1"/>
  <c r="O247" i="1" s="1"/>
  <c r="L247" i="1"/>
  <c r="K247" i="1" a="1"/>
  <c r="K247" i="1" s="1"/>
  <c r="N246" i="1"/>
  <c r="M246" i="1"/>
  <c r="O246" i="1" s="1"/>
  <c r="L246" i="1"/>
  <c r="K246" i="1" a="1"/>
  <c r="K246" i="1" s="1"/>
  <c r="N245" i="1"/>
  <c r="M245" i="1"/>
  <c r="O245" i="1" s="1"/>
  <c r="L245" i="1"/>
  <c r="K245" i="1" a="1"/>
  <c r="K245" i="1" s="1"/>
  <c r="N244" i="1"/>
  <c r="M244" i="1"/>
  <c r="O244" i="1" s="1"/>
  <c r="L244" i="1"/>
  <c r="K244" i="1" a="1"/>
  <c r="K244" i="1" s="1"/>
  <c r="N243" i="1"/>
  <c r="M243" i="1"/>
  <c r="O243" i="1" s="1"/>
  <c r="L243" i="1"/>
  <c r="K243" i="1" a="1"/>
  <c r="K243" i="1" s="1"/>
  <c r="N242" i="1"/>
  <c r="M242" i="1"/>
  <c r="O242" i="1" s="1"/>
  <c r="L242" i="1"/>
  <c r="K242" i="1" a="1"/>
  <c r="K242" i="1" s="1"/>
  <c r="N241" i="1"/>
  <c r="M241" i="1"/>
  <c r="O241" i="1" s="1"/>
  <c r="L241" i="1"/>
  <c r="K241" i="1" a="1"/>
  <c r="K241" i="1" s="1"/>
  <c r="N240" i="1"/>
  <c r="M240" i="1"/>
  <c r="O240" i="1" s="1"/>
  <c r="L240" i="1"/>
  <c r="K240" i="1" a="1"/>
  <c r="K240" i="1" s="1"/>
  <c r="N239" i="1"/>
  <c r="M239" i="1"/>
  <c r="O239" i="1" s="1"/>
  <c r="L239" i="1"/>
  <c r="K239" i="1" a="1"/>
  <c r="K239" i="1" s="1"/>
  <c r="N238" i="1"/>
  <c r="M238" i="1"/>
  <c r="O238" i="1" s="1"/>
  <c r="L238" i="1"/>
  <c r="K238" i="1" a="1"/>
  <c r="K238" i="1" s="1"/>
  <c r="N237" i="1"/>
  <c r="M237" i="1"/>
  <c r="O237" i="1" s="1"/>
  <c r="L237" i="1"/>
  <c r="K237" i="1" a="1"/>
  <c r="K237" i="1" s="1"/>
  <c r="N236" i="1"/>
  <c r="M236" i="1"/>
  <c r="O236" i="1" s="1"/>
  <c r="L236" i="1"/>
  <c r="K236" i="1" a="1"/>
  <c r="K236" i="1" s="1"/>
  <c r="N235" i="1"/>
  <c r="M235" i="1"/>
  <c r="O235" i="1" s="1"/>
  <c r="L235" i="1"/>
  <c r="K235" i="1" a="1"/>
  <c r="K235" i="1" s="1"/>
  <c r="N234" i="1"/>
  <c r="M234" i="1"/>
  <c r="O234" i="1" s="1"/>
  <c r="L234" i="1"/>
  <c r="K234" i="1" a="1"/>
  <c r="K234" i="1" s="1"/>
  <c r="N233" i="1"/>
  <c r="M233" i="1"/>
  <c r="O233" i="1" s="1"/>
  <c r="L233" i="1"/>
  <c r="K233" i="1" a="1"/>
  <c r="K233" i="1" s="1"/>
  <c r="N232" i="1"/>
  <c r="M232" i="1"/>
  <c r="O232" i="1" s="1"/>
  <c r="L232" i="1"/>
  <c r="K232" i="1" a="1"/>
  <c r="K232" i="1" s="1"/>
  <c r="N231" i="1"/>
  <c r="M231" i="1"/>
  <c r="O231" i="1" s="1"/>
  <c r="L231" i="1"/>
  <c r="K231" i="1" a="1"/>
  <c r="K231" i="1" s="1"/>
  <c r="N230" i="1"/>
  <c r="M230" i="1"/>
  <c r="O230" i="1" s="1"/>
  <c r="L230" i="1"/>
  <c r="K230" i="1" a="1"/>
  <c r="K230" i="1" s="1"/>
  <c r="N229" i="1"/>
  <c r="M229" i="1"/>
  <c r="O229" i="1" s="1"/>
  <c r="L229" i="1"/>
  <c r="K229" i="1" a="1"/>
  <c r="K229" i="1" s="1"/>
  <c r="N228" i="1"/>
  <c r="M228" i="1"/>
  <c r="O228" i="1" s="1"/>
  <c r="L228" i="1"/>
  <c r="K228" i="1" a="1"/>
  <c r="K228" i="1" s="1"/>
  <c r="N227" i="1"/>
  <c r="M227" i="1"/>
  <c r="O227" i="1" s="1"/>
  <c r="L227" i="1"/>
  <c r="K227" i="1" a="1"/>
  <c r="K227" i="1" s="1"/>
  <c r="N226" i="1"/>
  <c r="M226" i="1"/>
  <c r="O226" i="1" s="1"/>
  <c r="L226" i="1"/>
  <c r="K226" i="1" a="1"/>
  <c r="K226" i="1" s="1"/>
  <c r="N225" i="1"/>
  <c r="M225" i="1"/>
  <c r="O225" i="1" s="1"/>
  <c r="L225" i="1"/>
  <c r="K225" i="1" a="1"/>
  <c r="K225" i="1" s="1"/>
  <c r="N224" i="1"/>
  <c r="M224" i="1"/>
  <c r="O224" i="1" s="1"/>
  <c r="L224" i="1"/>
  <c r="K224" i="1" a="1"/>
  <c r="K224" i="1" s="1"/>
  <c r="N223" i="1"/>
  <c r="M223" i="1"/>
  <c r="O223" i="1" s="1"/>
  <c r="L223" i="1"/>
  <c r="K223" i="1" a="1"/>
  <c r="K223" i="1" s="1"/>
  <c r="N222" i="1"/>
  <c r="M222" i="1"/>
  <c r="O222" i="1" s="1"/>
  <c r="L222" i="1"/>
  <c r="K222" i="1" a="1"/>
  <c r="K222" i="1" s="1"/>
  <c r="N221" i="1"/>
  <c r="M221" i="1"/>
  <c r="O221" i="1" s="1"/>
  <c r="L221" i="1"/>
  <c r="K221" i="1" a="1"/>
  <c r="K221" i="1" s="1"/>
  <c r="N220" i="1"/>
  <c r="M220" i="1"/>
  <c r="O220" i="1" s="1"/>
  <c r="L220" i="1"/>
  <c r="K220" i="1" a="1"/>
  <c r="K220" i="1" s="1"/>
  <c r="N219" i="1"/>
  <c r="M219" i="1"/>
  <c r="O219" i="1" s="1"/>
  <c r="L219" i="1"/>
  <c r="K219" i="1" a="1"/>
  <c r="K219" i="1" s="1"/>
  <c r="N218" i="1"/>
  <c r="M218" i="1"/>
  <c r="O218" i="1" s="1"/>
  <c r="L218" i="1"/>
  <c r="K218" i="1" a="1"/>
  <c r="K218" i="1" s="1"/>
  <c r="N217" i="1"/>
  <c r="M217" i="1"/>
  <c r="O217" i="1" s="1"/>
  <c r="L217" i="1"/>
  <c r="K217" i="1" a="1"/>
  <c r="K217" i="1" s="1"/>
  <c r="N216" i="1"/>
  <c r="M216" i="1"/>
  <c r="O216" i="1" s="1"/>
  <c r="L216" i="1"/>
  <c r="K216" i="1" a="1"/>
  <c r="K216" i="1" s="1"/>
  <c r="N215" i="1"/>
  <c r="M215" i="1"/>
  <c r="O215" i="1" s="1"/>
  <c r="L215" i="1"/>
  <c r="K215" i="1" a="1"/>
  <c r="K215" i="1" s="1"/>
  <c r="N214" i="1"/>
  <c r="M214" i="1"/>
  <c r="O214" i="1" s="1"/>
  <c r="L214" i="1"/>
  <c r="K214" i="1" a="1"/>
  <c r="K214" i="1" s="1"/>
  <c r="N213" i="1"/>
  <c r="M213" i="1"/>
  <c r="O213" i="1" s="1"/>
  <c r="L213" i="1"/>
  <c r="K213" i="1" a="1"/>
  <c r="K213" i="1" s="1"/>
  <c r="N212" i="1"/>
  <c r="M212" i="1"/>
  <c r="O212" i="1" s="1"/>
  <c r="L212" i="1"/>
  <c r="K212" i="1" a="1"/>
  <c r="K212" i="1" s="1"/>
  <c r="N211" i="1"/>
  <c r="M211" i="1"/>
  <c r="O211" i="1" s="1"/>
  <c r="L211" i="1"/>
  <c r="K211" i="1" a="1"/>
  <c r="K211" i="1" s="1"/>
  <c r="N210" i="1"/>
  <c r="M210" i="1"/>
  <c r="O210" i="1" s="1"/>
  <c r="L210" i="1"/>
  <c r="K210" i="1" a="1"/>
  <c r="K210" i="1" s="1"/>
  <c r="N209" i="1"/>
  <c r="M209" i="1"/>
  <c r="O209" i="1" s="1"/>
  <c r="L209" i="1"/>
  <c r="K209" i="1" a="1"/>
  <c r="K209" i="1" s="1"/>
  <c r="N208" i="1"/>
  <c r="M208" i="1"/>
  <c r="O208" i="1" s="1"/>
  <c r="L208" i="1"/>
  <c r="K208" i="1" a="1"/>
  <c r="K208" i="1" s="1"/>
  <c r="N207" i="1"/>
  <c r="M207" i="1"/>
  <c r="O207" i="1" s="1"/>
  <c r="L207" i="1"/>
  <c r="K207" i="1" a="1"/>
  <c r="K207" i="1" s="1"/>
  <c r="N206" i="1"/>
  <c r="M206" i="1"/>
  <c r="O206" i="1" s="1"/>
  <c r="L206" i="1"/>
  <c r="K206" i="1" a="1"/>
  <c r="K206" i="1" s="1"/>
  <c r="N205" i="1"/>
  <c r="M205" i="1"/>
  <c r="O205" i="1" s="1"/>
  <c r="L205" i="1"/>
  <c r="K205" i="1" a="1"/>
  <c r="K205" i="1" s="1"/>
  <c r="N204" i="1"/>
  <c r="M204" i="1"/>
  <c r="O204" i="1" s="1"/>
  <c r="L204" i="1"/>
  <c r="K204" i="1" a="1"/>
  <c r="K204" i="1" s="1"/>
  <c r="N203" i="1"/>
  <c r="M203" i="1"/>
  <c r="O203" i="1" s="1"/>
  <c r="L203" i="1"/>
  <c r="K203" i="1" a="1"/>
  <c r="K203" i="1" s="1"/>
  <c r="N202" i="1"/>
  <c r="M202" i="1"/>
  <c r="O202" i="1" s="1"/>
  <c r="L202" i="1"/>
  <c r="K202" i="1" a="1"/>
  <c r="K202" i="1" s="1"/>
  <c r="N201" i="1"/>
  <c r="M201" i="1"/>
  <c r="O201" i="1" s="1"/>
  <c r="L201" i="1"/>
  <c r="K201" i="1" a="1"/>
  <c r="K201" i="1" s="1"/>
  <c r="N200" i="1"/>
  <c r="M200" i="1"/>
  <c r="O200" i="1" s="1"/>
  <c r="L200" i="1"/>
  <c r="K200" i="1" a="1"/>
  <c r="K200" i="1" s="1"/>
  <c r="N199" i="1"/>
  <c r="M199" i="1"/>
  <c r="O199" i="1" s="1"/>
  <c r="L199" i="1"/>
  <c r="K199" i="1" a="1"/>
  <c r="K199" i="1" s="1"/>
  <c r="N198" i="1"/>
  <c r="M198" i="1"/>
  <c r="O198" i="1" s="1"/>
  <c r="L198" i="1"/>
  <c r="K198" i="1" a="1"/>
  <c r="K198" i="1" s="1"/>
  <c r="N197" i="1"/>
  <c r="M197" i="1"/>
  <c r="O197" i="1" s="1"/>
  <c r="L197" i="1"/>
  <c r="K197" i="1" a="1"/>
  <c r="K197" i="1" s="1"/>
  <c r="N196" i="1"/>
  <c r="M196" i="1"/>
  <c r="O196" i="1" s="1"/>
  <c r="L196" i="1"/>
  <c r="K196" i="1" a="1"/>
  <c r="K196" i="1" s="1"/>
  <c r="N195" i="1"/>
  <c r="M195" i="1"/>
  <c r="O195" i="1" s="1"/>
  <c r="L195" i="1"/>
  <c r="K195" i="1" a="1"/>
  <c r="K195" i="1" s="1"/>
  <c r="N194" i="1"/>
  <c r="M194" i="1"/>
  <c r="O194" i="1" s="1"/>
  <c r="L194" i="1"/>
  <c r="K194" i="1" a="1"/>
  <c r="K194" i="1" s="1"/>
  <c r="N193" i="1"/>
  <c r="M193" i="1"/>
  <c r="O193" i="1" s="1"/>
  <c r="L193" i="1"/>
  <c r="K193" i="1" a="1"/>
  <c r="K193" i="1" s="1"/>
  <c r="N192" i="1"/>
  <c r="M192" i="1"/>
  <c r="O192" i="1" s="1"/>
  <c r="L192" i="1"/>
  <c r="K192" i="1" a="1"/>
  <c r="K192" i="1" s="1"/>
  <c r="N191" i="1"/>
  <c r="M191" i="1"/>
  <c r="O191" i="1" s="1"/>
  <c r="L191" i="1"/>
  <c r="K191" i="1" a="1"/>
  <c r="K191" i="1" s="1"/>
  <c r="N190" i="1"/>
  <c r="M190" i="1"/>
  <c r="O190" i="1" s="1"/>
  <c r="L190" i="1"/>
  <c r="K190" i="1" a="1"/>
  <c r="K190" i="1" s="1"/>
  <c r="N189" i="1"/>
  <c r="M189" i="1"/>
  <c r="O189" i="1" s="1"/>
  <c r="L189" i="1"/>
  <c r="K189" i="1" a="1"/>
  <c r="K189" i="1" s="1"/>
  <c r="N188" i="1"/>
  <c r="M188" i="1"/>
  <c r="O188" i="1" s="1"/>
  <c r="L188" i="1"/>
  <c r="K188" i="1" a="1"/>
  <c r="K188" i="1" s="1"/>
  <c r="N187" i="1"/>
  <c r="M187" i="1"/>
  <c r="O187" i="1" s="1"/>
  <c r="L187" i="1"/>
  <c r="K187" i="1" a="1"/>
  <c r="K187" i="1" s="1"/>
  <c r="N186" i="1"/>
  <c r="M186" i="1"/>
  <c r="O186" i="1" s="1"/>
  <c r="L186" i="1"/>
  <c r="K186" i="1" a="1"/>
  <c r="K186" i="1" s="1"/>
  <c r="N185" i="1"/>
  <c r="M185" i="1"/>
  <c r="O185" i="1" s="1"/>
  <c r="L185" i="1"/>
  <c r="K185" i="1" a="1"/>
  <c r="K185" i="1" s="1"/>
  <c r="N184" i="1"/>
  <c r="M184" i="1"/>
  <c r="O184" i="1" s="1"/>
  <c r="L184" i="1"/>
  <c r="K184" i="1" a="1"/>
  <c r="K184" i="1" s="1"/>
  <c r="N183" i="1"/>
  <c r="M183" i="1"/>
  <c r="O183" i="1" s="1"/>
  <c r="L183" i="1"/>
  <c r="K183" i="1" a="1"/>
  <c r="K183" i="1" s="1"/>
  <c r="N182" i="1"/>
  <c r="M182" i="1"/>
  <c r="O182" i="1" s="1"/>
  <c r="L182" i="1"/>
  <c r="K182" i="1" a="1"/>
  <c r="K182" i="1" s="1"/>
  <c r="N181" i="1"/>
  <c r="M181" i="1"/>
  <c r="O181" i="1" s="1"/>
  <c r="L181" i="1"/>
  <c r="K181" i="1" a="1"/>
  <c r="K181" i="1" s="1"/>
  <c r="N180" i="1"/>
  <c r="M180" i="1"/>
  <c r="O180" i="1" s="1"/>
  <c r="L180" i="1"/>
  <c r="K180" i="1" a="1"/>
  <c r="K180" i="1" s="1"/>
  <c r="N179" i="1"/>
  <c r="M179" i="1"/>
  <c r="O179" i="1" s="1"/>
  <c r="L179" i="1"/>
  <c r="K179" i="1" a="1"/>
  <c r="K179" i="1" s="1"/>
  <c r="N178" i="1"/>
  <c r="M178" i="1"/>
  <c r="O178" i="1" s="1"/>
  <c r="L178" i="1"/>
  <c r="K178" i="1" a="1"/>
  <c r="K178" i="1" s="1"/>
  <c r="N177" i="1"/>
  <c r="M177" i="1"/>
  <c r="O177" i="1" s="1"/>
  <c r="L177" i="1"/>
  <c r="K177" i="1" a="1"/>
  <c r="K177" i="1" s="1"/>
  <c r="N176" i="1"/>
  <c r="M176" i="1"/>
  <c r="O176" i="1" s="1"/>
  <c r="L176" i="1"/>
  <c r="K176" i="1" a="1"/>
  <c r="K176" i="1" s="1"/>
  <c r="N175" i="1"/>
  <c r="M175" i="1"/>
  <c r="O175" i="1" s="1"/>
  <c r="L175" i="1"/>
  <c r="K175" i="1" a="1"/>
  <c r="K175" i="1" s="1"/>
  <c r="N174" i="1"/>
  <c r="M174" i="1"/>
  <c r="O174" i="1" s="1"/>
  <c r="L174" i="1"/>
  <c r="K174" i="1" a="1"/>
  <c r="K174" i="1" s="1"/>
  <c r="N173" i="1"/>
  <c r="M173" i="1"/>
  <c r="O173" i="1" s="1"/>
  <c r="L173" i="1"/>
  <c r="K173" i="1" a="1"/>
  <c r="K173" i="1" s="1"/>
  <c r="N172" i="1"/>
  <c r="M172" i="1"/>
  <c r="O172" i="1" s="1"/>
  <c r="L172" i="1"/>
  <c r="K172" i="1" a="1"/>
  <c r="K172" i="1" s="1"/>
  <c r="N171" i="1"/>
  <c r="M171" i="1"/>
  <c r="O171" i="1" s="1"/>
  <c r="L171" i="1"/>
  <c r="K171" i="1" a="1"/>
  <c r="K171" i="1" s="1"/>
  <c r="N170" i="1"/>
  <c r="M170" i="1"/>
  <c r="O170" i="1" s="1"/>
  <c r="L170" i="1"/>
  <c r="K170" i="1" a="1"/>
  <c r="K170" i="1" s="1"/>
  <c r="N169" i="1"/>
  <c r="M169" i="1"/>
  <c r="O169" i="1" s="1"/>
  <c r="L169" i="1"/>
  <c r="K169" i="1" a="1"/>
  <c r="K169" i="1" s="1"/>
  <c r="N168" i="1"/>
  <c r="M168" i="1"/>
  <c r="O168" i="1" s="1"/>
  <c r="L168" i="1"/>
  <c r="K168" i="1" a="1"/>
  <c r="K168" i="1" s="1"/>
  <c r="N167" i="1"/>
  <c r="M167" i="1"/>
  <c r="O167" i="1" s="1"/>
  <c r="L167" i="1"/>
  <c r="K167" i="1" a="1"/>
  <c r="K167" i="1" s="1"/>
  <c r="N166" i="1"/>
  <c r="M166" i="1"/>
  <c r="O166" i="1" s="1"/>
  <c r="L166" i="1"/>
  <c r="K166" i="1" a="1"/>
  <c r="K166" i="1" s="1"/>
  <c r="N165" i="1"/>
  <c r="M165" i="1"/>
  <c r="O165" i="1" s="1"/>
  <c r="L165" i="1"/>
  <c r="K165" i="1" a="1"/>
  <c r="K165" i="1" s="1"/>
  <c r="N164" i="1"/>
  <c r="M164" i="1"/>
  <c r="O164" i="1" s="1"/>
  <c r="L164" i="1"/>
  <c r="K164" i="1" a="1"/>
  <c r="K164" i="1" s="1"/>
  <c r="N163" i="1"/>
  <c r="M163" i="1"/>
  <c r="O163" i="1" s="1"/>
  <c r="L163" i="1"/>
  <c r="K163" i="1" a="1"/>
  <c r="K163" i="1" s="1"/>
  <c r="N162" i="1"/>
  <c r="M162" i="1"/>
  <c r="O162" i="1" s="1"/>
  <c r="L162" i="1"/>
  <c r="K162" i="1" a="1"/>
  <c r="K162" i="1" s="1"/>
  <c r="N161" i="1"/>
  <c r="M161" i="1"/>
  <c r="O161" i="1" s="1"/>
  <c r="L161" i="1"/>
  <c r="K161" i="1" a="1"/>
  <c r="K161" i="1" s="1"/>
  <c r="N160" i="1"/>
  <c r="M160" i="1"/>
  <c r="O160" i="1" s="1"/>
  <c r="L160" i="1"/>
  <c r="K160" i="1" a="1"/>
  <c r="K160" i="1" s="1"/>
  <c r="N159" i="1"/>
  <c r="M159" i="1"/>
  <c r="O159" i="1" s="1"/>
  <c r="L159" i="1"/>
  <c r="K159" i="1" a="1"/>
  <c r="K159" i="1" s="1"/>
  <c r="N158" i="1"/>
  <c r="M158" i="1"/>
  <c r="O158" i="1" s="1"/>
  <c r="L158" i="1"/>
  <c r="K158" i="1" a="1"/>
  <c r="K158" i="1" s="1"/>
  <c r="N157" i="1"/>
  <c r="M157" i="1"/>
  <c r="O157" i="1" s="1"/>
  <c r="L157" i="1"/>
  <c r="K157" i="1" a="1"/>
  <c r="K157" i="1" s="1"/>
  <c r="N156" i="1"/>
  <c r="M156" i="1"/>
  <c r="O156" i="1" s="1"/>
  <c r="L156" i="1"/>
  <c r="K156" i="1" a="1"/>
  <c r="K156" i="1" s="1"/>
  <c r="N155" i="1"/>
  <c r="M155" i="1"/>
  <c r="O155" i="1" s="1"/>
  <c r="L155" i="1"/>
  <c r="K155" i="1" a="1"/>
  <c r="K155" i="1" s="1"/>
  <c r="N154" i="1"/>
  <c r="M154" i="1"/>
  <c r="O154" i="1" s="1"/>
  <c r="L154" i="1"/>
  <c r="K154" i="1" a="1"/>
  <c r="K154" i="1" s="1"/>
  <c r="N153" i="1"/>
  <c r="M153" i="1"/>
  <c r="O153" i="1" s="1"/>
  <c r="L153" i="1"/>
  <c r="K153" i="1" a="1"/>
  <c r="K153" i="1" s="1"/>
  <c r="N152" i="1"/>
  <c r="M152" i="1"/>
  <c r="O152" i="1" s="1"/>
  <c r="L152" i="1"/>
  <c r="K152" i="1" a="1"/>
  <c r="K152" i="1" s="1"/>
  <c r="N151" i="1"/>
  <c r="M151" i="1"/>
  <c r="O151" i="1" s="1"/>
  <c r="L151" i="1"/>
  <c r="K151" i="1" a="1"/>
  <c r="K151" i="1" s="1"/>
  <c r="N150" i="1"/>
  <c r="M150" i="1"/>
  <c r="O150" i="1" s="1"/>
  <c r="L150" i="1"/>
  <c r="K150" i="1" a="1"/>
  <c r="K150" i="1" s="1"/>
  <c r="N149" i="1"/>
  <c r="M149" i="1"/>
  <c r="O149" i="1" s="1"/>
  <c r="L149" i="1"/>
  <c r="K149" i="1" a="1"/>
  <c r="K149" i="1" s="1"/>
  <c r="N148" i="1"/>
  <c r="M148" i="1"/>
  <c r="O148" i="1" s="1"/>
  <c r="L148" i="1"/>
  <c r="K148" i="1" a="1"/>
  <c r="K148" i="1" s="1"/>
  <c r="N147" i="1"/>
  <c r="M147" i="1"/>
  <c r="O147" i="1" s="1"/>
  <c r="L147" i="1"/>
  <c r="K147" i="1" a="1"/>
  <c r="K147" i="1" s="1"/>
  <c r="N146" i="1"/>
  <c r="M146" i="1"/>
  <c r="O146" i="1" s="1"/>
  <c r="L146" i="1"/>
  <c r="K146" i="1" a="1"/>
  <c r="K146" i="1" s="1"/>
  <c r="N145" i="1"/>
  <c r="M145" i="1"/>
  <c r="O145" i="1" s="1"/>
  <c r="L145" i="1"/>
  <c r="K145" i="1" a="1"/>
  <c r="K145" i="1" s="1"/>
  <c r="N144" i="1"/>
  <c r="M144" i="1"/>
  <c r="O144" i="1" s="1"/>
  <c r="L144" i="1"/>
  <c r="K144" i="1" a="1"/>
  <c r="K144" i="1" s="1"/>
  <c r="N143" i="1"/>
  <c r="M143" i="1"/>
  <c r="O143" i="1" s="1"/>
  <c r="L143" i="1"/>
  <c r="K143" i="1" a="1"/>
  <c r="K143" i="1" s="1"/>
  <c r="N142" i="1"/>
  <c r="M142" i="1"/>
  <c r="O142" i="1" s="1"/>
  <c r="L142" i="1"/>
  <c r="K142" i="1" a="1"/>
  <c r="K142" i="1" s="1"/>
  <c r="N141" i="1"/>
  <c r="M141" i="1"/>
  <c r="O141" i="1" s="1"/>
  <c r="L141" i="1"/>
  <c r="K141" i="1" a="1"/>
  <c r="K141" i="1" s="1"/>
  <c r="N140" i="1"/>
  <c r="M140" i="1"/>
  <c r="O140" i="1" s="1"/>
  <c r="L140" i="1"/>
  <c r="K140" i="1" a="1"/>
  <c r="K140" i="1" s="1"/>
  <c r="N139" i="1"/>
  <c r="M139" i="1"/>
  <c r="O139" i="1" s="1"/>
  <c r="L139" i="1"/>
  <c r="K139" i="1" a="1"/>
  <c r="K139" i="1" s="1"/>
  <c r="N138" i="1"/>
  <c r="M138" i="1"/>
  <c r="O138" i="1" s="1"/>
  <c r="L138" i="1"/>
  <c r="K138" i="1" a="1"/>
  <c r="K138" i="1" s="1"/>
  <c r="N137" i="1"/>
  <c r="M137" i="1"/>
  <c r="O137" i="1" s="1"/>
  <c r="L137" i="1"/>
  <c r="K137" i="1" a="1"/>
  <c r="K137" i="1" s="1"/>
  <c r="N136" i="1"/>
  <c r="M136" i="1"/>
  <c r="O136" i="1" s="1"/>
  <c r="L136" i="1"/>
  <c r="K136" i="1" a="1"/>
  <c r="K136" i="1" s="1"/>
  <c r="N135" i="1"/>
  <c r="M135" i="1"/>
  <c r="O135" i="1" s="1"/>
  <c r="L135" i="1"/>
  <c r="K135" i="1" a="1"/>
  <c r="K135" i="1" s="1"/>
  <c r="N134" i="1"/>
  <c r="M134" i="1"/>
  <c r="O134" i="1" s="1"/>
  <c r="L134" i="1"/>
  <c r="K134" i="1" a="1"/>
  <c r="K134" i="1" s="1"/>
  <c r="N133" i="1"/>
  <c r="M133" i="1"/>
  <c r="O133" i="1" s="1"/>
  <c r="L133" i="1"/>
  <c r="K133" i="1" a="1"/>
  <c r="K133" i="1" s="1"/>
  <c r="N132" i="1"/>
  <c r="M132" i="1"/>
  <c r="O132" i="1" s="1"/>
  <c r="L132" i="1"/>
  <c r="K132" i="1" a="1"/>
  <c r="K132" i="1" s="1"/>
  <c r="N131" i="1"/>
  <c r="M131" i="1"/>
  <c r="O131" i="1" s="1"/>
  <c r="L131" i="1"/>
  <c r="K131" i="1" a="1"/>
  <c r="K131" i="1" s="1"/>
  <c r="N130" i="1"/>
  <c r="M130" i="1"/>
  <c r="O130" i="1" s="1"/>
  <c r="L130" i="1"/>
  <c r="K130" i="1" a="1"/>
  <c r="K130" i="1" s="1"/>
  <c r="N129" i="1"/>
  <c r="M129" i="1"/>
  <c r="O129" i="1" s="1"/>
  <c r="L129" i="1"/>
  <c r="K129" i="1" a="1"/>
  <c r="K129" i="1" s="1"/>
  <c r="N128" i="1"/>
  <c r="M128" i="1"/>
  <c r="O128" i="1" s="1"/>
  <c r="L128" i="1"/>
  <c r="K128" i="1" a="1"/>
  <c r="K128" i="1" s="1"/>
  <c r="N127" i="1"/>
  <c r="M127" i="1"/>
  <c r="O127" i="1" s="1"/>
  <c r="L127" i="1"/>
  <c r="K127" i="1" a="1"/>
  <c r="K127" i="1" s="1"/>
  <c r="N126" i="1"/>
  <c r="M126" i="1"/>
  <c r="O126" i="1" s="1"/>
  <c r="L126" i="1"/>
  <c r="K126" i="1" a="1"/>
  <c r="K126" i="1" s="1"/>
  <c r="N125" i="1"/>
  <c r="M125" i="1"/>
  <c r="O125" i="1" s="1"/>
  <c r="L125" i="1"/>
  <c r="K125" i="1" a="1"/>
  <c r="K125" i="1" s="1"/>
  <c r="N124" i="1"/>
  <c r="M124" i="1"/>
  <c r="O124" i="1" s="1"/>
  <c r="L124" i="1"/>
  <c r="K124" i="1" a="1"/>
  <c r="K124" i="1" s="1"/>
  <c r="N123" i="1"/>
  <c r="M123" i="1"/>
  <c r="O123" i="1" s="1"/>
  <c r="L123" i="1"/>
  <c r="K123" i="1" a="1"/>
  <c r="K123" i="1" s="1"/>
  <c r="N122" i="1"/>
  <c r="M122" i="1"/>
  <c r="O122" i="1" s="1"/>
  <c r="L122" i="1"/>
  <c r="K122" i="1" a="1"/>
  <c r="K122" i="1" s="1"/>
  <c r="N121" i="1"/>
  <c r="M121" i="1"/>
  <c r="O121" i="1" s="1"/>
  <c r="L121" i="1"/>
  <c r="K121" i="1" a="1"/>
  <c r="K121" i="1" s="1"/>
  <c r="N120" i="1"/>
  <c r="M120" i="1"/>
  <c r="O120" i="1" s="1"/>
  <c r="L120" i="1"/>
  <c r="K120" i="1" a="1"/>
  <c r="K120" i="1" s="1"/>
  <c r="N119" i="1"/>
  <c r="M119" i="1"/>
  <c r="O119" i="1" s="1"/>
  <c r="L119" i="1"/>
  <c r="K119" i="1" a="1"/>
  <c r="K119" i="1" s="1"/>
  <c r="N118" i="1"/>
  <c r="M118" i="1"/>
  <c r="O118" i="1" s="1"/>
  <c r="L118" i="1"/>
  <c r="K118" i="1" a="1"/>
  <c r="K118" i="1" s="1"/>
  <c r="N117" i="1"/>
  <c r="M117" i="1"/>
  <c r="O117" i="1" s="1"/>
  <c r="L117" i="1"/>
  <c r="K117" i="1" a="1"/>
  <c r="K117" i="1" s="1"/>
  <c r="N116" i="1"/>
  <c r="M116" i="1"/>
  <c r="O116" i="1" s="1"/>
  <c r="L116" i="1"/>
  <c r="K116" i="1" a="1"/>
  <c r="K116" i="1" s="1"/>
  <c r="N115" i="1"/>
  <c r="M115" i="1"/>
  <c r="O115" i="1" s="1"/>
  <c r="L115" i="1"/>
  <c r="K115" i="1" a="1"/>
  <c r="K115" i="1" s="1"/>
  <c r="N114" i="1"/>
  <c r="M114" i="1"/>
  <c r="O114" i="1" s="1"/>
  <c r="L114" i="1"/>
  <c r="K114" i="1" a="1"/>
  <c r="K114" i="1" s="1"/>
  <c r="N113" i="1"/>
  <c r="M113" i="1"/>
  <c r="O113" i="1" s="1"/>
  <c r="L113" i="1"/>
  <c r="K113" i="1" a="1"/>
  <c r="K113" i="1" s="1"/>
  <c r="N112" i="1"/>
  <c r="M112" i="1"/>
  <c r="O112" i="1" s="1"/>
  <c r="L112" i="1"/>
  <c r="K112" i="1" a="1"/>
  <c r="K112" i="1" s="1"/>
  <c r="N111" i="1"/>
  <c r="M111" i="1"/>
  <c r="O111" i="1" s="1"/>
  <c r="L111" i="1"/>
  <c r="K111" i="1" a="1"/>
  <c r="K111" i="1" s="1"/>
  <c r="N110" i="1"/>
  <c r="M110" i="1"/>
  <c r="O110" i="1" s="1"/>
  <c r="L110" i="1"/>
  <c r="K110" i="1" a="1"/>
  <c r="K110" i="1" s="1"/>
  <c r="N109" i="1"/>
  <c r="M109" i="1"/>
  <c r="O109" i="1" s="1"/>
  <c r="L109" i="1"/>
  <c r="K109" i="1" a="1"/>
  <c r="K109" i="1" s="1"/>
  <c r="N108" i="1"/>
  <c r="M108" i="1"/>
  <c r="O108" i="1" s="1"/>
  <c r="L108" i="1"/>
  <c r="K108" i="1" a="1"/>
  <c r="K108" i="1" s="1"/>
  <c r="N107" i="1"/>
  <c r="M107" i="1"/>
  <c r="O107" i="1" s="1"/>
  <c r="L107" i="1"/>
  <c r="K107" i="1" a="1"/>
  <c r="K107" i="1" s="1"/>
  <c r="N106" i="1"/>
  <c r="M106" i="1"/>
  <c r="O106" i="1" s="1"/>
  <c r="L106" i="1"/>
  <c r="K106" i="1" a="1"/>
  <c r="K106" i="1" s="1"/>
  <c r="N105" i="1"/>
  <c r="M105" i="1"/>
  <c r="O105" i="1" s="1"/>
  <c r="L105" i="1"/>
  <c r="K105" i="1" a="1"/>
  <c r="K105" i="1" s="1"/>
  <c r="N104" i="1"/>
  <c r="M104" i="1"/>
  <c r="O104" i="1" s="1"/>
  <c r="L104" i="1"/>
  <c r="K104" i="1" a="1"/>
  <c r="K104" i="1" s="1"/>
  <c r="N103" i="1"/>
  <c r="M103" i="1"/>
  <c r="O103" i="1" s="1"/>
  <c r="L103" i="1"/>
  <c r="K103" i="1" a="1"/>
  <c r="K103" i="1" s="1"/>
  <c r="N102" i="1"/>
  <c r="M102" i="1"/>
  <c r="O102" i="1" s="1"/>
  <c r="L102" i="1"/>
  <c r="K102" i="1" a="1"/>
  <c r="K102" i="1" s="1"/>
  <c r="N101" i="1"/>
  <c r="M101" i="1"/>
  <c r="O101" i="1" s="1"/>
  <c r="L101" i="1"/>
  <c r="K101" i="1" a="1"/>
  <c r="K101" i="1" s="1"/>
  <c r="N100" i="1"/>
  <c r="M100" i="1"/>
  <c r="O100" i="1" s="1"/>
  <c r="L100" i="1"/>
  <c r="K100" i="1" a="1"/>
  <c r="K100" i="1" s="1"/>
  <c r="N99" i="1"/>
  <c r="M99" i="1"/>
  <c r="O99" i="1" s="1"/>
  <c r="L99" i="1"/>
  <c r="K99" i="1" a="1"/>
  <c r="K99" i="1" s="1"/>
  <c r="N98" i="1"/>
  <c r="M98" i="1"/>
  <c r="O98" i="1" s="1"/>
  <c r="L98" i="1"/>
  <c r="K98" i="1" a="1"/>
  <c r="K98" i="1" s="1"/>
  <c r="N97" i="1"/>
  <c r="M97" i="1"/>
  <c r="O97" i="1" s="1"/>
  <c r="L97" i="1"/>
  <c r="K97" i="1" a="1"/>
  <c r="K97" i="1" s="1"/>
  <c r="N96" i="1"/>
  <c r="M96" i="1"/>
  <c r="O96" i="1" s="1"/>
  <c r="L96" i="1"/>
  <c r="K96" i="1" a="1"/>
  <c r="K96" i="1" s="1"/>
  <c r="N95" i="1"/>
  <c r="M95" i="1"/>
  <c r="O95" i="1" s="1"/>
  <c r="L95" i="1"/>
  <c r="K95" i="1" a="1"/>
  <c r="K95" i="1" s="1"/>
  <c r="N94" i="1"/>
  <c r="M94" i="1"/>
  <c r="O94" i="1" s="1"/>
  <c r="L94" i="1"/>
  <c r="K94" i="1" a="1"/>
  <c r="K94" i="1" s="1"/>
  <c r="N93" i="1"/>
  <c r="M93" i="1"/>
  <c r="O93" i="1" s="1"/>
  <c r="L93" i="1"/>
  <c r="K93" i="1" a="1"/>
  <c r="K93" i="1" s="1"/>
  <c r="N92" i="1"/>
  <c r="M92" i="1"/>
  <c r="O92" i="1" s="1"/>
  <c r="L92" i="1"/>
  <c r="K92" i="1" a="1"/>
  <c r="K92" i="1" s="1"/>
  <c r="N91" i="1"/>
  <c r="M91" i="1"/>
  <c r="O91" i="1" s="1"/>
  <c r="L91" i="1"/>
  <c r="K91" i="1" a="1"/>
  <c r="K91" i="1" s="1"/>
  <c r="N90" i="1"/>
  <c r="M90" i="1"/>
  <c r="O90" i="1" s="1"/>
  <c r="L90" i="1"/>
  <c r="K90" i="1" a="1"/>
  <c r="K90" i="1" s="1"/>
  <c r="N89" i="1"/>
  <c r="M89" i="1"/>
  <c r="O89" i="1" s="1"/>
  <c r="L89" i="1"/>
  <c r="K89" i="1" a="1"/>
  <c r="K89" i="1" s="1"/>
  <c r="N88" i="1"/>
  <c r="M88" i="1"/>
  <c r="O88" i="1" s="1"/>
  <c r="L88" i="1"/>
  <c r="K88" i="1" a="1"/>
  <c r="K88" i="1" s="1"/>
  <c r="N87" i="1"/>
  <c r="M87" i="1"/>
  <c r="O87" i="1" s="1"/>
  <c r="L87" i="1"/>
  <c r="K87" i="1" a="1"/>
  <c r="K87" i="1" s="1"/>
  <c r="N86" i="1"/>
  <c r="M86" i="1"/>
  <c r="O86" i="1" s="1"/>
  <c r="L86" i="1"/>
  <c r="K86" i="1" a="1"/>
  <c r="K86" i="1" s="1"/>
  <c r="N85" i="1"/>
  <c r="M85" i="1"/>
  <c r="O85" i="1" s="1"/>
  <c r="L85" i="1"/>
  <c r="K85" i="1" a="1"/>
  <c r="K85" i="1" s="1"/>
  <c r="N84" i="1"/>
  <c r="M84" i="1"/>
  <c r="O84" i="1" s="1"/>
  <c r="L84" i="1"/>
  <c r="K84" i="1" a="1"/>
  <c r="K84" i="1" s="1"/>
  <c r="N83" i="1"/>
  <c r="M83" i="1"/>
  <c r="O83" i="1" s="1"/>
  <c r="L83" i="1"/>
  <c r="K83" i="1" a="1"/>
  <c r="K83" i="1" s="1"/>
  <c r="N82" i="1"/>
  <c r="M82" i="1"/>
  <c r="O82" i="1" s="1"/>
  <c r="L82" i="1"/>
  <c r="K82" i="1" a="1"/>
  <c r="K82" i="1" s="1"/>
  <c r="N81" i="1"/>
  <c r="M81" i="1"/>
  <c r="O81" i="1" s="1"/>
  <c r="L81" i="1"/>
  <c r="K81" i="1" a="1"/>
  <c r="K81" i="1" s="1"/>
  <c r="N80" i="1"/>
  <c r="M80" i="1"/>
  <c r="O80" i="1" s="1"/>
  <c r="L80" i="1"/>
  <c r="K80" i="1" a="1"/>
  <c r="K80" i="1" s="1"/>
  <c r="N79" i="1"/>
  <c r="M79" i="1"/>
  <c r="O79" i="1" s="1"/>
  <c r="L79" i="1"/>
  <c r="K79" i="1" a="1"/>
  <c r="K79" i="1" s="1"/>
  <c r="N78" i="1"/>
  <c r="M78" i="1"/>
  <c r="O78" i="1" s="1"/>
  <c r="L78" i="1"/>
  <c r="K78" i="1" a="1"/>
  <c r="K78" i="1" s="1"/>
  <c r="N77" i="1"/>
  <c r="M77" i="1"/>
  <c r="O77" i="1" s="1"/>
  <c r="L77" i="1"/>
  <c r="K77" i="1" a="1"/>
  <c r="K77" i="1" s="1"/>
  <c r="N76" i="1"/>
  <c r="M76" i="1"/>
  <c r="O76" i="1" s="1"/>
  <c r="L76" i="1"/>
  <c r="K76" i="1" a="1"/>
  <c r="K76" i="1" s="1"/>
  <c r="N75" i="1"/>
  <c r="M75" i="1"/>
  <c r="O75" i="1" s="1"/>
  <c r="L75" i="1"/>
  <c r="K75" i="1" a="1"/>
  <c r="K75" i="1" s="1"/>
  <c r="N74" i="1"/>
  <c r="M74" i="1"/>
  <c r="O74" i="1" s="1"/>
  <c r="L74" i="1"/>
  <c r="K74" i="1" a="1"/>
  <c r="K74" i="1" s="1"/>
  <c r="N73" i="1"/>
  <c r="M73" i="1"/>
  <c r="O73" i="1" s="1"/>
  <c r="L73" i="1"/>
  <c r="K73" i="1" a="1"/>
  <c r="K73" i="1" s="1"/>
  <c r="N72" i="1"/>
  <c r="M72" i="1"/>
  <c r="O72" i="1" s="1"/>
  <c r="L72" i="1"/>
  <c r="K72" i="1" a="1"/>
  <c r="K72" i="1" s="1"/>
  <c r="N71" i="1"/>
  <c r="M71" i="1"/>
  <c r="O71" i="1" s="1"/>
  <c r="L71" i="1"/>
  <c r="K71" i="1" a="1"/>
  <c r="K71" i="1" s="1"/>
  <c r="N70" i="1"/>
  <c r="M70" i="1"/>
  <c r="O70" i="1" s="1"/>
  <c r="L70" i="1"/>
  <c r="K70" i="1" a="1"/>
  <c r="K70" i="1" s="1"/>
  <c r="N69" i="1"/>
  <c r="M69" i="1"/>
  <c r="O69" i="1" s="1"/>
  <c r="L69" i="1"/>
  <c r="K69" i="1" a="1"/>
  <c r="K69" i="1" s="1"/>
  <c r="N68" i="1"/>
  <c r="M68" i="1"/>
  <c r="O68" i="1" s="1"/>
  <c r="L68" i="1"/>
  <c r="K68" i="1" a="1"/>
  <c r="K68" i="1" s="1"/>
  <c r="N67" i="1"/>
  <c r="M67" i="1"/>
  <c r="O67" i="1" s="1"/>
  <c r="L67" i="1"/>
  <c r="K67" i="1" a="1"/>
  <c r="K67" i="1" s="1"/>
  <c r="N66" i="1"/>
  <c r="M66" i="1"/>
  <c r="O66" i="1" s="1"/>
  <c r="L66" i="1"/>
  <c r="K66" i="1" a="1"/>
  <c r="K66" i="1" s="1"/>
  <c r="N65" i="1"/>
  <c r="M65" i="1"/>
  <c r="O65" i="1" s="1"/>
  <c r="L65" i="1"/>
  <c r="K65" i="1" a="1"/>
  <c r="K65" i="1" s="1"/>
  <c r="N64" i="1"/>
  <c r="M64" i="1"/>
  <c r="O64" i="1" s="1"/>
  <c r="L64" i="1"/>
  <c r="K64" i="1" a="1"/>
  <c r="K64" i="1" s="1"/>
  <c r="N63" i="1"/>
  <c r="M63" i="1"/>
  <c r="O63" i="1" s="1"/>
  <c r="L63" i="1"/>
  <c r="K63" i="1" a="1"/>
  <c r="K63" i="1" s="1"/>
  <c r="N62" i="1"/>
  <c r="M62" i="1"/>
  <c r="O62" i="1" s="1"/>
  <c r="L62" i="1"/>
  <c r="K62" i="1" a="1"/>
  <c r="K62" i="1" s="1"/>
  <c r="N61" i="1"/>
  <c r="M61" i="1"/>
  <c r="O61" i="1" s="1"/>
  <c r="L61" i="1"/>
  <c r="K61" i="1" a="1"/>
  <c r="K61" i="1" s="1"/>
  <c r="N60" i="1"/>
  <c r="M60" i="1"/>
  <c r="O60" i="1" s="1"/>
  <c r="L60" i="1"/>
  <c r="K60" i="1" a="1"/>
  <c r="K60" i="1" s="1"/>
  <c r="N59" i="1"/>
  <c r="M59" i="1"/>
  <c r="O59" i="1" s="1"/>
  <c r="L59" i="1"/>
  <c r="K59" i="1" a="1"/>
  <c r="K59" i="1" s="1"/>
  <c r="N58" i="1"/>
  <c r="M58" i="1"/>
  <c r="O58" i="1" s="1"/>
  <c r="L58" i="1"/>
  <c r="K58" i="1" a="1"/>
  <c r="K58" i="1" s="1"/>
  <c r="N57" i="1"/>
  <c r="M57" i="1"/>
  <c r="O57" i="1" s="1"/>
  <c r="L57" i="1"/>
  <c r="K57" i="1" a="1"/>
  <c r="K57" i="1" s="1"/>
  <c r="N56" i="1"/>
  <c r="M56" i="1"/>
  <c r="O56" i="1" s="1"/>
  <c r="L56" i="1"/>
  <c r="K56" i="1" a="1"/>
  <c r="K56" i="1" s="1"/>
  <c r="N55" i="1"/>
  <c r="M55" i="1"/>
  <c r="O55" i="1" s="1"/>
  <c r="L55" i="1"/>
  <c r="K55" i="1" a="1"/>
  <c r="K55" i="1" s="1"/>
  <c r="N54" i="1"/>
  <c r="M54" i="1"/>
  <c r="O54" i="1" s="1"/>
  <c r="L54" i="1"/>
  <c r="K54" i="1" a="1"/>
  <c r="K54" i="1" s="1"/>
  <c r="N53" i="1"/>
  <c r="M53" i="1"/>
  <c r="O53" i="1" s="1"/>
  <c r="L53" i="1"/>
  <c r="K53" i="1" a="1"/>
  <c r="K53" i="1" s="1"/>
  <c r="N52" i="1"/>
  <c r="M52" i="1"/>
  <c r="O52" i="1" s="1"/>
  <c r="L52" i="1"/>
  <c r="K52" i="1" a="1"/>
  <c r="K52" i="1" s="1"/>
  <c r="N51" i="1"/>
  <c r="M51" i="1"/>
  <c r="O51" i="1" s="1"/>
  <c r="L51" i="1"/>
  <c r="K51" i="1" a="1"/>
  <c r="K51" i="1" s="1"/>
  <c r="N50" i="1"/>
  <c r="M50" i="1"/>
  <c r="O50" i="1" s="1"/>
  <c r="L50" i="1"/>
  <c r="K50" i="1" a="1"/>
  <c r="K50" i="1" s="1"/>
  <c r="N49" i="1"/>
  <c r="M49" i="1"/>
  <c r="O49" i="1" s="1"/>
  <c r="L49" i="1"/>
  <c r="K49" i="1" a="1"/>
  <c r="K49" i="1" s="1"/>
  <c r="N48" i="1"/>
  <c r="M48" i="1"/>
  <c r="O48" i="1" s="1"/>
  <c r="L48" i="1"/>
  <c r="K48" i="1" a="1"/>
  <c r="K48" i="1" s="1"/>
  <c r="N47" i="1"/>
  <c r="M47" i="1"/>
  <c r="O47" i="1" s="1"/>
  <c r="L47" i="1"/>
  <c r="K47" i="1" a="1"/>
  <c r="K47" i="1" s="1"/>
  <c r="N46" i="1"/>
  <c r="M46" i="1"/>
  <c r="O46" i="1" s="1"/>
  <c r="L46" i="1"/>
  <c r="K46" i="1" a="1"/>
  <c r="K46" i="1" s="1"/>
  <c r="N45" i="1"/>
  <c r="M45" i="1"/>
  <c r="O45" i="1" s="1"/>
  <c r="L45" i="1"/>
  <c r="K45" i="1" a="1"/>
  <c r="K45" i="1" s="1"/>
  <c r="N44" i="1"/>
  <c r="M44" i="1"/>
  <c r="O44" i="1" s="1"/>
  <c r="L44" i="1"/>
  <c r="K44" i="1" a="1"/>
  <c r="K44" i="1" s="1"/>
  <c r="N43" i="1"/>
  <c r="M43" i="1"/>
  <c r="O43" i="1" s="1"/>
  <c r="L43" i="1"/>
  <c r="K43" i="1" a="1"/>
  <c r="K43" i="1" s="1"/>
  <c r="N42" i="1"/>
  <c r="M42" i="1"/>
  <c r="O42" i="1" s="1"/>
  <c r="L42" i="1"/>
  <c r="K42" i="1" a="1"/>
  <c r="K42" i="1" s="1"/>
  <c r="N41" i="1"/>
  <c r="M41" i="1"/>
  <c r="O41" i="1" s="1"/>
  <c r="L41" i="1"/>
  <c r="K41" i="1" a="1"/>
  <c r="K41" i="1" s="1"/>
  <c r="N40" i="1"/>
  <c r="M40" i="1"/>
  <c r="O40" i="1" s="1"/>
  <c r="L40" i="1"/>
  <c r="K40" i="1" a="1"/>
  <c r="K40" i="1" s="1"/>
  <c r="N39" i="1"/>
  <c r="M39" i="1"/>
  <c r="O39" i="1" s="1"/>
  <c r="L39" i="1"/>
  <c r="K39" i="1" a="1"/>
  <c r="K39" i="1" s="1"/>
  <c r="N38" i="1"/>
  <c r="M38" i="1"/>
  <c r="O38" i="1" s="1"/>
  <c r="L38" i="1"/>
  <c r="K38" i="1" a="1"/>
  <c r="K38" i="1" s="1"/>
  <c r="N37" i="1"/>
  <c r="M37" i="1"/>
  <c r="O37" i="1" s="1"/>
  <c r="L37" i="1"/>
  <c r="K37" i="1" a="1"/>
  <c r="K37" i="1" s="1"/>
  <c r="N36" i="1"/>
  <c r="M36" i="1"/>
  <c r="O36" i="1" s="1"/>
  <c r="L36" i="1"/>
  <c r="K36" i="1" a="1"/>
  <c r="K36" i="1" s="1"/>
  <c r="N35" i="1"/>
  <c r="M35" i="1"/>
  <c r="O35" i="1" s="1"/>
  <c r="L35" i="1"/>
  <c r="K35" i="1" a="1"/>
  <c r="K35" i="1" s="1"/>
  <c r="N34" i="1"/>
  <c r="M34" i="1"/>
  <c r="O34" i="1" s="1"/>
  <c r="L34" i="1"/>
  <c r="K34" i="1" a="1"/>
  <c r="K34" i="1" s="1"/>
  <c r="N33" i="1"/>
  <c r="M33" i="1"/>
  <c r="O33" i="1" s="1"/>
  <c r="L33" i="1"/>
  <c r="K33" i="1" a="1"/>
  <c r="K33" i="1" s="1"/>
  <c r="N32" i="1"/>
  <c r="M32" i="1"/>
  <c r="O32" i="1" s="1"/>
  <c r="L32" i="1"/>
  <c r="K32" i="1" a="1"/>
  <c r="K32" i="1" s="1"/>
  <c r="N31" i="1"/>
  <c r="M31" i="1"/>
  <c r="O31" i="1" s="1"/>
  <c r="L31" i="1"/>
  <c r="K31" i="1" a="1"/>
  <c r="K31" i="1" s="1"/>
  <c r="N30" i="1"/>
  <c r="M30" i="1"/>
  <c r="O30" i="1" s="1"/>
  <c r="L30" i="1"/>
  <c r="K30" i="1" a="1"/>
  <c r="K30" i="1" s="1"/>
  <c r="N29" i="1"/>
  <c r="M29" i="1"/>
  <c r="O29" i="1" s="1"/>
  <c r="L29" i="1"/>
  <c r="K29" i="1" a="1"/>
  <c r="K29" i="1" s="1"/>
  <c r="N28" i="1"/>
  <c r="M28" i="1"/>
  <c r="O28" i="1" s="1"/>
  <c r="L28" i="1"/>
  <c r="K28" i="1" a="1"/>
  <c r="K28" i="1" s="1"/>
  <c r="N27" i="1"/>
  <c r="M27" i="1"/>
  <c r="O27" i="1" s="1"/>
  <c r="L27" i="1"/>
  <c r="K27" i="1" a="1"/>
  <c r="K27" i="1" s="1"/>
  <c r="N26" i="1"/>
  <c r="M26" i="1"/>
  <c r="O26" i="1" s="1"/>
  <c r="L26" i="1"/>
  <c r="K26" i="1" a="1"/>
  <c r="K26" i="1" s="1"/>
  <c r="N25" i="1"/>
  <c r="M25" i="1"/>
  <c r="O25" i="1" s="1"/>
  <c r="L25" i="1"/>
  <c r="K25" i="1" a="1"/>
  <c r="K25" i="1" s="1"/>
  <c r="N24" i="1"/>
  <c r="M24" i="1"/>
  <c r="O24" i="1" s="1"/>
  <c r="L24" i="1"/>
  <c r="K24" i="1" a="1"/>
  <c r="K24" i="1" s="1"/>
  <c r="N23" i="1"/>
  <c r="M23" i="1"/>
  <c r="O23" i="1" s="1"/>
  <c r="L23" i="1"/>
  <c r="K23" i="1" a="1"/>
  <c r="K23" i="1" s="1"/>
  <c r="N22" i="1"/>
  <c r="M22" i="1"/>
  <c r="O22" i="1" s="1"/>
  <c r="L22" i="1"/>
  <c r="K22" i="1" a="1"/>
  <c r="K22" i="1" s="1"/>
  <c r="N21" i="1"/>
  <c r="M21" i="1"/>
  <c r="O21" i="1" s="1"/>
  <c r="L21" i="1"/>
  <c r="K21" i="1" a="1"/>
  <c r="K21" i="1" s="1"/>
  <c r="N20" i="1"/>
  <c r="M20" i="1"/>
  <c r="O20" i="1" s="1"/>
  <c r="L20" i="1"/>
  <c r="K20" i="1" a="1"/>
  <c r="K20" i="1" s="1"/>
  <c r="N19" i="1"/>
  <c r="M19" i="1"/>
  <c r="O19" i="1" s="1"/>
  <c r="L19" i="1"/>
  <c r="K19" i="1" a="1"/>
  <c r="K19" i="1" s="1"/>
  <c r="N18" i="1"/>
  <c r="M18" i="1"/>
  <c r="O18" i="1" s="1"/>
  <c r="L18" i="1"/>
  <c r="K18" i="1" a="1"/>
  <c r="K18" i="1" s="1"/>
  <c r="N17" i="1"/>
  <c r="M17" i="1"/>
  <c r="O17" i="1" s="1"/>
  <c r="L17" i="1"/>
  <c r="K17" i="1" a="1"/>
  <c r="K17" i="1" s="1"/>
  <c r="N16" i="1"/>
  <c r="M16" i="1"/>
  <c r="O16" i="1" s="1"/>
  <c r="L16" i="1"/>
  <c r="K16" i="1" a="1"/>
  <c r="K16" i="1" s="1"/>
  <c r="N15" i="1"/>
  <c r="M15" i="1"/>
  <c r="O15" i="1" s="1"/>
  <c r="L15" i="1"/>
  <c r="K15" i="1" a="1"/>
  <c r="K15" i="1" s="1"/>
  <c r="N14" i="1"/>
  <c r="M14" i="1"/>
  <c r="O14" i="1" s="1"/>
  <c r="L14" i="1"/>
  <c r="K14" i="1" a="1"/>
  <c r="K14" i="1" s="1"/>
  <c r="N13" i="1"/>
  <c r="M13" i="1"/>
  <c r="O13" i="1" s="1"/>
  <c r="L13" i="1"/>
  <c r="K13" i="1" a="1"/>
  <c r="K13" i="1" s="1"/>
  <c r="N12" i="1"/>
  <c r="M12" i="1"/>
  <c r="O12" i="1" s="1"/>
  <c r="L12" i="1"/>
  <c r="K12" i="1" a="1"/>
  <c r="K12" i="1" s="1"/>
  <c r="N11" i="1"/>
  <c r="M11" i="1"/>
  <c r="O11" i="1" s="1"/>
  <c r="L11" i="1"/>
  <c r="K11" i="1" a="1"/>
  <c r="K11" i="1" s="1"/>
  <c r="N10" i="1"/>
  <c r="M10" i="1"/>
  <c r="O10" i="1" s="1"/>
  <c r="L10" i="1"/>
  <c r="K10" i="1" a="1"/>
  <c r="K10" i="1" s="1"/>
  <c r="N9" i="1"/>
  <c r="M9" i="1"/>
  <c r="O9" i="1" s="1"/>
  <c r="L9" i="1"/>
  <c r="K9" i="1" a="1"/>
  <c r="K9" i="1" s="1"/>
  <c r="N8" i="1"/>
  <c r="M8" i="1"/>
  <c r="O8" i="1" s="1"/>
  <c r="L8" i="1"/>
  <c r="K8" i="1" a="1"/>
  <c r="K8" i="1" s="1"/>
  <c r="N7" i="1"/>
  <c r="M7" i="1"/>
  <c r="O7" i="1" s="1"/>
  <c r="L7" i="1"/>
  <c r="K7" i="1" a="1"/>
  <c r="K7" i="1" s="1"/>
  <c r="N6" i="1"/>
  <c r="M6" i="1"/>
  <c r="O6" i="1" s="1"/>
  <c r="L6" i="1"/>
  <c r="K6" i="1" a="1"/>
  <c r="K6" i="1" s="1"/>
  <c r="N5" i="1"/>
  <c r="M5" i="1"/>
  <c r="O5" i="1" s="1"/>
  <c r="L5" i="1"/>
  <c r="K5" i="1" a="1"/>
  <c r="K5" i="1" s="1"/>
  <c r="N4" i="1"/>
  <c r="M4" i="1"/>
  <c r="O4" i="1" s="1"/>
  <c r="L4" i="1"/>
  <c r="K4" i="1" a="1"/>
  <c r="K4" i="1" s="1"/>
  <c r="N3" i="1"/>
  <c r="M3" i="1"/>
  <c r="O3" i="1" s="1"/>
  <c r="L3" i="1"/>
  <c r="K3" i="1" a="1"/>
  <c r="K3" i="1" s="1"/>
  <c r="N2" i="1"/>
  <c r="M2" i="1"/>
  <c r="O2" i="1" s="1"/>
  <c r="L2" i="1"/>
  <c r="K2" i="1" a="1"/>
  <c r="K2" i="1" s="1"/>
  <c r="W25" i="7" l="1"/>
  <c r="AB52" i="7"/>
  <c r="AB51" i="7"/>
  <c r="W7" i="7"/>
  <c r="AB50" i="7"/>
  <c r="AB49" i="7"/>
  <c r="AB48" i="7"/>
  <c r="W15" i="7"/>
  <c r="W20" i="7"/>
  <c r="W33" i="7"/>
  <c r="W34" i="7"/>
  <c r="W24" i="7"/>
  <c r="W26" i="7" s="1"/>
  <c r="W35" i="7"/>
  <c r="AB47" i="7"/>
  <c r="AB55" i="7"/>
  <c r="AB54" i="7"/>
  <c r="Z47" i="7"/>
  <c r="AA47" i="7"/>
  <c r="AA56" i="7" s="1"/>
  <c r="AF42" i="7" l="1" a="1"/>
  <c r="AF42"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<sst xmlns="http://schemas.openxmlformats.org/spreadsheetml/2006/main" count="5990" uniqueCount="340">
  <si>
    <t>Order_ID</t>
  </si>
  <si>
    <t>Date</t>
  </si>
  <si>
    <t>City</t>
  </si>
  <si>
    <t>State</t>
  </si>
  <si>
    <t>Region</t>
  </si>
  <si>
    <t>Category</t>
  </si>
  <si>
    <t>Product</t>
  </si>
  <si>
    <t>Sales</t>
  </si>
  <si>
    <t>Quantity</t>
  </si>
  <si>
    <t>Profit</t>
  </si>
  <si>
    <t>Sales Status</t>
  </si>
  <si>
    <t>Year</t>
  </si>
  <si>
    <t>Month</t>
  </si>
  <si>
    <t>Day</t>
  </si>
  <si>
    <t>Monthname</t>
  </si>
  <si>
    <t>Sparkline (Lines)</t>
  </si>
  <si>
    <t>Sparklines (Column)</t>
  </si>
  <si>
    <t>Jaipur</t>
  </si>
  <si>
    <t>Rajasthan</t>
  </si>
  <si>
    <t>South</t>
  </si>
  <si>
    <t>Electronics</t>
  </si>
  <si>
    <t>Mobile</t>
  </si>
  <si>
    <t>Pune</t>
  </si>
  <si>
    <t>Maharashtra</t>
  </si>
  <si>
    <t>East</t>
  </si>
  <si>
    <t>Chennai</t>
  </si>
  <si>
    <t>Tamil Nadu</t>
  </si>
  <si>
    <t>North</t>
  </si>
  <si>
    <t>Tablet</t>
  </si>
  <si>
    <t>Delhi</t>
  </si>
  <si>
    <t>West</t>
  </si>
  <si>
    <t>Furniture</t>
  </si>
  <si>
    <t>Sofa</t>
  </si>
  <si>
    <t>Ahmedabad</t>
  </si>
  <si>
    <t>Gujarat</t>
  </si>
  <si>
    <t>Table</t>
  </si>
  <si>
    <t>Chair</t>
  </si>
  <si>
    <t>Mumbai</t>
  </si>
  <si>
    <t>Clothing</t>
  </si>
  <si>
    <t>Jeans</t>
  </si>
  <si>
    <t>Shirt</t>
  </si>
  <si>
    <t>Laptop</t>
  </si>
  <si>
    <t>Bangalore</t>
  </si>
  <si>
    <t>Karnataka</t>
  </si>
  <si>
    <t>Surat</t>
  </si>
  <si>
    <t>Vadodara</t>
  </si>
  <si>
    <t>Jacket</t>
  </si>
  <si>
    <t>1. Find Sales By Cities</t>
  </si>
  <si>
    <t>2. Find Total Sales By Region.</t>
  </si>
  <si>
    <t>3. Find Total Profit By Categories</t>
  </si>
  <si>
    <t>4. Find Average Sales based  On Sates.</t>
  </si>
  <si>
    <t>5. Find Out Top 5 Product By Sales.</t>
  </si>
  <si>
    <t>6. Find Out Top 5 Product By Profit.</t>
  </si>
  <si>
    <t>7. Find Out Top 5 Product BY Qnty.</t>
  </si>
  <si>
    <t>8. Calculate Yearly Sales.</t>
  </si>
  <si>
    <t>10. Calculate Mothly Sales. Find Out Best Months For Sales.</t>
  </si>
  <si>
    <t>11. Which Months Genereate Lowest Profit.</t>
  </si>
  <si>
    <t>12. Top 5 Customers based On Qnty Purchased.</t>
  </si>
  <si>
    <t>9. Calculate Yearly Profit.</t>
  </si>
  <si>
    <t>13. Top 5 Customer BY Profit.</t>
  </si>
  <si>
    <t>14. Worst 5 Customer By Sales.</t>
  </si>
  <si>
    <t>15. Worst 5 Customers BY Profit.</t>
  </si>
  <si>
    <t>16. Calculate Quarter Sales For Year 2023. Find Out Which Quarter Has Highest Sales.</t>
  </si>
  <si>
    <t>17. List Out Top Selling Product For All Quarter in 2023.</t>
  </si>
  <si>
    <t>Create Pivots And Find Out Solutions For All Questions.</t>
  </si>
  <si>
    <t>18. Calculate Best , Average And Poor Sales.</t>
  </si>
  <si>
    <t>19. Which Category Has Highest Best Sales Count.</t>
  </si>
  <si>
    <t>20. Which City has Highest Poor Sales Count.</t>
  </si>
  <si>
    <t>21. Best Month Based ON Qnty Sold.</t>
  </si>
  <si>
    <t>22. How Many Mobile Sold In April Month.</t>
  </si>
  <si>
    <t>23. In January Month What is Best Day For Jeans Based On Qnty Sold.</t>
  </si>
  <si>
    <t>Order_Date</t>
  </si>
  <si>
    <t>Sales_Executive</t>
  </si>
  <si>
    <t>Department</t>
  </si>
  <si>
    <t>Product_Name</t>
  </si>
  <si>
    <t>Customer_Type</t>
  </si>
  <si>
    <t>Unit_Price</t>
  </si>
  <si>
    <t>Total_Sales</t>
  </si>
  <si>
    <t>Discount_%</t>
  </si>
  <si>
    <t>Payment_Mode</t>
  </si>
  <si>
    <t>Delivery_Status</t>
  </si>
  <si>
    <t>ORD1001</t>
  </si>
  <si>
    <t>Rahul Sharma</t>
  </si>
  <si>
    <t>Retail</t>
  </si>
  <si>
    <t>UPI</t>
  </si>
  <si>
    <t>Delivered</t>
  </si>
  <si>
    <t>ORD1002</t>
  </si>
  <si>
    <t>Priya Verma</t>
  </si>
  <si>
    <t>Office Chair</t>
  </si>
  <si>
    <t>Corporate</t>
  </si>
  <si>
    <t>Card</t>
  </si>
  <si>
    <t>ORD1003</t>
  </si>
  <si>
    <t>Amit Joshi</t>
  </si>
  <si>
    <t>Keyboard</t>
  </si>
  <si>
    <t>Cash</t>
  </si>
  <si>
    <t>ORD1004</t>
  </si>
  <si>
    <t>Neha Patel</t>
  </si>
  <si>
    <t>T-Shirt</t>
  </si>
  <si>
    <t>Returned</t>
  </si>
  <si>
    <t>ORD1005</t>
  </si>
  <si>
    <t>West Bengal</t>
  </si>
  <si>
    <t>Kolkata</t>
  </si>
  <si>
    <t>Arjun Das</t>
  </si>
  <si>
    <t>Desk</t>
  </si>
  <si>
    <t>ORD1006</t>
  </si>
  <si>
    <t>Karan Mehta</t>
  </si>
  <si>
    <t>Monitor</t>
  </si>
  <si>
    <t>Pending</t>
  </si>
  <si>
    <t>ORD1007</t>
  </si>
  <si>
    <t>Mouse</t>
  </si>
  <si>
    <t>ORD1008</t>
  </si>
  <si>
    <t>Punjab</t>
  </si>
  <si>
    <t>Chandigarh</t>
  </si>
  <si>
    <t>ORD1009</t>
  </si>
  <si>
    <t>Kerala</t>
  </si>
  <si>
    <t>Kochi</t>
  </si>
  <si>
    <t>ORD1010</t>
  </si>
  <si>
    <t>Odisha</t>
  </si>
  <si>
    <t>Bhubaneswar</t>
  </si>
  <si>
    <t>ORD1011</t>
  </si>
  <si>
    <t>ORD1012</t>
  </si>
  <si>
    <t>Printer</t>
  </si>
  <si>
    <t>ORD1013</t>
  </si>
  <si>
    <t>Cabinet</t>
  </si>
  <si>
    <t>ORD1014</t>
  </si>
  <si>
    <t>Shoes</t>
  </si>
  <si>
    <t>ORD1015</t>
  </si>
  <si>
    <t>Smartphone</t>
  </si>
  <si>
    <t>ORD1016</t>
  </si>
  <si>
    <t>Haryana</t>
  </si>
  <si>
    <t>Gurgaon</t>
  </si>
  <si>
    <t>ORD1017</t>
  </si>
  <si>
    <t>Hoodie</t>
  </si>
  <si>
    <t>ORD1018</t>
  </si>
  <si>
    <t>Bihar</t>
  </si>
  <si>
    <t>Patna</t>
  </si>
  <si>
    <t>Speaker</t>
  </si>
  <si>
    <t>ORD1019</t>
  </si>
  <si>
    <t>Nagpur</t>
  </si>
  <si>
    <t>Bookshelf</t>
  </si>
  <si>
    <t>ORD1020</t>
  </si>
  <si>
    <t>Projector</t>
  </si>
  <si>
    <t>Problem Statement</t>
  </si>
  <si>
    <t>Management wants to know which region generates the highest revenue.</t>
  </si>
  <si>
    <t>Insights Students Should Find</t>
  </si>
  <si>
    <t>Highest sales region</t>
  </si>
  <si>
    <t>Lowest performing region</t>
  </si>
  <si>
    <t>Revenue comparison</t>
  </si>
  <si>
    <t>1. Regional Sales Performance</t>
  </si>
  <si>
    <t>2. Top Performing Sales Executive</t>
  </si>
  <si>
    <t>HR wants to identify the best sales executive based on profit.</t>
  </si>
  <si>
    <t>3. Department Wise Profitability</t>
  </si>
  <si>
    <t>Company wants to know which department is most profitable.</t>
  </si>
  <si>
    <t>Which department gives highest profit?</t>
  </si>
  <si>
    <t>Which department needs improvement?</t>
  </si>
  <si>
    <t>4. Customer Type Analysis</t>
  </si>
  <si>
    <t>Business wants to compare Retail vs Corporate customers.</t>
  </si>
  <si>
    <t>Which customer segment generates more revenue?</t>
  </si>
  <si>
    <t>Which segment is more profitable?</t>
  </si>
  <si>
    <t>5. Monthly Sales Trend</t>
  </si>
  <si>
    <t>Management wants monthly sales growth analysis.</t>
  </si>
  <si>
    <t>6. Delivery Status Analysis</t>
  </si>
  <si>
    <t>Operations team wants delivery performance tracking.</t>
  </si>
  <si>
    <t>Pending deliveries</t>
  </si>
  <si>
    <t>Successful deliveries</t>
  </si>
  <si>
    <t>Finance team wants to know preferred payment methods.</t>
  </si>
  <si>
    <t>Company wants state level performance tracking.</t>
  </si>
  <si>
    <t>Identify best-selling products.</t>
  </si>
  <si>
    <t>Top selling product</t>
  </si>
  <si>
    <t>Least selling product</t>
  </si>
  <si>
    <t>ORD1021</t>
  </si>
  <si>
    <t>Trivandrum</t>
  </si>
  <si>
    <t>Cap</t>
  </si>
  <si>
    <t>ORD1022</t>
  </si>
  <si>
    <t>Assam</t>
  </si>
  <si>
    <t>Guwahati</t>
  </si>
  <si>
    <t>Bed</t>
  </si>
  <si>
    <t>ORD1023</t>
  </si>
  <si>
    <t>Nashik</t>
  </si>
  <si>
    <t>Hard Disk</t>
  </si>
  <si>
    <t>ORD1024</t>
  </si>
  <si>
    <t>Uttar Pradesh</t>
  </si>
  <si>
    <t>Lucknow</t>
  </si>
  <si>
    <t>ORD1025</t>
  </si>
  <si>
    <t>Telangana</t>
  </si>
  <si>
    <t>Hyderabad</t>
  </si>
  <si>
    <t>Smart Watch</t>
  </si>
  <si>
    <t>ORD1026</t>
  </si>
  <si>
    <t>Jharkhand</t>
  </si>
  <si>
    <t>Ranchi</t>
  </si>
  <si>
    <t>Wardrobe</t>
  </si>
  <si>
    <t>ORD1027</t>
  </si>
  <si>
    <t>Blazer</t>
  </si>
  <si>
    <t>ORD1028</t>
  </si>
  <si>
    <t>Camera</t>
  </si>
  <si>
    <t>ORD1029</t>
  </si>
  <si>
    <t>Mysore</t>
  </si>
  <si>
    <t>TV Unit</t>
  </si>
  <si>
    <t>ORD1030</t>
  </si>
  <si>
    <t>Siliguri</t>
  </si>
  <si>
    <t>Earbuds</t>
  </si>
  <si>
    <t>ORD1031</t>
  </si>
  <si>
    <t>Dining Table</t>
  </si>
  <si>
    <t>ORD1032</t>
  </si>
  <si>
    <t>Sweater</t>
  </si>
  <si>
    <t>ORD1033</t>
  </si>
  <si>
    <t>Coimbatore</t>
  </si>
  <si>
    <t>CPU</t>
  </si>
  <si>
    <t>ORD1034</t>
  </si>
  <si>
    <t>Gaya</t>
  </si>
  <si>
    <t>Chair Set</t>
  </si>
  <si>
    <t>ORD1035</t>
  </si>
  <si>
    <t>Saree</t>
  </si>
  <si>
    <t>ORD1036</t>
  </si>
  <si>
    <t>Ludhiana</t>
  </si>
  <si>
    <t>Microwave</t>
  </si>
  <si>
    <t>ORD1037</t>
  </si>
  <si>
    <t>Recliner</t>
  </si>
  <si>
    <t>ORD1038</t>
  </si>
  <si>
    <t>Cuttack</t>
  </si>
  <si>
    <t>Power Bank</t>
  </si>
  <si>
    <t>ORD1039</t>
  </si>
  <si>
    <t>Track Pants</t>
  </si>
  <si>
    <t>ORD1040</t>
  </si>
  <si>
    <t>Faridabad</t>
  </si>
  <si>
    <t>Study Table</t>
  </si>
  <si>
    <t>ORD1041</t>
  </si>
  <si>
    <t>ORD1042</t>
  </si>
  <si>
    <t>Dibrugarh</t>
  </si>
  <si>
    <t>ORD1043</t>
  </si>
  <si>
    <t>Rajkot</t>
  </si>
  <si>
    <t>ORD1044</t>
  </si>
  <si>
    <t>Kanpur</t>
  </si>
  <si>
    <t>ORD1045</t>
  </si>
  <si>
    <t>Trousers</t>
  </si>
  <si>
    <t>ORD1046</t>
  </si>
  <si>
    <t>Jamshedpur</t>
  </si>
  <si>
    <t>Cupboard</t>
  </si>
  <si>
    <t>ORD1047</t>
  </si>
  <si>
    <t>Router</t>
  </si>
  <si>
    <t>ORD1048</t>
  </si>
  <si>
    <t>Udaipur</t>
  </si>
  <si>
    <t>Kurta</t>
  </si>
  <si>
    <t>ORD1049</t>
  </si>
  <si>
    <t>Madurai</t>
  </si>
  <si>
    <t>Office Desk</t>
  </si>
  <si>
    <t>ORD1050</t>
  </si>
  <si>
    <t xml:space="preserve">Total Sales </t>
  </si>
  <si>
    <t>Average Sales Per Order</t>
  </si>
  <si>
    <t>Highest Sales</t>
  </si>
  <si>
    <t>Lowest Sales</t>
  </si>
  <si>
    <t xml:space="preserve"> SALES KPIS</t>
  </si>
  <si>
    <t>PROFIT KPIS</t>
  </si>
  <si>
    <t>Total Profit</t>
  </si>
  <si>
    <t>Profit Margin %</t>
  </si>
  <si>
    <t>Total Orders</t>
  </si>
  <si>
    <t>Average Profit</t>
  </si>
  <si>
    <t>Quantity KPIS</t>
  </si>
  <si>
    <t>Total Qnty Sold</t>
  </si>
  <si>
    <t>Average Quantity Per Order</t>
  </si>
  <si>
    <t>Performance KPI's</t>
  </si>
  <si>
    <t>Count Best Sales</t>
  </si>
  <si>
    <t>Performance Ratio</t>
  </si>
  <si>
    <t>Category Performance KPIs</t>
  </si>
  <si>
    <t>Electronics Performance Ratio</t>
  </si>
  <si>
    <t>Furniture Performance Ratio</t>
  </si>
  <si>
    <t>Clothing Performance Ratio</t>
  </si>
  <si>
    <t>States Performance KPI (Profit)</t>
  </si>
  <si>
    <t>Electronics Order Ratio</t>
  </si>
  <si>
    <t>Furniture Order Ratio</t>
  </si>
  <si>
    <t>Clothing Order Ratio</t>
  </si>
  <si>
    <t>Products KPIS'</t>
  </si>
  <si>
    <t>Mobile Perforamnce Ratio Based On Sales</t>
  </si>
  <si>
    <t>Find Out Order Ratio For All Products. Which Product is Best based on Order Ratio.</t>
  </si>
  <si>
    <t>Count Poor Sales</t>
  </si>
  <si>
    <t>Best Sales</t>
  </si>
  <si>
    <t>PROFIT/SALES</t>
  </si>
  <si>
    <t>Specific Category Order / Total Orders</t>
  </si>
  <si>
    <t>Find Out Profit Ratio For All Products. Which Product is Best Based On Profit.</t>
  </si>
  <si>
    <t>Order</t>
  </si>
  <si>
    <t>Order Ratio</t>
  </si>
  <si>
    <t>Profit Ratio</t>
  </si>
  <si>
    <t>Sum of Sales</t>
  </si>
  <si>
    <t>Row Labels</t>
  </si>
  <si>
    <t>Grand Total</t>
  </si>
  <si>
    <t>TASK 1</t>
  </si>
  <si>
    <t>TASK 2</t>
  </si>
  <si>
    <t>TASK 3</t>
  </si>
  <si>
    <t>Sum of Profit</t>
  </si>
  <si>
    <t>TASK 4</t>
  </si>
  <si>
    <t>Average of Sales</t>
  </si>
  <si>
    <t>TASK 5</t>
  </si>
  <si>
    <t>TASK 6</t>
  </si>
  <si>
    <t>TASK 7</t>
  </si>
  <si>
    <t>Sum of Quantity</t>
  </si>
  <si>
    <t>TASK 8</t>
  </si>
  <si>
    <t>2023</t>
  </si>
  <si>
    <t>2024</t>
  </si>
  <si>
    <t>TASK 9</t>
  </si>
  <si>
    <t>TASK 10</t>
  </si>
  <si>
    <t>Qtr1</t>
  </si>
  <si>
    <t>Qtr2</t>
  </si>
  <si>
    <t>Qtr3</t>
  </si>
  <si>
    <t>Qtr4</t>
  </si>
  <si>
    <t>Jan</t>
  </si>
  <si>
    <t>Feb</t>
  </si>
  <si>
    <t>Mar</t>
  </si>
  <si>
    <t>Apr</t>
  </si>
  <si>
    <t>May</t>
  </si>
  <si>
    <t>Jun</t>
  </si>
  <si>
    <t>Jul</t>
  </si>
  <si>
    <t>Aug</t>
  </si>
  <si>
    <t>Sep</t>
  </si>
  <si>
    <t>Oct</t>
  </si>
  <si>
    <t>Nov</t>
  </si>
  <si>
    <t>Dec</t>
  </si>
  <si>
    <t>TASK 11</t>
  </si>
  <si>
    <t>TASK 12</t>
  </si>
  <si>
    <t>TASK 13</t>
  </si>
  <si>
    <t>TASK 14</t>
  </si>
  <si>
    <t>TASK 15</t>
  </si>
  <si>
    <t>TASK 16</t>
  </si>
  <si>
    <t>TASK 17</t>
  </si>
  <si>
    <t>TASK 18</t>
  </si>
  <si>
    <t>Average Sales</t>
  </si>
  <si>
    <t>Poor Sales</t>
  </si>
  <si>
    <t>Count of Sales</t>
  </si>
  <si>
    <t>TASK 19</t>
  </si>
  <si>
    <t>TASK 20</t>
  </si>
  <si>
    <t>TASK 21</t>
  </si>
  <si>
    <t>Task 22</t>
  </si>
  <si>
    <t>Months (Date)</t>
  </si>
  <si>
    <t>Task 23</t>
  </si>
  <si>
    <t>Sum of Total_Sales</t>
  </si>
  <si>
    <t>Count of Delivery_Status</t>
  </si>
  <si>
    <t>7. Payment Mode Analysis</t>
  </si>
  <si>
    <t>8. State Wise Sales</t>
  </si>
  <si>
    <t>9. Product Performance Analysis</t>
  </si>
  <si>
    <t>Count of Payment_Mode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</si>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</sst>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6" formatCode="&quot;₹&quot;\ #,##0.00"/>
  </numFmts>
  <fonts count="9" x14ac:knownFonts="1">
    <font>
      <sz val="11"/>
      <color theme="1"/>
      <name val="Calibri"/>
      <family val="2"/>
      <scheme val="minor"/>
    </font>
    <font>
      <sz val="11"/>
      <color rgb="FF006100"/>
      <name val="Calibri"/>
      <family val="2"/>
      <scheme val="minor"/>
    </font>
    <font>
      <b/>
      <sz val="11"/>
      <color theme="0"/>
      <name val="Calibri"/>
      <family val="2"/>
      <scheme val="minor"/>
    </font>
    <font>
      <sz val="11"/>
      <color theme="0"/>
      <name val="Calibri"/>
      <family val="2"/>
      <scheme val="minor"/>
    </font>
    <font>
      <b/>
      <sz val="11"/>
      <color rgb="FF006100"/>
      <name val="Calibri"/>
      <family val="2"/>
      <scheme val="minor"/>
    </font>
    <font>
      <b/>
      <sz val="12"/>
      <color theme="0"/>
      <name val="Calibri"/>
      <family val="2"/>
      <scheme val="minor"/>
    </font>
    <font>
      <sz val="11"/>
      <color theme="1"/>
      <name val="Calibri"/>
      <family val="2"/>
      <scheme val="minor"/>
    </font>
    <font>
      <b/>
      <sz val="14"/>
      <color theme="1"/>
      <name val="Calibri"/>
      <family val="2"/>
      <scheme val="minor"/>
    </font>
    <font>
      <b/>
      <sz val="9"/>
      <color theme="1"/>
      <name val="Calibri"/>
      <family val="2"/>
      <scheme val="minor"/>
    </font>
  </fonts>
  <fills count="8">
    <fill>
      <patternFill patternType="none"/>
    </fill>
    <fill>
      <patternFill patternType="gray125"/>
    </fill>
    <fill>
      <patternFill patternType="solid">
        <fgColor rgb="FFC6EFCE"/>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patternFill>
    </fill>
    <fill>
      <patternFill patternType="solid">
        <fgColor theme="5" tint="0.79998168889431442"/>
        <bgColor indexed="65"/>
      </patternFill>
    </fill>
  </fills>
  <borders count="31">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0" fontId="1" fillId="2" borderId="0" applyNumberFormat="0" applyBorder="0" applyAlignment="0" applyProtection="0"/>
    <xf numFmtId="0" fontId="3" fillId="6" borderId="0" applyNumberFormat="0" applyBorder="0" applyAlignment="0" applyProtection="0"/>
    <xf numFmtId="0" fontId="6" fillId="7" borderId="0" applyNumberFormat="0" applyBorder="0" applyAlignment="0" applyProtection="0"/>
    <xf numFmtId="44" fontId="6" fillId="0" borderId="0" applyFont="0" applyFill="0" applyBorder="0" applyAlignment="0" applyProtection="0"/>
  </cellStyleXfs>
  <cellXfs count="74">
    <xf numFmtId="0" fontId="0" fillId="0" borderId="0" xfId="0"/>
    <xf numFmtId="0" fontId="2" fillId="3" borderId="1" xfId="0" applyFont="1" applyFill="1" applyBorder="1"/>
    <xf numFmtId="14" fontId="2" fillId="3" borderId="2" xfId="0" applyNumberFormat="1" applyFont="1" applyFill="1" applyBorder="1"/>
    <xf numFmtId="0" fontId="2" fillId="3" borderId="2" xfId="0" applyFont="1" applyFill="1" applyBorder="1"/>
    <xf numFmtId="1" fontId="2" fillId="3" borderId="2" xfId="0" applyNumberFormat="1" applyFont="1" applyFill="1" applyBorder="1"/>
    <xf numFmtId="1" fontId="2" fillId="3" borderId="3" xfId="0" applyNumberFormat="1" applyFont="1" applyFill="1" applyBorder="1"/>
    <xf numFmtId="0" fontId="0" fillId="4" borderId="4" xfId="0" applyFill="1" applyBorder="1"/>
    <xf numFmtId="14" fontId="0" fillId="4" borderId="5" xfId="0" applyNumberFormat="1" applyFill="1" applyBorder="1"/>
    <xf numFmtId="0" fontId="0" fillId="4" borderId="5" xfId="0" applyFill="1" applyBorder="1"/>
    <xf numFmtId="1" fontId="0" fillId="4" borderId="5" xfId="0" applyNumberFormat="1" applyFill="1" applyBorder="1"/>
    <xf numFmtId="1" fontId="0" fillId="4" borderId="6" xfId="0" applyNumberFormat="1" applyFill="1" applyBorder="1"/>
    <xf numFmtId="1" fontId="0" fillId="5" borderId="7" xfId="0" applyNumberFormat="1" applyFill="1" applyBorder="1"/>
    <xf numFmtId="1" fontId="0" fillId="5" borderId="0" xfId="0" applyNumberFormat="1" applyFill="1"/>
    <xf numFmtId="0" fontId="0" fillId="5" borderId="0" xfId="0" applyFill="1"/>
    <xf numFmtId="0" fontId="0" fillId="5" borderId="4" xfId="0" applyFill="1" applyBorder="1"/>
    <xf numFmtId="14" fontId="0" fillId="5" borderId="5" xfId="0" applyNumberFormat="1" applyFill="1" applyBorder="1"/>
    <xf numFmtId="0" fontId="0" fillId="5" borderId="5" xfId="0" applyFill="1" applyBorder="1"/>
    <xf numFmtId="1" fontId="0" fillId="5" borderId="5" xfId="0" applyNumberFormat="1" applyFill="1" applyBorder="1"/>
    <xf numFmtId="1" fontId="0" fillId="5" borderId="6" xfId="0" applyNumberFormat="1" applyFill="1" applyBorder="1"/>
    <xf numFmtId="0" fontId="0" fillId="5" borderId="8" xfId="0" applyFill="1" applyBorder="1"/>
    <xf numFmtId="14" fontId="0" fillId="5" borderId="9" xfId="0" applyNumberFormat="1" applyFill="1" applyBorder="1"/>
    <xf numFmtId="0" fontId="0" fillId="5" borderId="9" xfId="0" applyFill="1" applyBorder="1"/>
    <xf numFmtId="1" fontId="0" fillId="5" borderId="9" xfId="0" applyNumberFormat="1" applyFill="1" applyBorder="1"/>
    <xf numFmtId="1" fontId="0" fillId="5" borderId="10" xfId="0" applyNumberFormat="1" applyFill="1" applyBorder="1"/>
    <xf numFmtId="0" fontId="0" fillId="0" borderId="11" xfId="0" applyBorder="1"/>
    <xf numFmtId="14" fontId="0" fillId="0" borderId="0" xfId="0" applyNumberFormat="1"/>
    <xf numFmtId="0" fontId="0" fillId="0" borderId="0" xfId="0" applyAlignment="1">
      <alignment vertical="center"/>
    </xf>
    <xf numFmtId="0" fontId="0" fillId="0" borderId="0" xfId="0" applyAlignment="1">
      <alignment horizontal="left" vertical="center" indent="1"/>
    </xf>
    <xf numFmtId="0" fontId="3" fillId="6" borderId="0" xfId="2" applyAlignment="1">
      <alignment vertical="center"/>
    </xf>
    <xf numFmtId="0" fontId="3" fillId="6" borderId="0" xfId="2" applyAlignment="1">
      <alignment horizontal="left" vertical="center"/>
    </xf>
    <xf numFmtId="0" fontId="5" fillId="6" borderId="0" xfId="2" applyFont="1" applyAlignment="1">
      <alignment horizontal="left" vertical="center" indent="1"/>
    </xf>
    <xf numFmtId="0" fontId="5" fillId="6" borderId="11" xfId="2" applyFont="1" applyBorder="1" applyAlignment="1">
      <alignment horizontal="left"/>
    </xf>
    <xf numFmtId="0" fontId="5" fillId="6" borderId="0" xfId="2" applyFont="1"/>
    <xf numFmtId="1" fontId="0" fillId="0" borderId="0" xfId="0" applyNumberFormat="1"/>
    <xf numFmtId="10" fontId="0" fillId="0" borderId="0" xfId="0" applyNumberFormat="1"/>
    <xf numFmtId="0" fontId="0" fillId="0" borderId="0" xfId="0" applyAlignment="1">
      <alignment horizontal="left"/>
    </xf>
    <xf numFmtId="0" fontId="0" fillId="0" borderId="0" xfId="0" applyAlignment="1">
      <alignment horizontal="center"/>
    </xf>
    <xf numFmtId="0" fontId="2" fillId="6" borderId="0" xfId="2" applyFont="1"/>
    <xf numFmtId="0" fontId="0" fillId="0" borderId="15" xfId="0" applyBorder="1"/>
    <xf numFmtId="0" fontId="0" fillId="0" borderId="16" xfId="0" applyBorder="1"/>
    <xf numFmtId="0" fontId="6" fillId="7" borderId="17" xfId="3" applyBorder="1"/>
    <xf numFmtId="0" fontId="0" fillId="0" borderId="18" xfId="0" applyBorder="1"/>
    <xf numFmtId="0" fontId="6" fillId="7" borderId="19" xfId="3" applyBorder="1"/>
    <xf numFmtId="0" fontId="0" fillId="0" borderId="20" xfId="0" applyBorder="1"/>
    <xf numFmtId="0" fontId="0" fillId="0" borderId="21" xfId="0" applyBorder="1"/>
    <xf numFmtId="10" fontId="0" fillId="0" borderId="16" xfId="0" applyNumberFormat="1" applyBorder="1"/>
    <xf numFmtId="0" fontId="0" fillId="0" borderId="22" xfId="0" applyBorder="1"/>
    <xf numFmtId="0" fontId="0" fillId="0" borderId="23" xfId="0" applyBorder="1"/>
    <xf numFmtId="0" fontId="0" fillId="0" borderId="24" xfId="0" applyBorder="1"/>
    <xf numFmtId="10" fontId="0" fillId="0" borderId="24" xfId="0" applyNumberFormat="1" applyBorder="1"/>
    <xf numFmtId="0" fontId="0" fillId="0" borderId="0" xfId="0" pivotButton="1"/>
    <xf numFmtId="14" fontId="0" fillId="0" borderId="0" xfId="0" applyNumberFormat="1" applyAlignment="1">
      <alignment horizontal="left"/>
    </xf>
    <xf numFmtId="0" fontId="0" fillId="0" borderId="0" xfId="0" applyAlignment="1">
      <alignment horizontal="left" indent="1"/>
    </xf>
    <xf numFmtId="0" fontId="0" fillId="0" borderId="0" xfId="0" applyAlignment="1">
      <alignment horizontal="center"/>
    </xf>
    <xf numFmtId="0" fontId="1" fillId="2" borderId="11" xfId="1" applyBorder="1" applyAlignment="1">
      <alignment horizontal="left"/>
    </xf>
    <xf numFmtId="0" fontId="4" fillId="2" borderId="11" xfId="1" applyFont="1" applyBorder="1" applyAlignment="1">
      <alignment horizontal="center"/>
    </xf>
    <xf numFmtId="0" fontId="7" fillId="0" borderId="0" xfId="0" applyFont="1" applyAlignment="1">
      <alignment horizontal="center" vertical="center"/>
    </xf>
    <xf numFmtId="0" fontId="8" fillId="0" borderId="0" xfId="0" applyFont="1" applyAlignment="1">
      <alignment horizontal="center" vertical="center" wrapText="1"/>
    </xf>
    <xf numFmtId="0" fontId="2" fillId="6" borderId="12" xfId="2" applyFont="1" applyBorder="1" applyAlignment="1">
      <alignment horizontal="center"/>
    </xf>
    <xf numFmtId="0" fontId="2" fillId="6" borderId="13" xfId="2" applyFont="1" applyBorder="1" applyAlignment="1">
      <alignment horizontal="center"/>
    </xf>
    <xf numFmtId="0" fontId="2" fillId="6" borderId="14" xfId="2" applyFont="1" applyBorder="1" applyAlignment="1">
      <alignment horizontal="center"/>
    </xf>
    <xf numFmtId="0" fontId="2" fillId="6" borderId="25" xfId="2" applyFont="1" applyBorder="1" applyAlignment="1">
      <alignment horizontal="center"/>
    </xf>
    <xf numFmtId="0" fontId="2" fillId="6" borderId="26" xfId="2" applyFont="1" applyBorder="1" applyAlignment="1">
      <alignment horizontal="center"/>
    </xf>
    <xf numFmtId="0" fontId="2" fillId="6" borderId="27" xfId="2" applyFont="1" applyBorder="1" applyAlignment="1">
      <alignment horizontal="center"/>
    </xf>
    <xf numFmtId="0" fontId="0" fillId="0" borderId="22" xfId="0" applyBorder="1" applyAlignment="1">
      <alignment horizontal="left"/>
    </xf>
    <xf numFmtId="0" fontId="0" fillId="0" borderId="23" xfId="0" applyBorder="1" applyAlignment="1">
      <alignment horizontal="left"/>
    </xf>
    <xf numFmtId="0" fontId="2" fillId="6" borderId="28" xfId="2" applyFont="1" applyBorder="1" applyAlignment="1">
      <alignment horizontal="center"/>
    </xf>
    <xf numFmtId="0" fontId="2" fillId="6" borderId="29" xfId="2" applyFont="1" applyBorder="1" applyAlignment="1">
      <alignment horizontal="center"/>
    </xf>
    <xf numFmtId="0" fontId="2" fillId="6" borderId="30" xfId="2" applyFont="1" applyBorder="1" applyAlignment="1">
      <alignment horizontal="center"/>
    </xf>
    <xf numFmtId="0" fontId="0" fillId="0" borderId="15" xfId="0" applyBorder="1" applyAlignment="1">
      <alignment horizontal="left"/>
    </xf>
    <xf numFmtId="0" fontId="0" fillId="0" borderId="0" xfId="0" applyAlignment="1">
      <alignment horizontal="left"/>
    </xf>
    <xf numFmtId="166" fontId="0" fillId="0" borderId="18" xfId="0" applyNumberFormat="1" applyBorder="1"/>
    <xf numFmtId="44" fontId="0" fillId="0" borderId="16" xfId="4" applyFont="1" applyBorder="1"/>
    <xf numFmtId="0" fontId="0" fillId="0" borderId="0" xfId="0" applyNumberFormat="1"/>
  </cellXfs>
  <cellStyles count="5">
    <cellStyle name="20% - Accent2" xfId="3" builtinId="34"/>
    <cellStyle name="Accent2" xfId="2" builtinId="33"/>
    <cellStyle name="Currency" xfId="4" builtinId="4"/>
    <cellStyle name="Good" xfId="1" builtinId="26"/>
    <cellStyle name="Normal" xfId="0" builtinId="0"/>
  </cellStyles>
  <dxfs count="47">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numFmt numFmtId="19" formatCode="dd/mm/yyyy"/>
    </dxf>
    <dxf>
      <fill>
        <patternFill patternType="solid">
          <fgColor theme="4" tint="0.79998168889431442"/>
          <bgColor theme="4" tint="0.79998168889431442"/>
        </patternFill>
      </fill>
    </dxf>
    <dxf>
      <fill>
        <patternFill patternType="solid">
          <fgColor theme="4" tint="0.79998168889431442"/>
          <bgColor theme="4" tint="0.79998168889431442"/>
        </patternFill>
      </fill>
    </dxf>
    <dxf>
      <numFmt numFmtId="0" formatCode="General"/>
      <fill>
        <patternFill patternType="solid">
          <fgColor theme="4" tint="0.79998168889431442"/>
          <bgColor theme="4" tint="0.79998168889431442"/>
        </patternFill>
      </fill>
    </dxf>
    <dxf>
      <numFmt numFmtId="0" formatCode="General"/>
      <fill>
        <patternFill patternType="solid">
          <fgColor theme="4" tint="0.79998168889431442"/>
          <bgColor theme="4" tint="0.79998168889431442"/>
        </patternFill>
      </fill>
    </dxf>
    <dxf>
      <numFmt numFmtId="1" formatCode="0"/>
      <fill>
        <patternFill patternType="solid">
          <fgColor theme="4" tint="0.79998168889431442"/>
          <bgColor theme="4" tint="0.79998168889431442"/>
        </patternFill>
      </fill>
    </dxf>
    <dxf>
      <numFmt numFmtId="1" formatCode="0"/>
      <fill>
        <patternFill patternType="solid">
          <fgColor theme="4" tint="0.79998168889431442"/>
          <bgColor theme="4" tint="0.79998168889431442"/>
        </patternFill>
      </fill>
    </dxf>
    <dxf>
      <numFmt numFmtId="1" formatCode="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 formatCode="0"/>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 formatCode="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64" formatCode="m/d/yyyy"/>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ill>
        <patternFill patternType="solid">
          <fgColor theme="4" tint="0.79998168889431442"/>
          <bgColor theme="4" tint="0.79998168889431442"/>
        </patternFill>
      </fil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numFmt numFmtId="0" formatCode="General"/>
      <fill>
        <patternFill patternType="solid">
          <fgColor theme="4" tint="0.79998168889431442"/>
          <bgColor theme="4" tint="0.79998168889431442"/>
        </patternFill>
      </fill>
    </dxf>
    <dxf>
      <numFmt numFmtId="0" formatCode="General"/>
      <fill>
        <patternFill patternType="solid">
          <fgColor theme="4" tint="0.79998168889431442"/>
          <bgColor theme="4" tint="0.79998168889431442"/>
        </patternFill>
      </fill>
    </dxf>
    <dxf>
      <numFmt numFmtId="1" formatCode="0"/>
      <fill>
        <patternFill patternType="solid">
          <fgColor theme="4" tint="0.79998168889431442"/>
          <bgColor theme="4" tint="0.79998168889431442"/>
        </patternFill>
      </fill>
    </dxf>
    <dxf>
      <numFmt numFmtId="1" formatCode="0"/>
      <fill>
        <patternFill patternType="solid">
          <fgColor theme="4" tint="0.79998168889431442"/>
          <bgColor theme="4" tint="0.79998168889431442"/>
        </patternFill>
      </fill>
    </dxf>
    <dxf>
      <numFmt numFmtId="1" formatCode="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 formatCode="0"/>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 formatCode="0"/>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164" formatCode="m/d/yyyy"/>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ill>
        <patternFill patternType="solid">
          <fgColor theme="4" tint="0.79998168889431442"/>
          <bgColor theme="4" tint="0.79998168889431442"/>
        </patternFill>
      </fil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s>
  <tableStyles count="0" defaultTableStyle="TableStyleMedium2" defaultPivotStyle="PivotStyleLight16"/>
  <colors>
    <mruColors>
      <color rgb="FF33CC33"/>
      <color rgb="FF57DF03"/>
      <color rgb="FF229D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 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Tasks'!$M$4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Tasks'!$L$5:$L$14</c:f>
              <c:strCache>
                <c:ptCount val="9"/>
                <c:pt idx="0">
                  <c:v>Ahmedabad</c:v>
                </c:pt>
                <c:pt idx="1">
                  <c:v>Bangalore</c:v>
                </c:pt>
                <c:pt idx="2">
                  <c:v>Chennai</c:v>
                </c:pt>
                <c:pt idx="3">
                  <c:v>Delhi</c:v>
                </c:pt>
                <c:pt idx="4">
                  <c:v>Jaipur</c:v>
                </c:pt>
                <c:pt idx="5">
                  <c:v>Mumbai</c:v>
                </c:pt>
                <c:pt idx="6">
                  <c:v>Pune</c:v>
                </c:pt>
                <c:pt idx="7">
                  <c:v>Surat</c:v>
                </c:pt>
                <c:pt idx="8">
                  <c:v>Vadodara</c:v>
                </c:pt>
              </c:strCache>
            </c:strRef>
          </c:cat>
          <c:val>
            <c:numRef>
              <c:f>'Pivots Tasks'!$M$5:$M$14</c:f>
              <c:numCache>
                <c:formatCode>0</c:formatCode>
                <c:ptCount val="9"/>
                <c:pt idx="0">
                  <c:v>1472628.77</c:v>
                </c:pt>
                <c:pt idx="1">
                  <c:v>1223319.7</c:v>
                </c:pt>
                <c:pt idx="2">
                  <c:v>1242819.0999999999</c:v>
                </c:pt>
                <c:pt idx="3">
                  <c:v>1657058.0499999998</c:v>
                </c:pt>
                <c:pt idx="4">
                  <c:v>1475962.0699999996</c:v>
                </c:pt>
                <c:pt idx="5">
                  <c:v>1724319.2</c:v>
                </c:pt>
                <c:pt idx="6">
                  <c:v>2229214.29</c:v>
                </c:pt>
                <c:pt idx="7">
                  <c:v>1408814.7300000002</c:v>
                </c:pt>
                <c:pt idx="8">
                  <c:v>1213298.3299999996</c:v>
                </c:pt>
              </c:numCache>
            </c:numRef>
          </c:val>
          <c:extLst>
            <c:ext xmlns:c16="http://schemas.microsoft.com/office/drawing/2014/chart" uri="{C3380CC4-5D6E-409C-BE32-E72D297353CC}">
              <c16:uniqueId val="{00000000-5EA3-4DFB-824A-4C5556406897}"/>
            </c:ext>
          </c:extLst>
        </c:ser>
        <c:dLbls>
          <c:dLblPos val="outEnd"/>
          <c:showLegendKey val="0"/>
          <c:showVal val="1"/>
          <c:showCatName val="0"/>
          <c:showSerName val="0"/>
          <c:showPercent val="0"/>
          <c:showBubbleSize val="0"/>
        </c:dLbls>
        <c:gapWidth val="100"/>
        <c:overlap val="-24"/>
        <c:axId val="673429360"/>
        <c:axId val="673438960"/>
      </c:barChart>
      <c:catAx>
        <c:axId val="67342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3438960"/>
        <c:crosses val="autoZero"/>
        <c:auto val="1"/>
        <c:lblAlgn val="ctr"/>
        <c:lblOffset val="100"/>
        <c:noMultiLvlLbl val="0"/>
      </c:catAx>
      <c:valAx>
        <c:axId val="6734389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342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TABLES.xlsx]Pivots Tasks!PivotTable2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2.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Tasks'!$P$4</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5C-4E12-8D4C-AC6CBCB12095}"/>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5C-4E12-8D4C-AC6CBCB12095}"/>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5C-4E12-8D4C-AC6CBCB12095}"/>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5C-4E12-8D4C-AC6CBCB120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 Tasks'!$O$5:$O$9</c:f>
              <c:strCache>
                <c:ptCount val="4"/>
                <c:pt idx="0">
                  <c:v>East</c:v>
                </c:pt>
                <c:pt idx="1">
                  <c:v>North</c:v>
                </c:pt>
                <c:pt idx="2">
                  <c:v>South</c:v>
                </c:pt>
                <c:pt idx="3">
                  <c:v>West</c:v>
                </c:pt>
              </c:strCache>
            </c:strRef>
          </c:cat>
          <c:val>
            <c:numRef>
              <c:f>'Pivots Tasks'!$P$5:$P$9</c:f>
              <c:numCache>
                <c:formatCode>0</c:formatCode>
                <c:ptCount val="4"/>
                <c:pt idx="0">
                  <c:v>4221808.6800000006</c:v>
                </c:pt>
                <c:pt idx="1">
                  <c:v>3708046.1200000006</c:v>
                </c:pt>
                <c:pt idx="2">
                  <c:v>5289298.0600000024</c:v>
                </c:pt>
                <c:pt idx="3">
                  <c:v>428281.38000000012</c:v>
                </c:pt>
              </c:numCache>
            </c:numRef>
          </c:val>
          <c:extLst>
            <c:ext xmlns:c16="http://schemas.microsoft.com/office/drawing/2014/chart" uri="{C3380CC4-5D6E-409C-BE32-E72D297353CC}">
              <c16:uniqueId val="{00000000-3901-47D6-8D62-B1A4AC2856C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500" baseline="0"/>
              <a:t>3. Total Profit by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Tasks'!$S$4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Tasks'!$R$5:$R$8</c:f>
              <c:strCache>
                <c:ptCount val="3"/>
                <c:pt idx="0">
                  <c:v>Clothing</c:v>
                </c:pt>
                <c:pt idx="1">
                  <c:v>Electronics</c:v>
                </c:pt>
                <c:pt idx="2">
                  <c:v>Furniture</c:v>
                </c:pt>
              </c:strCache>
            </c:strRef>
          </c:cat>
          <c:val>
            <c:numRef>
              <c:f>'Pivots Tasks'!$S$5:$S$8</c:f>
              <c:numCache>
                <c:formatCode>0</c:formatCode>
                <c:ptCount val="3"/>
                <c:pt idx="0">
                  <c:v>781766.86000000022</c:v>
                </c:pt>
                <c:pt idx="1">
                  <c:v>812769.9299999997</c:v>
                </c:pt>
                <c:pt idx="2">
                  <c:v>748022.28000000026</c:v>
                </c:pt>
              </c:numCache>
            </c:numRef>
          </c:val>
          <c:extLst>
            <c:ext xmlns:c16="http://schemas.microsoft.com/office/drawing/2014/chart" uri="{C3380CC4-5D6E-409C-BE32-E72D297353CC}">
              <c16:uniqueId val="{00000000-60BD-4FD3-AF5F-C15BA21A3A81}"/>
            </c:ext>
          </c:extLst>
        </c:ser>
        <c:dLbls>
          <c:dLblPos val="outEnd"/>
          <c:showLegendKey val="0"/>
          <c:showVal val="1"/>
          <c:showCatName val="0"/>
          <c:showSerName val="0"/>
          <c:showPercent val="0"/>
          <c:showBubbleSize val="0"/>
        </c:dLbls>
        <c:gapWidth val="100"/>
        <c:overlap val="-24"/>
        <c:axId val="990981615"/>
        <c:axId val="990994095"/>
      </c:barChart>
      <c:catAx>
        <c:axId val="990981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994095"/>
        <c:crosses val="autoZero"/>
        <c:auto val="1"/>
        <c:lblAlgn val="ctr"/>
        <c:lblOffset val="100"/>
        <c:noMultiLvlLbl val="0"/>
      </c:catAx>
      <c:valAx>
        <c:axId val="99099409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98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4. Average Sales based on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Tasks'!$V$4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Tasks'!$U$5:$U$11</c:f>
              <c:strCache>
                <c:ptCount val="6"/>
                <c:pt idx="0">
                  <c:v>Delhi</c:v>
                </c:pt>
                <c:pt idx="1">
                  <c:v>Gujarat</c:v>
                </c:pt>
                <c:pt idx="2">
                  <c:v>Karnataka</c:v>
                </c:pt>
                <c:pt idx="3">
                  <c:v>Maharashtra</c:v>
                </c:pt>
                <c:pt idx="4">
                  <c:v>Rajasthan</c:v>
                </c:pt>
                <c:pt idx="5">
                  <c:v>Tamil Nadu</c:v>
                </c:pt>
              </c:strCache>
            </c:strRef>
          </c:cat>
          <c:val>
            <c:numRef>
              <c:f>'Pivots Tasks'!$V$5:$V$11</c:f>
              <c:numCache>
                <c:formatCode>0</c:formatCode>
                <c:ptCount val="6"/>
                <c:pt idx="0">
                  <c:v>25106.940151515148</c:v>
                </c:pt>
                <c:pt idx="1">
                  <c:v>24373.463273809521</c:v>
                </c:pt>
                <c:pt idx="2">
                  <c:v>28449.295348837208</c:v>
                </c:pt>
                <c:pt idx="3">
                  <c:v>31883.334596774188</c:v>
                </c:pt>
                <c:pt idx="4">
                  <c:v>27848.340943396219</c:v>
                </c:pt>
                <c:pt idx="5">
                  <c:v>27017.806521739127</c:v>
                </c:pt>
              </c:numCache>
            </c:numRef>
          </c:val>
          <c:extLst>
            <c:ext xmlns:c16="http://schemas.microsoft.com/office/drawing/2014/chart" uri="{C3380CC4-5D6E-409C-BE32-E72D297353CC}">
              <c16:uniqueId val="{00000000-AE63-4F39-B49D-42C1AC8A871B}"/>
            </c:ext>
          </c:extLst>
        </c:ser>
        <c:dLbls>
          <c:dLblPos val="outEnd"/>
          <c:showLegendKey val="0"/>
          <c:showVal val="1"/>
          <c:showCatName val="0"/>
          <c:showSerName val="0"/>
          <c:showPercent val="0"/>
          <c:showBubbleSize val="0"/>
        </c:dLbls>
        <c:gapWidth val="115"/>
        <c:overlap val="-20"/>
        <c:axId val="991005615"/>
        <c:axId val="990989295"/>
      </c:barChart>
      <c:catAx>
        <c:axId val="9910056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989295"/>
        <c:crosses val="autoZero"/>
        <c:auto val="1"/>
        <c:lblAlgn val="ctr"/>
        <c:lblOffset val="100"/>
        <c:noMultiLvlLbl val="0"/>
      </c:catAx>
      <c:valAx>
        <c:axId val="9909892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00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5. Top 5 Product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Tasks'!$Y$4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Tasks'!$X$5:$X$14</c:f>
              <c:strCache>
                <c:ptCount val="9"/>
                <c:pt idx="0">
                  <c:v>Chair</c:v>
                </c:pt>
                <c:pt idx="1">
                  <c:v>Laptop</c:v>
                </c:pt>
                <c:pt idx="2">
                  <c:v>Shirt</c:v>
                </c:pt>
                <c:pt idx="3">
                  <c:v>Jacket</c:v>
                </c:pt>
                <c:pt idx="4">
                  <c:v>Sofa</c:v>
                </c:pt>
                <c:pt idx="5">
                  <c:v>Mobile</c:v>
                </c:pt>
                <c:pt idx="6">
                  <c:v>Tablet</c:v>
                </c:pt>
                <c:pt idx="7">
                  <c:v>Table</c:v>
                </c:pt>
                <c:pt idx="8">
                  <c:v>Jeans</c:v>
                </c:pt>
              </c:strCache>
            </c:strRef>
          </c:cat>
          <c:val>
            <c:numRef>
              <c:f>'Pivots Tasks'!$Y$5:$Y$14</c:f>
              <c:numCache>
                <c:formatCode>0</c:formatCode>
                <c:ptCount val="9"/>
                <c:pt idx="0">
                  <c:v>2116845.9499999997</c:v>
                </c:pt>
                <c:pt idx="1">
                  <c:v>1645664.5499999996</c:v>
                </c:pt>
                <c:pt idx="2">
                  <c:v>1576500.4400000004</c:v>
                </c:pt>
                <c:pt idx="3">
                  <c:v>1454766.4799999997</c:v>
                </c:pt>
                <c:pt idx="4">
                  <c:v>1447395.4199999997</c:v>
                </c:pt>
                <c:pt idx="5">
                  <c:v>1432151.2599999998</c:v>
                </c:pt>
                <c:pt idx="6">
                  <c:v>1424052.8199999998</c:v>
                </c:pt>
                <c:pt idx="7">
                  <c:v>1338398.5200000003</c:v>
                </c:pt>
                <c:pt idx="8">
                  <c:v>1211658.8</c:v>
                </c:pt>
              </c:numCache>
            </c:numRef>
          </c:val>
          <c:extLst>
            <c:ext xmlns:c16="http://schemas.microsoft.com/office/drawing/2014/chart" uri="{C3380CC4-5D6E-409C-BE32-E72D297353CC}">
              <c16:uniqueId val="{00000000-9C89-4F7F-97BE-263A6B47FCE7}"/>
            </c:ext>
          </c:extLst>
        </c:ser>
        <c:dLbls>
          <c:dLblPos val="outEnd"/>
          <c:showLegendKey val="0"/>
          <c:showVal val="1"/>
          <c:showCatName val="0"/>
          <c:showSerName val="0"/>
          <c:showPercent val="0"/>
          <c:showBubbleSize val="0"/>
        </c:dLbls>
        <c:gapWidth val="100"/>
        <c:overlap val="-24"/>
        <c:axId val="1236274479"/>
        <c:axId val="1236286479"/>
      </c:barChart>
      <c:catAx>
        <c:axId val="1236274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286479"/>
        <c:crosses val="autoZero"/>
        <c:auto val="1"/>
        <c:lblAlgn val="ctr"/>
        <c:lblOffset val="100"/>
        <c:noMultiLvlLbl val="0"/>
      </c:catAx>
      <c:valAx>
        <c:axId val="123628647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2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6.</a:t>
            </a:r>
            <a:r>
              <a:rPr lang="en-US" baseline="0"/>
              <a:t> Top 5 Product by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Tasks'!$AB$4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Tasks'!$AA$5:$AA$14</c:f>
              <c:strCache>
                <c:ptCount val="9"/>
                <c:pt idx="0">
                  <c:v>Chair</c:v>
                </c:pt>
                <c:pt idx="1">
                  <c:v>Jacket</c:v>
                </c:pt>
                <c:pt idx="2">
                  <c:v>Jeans</c:v>
                </c:pt>
                <c:pt idx="3">
                  <c:v>Laptop</c:v>
                </c:pt>
                <c:pt idx="4">
                  <c:v>Mobile</c:v>
                </c:pt>
                <c:pt idx="5">
                  <c:v>Shirt</c:v>
                </c:pt>
                <c:pt idx="6">
                  <c:v>Sofa</c:v>
                </c:pt>
                <c:pt idx="7">
                  <c:v>Table</c:v>
                </c:pt>
                <c:pt idx="8">
                  <c:v>Tablet</c:v>
                </c:pt>
              </c:strCache>
            </c:strRef>
          </c:cat>
          <c:val>
            <c:numRef>
              <c:f>'Pivots Tasks'!$AB$5:$AB$14</c:f>
              <c:numCache>
                <c:formatCode>0</c:formatCode>
                <c:ptCount val="9"/>
                <c:pt idx="0">
                  <c:v>271124.65999999997</c:v>
                </c:pt>
                <c:pt idx="1">
                  <c:v>271882.18999999994</c:v>
                </c:pt>
                <c:pt idx="2">
                  <c:v>241587.26000000004</c:v>
                </c:pt>
                <c:pt idx="3">
                  <c:v>293616.65000000008</c:v>
                </c:pt>
                <c:pt idx="4">
                  <c:v>271457.8899999999</c:v>
                </c:pt>
                <c:pt idx="5">
                  <c:v>268297.41000000009</c:v>
                </c:pt>
                <c:pt idx="6">
                  <c:v>244717.38999999996</c:v>
                </c:pt>
                <c:pt idx="7">
                  <c:v>232180.22999999998</c:v>
                </c:pt>
                <c:pt idx="8">
                  <c:v>247695.39000000004</c:v>
                </c:pt>
              </c:numCache>
            </c:numRef>
          </c:val>
          <c:extLst>
            <c:ext xmlns:c16="http://schemas.microsoft.com/office/drawing/2014/chart" uri="{C3380CC4-5D6E-409C-BE32-E72D297353CC}">
              <c16:uniqueId val="{00000000-6922-4577-B108-FF125AF0FF83}"/>
            </c:ext>
          </c:extLst>
        </c:ser>
        <c:dLbls>
          <c:dLblPos val="outEnd"/>
          <c:showLegendKey val="0"/>
          <c:showVal val="1"/>
          <c:showCatName val="0"/>
          <c:showSerName val="0"/>
          <c:showPercent val="0"/>
          <c:showBubbleSize val="0"/>
        </c:dLbls>
        <c:gapWidth val="100"/>
        <c:overlap val="-24"/>
        <c:axId val="991012335"/>
        <c:axId val="991012815"/>
      </c:barChart>
      <c:catAx>
        <c:axId val="991012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012815"/>
        <c:crosses val="autoZero"/>
        <c:auto val="1"/>
        <c:lblAlgn val="ctr"/>
        <c:lblOffset val="100"/>
        <c:noMultiLvlLbl val="0"/>
      </c:catAx>
      <c:valAx>
        <c:axId val="99101281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01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7. Top 5 Product</a:t>
            </a:r>
            <a:r>
              <a:rPr lang="en-US" baseline="0"/>
              <a:t> by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Tasks'!$AE$4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Tasks'!$AD$5:$AD$14</c:f>
              <c:strCache>
                <c:ptCount val="9"/>
                <c:pt idx="0">
                  <c:v>Chair</c:v>
                </c:pt>
                <c:pt idx="1">
                  <c:v>Jacket</c:v>
                </c:pt>
                <c:pt idx="2">
                  <c:v>Jeans</c:v>
                </c:pt>
                <c:pt idx="3">
                  <c:v>Laptop</c:v>
                </c:pt>
                <c:pt idx="4">
                  <c:v>Mobile</c:v>
                </c:pt>
                <c:pt idx="5">
                  <c:v>Shirt</c:v>
                </c:pt>
                <c:pt idx="6">
                  <c:v>Sofa</c:v>
                </c:pt>
                <c:pt idx="7">
                  <c:v>Table</c:v>
                </c:pt>
                <c:pt idx="8">
                  <c:v>Tablet</c:v>
                </c:pt>
              </c:strCache>
            </c:strRef>
          </c:cat>
          <c:val>
            <c:numRef>
              <c:f>'Pivots Tasks'!$AE$5:$AE$14</c:f>
              <c:numCache>
                <c:formatCode>General</c:formatCode>
                <c:ptCount val="9"/>
                <c:pt idx="0">
                  <c:v>355</c:v>
                </c:pt>
                <c:pt idx="1">
                  <c:v>296</c:v>
                </c:pt>
                <c:pt idx="2">
                  <c:v>248</c:v>
                </c:pt>
                <c:pt idx="3">
                  <c:v>330</c:v>
                </c:pt>
                <c:pt idx="4">
                  <c:v>311</c:v>
                </c:pt>
                <c:pt idx="5">
                  <c:v>304</c:v>
                </c:pt>
                <c:pt idx="6">
                  <c:v>303</c:v>
                </c:pt>
                <c:pt idx="7">
                  <c:v>279</c:v>
                </c:pt>
                <c:pt idx="8">
                  <c:v>283</c:v>
                </c:pt>
              </c:numCache>
            </c:numRef>
          </c:val>
          <c:extLst>
            <c:ext xmlns:c16="http://schemas.microsoft.com/office/drawing/2014/chart" uri="{C3380CC4-5D6E-409C-BE32-E72D297353CC}">
              <c16:uniqueId val="{00000000-0854-4276-9B03-2F0557EFEBDA}"/>
            </c:ext>
          </c:extLst>
        </c:ser>
        <c:dLbls>
          <c:dLblPos val="outEnd"/>
          <c:showLegendKey val="0"/>
          <c:showVal val="1"/>
          <c:showCatName val="0"/>
          <c:showSerName val="0"/>
          <c:showPercent val="0"/>
          <c:showBubbleSize val="0"/>
        </c:dLbls>
        <c:gapWidth val="100"/>
        <c:overlap val="-24"/>
        <c:axId val="1236300879"/>
        <c:axId val="1236301839"/>
      </c:barChart>
      <c:catAx>
        <c:axId val="1236300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301839"/>
        <c:crosses val="autoZero"/>
        <c:auto val="1"/>
        <c:lblAlgn val="ctr"/>
        <c:lblOffset val="100"/>
        <c:noMultiLvlLbl val="0"/>
      </c:catAx>
      <c:valAx>
        <c:axId val="1236301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30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8. Yearly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 Tasks'!$AH$4</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Tasks'!$AG$5:$AG$7</c:f>
              <c:strCache>
                <c:ptCount val="2"/>
                <c:pt idx="0">
                  <c:v>2023</c:v>
                </c:pt>
                <c:pt idx="1">
                  <c:v>2024</c:v>
                </c:pt>
              </c:strCache>
            </c:strRef>
          </c:cat>
          <c:val>
            <c:numRef>
              <c:f>'Pivots Tasks'!$AH$5:$AH$7</c:f>
              <c:numCache>
                <c:formatCode>0</c:formatCode>
                <c:ptCount val="2"/>
                <c:pt idx="0">
                  <c:v>13599415.799999999</c:v>
                </c:pt>
                <c:pt idx="1">
                  <c:v>48018.44</c:v>
                </c:pt>
              </c:numCache>
            </c:numRef>
          </c:val>
          <c:smooth val="0"/>
          <c:extLst>
            <c:ext xmlns:c16="http://schemas.microsoft.com/office/drawing/2014/chart" uri="{C3380CC4-5D6E-409C-BE32-E72D297353CC}">
              <c16:uniqueId val="{00000000-19BD-4AE7-9B4B-321BC219FB2A}"/>
            </c:ext>
          </c:extLst>
        </c:ser>
        <c:dLbls>
          <c:dLblPos val="t"/>
          <c:showLegendKey val="0"/>
          <c:showVal val="1"/>
          <c:showCatName val="0"/>
          <c:showSerName val="0"/>
          <c:showPercent val="0"/>
          <c:showBubbleSize val="0"/>
        </c:dLbls>
        <c:marker val="1"/>
        <c:smooth val="0"/>
        <c:axId val="1236305679"/>
        <c:axId val="1236309999"/>
      </c:lineChart>
      <c:catAx>
        <c:axId val="12363056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309999"/>
        <c:crosses val="autoZero"/>
        <c:auto val="1"/>
        <c:lblAlgn val="ctr"/>
        <c:lblOffset val="100"/>
        <c:noMultiLvlLbl val="0"/>
      </c:catAx>
      <c:valAx>
        <c:axId val="12363099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630567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Tasks!PivotTable10</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9. Yearly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Tasks'!$AK$4</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Tasks'!$AJ$5:$AJ$7</c:f>
              <c:strCache>
                <c:ptCount val="2"/>
                <c:pt idx="0">
                  <c:v>2023</c:v>
                </c:pt>
                <c:pt idx="1">
                  <c:v>2024</c:v>
                </c:pt>
              </c:strCache>
            </c:strRef>
          </c:cat>
          <c:val>
            <c:numRef>
              <c:f>'Pivots Tasks'!$AK$5:$AK$7</c:f>
              <c:numCache>
                <c:formatCode>0</c:formatCode>
                <c:ptCount val="2"/>
                <c:pt idx="0">
                  <c:v>2330796.8500000015</c:v>
                </c:pt>
                <c:pt idx="1">
                  <c:v>11762.22</c:v>
                </c:pt>
              </c:numCache>
            </c:numRef>
          </c:val>
          <c:smooth val="0"/>
          <c:extLst>
            <c:ext xmlns:c16="http://schemas.microsoft.com/office/drawing/2014/chart" uri="{C3380CC4-5D6E-409C-BE32-E72D297353CC}">
              <c16:uniqueId val="{00000000-10EB-4CEF-9F3C-5A12199F4339}"/>
            </c:ext>
          </c:extLst>
        </c:ser>
        <c:dLbls>
          <c:dLblPos val="t"/>
          <c:showLegendKey val="0"/>
          <c:showVal val="1"/>
          <c:showCatName val="0"/>
          <c:showSerName val="0"/>
          <c:showPercent val="0"/>
          <c:showBubbleSize val="0"/>
        </c:dLbls>
        <c:marker val="1"/>
        <c:smooth val="0"/>
        <c:axId val="1439774047"/>
        <c:axId val="1439769247"/>
      </c:lineChart>
      <c:catAx>
        <c:axId val="14397740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9769247"/>
        <c:crosses val="autoZero"/>
        <c:auto val="1"/>
        <c:lblAlgn val="ctr"/>
        <c:lblOffset val="100"/>
        <c:noMultiLvlLbl val="0"/>
      </c:catAx>
      <c:valAx>
        <c:axId val="143976924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977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Tasks!PivotTable11</c:name>
    <c:fmtId val="8"/>
  </c:pivotSource>
  <c:chart>
    <c:title>
      <c:tx>
        <c:rich>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r>
              <a:rPr lang="en-US" cap="none" baseline="0"/>
              <a:t>10. Monthly Sales</a:t>
            </a:r>
          </a:p>
        </c:rich>
      </c:tx>
      <c:overlay val="0"/>
      <c:spPr>
        <a:noFill/>
        <a:ln>
          <a:noFill/>
        </a:ln>
        <a:effectLst/>
      </c:spPr>
      <c:txPr>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Tasks'!$AN$4</c:f>
              <c:strCache>
                <c:ptCount val="1"/>
                <c:pt idx="0">
                  <c:v>Total</c:v>
                </c:pt>
              </c:strCache>
            </c:strRef>
          </c:tx>
          <c:spPr>
            <a:solidFill>
              <a:schemeClr val="accent6">
                <a:alpha val="88000"/>
              </a:schemeClr>
            </a:solidFill>
            <a:ln>
              <a:solidFill>
                <a:schemeClr val="accent6">
                  <a:lumMod val="50000"/>
                </a:schemeClr>
              </a:solidFill>
            </a:ln>
            <a:effectLst/>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 Tasks'!$AM$5:$AM$17</c:f>
              <c:strCache>
                <c:ptCount val="12"/>
                <c:pt idx="0">
                  <c:v>Apr</c:v>
                </c:pt>
                <c:pt idx="1">
                  <c:v>Feb</c:v>
                </c:pt>
                <c:pt idx="2">
                  <c:v>Oct</c:v>
                </c:pt>
                <c:pt idx="3">
                  <c:v>Aug</c:v>
                </c:pt>
                <c:pt idx="4">
                  <c:v>Mar</c:v>
                </c:pt>
                <c:pt idx="5">
                  <c:v>Jan</c:v>
                </c:pt>
                <c:pt idx="6">
                  <c:v>Nov</c:v>
                </c:pt>
                <c:pt idx="7">
                  <c:v>Jun</c:v>
                </c:pt>
                <c:pt idx="8">
                  <c:v>Jul</c:v>
                </c:pt>
                <c:pt idx="9">
                  <c:v>May</c:v>
                </c:pt>
                <c:pt idx="10">
                  <c:v>Dec</c:v>
                </c:pt>
                <c:pt idx="11">
                  <c:v>Sep</c:v>
                </c:pt>
              </c:strCache>
            </c:strRef>
          </c:cat>
          <c:val>
            <c:numRef>
              <c:f>'Pivots Tasks'!$AN$5:$AN$17</c:f>
              <c:numCache>
                <c:formatCode>0</c:formatCode>
                <c:ptCount val="12"/>
                <c:pt idx="0">
                  <c:v>1453190.49</c:v>
                </c:pt>
                <c:pt idx="1">
                  <c:v>1356253.6600000001</c:v>
                </c:pt>
                <c:pt idx="2">
                  <c:v>1320122.6999999997</c:v>
                </c:pt>
                <c:pt idx="3">
                  <c:v>1256575.9099999997</c:v>
                </c:pt>
                <c:pt idx="4">
                  <c:v>1209713.7199999997</c:v>
                </c:pt>
                <c:pt idx="5">
                  <c:v>1194522.54</c:v>
                </c:pt>
                <c:pt idx="6">
                  <c:v>1100997.0999999999</c:v>
                </c:pt>
                <c:pt idx="7">
                  <c:v>1023551.7900000002</c:v>
                </c:pt>
                <c:pt idx="8">
                  <c:v>967581.05999999994</c:v>
                </c:pt>
                <c:pt idx="9">
                  <c:v>929297.83000000007</c:v>
                </c:pt>
                <c:pt idx="10">
                  <c:v>925996.27000000025</c:v>
                </c:pt>
                <c:pt idx="11">
                  <c:v>909631.16999999993</c:v>
                </c:pt>
              </c:numCache>
            </c:numRef>
          </c:val>
          <c:extLst>
            <c:ext xmlns:c16="http://schemas.microsoft.com/office/drawing/2014/chart" uri="{C3380CC4-5D6E-409C-BE32-E72D297353CC}">
              <c16:uniqueId val="{00000000-800C-4AF3-8193-B057F672A12A}"/>
            </c:ext>
          </c:extLst>
        </c:ser>
        <c:dLbls>
          <c:showLegendKey val="0"/>
          <c:showVal val="1"/>
          <c:showCatName val="0"/>
          <c:showSerName val="0"/>
          <c:showPercent val="0"/>
          <c:showBubbleSize val="0"/>
        </c:dLbls>
        <c:gapWidth val="84"/>
        <c:axId val="1236277359"/>
        <c:axId val="1236279279"/>
      </c:barChart>
      <c:catAx>
        <c:axId val="123627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6279279"/>
        <c:crosses val="autoZero"/>
        <c:auto val="1"/>
        <c:lblAlgn val="ctr"/>
        <c:lblOffset val="100"/>
        <c:noMultiLvlLbl val="0"/>
      </c:catAx>
      <c:valAx>
        <c:axId val="1236279279"/>
        <c:scaling>
          <c:orientation val="minMax"/>
        </c:scaling>
        <c:delete val="1"/>
        <c:axPos val="b"/>
        <c:numFmt formatCode="0" sourceLinked="1"/>
        <c:majorTickMark val="out"/>
        <c:minorTickMark val="none"/>
        <c:tickLblPos val="nextTo"/>
        <c:crossAx val="123627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Tasks!PivotTable12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11. Lowest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Tasks'!$AQ$4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Tasks'!$AP$5:$AP$6</c:f>
              <c:strCache>
                <c:ptCount val="1"/>
                <c:pt idx="0">
                  <c:v>Dec</c:v>
                </c:pt>
              </c:strCache>
            </c:strRef>
          </c:cat>
          <c:val>
            <c:numRef>
              <c:f>'Pivots Tasks'!$AQ$5:$AQ$6</c:f>
              <c:numCache>
                <c:formatCode>0</c:formatCode>
                <c:ptCount val="1"/>
                <c:pt idx="0">
                  <c:v>163093.54</c:v>
                </c:pt>
              </c:numCache>
            </c:numRef>
          </c:val>
          <c:extLst>
            <c:ext xmlns:c16="http://schemas.microsoft.com/office/drawing/2014/chart" uri="{C3380CC4-5D6E-409C-BE32-E72D297353CC}">
              <c16:uniqueId val="{00000000-87AC-45D6-B562-C41095414B87}"/>
            </c:ext>
          </c:extLst>
        </c:ser>
        <c:dLbls>
          <c:dLblPos val="outEnd"/>
          <c:showLegendKey val="0"/>
          <c:showVal val="1"/>
          <c:showCatName val="0"/>
          <c:showSerName val="0"/>
          <c:showPercent val="0"/>
          <c:showBubbleSize val="0"/>
        </c:dLbls>
        <c:gapWidth val="100"/>
        <c:overlap val="-24"/>
        <c:axId val="1559160239"/>
        <c:axId val="1559169839"/>
      </c:barChart>
      <c:catAx>
        <c:axId val="1559160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9169839"/>
        <c:crosses val="autoZero"/>
        <c:auto val="1"/>
        <c:lblAlgn val="ctr"/>
        <c:lblOffset val="100"/>
        <c:noMultiLvlLbl val="0"/>
      </c:catAx>
      <c:valAx>
        <c:axId val="155916983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916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TABLES.xlsx]Pivots Tasks!PivotTable17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16. Quaterly Sales(Year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Tasks'!$BF$4</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553-4332-BFC6-75332107EAFC}"/>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553-4332-BFC6-75332107EAFC}"/>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553-4332-BFC6-75332107EAFC}"/>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553-4332-BFC6-75332107EA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 Tasks'!$BE$5:$BE$9</c:f>
              <c:strCache>
                <c:ptCount val="4"/>
                <c:pt idx="0">
                  <c:v>Qtr1</c:v>
                </c:pt>
                <c:pt idx="1">
                  <c:v>Qtr2</c:v>
                </c:pt>
                <c:pt idx="2">
                  <c:v>Qtr3</c:v>
                </c:pt>
                <c:pt idx="3">
                  <c:v>Qtr4</c:v>
                </c:pt>
              </c:strCache>
            </c:strRef>
          </c:cat>
          <c:val>
            <c:numRef>
              <c:f>'Pivots Tasks'!$BF$5:$BF$9</c:f>
              <c:numCache>
                <c:formatCode>0</c:formatCode>
                <c:ptCount val="4"/>
                <c:pt idx="0">
                  <c:v>3760489.9200000013</c:v>
                </c:pt>
                <c:pt idx="1">
                  <c:v>3406040.1099999989</c:v>
                </c:pt>
                <c:pt idx="2">
                  <c:v>3133788.14</c:v>
                </c:pt>
                <c:pt idx="3">
                  <c:v>3347116.07</c:v>
                </c:pt>
              </c:numCache>
            </c:numRef>
          </c:val>
          <c:extLst>
            <c:ext xmlns:c16="http://schemas.microsoft.com/office/drawing/2014/chart" uri="{C3380CC4-5D6E-409C-BE32-E72D297353CC}">
              <c16:uniqueId val="{00000000-4550-4076-A14C-ED717CD758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Tasks!PivotTable18</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17. Quater-wise</a:t>
            </a:r>
            <a:r>
              <a:rPr lang="en-US" baseline="0"/>
              <a:t> best selling Product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Tasks'!$BI$4</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'Pivots Tasks'!$BH$5:$BH$45</c:f>
              <c:multiLvlStrCache>
                <c:ptCount val="36"/>
                <c:lvl>
                  <c:pt idx="0">
                    <c:v>Chair</c:v>
                  </c:pt>
                  <c:pt idx="1">
                    <c:v>Jacket</c:v>
                  </c:pt>
                  <c:pt idx="2">
                    <c:v>Jeans</c:v>
                  </c:pt>
                  <c:pt idx="3">
                    <c:v>Laptop</c:v>
                  </c:pt>
                  <c:pt idx="4">
                    <c:v>Mobile</c:v>
                  </c:pt>
                  <c:pt idx="5">
                    <c:v>Shirt</c:v>
                  </c:pt>
                  <c:pt idx="6">
                    <c:v>Sofa</c:v>
                  </c:pt>
                  <c:pt idx="7">
                    <c:v>Table</c:v>
                  </c:pt>
                  <c:pt idx="8">
                    <c:v>Tablet</c:v>
                  </c:pt>
                  <c:pt idx="9">
                    <c:v>Chair</c:v>
                  </c:pt>
                  <c:pt idx="10">
                    <c:v>Jacket</c:v>
                  </c:pt>
                  <c:pt idx="11">
                    <c:v>Jeans</c:v>
                  </c:pt>
                  <c:pt idx="12">
                    <c:v>Laptop</c:v>
                  </c:pt>
                  <c:pt idx="13">
                    <c:v>Mobile</c:v>
                  </c:pt>
                  <c:pt idx="14">
                    <c:v>Shirt</c:v>
                  </c:pt>
                  <c:pt idx="15">
                    <c:v>Sofa</c:v>
                  </c:pt>
                  <c:pt idx="16">
                    <c:v>Table</c:v>
                  </c:pt>
                  <c:pt idx="17">
                    <c:v>Tablet</c:v>
                  </c:pt>
                  <c:pt idx="18">
                    <c:v>Chair</c:v>
                  </c:pt>
                  <c:pt idx="19">
                    <c:v>Jacket</c:v>
                  </c:pt>
                  <c:pt idx="20">
                    <c:v>Jeans</c:v>
                  </c:pt>
                  <c:pt idx="21">
                    <c:v>Laptop</c:v>
                  </c:pt>
                  <c:pt idx="22">
                    <c:v>Mobile</c:v>
                  </c:pt>
                  <c:pt idx="23">
                    <c:v>Shirt</c:v>
                  </c:pt>
                  <c:pt idx="24">
                    <c:v>Sofa</c:v>
                  </c:pt>
                  <c:pt idx="25">
                    <c:v>Table</c:v>
                  </c:pt>
                  <c:pt idx="26">
                    <c:v>Tablet</c:v>
                  </c:pt>
                  <c:pt idx="27">
                    <c:v>Chair</c:v>
                  </c:pt>
                  <c:pt idx="28">
                    <c:v>Jacket</c:v>
                  </c:pt>
                  <c:pt idx="29">
                    <c:v>Jeans</c:v>
                  </c:pt>
                  <c:pt idx="30">
                    <c:v>Laptop</c:v>
                  </c:pt>
                  <c:pt idx="31">
                    <c:v>Mobile</c:v>
                  </c:pt>
                  <c:pt idx="32">
                    <c:v>Shirt</c:v>
                  </c:pt>
                  <c:pt idx="33">
                    <c:v>Sofa</c:v>
                  </c:pt>
                  <c:pt idx="34">
                    <c:v>Table</c:v>
                  </c:pt>
                  <c:pt idx="35">
                    <c:v>Tablet</c:v>
                  </c:pt>
                </c:lvl>
                <c:lvl>
                  <c:pt idx="0">
                    <c:v>Qtr1</c:v>
                  </c:pt>
                  <c:pt idx="9">
                    <c:v>Qtr2</c:v>
                  </c:pt>
                  <c:pt idx="18">
                    <c:v>Qtr3</c:v>
                  </c:pt>
                  <c:pt idx="27">
                    <c:v>Qtr4</c:v>
                  </c:pt>
                </c:lvl>
              </c:multiLvlStrCache>
            </c:multiLvlStrRef>
          </c:cat>
          <c:val>
            <c:numRef>
              <c:f>'Pivots Tasks'!$BI$5:$BI$45</c:f>
              <c:numCache>
                <c:formatCode>General</c:formatCode>
                <c:ptCount val="36"/>
                <c:pt idx="0">
                  <c:v>103</c:v>
                </c:pt>
                <c:pt idx="1">
                  <c:v>94</c:v>
                </c:pt>
                <c:pt idx="2">
                  <c:v>67</c:v>
                </c:pt>
                <c:pt idx="3">
                  <c:v>93</c:v>
                </c:pt>
                <c:pt idx="4">
                  <c:v>70</c:v>
                </c:pt>
                <c:pt idx="5">
                  <c:v>77</c:v>
                </c:pt>
                <c:pt idx="6">
                  <c:v>84</c:v>
                </c:pt>
                <c:pt idx="7">
                  <c:v>77</c:v>
                </c:pt>
                <c:pt idx="8">
                  <c:v>100</c:v>
                </c:pt>
                <c:pt idx="9">
                  <c:v>95</c:v>
                </c:pt>
                <c:pt idx="10">
                  <c:v>57</c:v>
                </c:pt>
                <c:pt idx="11">
                  <c:v>87</c:v>
                </c:pt>
                <c:pt idx="12">
                  <c:v>89</c:v>
                </c:pt>
                <c:pt idx="13">
                  <c:v>58</c:v>
                </c:pt>
                <c:pt idx="14">
                  <c:v>56</c:v>
                </c:pt>
                <c:pt idx="15">
                  <c:v>78</c:v>
                </c:pt>
                <c:pt idx="16">
                  <c:v>48</c:v>
                </c:pt>
                <c:pt idx="17">
                  <c:v>28</c:v>
                </c:pt>
                <c:pt idx="18">
                  <c:v>80</c:v>
                </c:pt>
                <c:pt idx="19">
                  <c:v>60</c:v>
                </c:pt>
                <c:pt idx="20">
                  <c:v>40</c:v>
                </c:pt>
                <c:pt idx="21">
                  <c:v>64</c:v>
                </c:pt>
                <c:pt idx="22">
                  <c:v>95</c:v>
                </c:pt>
                <c:pt idx="23">
                  <c:v>76</c:v>
                </c:pt>
                <c:pt idx="24">
                  <c:v>37</c:v>
                </c:pt>
                <c:pt idx="25">
                  <c:v>83</c:v>
                </c:pt>
                <c:pt idx="26">
                  <c:v>85</c:v>
                </c:pt>
                <c:pt idx="27">
                  <c:v>77</c:v>
                </c:pt>
                <c:pt idx="28">
                  <c:v>85</c:v>
                </c:pt>
                <c:pt idx="29">
                  <c:v>54</c:v>
                </c:pt>
                <c:pt idx="30">
                  <c:v>84</c:v>
                </c:pt>
                <c:pt idx="31">
                  <c:v>88</c:v>
                </c:pt>
                <c:pt idx="32">
                  <c:v>95</c:v>
                </c:pt>
                <c:pt idx="33">
                  <c:v>104</c:v>
                </c:pt>
                <c:pt idx="34">
                  <c:v>71</c:v>
                </c:pt>
                <c:pt idx="35">
                  <c:v>70</c:v>
                </c:pt>
              </c:numCache>
            </c:numRef>
          </c:val>
          <c:smooth val="0"/>
          <c:extLst>
            <c:ext xmlns:c16="http://schemas.microsoft.com/office/drawing/2014/chart" uri="{C3380CC4-5D6E-409C-BE32-E72D297353CC}">
              <c16:uniqueId val="{00000000-2C33-47F2-998D-D029810F6B9D}"/>
            </c:ext>
          </c:extLst>
        </c:ser>
        <c:dLbls>
          <c:dLblPos val="t"/>
          <c:showLegendKey val="0"/>
          <c:showVal val="1"/>
          <c:showCatName val="0"/>
          <c:showSerName val="0"/>
          <c:showPercent val="0"/>
          <c:showBubbleSize val="0"/>
        </c:dLbls>
        <c:marker val="1"/>
        <c:smooth val="0"/>
        <c:axId val="1559176559"/>
        <c:axId val="1559174159"/>
      </c:lineChart>
      <c:catAx>
        <c:axId val="1559176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9174159"/>
        <c:crosses val="autoZero"/>
        <c:auto val="1"/>
        <c:lblAlgn val="ctr"/>
        <c:lblOffset val="100"/>
        <c:noMultiLvlLbl val="0"/>
      </c:catAx>
      <c:valAx>
        <c:axId val="155917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917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TABLES.xlsx]Pivots Tasks!PivotTable19</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18. Sales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Tasks'!$BL$4</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69-4B52-B1B9-067A4C905AA0}"/>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F69-4B52-B1B9-067A4C905AA0}"/>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F69-4B52-B1B9-067A4C905A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 Tasks'!$BK$5:$BK$8</c:f>
              <c:strCache>
                <c:ptCount val="3"/>
                <c:pt idx="0">
                  <c:v>Average Sales</c:v>
                </c:pt>
                <c:pt idx="1">
                  <c:v>Best Sales</c:v>
                </c:pt>
                <c:pt idx="2">
                  <c:v>Poor Sales</c:v>
                </c:pt>
              </c:strCache>
            </c:strRef>
          </c:cat>
          <c:val>
            <c:numRef>
              <c:f>'Pivots Tasks'!$BL$5:$BL$8</c:f>
              <c:numCache>
                <c:formatCode>General</c:formatCode>
                <c:ptCount val="3"/>
                <c:pt idx="0">
                  <c:v>198</c:v>
                </c:pt>
                <c:pt idx="1">
                  <c:v>116</c:v>
                </c:pt>
                <c:pt idx="2">
                  <c:v>186</c:v>
                </c:pt>
              </c:numCache>
            </c:numRef>
          </c:val>
          <c:extLst>
            <c:ext xmlns:c16="http://schemas.microsoft.com/office/drawing/2014/chart" uri="{C3380CC4-5D6E-409C-BE32-E72D297353CC}">
              <c16:uniqueId val="{00000000-3D67-4932-BA8B-1FCDB96D36A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TABLES.xlsx]Pivots Tasks!PivotTable21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19. Category-wise Highest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Tasks'!$BO$4</c:f>
              <c:strCache>
                <c:ptCount val="1"/>
                <c:pt idx="0">
                  <c:v>Total</c:v>
                </c:pt>
              </c:strCache>
            </c:strRef>
          </c:tx>
          <c:dPt>
            <c:idx val="0"/>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BFD-48D2-BBB9-FC925963A4A6}"/>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BFD-48D2-BBB9-FC925963A4A6}"/>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BFD-48D2-BBB9-FC925963A4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 Tasks'!$BN$5:$BN$8</c:f>
              <c:strCache>
                <c:ptCount val="3"/>
                <c:pt idx="0">
                  <c:v>Clothing</c:v>
                </c:pt>
                <c:pt idx="1">
                  <c:v>Electronics</c:v>
                </c:pt>
                <c:pt idx="2">
                  <c:v>Furniture</c:v>
                </c:pt>
              </c:strCache>
            </c:strRef>
          </c:cat>
          <c:val>
            <c:numRef>
              <c:f>'Pivots Tasks'!$BO$5:$BO$8</c:f>
              <c:numCache>
                <c:formatCode>General</c:formatCode>
                <c:ptCount val="3"/>
                <c:pt idx="0">
                  <c:v>162</c:v>
                </c:pt>
                <c:pt idx="1">
                  <c:v>172</c:v>
                </c:pt>
                <c:pt idx="2">
                  <c:v>166</c:v>
                </c:pt>
              </c:numCache>
            </c:numRef>
          </c:val>
          <c:extLst>
            <c:ext xmlns:c16="http://schemas.microsoft.com/office/drawing/2014/chart" uri="{C3380CC4-5D6E-409C-BE32-E72D297353CC}">
              <c16:uniqueId val="{00000000-3A4A-4B5E-9F24-C2D5B02D4D4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Statements!PivotTable1</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1.Regional Sales</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Statements'!$E$2</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Statements'!$D$3:$D$7</c:f>
              <c:strCache>
                <c:ptCount val="4"/>
                <c:pt idx="0">
                  <c:v>South</c:v>
                </c:pt>
                <c:pt idx="1">
                  <c:v>West</c:v>
                </c:pt>
                <c:pt idx="2">
                  <c:v>East</c:v>
                </c:pt>
                <c:pt idx="3">
                  <c:v>North</c:v>
                </c:pt>
              </c:strCache>
            </c:strRef>
          </c:cat>
          <c:val>
            <c:numRef>
              <c:f>'Problem Statements'!$E$3:$E$7</c:f>
              <c:numCache>
                <c:formatCode>General</c:formatCode>
                <c:ptCount val="4"/>
                <c:pt idx="0">
                  <c:v>706300</c:v>
                </c:pt>
                <c:pt idx="1">
                  <c:v>656900</c:v>
                </c:pt>
                <c:pt idx="2">
                  <c:v>571500</c:v>
                </c:pt>
                <c:pt idx="3">
                  <c:v>558300</c:v>
                </c:pt>
              </c:numCache>
            </c:numRef>
          </c:val>
          <c:extLst>
            <c:ext xmlns:c16="http://schemas.microsoft.com/office/drawing/2014/chart" uri="{C3380CC4-5D6E-409C-BE32-E72D297353CC}">
              <c16:uniqueId val="{00000000-4B3F-4DF9-9427-2D881C8AC523}"/>
            </c:ext>
          </c:extLst>
        </c:ser>
        <c:dLbls>
          <c:dLblPos val="outEnd"/>
          <c:showLegendKey val="0"/>
          <c:showVal val="1"/>
          <c:showCatName val="0"/>
          <c:showSerName val="0"/>
          <c:showPercent val="0"/>
          <c:showBubbleSize val="0"/>
        </c:dLbls>
        <c:gapWidth val="315"/>
        <c:overlap val="-40"/>
        <c:axId val="1559156399"/>
        <c:axId val="1559144879"/>
      </c:barChart>
      <c:catAx>
        <c:axId val="155915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9144879"/>
        <c:crosses val="autoZero"/>
        <c:auto val="1"/>
        <c:lblAlgn val="ctr"/>
        <c:lblOffset val="100"/>
        <c:noMultiLvlLbl val="0"/>
      </c:catAx>
      <c:valAx>
        <c:axId val="1559144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915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2. Top performing</a:t>
            </a:r>
            <a:r>
              <a:rPr lang="en-US" baseline="0"/>
              <a:t> Sales Executive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Statements'!$E$10</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Statements'!$D$11:$D$17</c:f>
              <c:strCache>
                <c:ptCount val="6"/>
                <c:pt idx="0">
                  <c:v>Priya Verma</c:v>
                </c:pt>
                <c:pt idx="1">
                  <c:v>Rahul Sharma</c:v>
                </c:pt>
                <c:pt idx="2">
                  <c:v>Neha Patel</c:v>
                </c:pt>
                <c:pt idx="3">
                  <c:v>Karan Mehta</c:v>
                </c:pt>
                <c:pt idx="4">
                  <c:v>Amit Joshi</c:v>
                </c:pt>
                <c:pt idx="5">
                  <c:v>Arjun Das</c:v>
                </c:pt>
              </c:strCache>
            </c:strRef>
          </c:cat>
          <c:val>
            <c:numRef>
              <c:f>'Problem Statements'!$E$11:$E$17</c:f>
              <c:numCache>
                <c:formatCode>General</c:formatCode>
                <c:ptCount val="6"/>
                <c:pt idx="0">
                  <c:v>92700</c:v>
                </c:pt>
                <c:pt idx="1">
                  <c:v>92300</c:v>
                </c:pt>
                <c:pt idx="2">
                  <c:v>80200</c:v>
                </c:pt>
                <c:pt idx="3">
                  <c:v>76800</c:v>
                </c:pt>
                <c:pt idx="4">
                  <c:v>40000</c:v>
                </c:pt>
                <c:pt idx="5">
                  <c:v>31600</c:v>
                </c:pt>
              </c:numCache>
            </c:numRef>
          </c:val>
          <c:extLst>
            <c:ext xmlns:c16="http://schemas.microsoft.com/office/drawing/2014/chart" uri="{C3380CC4-5D6E-409C-BE32-E72D297353CC}">
              <c16:uniqueId val="{00000000-1DE9-4AB1-9DEA-371919F9636E}"/>
            </c:ext>
          </c:extLst>
        </c:ser>
        <c:dLbls>
          <c:dLblPos val="outEnd"/>
          <c:showLegendKey val="0"/>
          <c:showVal val="1"/>
          <c:showCatName val="0"/>
          <c:showSerName val="0"/>
          <c:showPercent val="0"/>
          <c:showBubbleSize val="0"/>
        </c:dLbls>
        <c:gapWidth val="315"/>
        <c:overlap val="-40"/>
        <c:axId val="1559164079"/>
        <c:axId val="1559170799"/>
      </c:barChart>
      <c:catAx>
        <c:axId val="155916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9170799"/>
        <c:crosses val="autoZero"/>
        <c:auto val="1"/>
        <c:lblAlgn val="ctr"/>
        <c:lblOffset val="100"/>
        <c:noMultiLvlLbl val="0"/>
      </c:catAx>
      <c:valAx>
        <c:axId val="1559170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916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[PIVOT TABLES.xlsx]Problem Statements!PivotTable4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3. Department Wise Profitability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'Problem Statements'!$E$20</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06-4AD4-9A70-6A5F1903363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06-4AD4-9A70-6A5F1903363F}"/>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906-4AD4-9A70-6A5F190336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'Problem Statements'!$D$21:$D$24</c:f>
              <c:strCache>
                <c:ptCount val="3"/>
                <c:pt idx="0">
                  <c:v>Clothing</c:v>
                </c:pt>
                <c:pt idx="1">
                  <c:v>Electronics</c:v>
                </c:pt>
                <c:pt idx="2">
                  <c:v>Furniture</c:v>
                </c:pt>
              </c:strCache>
            </c:strRef>
          </c:cat>
          <c:val>
            <c:numRef>
              <c:f>'Problem Statements'!$E$21:$E$24</c:f>
              <c:numCache>
                <c:formatCode>General</c:formatCode>
                <c:ptCount val="3"/>
                <c:pt idx="0">
                  <c:v>55500</c:v>
                </c:pt>
                <c:pt idx="1">
                  <c:v>232600</c:v>
                </c:pt>
                <c:pt idx="2">
                  <c:v>125500</c:v>
                </c:pt>
              </c:numCache>
            </c:numRef>
          </c:val>
          <c:extLst>
            <c:ext xmlns:c16="http://schemas.microsoft.com/office/drawing/2014/chart" uri="{C3380CC4-5D6E-409C-BE32-E72D297353CC}">
              <c16:uniqueId val="{00000000-72CE-4B09-9047-09AC97AAF90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rPr>
              <a:t>4. Customer Type Analysis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490833618936088"/>
              <c:y val="3.197888889728230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5232430454346985"/>
              <c:y val="1.370523809883518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8614139747915848E-2"/>
              <c:y val="-6.395777779456460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409426498610602E-2"/>
              <c:y val="-6.852619049417639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'Problem Statements'!$E$27</c:f>
              <c:strCache>
                <c:ptCount val="1"/>
                <c:pt idx="0">
                  <c:v>Sum of 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6-DD89-48B7-A9F3-6AB90CC3784E}"/>
              </c:ext>
            </c:extLst>
          </c:dPt>
          <c:dPt>
            <c:idx val="1"/>
            <c:invertIfNegative val="0"/>
            <c:bubble3D val="0"/>
            <c:extLst>
              <c:ext xmlns:c16="http://schemas.microsoft.com/office/drawing/2014/chart" uri="{C3380CC4-5D6E-409C-BE32-E72D297353CC}">
                <c16:uniqueId val="{00000003-DD89-48B7-A9F3-6AB90CC3784E}"/>
              </c:ext>
            </c:extLst>
          </c:dPt>
          <c:dLbls>
            <c:dLbl>
              <c:idx val="0"/>
              <c:layout>
                <c:manualLayout>
                  <c:x val="-3.2409426498610602E-2"/>
                  <c:y val="-6.85261904941763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89-48B7-A9F3-6AB90CC3784E}"/>
                </c:ext>
              </c:extLst>
            </c:dLbl>
            <c:dLbl>
              <c:idx val="1"/>
              <c:layout>
                <c:manualLayout>
                  <c:x val="0.1490833618936088"/>
                  <c:y val="3.19788888972823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89-48B7-A9F3-6AB90CC3784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'Problem Statements'!$D$28:$D$30</c:f>
              <c:strCache>
                <c:ptCount val="2"/>
                <c:pt idx="0">
                  <c:v>Corporate</c:v>
                </c:pt>
                <c:pt idx="1">
                  <c:v>Retail</c:v>
                </c:pt>
              </c:strCache>
            </c:strRef>
          </c:cat>
          <c:val>
            <c:numRef>
              <c:f>'Problem Statements'!$E$28:$E$30</c:f>
              <c:numCache>
                <c:formatCode>General</c:formatCode>
                <c:ptCount val="2"/>
                <c:pt idx="0">
                  <c:v>953500</c:v>
                </c:pt>
                <c:pt idx="1">
                  <c:v>1539500</c:v>
                </c:pt>
              </c:numCache>
            </c:numRef>
          </c:val>
          <c:extLst>
            <c:ext xmlns:c16="http://schemas.microsoft.com/office/drawing/2014/chart" uri="{C3380CC4-5D6E-409C-BE32-E72D297353CC}">
              <c16:uniqueId val="{00000000-DD89-48B7-A9F3-6AB90CC3784E}"/>
            </c:ext>
          </c:extLst>
        </c:ser>
        <c:ser>
          <c:idx val="1"/>
          <c:order val="1"/>
          <c:tx>
            <c:strRef>
              <c:f>'Problem Statements'!$F$27</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5-DD89-48B7-A9F3-6AB90CC3784E}"/>
              </c:ext>
            </c:extLst>
          </c:dPt>
          <c:dPt>
            <c:idx val="1"/>
            <c:invertIfNegative val="0"/>
            <c:bubble3D val="0"/>
            <c:extLst>
              <c:ext xmlns:c16="http://schemas.microsoft.com/office/drawing/2014/chart" uri="{C3380CC4-5D6E-409C-BE32-E72D297353CC}">
                <c16:uniqueId val="{00000004-DD89-48B7-A9F3-6AB90CC3784E}"/>
              </c:ext>
            </c:extLst>
          </c:dPt>
          <c:dLbls>
            <c:dLbl>
              <c:idx val="0"/>
              <c:layout>
                <c:manualLayout>
                  <c:x val="4.8614139747915848E-2"/>
                  <c:y val="-6.39577777945646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89-48B7-A9F3-6AB90CC3784E}"/>
                </c:ext>
              </c:extLst>
            </c:dLbl>
            <c:dLbl>
              <c:idx val="1"/>
              <c:layout>
                <c:manualLayout>
                  <c:x val="0.15232430454346985"/>
                  <c:y val="1.37052380988351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89-48B7-A9F3-6AB90CC3784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'Problem Statements'!$D$28:$D$30</c:f>
              <c:strCache>
                <c:ptCount val="2"/>
                <c:pt idx="0">
                  <c:v>Corporate</c:v>
                </c:pt>
                <c:pt idx="1">
                  <c:v>Retail</c:v>
                </c:pt>
              </c:strCache>
            </c:strRef>
          </c:cat>
          <c:val>
            <c:numRef>
              <c:f>'Problem Statements'!$F$28:$F$30</c:f>
              <c:numCache>
                <c:formatCode>General</c:formatCode>
                <c:ptCount val="2"/>
                <c:pt idx="0">
                  <c:v>150500</c:v>
                </c:pt>
                <c:pt idx="1">
                  <c:v>263100</c:v>
                </c:pt>
              </c:numCache>
            </c:numRef>
          </c:val>
          <c:extLst>
            <c:ext xmlns:c16="http://schemas.microsoft.com/office/drawing/2014/chart" uri="{C3380CC4-5D6E-409C-BE32-E72D297353CC}">
              <c16:uniqueId val="{00000001-DD89-48B7-A9F3-6AB90CC3784E}"/>
            </c:ext>
          </c:extLst>
        </c:ser>
        <c:dLbls>
          <c:showLegendKey val="0"/>
          <c:showVal val="0"/>
          <c:showCatName val="0"/>
          <c:showSerName val="0"/>
          <c:showPercent val="0"/>
          <c:showBubbleSize val="0"/>
        </c:dLbls>
        <c:gapWidth val="150"/>
        <c:shape val="box"/>
        <c:axId val="728133103"/>
        <c:axId val="728132623"/>
        <c:axId val="0"/>
      </c:bar3DChart>
      <c:catAx>
        <c:axId val="728133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132623"/>
        <c:crosses val="autoZero"/>
        <c:auto val="1"/>
        <c:lblAlgn val="ctr"/>
        <c:lblOffset val="100"/>
        <c:noMultiLvlLbl val="0"/>
      </c:catAx>
      <c:valAx>
        <c:axId val="72813262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813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5. Monthly Sales Trend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'Problem Statements'!$E$33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C6-4F06-98B4-1C645BEA6F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C6-4F06-98B4-1C645BEA6F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'Problem Statements'!$D$34:$D$36</c:f>
              <c:strCache>
                <c:ptCount val="2"/>
                <c:pt idx="0">
                  <c:v>Jan</c:v>
                </c:pt>
                <c:pt idx="1">
                  <c:v>Feb</c:v>
                </c:pt>
              </c:strCache>
            </c:strRef>
          </c:cat>
          <c:val>
            <c:numRef>
              <c:f>'Problem Statements'!$E$34:$E$36</c:f>
              <c:numCache>
                <c:formatCode>General</c:formatCode>
                <c:ptCount val="2"/>
                <c:pt idx="0">
                  <c:v>1393900</c:v>
                </c:pt>
                <c:pt idx="1">
                  <c:v>1099100</c:v>
                </c:pt>
              </c:numCache>
            </c:numRef>
          </c:val>
          <c:extLst>
            <c:ext xmlns:c16="http://schemas.microsoft.com/office/drawing/2014/chart" uri="{C3380CC4-5D6E-409C-BE32-E72D297353CC}">
              <c16:uniqueId val="{00000000-0F81-444F-88F4-AE158A78C59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Statements!PivotTable7</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6. Delivery Status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Statements'!$E$39</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Statements'!$D$40:$D$43</c:f>
              <c:strCache>
                <c:ptCount val="3"/>
                <c:pt idx="0">
                  <c:v>Delivered</c:v>
                </c:pt>
                <c:pt idx="1">
                  <c:v>Pending</c:v>
                </c:pt>
                <c:pt idx="2">
                  <c:v>Returned</c:v>
                </c:pt>
              </c:strCache>
            </c:strRef>
          </c:cat>
          <c:val>
            <c:numRef>
              <c:f>'Problem Statements'!$E$40:$E$43</c:f>
              <c:numCache>
                <c:formatCode>General</c:formatCode>
                <c:ptCount val="3"/>
                <c:pt idx="0">
                  <c:v>39</c:v>
                </c:pt>
                <c:pt idx="1">
                  <c:v>6</c:v>
                </c:pt>
                <c:pt idx="2">
                  <c:v>5</c:v>
                </c:pt>
              </c:numCache>
            </c:numRef>
          </c:val>
          <c:extLst>
            <c:ext xmlns:c16="http://schemas.microsoft.com/office/drawing/2014/chart" uri="{C3380CC4-5D6E-409C-BE32-E72D297353CC}">
              <c16:uniqueId val="{00000000-9D75-43EF-A1A7-6E5D3326722A}"/>
            </c:ext>
          </c:extLst>
        </c:ser>
        <c:dLbls>
          <c:showLegendKey val="0"/>
          <c:showVal val="1"/>
          <c:showCatName val="0"/>
          <c:showSerName val="0"/>
          <c:showPercent val="0"/>
          <c:showBubbleSize val="0"/>
        </c:dLbls>
        <c:gapWidth val="315"/>
        <c:overlap val="-40"/>
        <c:axId val="1699219727"/>
        <c:axId val="1699217807"/>
      </c:barChart>
      <c:catAx>
        <c:axId val="1699219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9217807"/>
        <c:crosses val="autoZero"/>
        <c:auto val="1"/>
        <c:lblAlgn val="ctr"/>
        <c:lblOffset val="100"/>
        <c:noMultiLvlLbl val="0"/>
      </c:catAx>
      <c:valAx>
        <c:axId val="169921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921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7. Payment Mode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Statements'!$E$46</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Statements'!$D$47:$D$50</c:f>
              <c:strCache>
                <c:ptCount val="3"/>
                <c:pt idx="0">
                  <c:v>Card</c:v>
                </c:pt>
                <c:pt idx="1">
                  <c:v>Cash</c:v>
                </c:pt>
                <c:pt idx="2">
                  <c:v>UPI</c:v>
                </c:pt>
              </c:strCache>
            </c:strRef>
          </c:cat>
          <c:val>
            <c:numRef>
              <c:f>'Problem Statements'!$E$47:$E$50</c:f>
              <c:numCache>
                <c:formatCode>General</c:formatCode>
                <c:ptCount val="3"/>
                <c:pt idx="0">
                  <c:v>18</c:v>
                </c:pt>
                <c:pt idx="1">
                  <c:v>13</c:v>
                </c:pt>
                <c:pt idx="2">
                  <c:v>19</c:v>
                </c:pt>
              </c:numCache>
            </c:numRef>
          </c:val>
          <c:extLst>
            <c:ext xmlns:c16="http://schemas.microsoft.com/office/drawing/2014/chart" uri="{C3380CC4-5D6E-409C-BE32-E72D297353CC}">
              <c16:uniqueId val="{00000000-C37B-4A17-B294-AFD26D84C087}"/>
            </c:ext>
          </c:extLst>
        </c:ser>
        <c:dLbls>
          <c:dLblPos val="outEnd"/>
          <c:showLegendKey val="0"/>
          <c:showVal val="1"/>
          <c:showCatName val="0"/>
          <c:showSerName val="0"/>
          <c:showPercent val="0"/>
          <c:showBubbleSize val="0"/>
        </c:dLbls>
        <c:gapWidth val="315"/>
        <c:overlap val="-40"/>
        <c:axId val="730211519"/>
        <c:axId val="730210079"/>
      </c:barChart>
      <c:catAx>
        <c:axId val="730211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0210079"/>
        <c:crosses val="autoZero"/>
        <c:auto val="1"/>
        <c:lblAlgn val="ctr"/>
        <c:lblOffset val="100"/>
        <c:noMultiLvlLbl val="0"/>
      </c:catAx>
      <c:valAx>
        <c:axId val="73021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021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Statements!PivotTable9</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8. State-wise</a:t>
            </a:r>
            <a:r>
              <a:rPr lang="en-US" baseline="0"/>
              <a:t> Analysis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Statements'!$E$53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Statements'!$D$54:$D$70</c:f>
              <c:strCache>
                <c:ptCount val="16"/>
                <c:pt idx="0">
                  <c:v>Assam</c:v>
                </c:pt>
                <c:pt idx="1">
                  <c:v>Bihar</c:v>
                </c:pt>
                <c:pt idx="2">
                  <c:v>Delhi</c:v>
                </c:pt>
                <c:pt idx="3">
                  <c:v>Gujarat</c:v>
                </c:pt>
                <c:pt idx="4">
                  <c:v>Haryana</c:v>
                </c:pt>
                <c:pt idx="5">
                  <c:v>Jharkhand</c:v>
                </c:pt>
                <c:pt idx="6">
                  <c:v>Karnataka</c:v>
                </c:pt>
                <c:pt idx="7">
                  <c:v>Kerala</c:v>
                </c:pt>
                <c:pt idx="8">
                  <c:v>Maharashtra</c:v>
                </c:pt>
                <c:pt idx="9">
                  <c:v>Odisha</c:v>
                </c:pt>
                <c:pt idx="10">
                  <c:v>Punjab</c:v>
                </c:pt>
                <c:pt idx="11">
                  <c:v>Rajasthan</c:v>
                </c:pt>
                <c:pt idx="12">
                  <c:v>Tamil Nadu</c:v>
                </c:pt>
                <c:pt idx="13">
                  <c:v>Telangana</c:v>
                </c:pt>
                <c:pt idx="14">
                  <c:v>Uttar Pradesh</c:v>
                </c:pt>
                <c:pt idx="15">
                  <c:v>West Bengal</c:v>
                </c:pt>
              </c:strCache>
            </c:strRef>
          </c:cat>
          <c:val>
            <c:numRef>
              <c:f>'Problem Statements'!$E$54:$E$70</c:f>
              <c:numCache>
                <c:formatCode>General</c:formatCode>
                <c:ptCount val="16"/>
                <c:pt idx="0">
                  <c:v>99600</c:v>
                </c:pt>
                <c:pt idx="1">
                  <c:v>80500</c:v>
                </c:pt>
                <c:pt idx="2">
                  <c:v>166500</c:v>
                </c:pt>
                <c:pt idx="3">
                  <c:v>271000</c:v>
                </c:pt>
                <c:pt idx="4">
                  <c:v>76000</c:v>
                </c:pt>
                <c:pt idx="5">
                  <c:v>115000</c:v>
                </c:pt>
                <c:pt idx="6">
                  <c:v>97800</c:v>
                </c:pt>
                <c:pt idx="7">
                  <c:v>122500</c:v>
                </c:pt>
                <c:pt idx="8">
                  <c:v>385900</c:v>
                </c:pt>
                <c:pt idx="9">
                  <c:v>138000</c:v>
                </c:pt>
                <c:pt idx="10">
                  <c:v>59400</c:v>
                </c:pt>
                <c:pt idx="11">
                  <c:v>134800</c:v>
                </c:pt>
                <c:pt idx="12">
                  <c:v>234000</c:v>
                </c:pt>
                <c:pt idx="13">
                  <c:v>252000</c:v>
                </c:pt>
                <c:pt idx="14">
                  <c:v>121600</c:v>
                </c:pt>
                <c:pt idx="15">
                  <c:v>138400</c:v>
                </c:pt>
              </c:numCache>
            </c:numRef>
          </c:val>
          <c:extLst>
            <c:ext xmlns:c16="http://schemas.microsoft.com/office/drawing/2014/chart" uri="{C3380CC4-5D6E-409C-BE32-E72D297353CC}">
              <c16:uniqueId val="{00000000-E9FE-4EEB-B4D3-5C271B434B37}"/>
            </c:ext>
          </c:extLst>
        </c:ser>
        <c:dLbls>
          <c:dLblPos val="outEnd"/>
          <c:showLegendKey val="0"/>
          <c:showVal val="1"/>
          <c:showCatName val="0"/>
          <c:showSerName val="0"/>
          <c:showPercent val="0"/>
          <c:showBubbleSize val="0"/>
        </c:dLbls>
        <c:gapWidth val="315"/>
        <c:overlap val="-40"/>
        <c:axId val="1697283343"/>
        <c:axId val="1697276143"/>
      </c:barChart>
      <c:catAx>
        <c:axId val="1697283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7276143"/>
        <c:crosses val="autoZero"/>
        <c:auto val="1"/>
        <c:lblAlgn val="ctr"/>
        <c:lblOffset val="100"/>
        <c:noMultiLvlLbl val="0"/>
      </c:catAx>
      <c:valAx>
        <c:axId val="1697276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728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TABLES.xlsx]Problem Statements!PivotTable10</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9. Product Perfrormance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'Problem Statements'!$E$73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'Problem Statements'!$D$74:$D$119</c:f>
              <c:strCache>
                <c:ptCount val="45"/>
                <c:pt idx="0">
                  <c:v>Laptop</c:v>
                </c:pt>
                <c:pt idx="1">
                  <c:v>Tablet</c:v>
                </c:pt>
                <c:pt idx="2">
                  <c:v>Smartphone</c:v>
                </c:pt>
                <c:pt idx="3">
                  <c:v>Dining Table</c:v>
                </c:pt>
                <c:pt idx="4">
                  <c:v>Camera</c:v>
                </c:pt>
                <c:pt idx="5">
                  <c:v>CPU</c:v>
                </c:pt>
                <c:pt idx="6">
                  <c:v>Sofa</c:v>
                </c:pt>
                <c:pt idx="7">
                  <c:v>Printer</c:v>
                </c:pt>
                <c:pt idx="8">
                  <c:v>Projector</c:v>
                </c:pt>
                <c:pt idx="9">
                  <c:v>Bed</c:v>
                </c:pt>
                <c:pt idx="10">
                  <c:v>Smart Watch</c:v>
                </c:pt>
                <c:pt idx="11">
                  <c:v>Cupboard</c:v>
                </c:pt>
                <c:pt idx="12">
                  <c:v>Monitor</c:v>
                </c:pt>
                <c:pt idx="13">
                  <c:v>Wardrobe</c:v>
                </c:pt>
                <c:pt idx="14">
                  <c:v>Recliner</c:v>
                </c:pt>
                <c:pt idx="15">
                  <c:v>Microwave</c:v>
                </c:pt>
                <c:pt idx="16">
                  <c:v>Office Desk</c:v>
                </c:pt>
                <c:pt idx="17">
                  <c:v>Saree</c:v>
                </c:pt>
                <c:pt idx="18">
                  <c:v>Chair Set</c:v>
                </c:pt>
                <c:pt idx="19">
                  <c:v>Study Table</c:v>
                </c:pt>
                <c:pt idx="20">
                  <c:v>Hard Disk</c:v>
                </c:pt>
                <c:pt idx="21">
                  <c:v>Speaker</c:v>
                </c:pt>
                <c:pt idx="22">
                  <c:v>Jacket</c:v>
                </c:pt>
                <c:pt idx="23">
                  <c:v>Table</c:v>
                </c:pt>
                <c:pt idx="24">
                  <c:v>TV Unit</c:v>
                </c:pt>
                <c:pt idx="25">
                  <c:v>Earbuds</c:v>
                </c:pt>
                <c:pt idx="26">
                  <c:v>Bookshelf</c:v>
                </c:pt>
                <c:pt idx="27">
                  <c:v>Power Bank</c:v>
                </c:pt>
                <c:pt idx="28">
                  <c:v>Cabinet</c:v>
                </c:pt>
                <c:pt idx="29">
                  <c:v>Shoes</c:v>
                </c:pt>
                <c:pt idx="30">
                  <c:v>Router</c:v>
                </c:pt>
                <c:pt idx="31">
                  <c:v>Office Chair</c:v>
                </c:pt>
                <c:pt idx="32">
                  <c:v>Track Pants</c:v>
                </c:pt>
                <c:pt idx="33">
                  <c:v>Shirt</c:v>
                </c:pt>
                <c:pt idx="34">
                  <c:v>Desk</c:v>
                </c:pt>
                <c:pt idx="35">
                  <c:v>Kurta</c:v>
                </c:pt>
                <c:pt idx="36">
                  <c:v>Trousers</c:v>
                </c:pt>
                <c:pt idx="37">
                  <c:v>Blazer</c:v>
                </c:pt>
                <c:pt idx="38">
                  <c:v>Sweater</c:v>
                </c:pt>
                <c:pt idx="39">
                  <c:v>Hoodie</c:v>
                </c:pt>
                <c:pt idx="40">
                  <c:v>T-Shirt</c:v>
                </c:pt>
                <c:pt idx="41">
                  <c:v>Jeans</c:v>
                </c:pt>
                <c:pt idx="42">
                  <c:v>Cap</c:v>
                </c:pt>
                <c:pt idx="43">
                  <c:v>Keyboard</c:v>
                </c:pt>
                <c:pt idx="44">
                  <c:v>Mouse</c:v>
                </c:pt>
              </c:strCache>
            </c:strRef>
          </c:cat>
          <c:val>
            <c:numRef>
              <c:f>'Problem Statements'!$E$74:$E$119</c:f>
              <c:numCache>
                <c:formatCode>General</c:formatCode>
                <c:ptCount val="45"/>
                <c:pt idx="0">
                  <c:v>290000</c:v>
                </c:pt>
                <c:pt idx="1">
                  <c:v>208000</c:v>
                </c:pt>
                <c:pt idx="2">
                  <c:v>150000</c:v>
                </c:pt>
                <c:pt idx="3">
                  <c:v>130000</c:v>
                </c:pt>
                <c:pt idx="4">
                  <c:v>114000</c:v>
                </c:pt>
                <c:pt idx="5">
                  <c:v>112000</c:v>
                </c:pt>
                <c:pt idx="6">
                  <c:v>105000</c:v>
                </c:pt>
                <c:pt idx="7">
                  <c:v>92000</c:v>
                </c:pt>
                <c:pt idx="8">
                  <c:v>90000</c:v>
                </c:pt>
                <c:pt idx="9">
                  <c:v>80000</c:v>
                </c:pt>
                <c:pt idx="10">
                  <c:v>72000</c:v>
                </c:pt>
                <c:pt idx="11">
                  <c:v>60000</c:v>
                </c:pt>
                <c:pt idx="12">
                  <c:v>60000</c:v>
                </c:pt>
                <c:pt idx="13">
                  <c:v>55000</c:v>
                </c:pt>
                <c:pt idx="14">
                  <c:v>50000</c:v>
                </c:pt>
                <c:pt idx="15">
                  <c:v>45000</c:v>
                </c:pt>
                <c:pt idx="16">
                  <c:v>44000</c:v>
                </c:pt>
                <c:pt idx="17">
                  <c:v>42000</c:v>
                </c:pt>
                <c:pt idx="18">
                  <c:v>42000</c:v>
                </c:pt>
                <c:pt idx="19">
                  <c:v>40000</c:v>
                </c:pt>
                <c:pt idx="20">
                  <c:v>40000</c:v>
                </c:pt>
                <c:pt idx="21">
                  <c:v>38500</c:v>
                </c:pt>
                <c:pt idx="22">
                  <c:v>37100</c:v>
                </c:pt>
                <c:pt idx="23">
                  <c:v>36000</c:v>
                </c:pt>
                <c:pt idx="24">
                  <c:v>36000</c:v>
                </c:pt>
                <c:pt idx="25">
                  <c:v>35000</c:v>
                </c:pt>
                <c:pt idx="26">
                  <c:v>33000</c:v>
                </c:pt>
                <c:pt idx="27">
                  <c:v>30000</c:v>
                </c:pt>
                <c:pt idx="28">
                  <c:v>30000</c:v>
                </c:pt>
                <c:pt idx="29">
                  <c:v>26400</c:v>
                </c:pt>
                <c:pt idx="30">
                  <c:v>22500</c:v>
                </c:pt>
                <c:pt idx="31">
                  <c:v>22500</c:v>
                </c:pt>
                <c:pt idx="32">
                  <c:v>22400</c:v>
                </c:pt>
                <c:pt idx="33">
                  <c:v>21600</c:v>
                </c:pt>
                <c:pt idx="34">
                  <c:v>21000</c:v>
                </c:pt>
                <c:pt idx="35">
                  <c:v>20800</c:v>
                </c:pt>
                <c:pt idx="36">
                  <c:v>19800</c:v>
                </c:pt>
                <c:pt idx="37">
                  <c:v>18000</c:v>
                </c:pt>
                <c:pt idx="38">
                  <c:v>18000</c:v>
                </c:pt>
                <c:pt idx="39">
                  <c:v>18000</c:v>
                </c:pt>
                <c:pt idx="40">
                  <c:v>16000</c:v>
                </c:pt>
                <c:pt idx="41">
                  <c:v>14400</c:v>
                </c:pt>
                <c:pt idx="42">
                  <c:v>12500</c:v>
                </c:pt>
                <c:pt idx="43">
                  <c:v>12000</c:v>
                </c:pt>
                <c:pt idx="44">
                  <c:v>10500</c:v>
                </c:pt>
              </c:numCache>
            </c:numRef>
          </c:val>
          <c:extLst>
            <c:ext xmlns:c16="http://schemas.microsoft.com/office/drawing/2014/chart" uri="{C3380CC4-5D6E-409C-BE32-E72D297353CC}">
              <c16:uniqueId val="{00000000-EF75-4D0C-93AF-236B7F67C30F}"/>
            </c:ext>
          </c:extLst>
        </c:ser>
        <c:dLbls>
          <c:dLblPos val="outEnd"/>
          <c:showLegendKey val="0"/>
          <c:showVal val="1"/>
          <c:showCatName val="0"/>
          <c:showSerName val="0"/>
          <c:showPercent val="0"/>
          <c:showBubbleSize val="0"/>
        </c:dLbls>
        <c:gapWidth val="182"/>
        <c:overlap val="-50"/>
        <c:axId val="1709196143"/>
        <c:axId val="1709199503"/>
      </c:barChart>
      <c:catAx>
        <c:axId val="1709196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9199503"/>
        <c:crosses val="autoZero"/>
        <c:auto val="1"/>
        <c:lblAlgn val="ctr"/>
        <c:lblOffset val="100"/>
        <c:noMultiLvlLbl val="0"/>
      </c:catAx>
      <c:valAx>
        <c:axId val="170919950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919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1. 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Tasks'!$M$4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Tasks'!$L$5:$L$14</c:f>
              <c:strCache>
                <c:ptCount val="9"/>
                <c:pt idx="0">
                  <c:v>Ahmedabad</c:v>
                </c:pt>
                <c:pt idx="1">
                  <c:v>Bangalore</c:v>
                </c:pt>
                <c:pt idx="2">
                  <c:v>Chennai</c:v>
                </c:pt>
                <c:pt idx="3">
                  <c:v>Delhi</c:v>
                </c:pt>
                <c:pt idx="4">
                  <c:v>Jaipur</c:v>
                </c:pt>
                <c:pt idx="5">
                  <c:v>Mumbai</c:v>
                </c:pt>
                <c:pt idx="6">
                  <c:v>Pune</c:v>
                </c:pt>
                <c:pt idx="7">
                  <c:v>Surat</c:v>
                </c:pt>
                <c:pt idx="8">
                  <c:v>Vadodara</c:v>
                </c:pt>
              </c:strCache>
            </c:strRef>
          </c:cat>
          <c:val>
            <c:numRef>
              <c:f>'Pivots Tasks'!$M$5:$M$14</c:f>
              <c:numCache>
                <c:formatCode>0</c:formatCode>
                <c:ptCount val="9"/>
                <c:pt idx="0">
                  <c:v>1472628.77</c:v>
                </c:pt>
                <c:pt idx="1">
                  <c:v>1223319.7</c:v>
                </c:pt>
                <c:pt idx="2">
                  <c:v>1242819.0999999999</c:v>
                </c:pt>
                <c:pt idx="3">
                  <c:v>1657058.0499999998</c:v>
                </c:pt>
                <c:pt idx="4">
                  <c:v>1475962.0699999996</c:v>
                </c:pt>
                <c:pt idx="5">
                  <c:v>1724319.2</c:v>
                </c:pt>
                <c:pt idx="6">
                  <c:v>2229214.29</c:v>
                </c:pt>
                <c:pt idx="7">
                  <c:v>1408814.7300000002</c:v>
                </c:pt>
                <c:pt idx="8">
                  <c:v>1213298.3299999996</c:v>
                </c:pt>
              </c:numCache>
            </c:numRef>
          </c:val>
          <c:extLst>
            <c:ext xmlns:c16="http://schemas.microsoft.com/office/drawing/2014/chart" uri="{C3380CC4-5D6E-409C-BE32-E72D297353CC}">
              <c16:uniqueId val="{00000000-1965-46D1-A7BF-B627C08A5BD2}"/>
            </c:ext>
          </c:extLst>
        </c:ser>
        <c:dLbls>
          <c:dLblPos val="outEnd"/>
          <c:showLegendKey val="0"/>
          <c:showVal val="1"/>
          <c:showCatName val="0"/>
          <c:showSerName val="0"/>
          <c:showPercent val="0"/>
          <c:showBubbleSize val="0"/>
        </c:dLbls>
        <c:gapWidth val="100"/>
        <c:overlap val="-24"/>
        <c:axId val="673429360"/>
        <c:axId val="673438960"/>
      </c:barChart>
      <c:catAx>
        <c:axId val="67342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3438960"/>
        <c:crosses val="autoZero"/>
        <c:auto val="1"/>
        <c:lblAlgn val="ctr"/>
        <c:lblOffset val="100"/>
        <c:noMultiLvlLbl val="0"/>
      </c:catAx>
      <c:valAx>
        <c:axId val="6734389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342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TABLES.xlsx]Pivots Tasks!PivotTable2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2.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Tasks'!$P$4</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90-45B6-A0B5-B362427242DC}"/>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90-45B6-A0B5-B362427242DC}"/>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90-45B6-A0B5-B362427242DC}"/>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C90-45B6-A0B5-B362427242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 Tasks'!$O$5:$O$9</c:f>
              <c:strCache>
                <c:ptCount val="4"/>
                <c:pt idx="0">
                  <c:v>East</c:v>
                </c:pt>
                <c:pt idx="1">
                  <c:v>North</c:v>
                </c:pt>
                <c:pt idx="2">
                  <c:v>South</c:v>
                </c:pt>
                <c:pt idx="3">
                  <c:v>West</c:v>
                </c:pt>
              </c:strCache>
            </c:strRef>
          </c:cat>
          <c:val>
            <c:numRef>
              <c:f>'Pivots Tasks'!$P$5:$P$9</c:f>
              <c:numCache>
                <c:formatCode>0</c:formatCode>
                <c:ptCount val="4"/>
                <c:pt idx="0">
                  <c:v>4221808.6800000006</c:v>
                </c:pt>
                <c:pt idx="1">
                  <c:v>3708046.1200000006</c:v>
                </c:pt>
                <c:pt idx="2">
                  <c:v>5289298.0600000024</c:v>
                </c:pt>
                <c:pt idx="3">
                  <c:v>428281.38000000012</c:v>
                </c:pt>
              </c:numCache>
            </c:numRef>
          </c:val>
          <c:extLst>
            <c:ext xmlns:c16="http://schemas.microsoft.com/office/drawing/2014/chart" uri="{C3380CC4-5D6E-409C-BE32-E72D297353CC}">
              <c16:uniqueId val="{00000008-9C90-45B6-A0B5-B362427242D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Tasks!PivotTable6</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3.</a:t>
            </a:r>
            <a:r>
              <a:rPr lang="en-US" baseline="0"/>
              <a:t> Top Products by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Tasks'!$AB$4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Tasks'!$AA$5:$AA$14</c:f>
              <c:strCache>
                <c:ptCount val="9"/>
                <c:pt idx="0">
                  <c:v>Chair</c:v>
                </c:pt>
                <c:pt idx="1">
                  <c:v>Jacket</c:v>
                </c:pt>
                <c:pt idx="2">
                  <c:v>Jeans</c:v>
                </c:pt>
                <c:pt idx="3">
                  <c:v>Laptop</c:v>
                </c:pt>
                <c:pt idx="4">
                  <c:v>Mobile</c:v>
                </c:pt>
                <c:pt idx="5">
                  <c:v>Shirt</c:v>
                </c:pt>
                <c:pt idx="6">
                  <c:v>Sofa</c:v>
                </c:pt>
                <c:pt idx="7">
                  <c:v>Table</c:v>
                </c:pt>
                <c:pt idx="8">
                  <c:v>Tablet</c:v>
                </c:pt>
              </c:strCache>
            </c:strRef>
          </c:cat>
          <c:val>
            <c:numRef>
              <c:f>'Pivots Tasks'!$AB$5:$AB$14</c:f>
              <c:numCache>
                <c:formatCode>0</c:formatCode>
                <c:ptCount val="9"/>
                <c:pt idx="0">
                  <c:v>271124.65999999997</c:v>
                </c:pt>
                <c:pt idx="1">
                  <c:v>271882.18999999994</c:v>
                </c:pt>
                <c:pt idx="2">
                  <c:v>241587.26000000004</c:v>
                </c:pt>
                <c:pt idx="3">
                  <c:v>293616.65000000008</c:v>
                </c:pt>
                <c:pt idx="4">
                  <c:v>271457.8899999999</c:v>
                </c:pt>
                <c:pt idx="5">
                  <c:v>268297.41000000009</c:v>
                </c:pt>
                <c:pt idx="6">
                  <c:v>244717.38999999996</c:v>
                </c:pt>
                <c:pt idx="7">
                  <c:v>232180.22999999998</c:v>
                </c:pt>
                <c:pt idx="8">
                  <c:v>247695.39000000004</c:v>
                </c:pt>
              </c:numCache>
            </c:numRef>
          </c:val>
          <c:extLst>
            <c:ext xmlns:c16="http://schemas.microsoft.com/office/drawing/2014/chart" uri="{C3380CC4-5D6E-409C-BE32-E72D297353CC}">
              <c16:uniqueId val="{00000000-8E8F-4B2C-BAF5-8355C7127CC3}"/>
            </c:ext>
          </c:extLst>
        </c:ser>
        <c:dLbls>
          <c:dLblPos val="outEnd"/>
          <c:showLegendKey val="0"/>
          <c:showVal val="1"/>
          <c:showCatName val="0"/>
          <c:showSerName val="0"/>
          <c:showPercent val="0"/>
          <c:showBubbleSize val="0"/>
        </c:dLbls>
        <c:gapWidth val="100"/>
        <c:overlap val="-24"/>
        <c:axId val="991012335"/>
        <c:axId val="991012815"/>
      </c:barChart>
      <c:catAx>
        <c:axId val="9910123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012815"/>
        <c:crosses val="autoZero"/>
        <c:auto val="1"/>
        <c:lblAlgn val="ctr"/>
        <c:lblOffset val="100"/>
        <c:noMultiLvlLbl val="0"/>
      </c:catAx>
      <c:valAx>
        <c:axId val="991012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101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TABLES.xlsx]Pivots Tasks!PivotTable11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5. Sales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Tasks'!$AN$4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 Tasks'!$AM$5:$AM$17</c:f>
              <c:strCache>
                <c:ptCount val="12"/>
                <c:pt idx="0">
                  <c:v>Apr</c:v>
                </c:pt>
                <c:pt idx="1">
                  <c:v>Feb</c:v>
                </c:pt>
                <c:pt idx="2">
                  <c:v>Oct</c:v>
                </c:pt>
                <c:pt idx="3">
                  <c:v>Aug</c:v>
                </c:pt>
                <c:pt idx="4">
                  <c:v>Mar</c:v>
                </c:pt>
                <c:pt idx="5">
                  <c:v>Jan</c:v>
                </c:pt>
                <c:pt idx="6">
                  <c:v>Nov</c:v>
                </c:pt>
                <c:pt idx="7">
                  <c:v>Jun</c:v>
                </c:pt>
                <c:pt idx="8">
                  <c:v>Jul</c:v>
                </c:pt>
                <c:pt idx="9">
                  <c:v>May</c:v>
                </c:pt>
                <c:pt idx="10">
                  <c:v>Dec</c:v>
                </c:pt>
                <c:pt idx="11">
                  <c:v>Sep</c:v>
                </c:pt>
              </c:strCache>
            </c:strRef>
          </c:cat>
          <c:val>
            <c:numRef>
              <c:f>'Pivots Tasks'!$AN$5:$AN$17</c:f>
              <c:numCache>
                <c:formatCode>0</c:formatCode>
                <c:ptCount val="12"/>
                <c:pt idx="0">
                  <c:v>1453190.49</c:v>
                </c:pt>
                <c:pt idx="1">
                  <c:v>1356253.6600000001</c:v>
                </c:pt>
                <c:pt idx="2">
                  <c:v>1320122.6999999997</c:v>
                </c:pt>
                <c:pt idx="3">
                  <c:v>1256575.9099999997</c:v>
                </c:pt>
                <c:pt idx="4">
                  <c:v>1209713.7199999997</c:v>
                </c:pt>
                <c:pt idx="5">
                  <c:v>1194522.54</c:v>
                </c:pt>
                <c:pt idx="6">
                  <c:v>1100997.0999999999</c:v>
                </c:pt>
                <c:pt idx="7">
                  <c:v>1023551.7900000002</c:v>
                </c:pt>
                <c:pt idx="8">
                  <c:v>967581.05999999994</c:v>
                </c:pt>
                <c:pt idx="9">
                  <c:v>929297.83000000007</c:v>
                </c:pt>
                <c:pt idx="10">
                  <c:v>925996.27000000025</c:v>
                </c:pt>
                <c:pt idx="11">
                  <c:v>909631.16999999993</c:v>
                </c:pt>
              </c:numCache>
            </c:numRef>
          </c:val>
          <c:extLst>
            <c:ext xmlns:c16="http://schemas.microsoft.com/office/drawing/2014/chart" uri="{C3380CC4-5D6E-409C-BE32-E72D297353CC}">
              <c16:uniqueId val="{00000000-A2E8-4C20-81DC-944BB6AF6A3D}"/>
            </c:ext>
          </c:extLst>
        </c:ser>
        <c:dLbls>
          <c:dLblPos val="outEnd"/>
          <c:showLegendKey val="0"/>
          <c:showVal val="1"/>
          <c:showCatName val="0"/>
          <c:showSerName val="0"/>
          <c:showPercent val="0"/>
          <c:showBubbleSize val="0"/>
        </c:dLbls>
        <c:gapWidth val="100"/>
        <c:axId val="1735904079"/>
        <c:axId val="1735892079"/>
      </c:barChart>
      <c:catAx>
        <c:axId val="17359040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892079"/>
        <c:crosses val="autoZero"/>
        <c:auto val="1"/>
        <c:lblAlgn val="ctr"/>
        <c:lblOffset val="100"/>
        <c:noMultiLvlLbl val="0"/>
      </c:catAx>
      <c:valAx>
        <c:axId val="17358920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90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TABLES.xlsx]Pivots Tasks!PivotTable21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4. Category-wise </a:t>
            </a:r>
            <a:r>
              <a:rPr lang="en-US" baseline="0"/>
              <a:t>Sales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'Pivots Tasks'!$BO$4</c:f>
              <c:strCache>
                <c:ptCount val="1"/>
                <c:pt idx="0">
                  <c:v>Total</c:v>
                </c:pt>
              </c:strCache>
            </c:strRef>
          </c:tx>
          <c:dPt>
            <c:idx val="0"/>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40-48CE-81AD-CF46BB131394}"/>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40-48CE-81AD-CF46BB131394}"/>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40-48CE-81AD-CF46BB1313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 Tasks'!$BN$5:$BN$8</c:f>
              <c:strCache>
                <c:ptCount val="3"/>
                <c:pt idx="0">
                  <c:v>Clothing</c:v>
                </c:pt>
                <c:pt idx="1">
                  <c:v>Electronics</c:v>
                </c:pt>
                <c:pt idx="2">
                  <c:v>Furniture</c:v>
                </c:pt>
              </c:strCache>
            </c:strRef>
          </c:cat>
          <c:val>
            <c:numRef>
              <c:f>'Pivots Tasks'!$BO$5:$BO$8</c:f>
              <c:numCache>
                <c:formatCode>General</c:formatCode>
                <c:ptCount val="3"/>
                <c:pt idx="0">
                  <c:v>162</c:v>
                </c:pt>
                <c:pt idx="1">
                  <c:v>172</c:v>
                </c:pt>
                <c:pt idx="2">
                  <c:v>166</c:v>
                </c:pt>
              </c:numCache>
            </c:numRef>
          </c:val>
          <c:extLst>
            <c:ext xmlns:c16="http://schemas.microsoft.com/office/drawing/2014/chart" uri="{C3380CC4-5D6E-409C-BE32-E72D297353CC}">
              <c16:uniqueId val="{00000006-1440-48CE-81AD-CF46BB13139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Reversed" id="26">
  <a:schemeClr val="accent6"/>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emf"/><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 Id="rId9"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chart" Target="../charts/chart25.xml"/><Relationship Id="rId12"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jpeg"/><Relationship Id="rId11" Type="http://schemas.openxmlformats.org/officeDocument/2006/relationships/chart" Target="../charts/chart29.xml"/><Relationship Id="rId5" Type="http://schemas.openxmlformats.org/officeDocument/2006/relationships/image" Target="../media/image11.png"/><Relationship Id="rId10" Type="http://schemas.openxmlformats.org/officeDocument/2006/relationships/chart" Target="../charts/chart28.xml"/><Relationship Id="rId4" Type="http://schemas.openxmlformats.org/officeDocument/2006/relationships/image" Target="../media/image10.png"/><Relationship Id="rId9"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10</xdr:col>
      <xdr:colOff>778202</xdr:colOff>
      <xdr:row>15</xdr:row>
      <xdr:rowOff>24984</xdr:rowOff>
    </xdr:from>
    <xdr:to>
      <xdr:col>17</xdr:col>
      <xdr:colOff>0</xdr:colOff>
      <xdr:row>30</xdr:row>
      <xdr:rowOff>170385</xdr:rowOff>
    </xdr:to>
    <xdr:graphicFrame macro="">
      <xdr:nvGraphicFramePr>
        <xdr:cNvPr id="2" name="Chart 1">
          <a:extLst>
            <a:ext uri="{FF2B5EF4-FFF2-40B4-BE49-F238E27FC236}">
              <a16:creationId xmlns:a16="http://schemas.microsoft.com/office/drawing/2014/main" id="{4B8ED2EB-E5FE-2CBB-867F-651D13881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66172</xdr:colOff>
      <xdr:row>31</xdr:row>
      <xdr:rowOff>33222</xdr:rowOff>
    </xdr:from>
    <xdr:to>
      <xdr:col>17</xdr:col>
      <xdr:colOff>41526</xdr:colOff>
      <xdr:row>46</xdr:row>
      <xdr:rowOff>63676</xdr:rowOff>
    </xdr:to>
    <xdr:graphicFrame macro="">
      <xdr:nvGraphicFramePr>
        <xdr:cNvPr id="3" name="Chart 2">
          <a:extLst>
            <a:ext uri="{FF2B5EF4-FFF2-40B4-BE49-F238E27FC236}">
              <a16:creationId xmlns:a16="http://schemas.microsoft.com/office/drawing/2014/main" id="{A8AC7968-E0F7-1E30-A365-286319B8E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64033</xdr:colOff>
      <xdr:row>14</xdr:row>
      <xdr:rowOff>165207</xdr:rowOff>
    </xdr:from>
    <xdr:to>
      <xdr:col>21</xdr:col>
      <xdr:colOff>426357</xdr:colOff>
      <xdr:row>29</xdr:row>
      <xdr:rowOff>122945</xdr:rowOff>
    </xdr:to>
    <xdr:graphicFrame macro="">
      <xdr:nvGraphicFramePr>
        <xdr:cNvPr id="4" name="Chart 3">
          <a:extLst>
            <a:ext uri="{FF2B5EF4-FFF2-40B4-BE49-F238E27FC236}">
              <a16:creationId xmlns:a16="http://schemas.microsoft.com/office/drawing/2014/main" id="{D79E5687-401E-2175-4CF0-0CA9ED6D0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116983</xdr:colOff>
      <xdr:row>29</xdr:row>
      <xdr:rowOff>176893</xdr:rowOff>
    </xdr:from>
    <xdr:to>
      <xdr:col>23</xdr:col>
      <xdr:colOff>201385</xdr:colOff>
      <xdr:row>44</xdr:row>
      <xdr:rowOff>144235</xdr:rowOff>
    </xdr:to>
    <xdr:graphicFrame macro="">
      <xdr:nvGraphicFramePr>
        <xdr:cNvPr id="5" name="Chart 4">
          <a:extLst>
            <a:ext uri="{FF2B5EF4-FFF2-40B4-BE49-F238E27FC236}">
              <a16:creationId xmlns:a16="http://schemas.microsoft.com/office/drawing/2014/main" id="{03A8FBFC-BCC0-90B5-6093-9BCCE72AF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538345</xdr:colOff>
      <xdr:row>14</xdr:row>
      <xdr:rowOff>117158</xdr:rowOff>
    </xdr:from>
    <xdr:to>
      <xdr:col>27</xdr:col>
      <xdr:colOff>700907</xdr:colOff>
      <xdr:row>29</xdr:row>
      <xdr:rowOff>129296</xdr:rowOff>
    </xdr:to>
    <xdr:graphicFrame macro="">
      <xdr:nvGraphicFramePr>
        <xdr:cNvPr id="6" name="Chart 5">
          <a:extLst>
            <a:ext uri="{FF2B5EF4-FFF2-40B4-BE49-F238E27FC236}">
              <a16:creationId xmlns:a16="http://schemas.microsoft.com/office/drawing/2014/main" id="{B3628086-8069-3663-3521-FE8EF5772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249621</xdr:colOff>
      <xdr:row>29</xdr:row>
      <xdr:rowOff>152400</xdr:rowOff>
    </xdr:from>
    <xdr:to>
      <xdr:col>28</xdr:col>
      <xdr:colOff>385379</xdr:colOff>
      <xdr:row>44</xdr:row>
      <xdr:rowOff>136634</xdr:rowOff>
    </xdr:to>
    <xdr:graphicFrame macro="">
      <xdr:nvGraphicFramePr>
        <xdr:cNvPr id="7" name="Chart 6">
          <a:extLst>
            <a:ext uri="{FF2B5EF4-FFF2-40B4-BE49-F238E27FC236}">
              <a16:creationId xmlns:a16="http://schemas.microsoft.com/office/drawing/2014/main" id="{AE146737-01DF-C19E-AB7C-8345382EF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729574</xdr:colOff>
      <xdr:row>14</xdr:row>
      <xdr:rowOff>87548</xdr:rowOff>
    </xdr:from>
    <xdr:to>
      <xdr:col>32</xdr:col>
      <xdr:colOff>372893</xdr:colOff>
      <xdr:row>29</xdr:row>
      <xdr:rowOff>105383</xdr:rowOff>
    </xdr:to>
    <xdr:graphicFrame macro="">
      <xdr:nvGraphicFramePr>
        <xdr:cNvPr id="9" name="Chart 8">
          <a:extLst>
            <a:ext uri="{FF2B5EF4-FFF2-40B4-BE49-F238E27FC236}">
              <a16:creationId xmlns:a16="http://schemas.microsoft.com/office/drawing/2014/main" id="{BFCF4ADC-00D8-BE72-D4E1-533DCACF9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462062</xdr:colOff>
      <xdr:row>29</xdr:row>
      <xdr:rowOff>160507</xdr:rowOff>
    </xdr:from>
    <xdr:to>
      <xdr:col>32</xdr:col>
      <xdr:colOff>445850</xdr:colOff>
      <xdr:row>44</xdr:row>
      <xdr:rowOff>107004</xdr:rowOff>
    </xdr:to>
    <xdr:graphicFrame macro="">
      <xdr:nvGraphicFramePr>
        <xdr:cNvPr id="10" name="Chart 9">
          <a:extLst>
            <a:ext uri="{FF2B5EF4-FFF2-40B4-BE49-F238E27FC236}">
              <a16:creationId xmlns:a16="http://schemas.microsoft.com/office/drawing/2014/main" id="{F33C7FF7-2A34-629A-403B-75482D0B1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397213</xdr:colOff>
      <xdr:row>14</xdr:row>
      <xdr:rowOff>103762</xdr:rowOff>
    </xdr:from>
    <xdr:to>
      <xdr:col>37</xdr:col>
      <xdr:colOff>154021</xdr:colOff>
      <xdr:row>29</xdr:row>
      <xdr:rowOff>50260</xdr:rowOff>
    </xdr:to>
    <xdr:graphicFrame macro="">
      <xdr:nvGraphicFramePr>
        <xdr:cNvPr id="12" name="Chart 11">
          <a:extLst>
            <a:ext uri="{FF2B5EF4-FFF2-40B4-BE49-F238E27FC236}">
              <a16:creationId xmlns:a16="http://schemas.microsoft.com/office/drawing/2014/main" id="{23139F75-C313-B74A-B0D6-2C6A52F50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521137</xdr:colOff>
      <xdr:row>29</xdr:row>
      <xdr:rowOff>143641</xdr:rowOff>
    </xdr:from>
    <xdr:to>
      <xdr:col>40</xdr:col>
      <xdr:colOff>148896</xdr:colOff>
      <xdr:row>54</xdr:row>
      <xdr:rowOff>70068</xdr:rowOff>
    </xdr:to>
    <xdr:graphicFrame macro="">
      <xdr:nvGraphicFramePr>
        <xdr:cNvPr id="13" name="Chart 12">
          <a:extLst>
            <a:ext uri="{FF2B5EF4-FFF2-40B4-BE49-F238E27FC236}">
              <a16:creationId xmlns:a16="http://schemas.microsoft.com/office/drawing/2014/main" id="{71AB132B-EAF2-9F81-29BA-C71D93636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357709</xdr:colOff>
      <xdr:row>7</xdr:row>
      <xdr:rowOff>11267</xdr:rowOff>
    </xdr:from>
    <xdr:to>
      <xdr:col>43</xdr:col>
      <xdr:colOff>230710</xdr:colOff>
      <xdr:row>21</xdr:row>
      <xdr:rowOff>180228</xdr:rowOff>
    </xdr:to>
    <xdr:graphicFrame macro="">
      <xdr:nvGraphicFramePr>
        <xdr:cNvPr id="14" name="Chart 13">
          <a:extLst>
            <a:ext uri="{FF2B5EF4-FFF2-40B4-BE49-F238E27FC236}">
              <a16:creationId xmlns:a16="http://schemas.microsoft.com/office/drawing/2014/main" id="{CA4EAE30-20D9-3C47-1DA5-0B6CA407E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48</xdr:col>
      <xdr:colOff>123472</xdr:colOff>
      <xdr:row>15</xdr:row>
      <xdr:rowOff>75108</xdr:rowOff>
    </xdr:from>
    <xdr:to>
      <xdr:col>55</xdr:col>
      <xdr:colOff>17317</xdr:colOff>
      <xdr:row>30</xdr:row>
      <xdr:rowOff>95250</xdr:rowOff>
    </xdr:to>
    <xdr:graphicFrame macro="">
      <xdr:nvGraphicFramePr>
        <xdr:cNvPr id="15" name="Chart 14">
          <a:extLst>
            <a:ext uri="{FF2B5EF4-FFF2-40B4-BE49-F238E27FC236}">
              <a16:creationId xmlns:a16="http://schemas.microsoft.com/office/drawing/2014/main" id="{ACAB143D-463D-11FB-FF66-5AD201A32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48</xdr:col>
      <xdr:colOff>201794</xdr:colOff>
      <xdr:row>31</xdr:row>
      <xdr:rowOff>4444</xdr:rowOff>
    </xdr:from>
    <xdr:to>
      <xdr:col>55</xdr:col>
      <xdr:colOff>32000</xdr:colOff>
      <xdr:row>46</xdr:row>
      <xdr:rowOff>14382</xdr:rowOff>
    </xdr:to>
    <xdr:graphicFrame macro="">
      <xdr:nvGraphicFramePr>
        <xdr:cNvPr id="16" name="Chart 15">
          <a:extLst>
            <a:ext uri="{FF2B5EF4-FFF2-40B4-BE49-F238E27FC236}">
              <a16:creationId xmlns:a16="http://schemas.microsoft.com/office/drawing/2014/main" id="{0033261D-3EE9-4EC6-6FEB-B6E8FEB34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55</xdr:col>
      <xdr:colOff>107023</xdr:colOff>
      <xdr:row>15</xdr:row>
      <xdr:rowOff>49659</xdr:rowOff>
    </xdr:from>
    <xdr:to>
      <xdr:col>61</xdr:col>
      <xdr:colOff>620731</xdr:colOff>
      <xdr:row>30</xdr:row>
      <xdr:rowOff>95892</xdr:rowOff>
    </xdr:to>
    <xdr:graphicFrame macro="">
      <xdr:nvGraphicFramePr>
        <xdr:cNvPr id="17" name="Chart 16">
          <a:extLst>
            <a:ext uri="{FF2B5EF4-FFF2-40B4-BE49-F238E27FC236}">
              <a16:creationId xmlns:a16="http://schemas.microsoft.com/office/drawing/2014/main" id="{4E34BFCF-088C-E5CC-A1F7-DF332B409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55</xdr:col>
      <xdr:colOff>101896</xdr:colOff>
      <xdr:row>30</xdr:row>
      <xdr:rowOff>170122</xdr:rowOff>
    </xdr:from>
    <xdr:to>
      <xdr:col>61</xdr:col>
      <xdr:colOff>633523</xdr:colOff>
      <xdr:row>45</xdr:row>
      <xdr:rowOff>122275</xdr:rowOff>
    </xdr:to>
    <xdr:graphicFrame macro="">
      <xdr:nvGraphicFramePr>
        <xdr:cNvPr id="18" name="Chart 17">
          <a:extLst>
            <a:ext uri="{FF2B5EF4-FFF2-40B4-BE49-F238E27FC236}">
              <a16:creationId xmlns:a16="http://schemas.microsoft.com/office/drawing/2014/main" id="{E432EA62-3259-3E48-B848-E5EB1CC0B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1</xdr:colOff>
      <xdr:row>2</xdr:row>
      <xdr:rowOff>0</xdr:rowOff>
    </xdr:from>
    <xdr:to>
      <xdr:col>27</xdr:col>
      <xdr:colOff>638866</xdr:colOff>
      <xdr:row>14</xdr:row>
      <xdr:rowOff>34614</xdr:rowOff>
    </xdr:to>
    <xdr:grpSp>
      <xdr:nvGrpSpPr>
        <xdr:cNvPr id="11" name="Group 10">
          <a:extLst>
            <a:ext uri="{FF2B5EF4-FFF2-40B4-BE49-F238E27FC236}">
              <a16:creationId xmlns:a16="http://schemas.microsoft.com/office/drawing/2014/main" id="{9F83D077-D288-5F24-51EC-8CC5041A6376}"/>
            </a:ext>
          </a:extLst>
        </xdr:cNvPr>
        <xdr:cNvGrpSpPr/>
      </xdr:nvGrpSpPr>
      <xdr:grpSpPr>
        <a:xfrm>
          <a:off x="17938103" y="388776"/>
          <a:ext cx="2606069" cy="2289511"/>
          <a:chOff x="17762682" y="386773"/>
          <a:chExt cx="2623080" cy="2262909"/>
        </a:xfrm>
      </xdr:grpSpPr>
      <xdr:sp macro="" textlink="">
        <xdr:nvSpPr>
          <xdr:cNvPr id="2" name="Rectangle 1">
            <a:extLst>
              <a:ext uri="{FF2B5EF4-FFF2-40B4-BE49-F238E27FC236}">
                <a16:creationId xmlns:a16="http://schemas.microsoft.com/office/drawing/2014/main" id="{60974556-F316-F581-02BF-B3BF7CE12E3E}"/>
              </a:ext>
            </a:extLst>
          </xdr:cNvPr>
          <xdr:cNvSpPr/>
        </xdr:nvSpPr>
        <xdr:spPr>
          <a:xfrm>
            <a:off x="17762682" y="386773"/>
            <a:ext cx="1980045" cy="2262909"/>
          </a:xfrm>
          <a:prstGeom prst="rect">
            <a:avLst/>
          </a:prstGeom>
          <a:ln w="28575"/>
          <a:effectLst>
            <a:glow rad="101600">
              <a:schemeClr val="accent1">
                <a:satMod val="175000"/>
                <a:alpha val="40000"/>
              </a:schemeClr>
            </a:glow>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5" name="Picture 4">
            <a:extLst>
              <a:ext uri="{FF2B5EF4-FFF2-40B4-BE49-F238E27FC236}">
                <a16:creationId xmlns:a16="http://schemas.microsoft.com/office/drawing/2014/main" id="{EC694BDA-D3C6-DE93-5F6C-5B6A8EDA90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99453" y="477954"/>
            <a:ext cx="638994" cy="679863"/>
          </a:xfrm>
          <a:prstGeom prst="rect">
            <a:avLst/>
          </a:prstGeom>
        </xdr:spPr>
      </xdr:pic>
      <xdr:pic>
        <xdr:nvPicPr>
          <xdr:cNvPr id="6" name="Picture 5">
            <a:extLst>
              <a:ext uri="{FF2B5EF4-FFF2-40B4-BE49-F238E27FC236}">
                <a16:creationId xmlns:a16="http://schemas.microsoft.com/office/drawing/2014/main" id="{A9D1180C-94DD-72F3-986B-5C02498E16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815283" y="1290274"/>
            <a:ext cx="1898488" cy="573670"/>
          </a:xfrm>
          <a:prstGeom prst="rect">
            <a:avLst/>
          </a:prstGeom>
          <a:noFill/>
          <a:ln>
            <a:noFill/>
          </a:ln>
          <a:extLst>
            <a:ext uri="{909E8E84-426E-40DD-AFC4-6F175D3DCCD1}">
              <a14:hiddenFill xmlns:a14="http://schemas.microsoft.com/office/drawing/2010/main">
                <a:solidFill>
                  <a:srgbClr val="FFFFFF"/>
                </a:solidFill>
              </a14:hiddenFill>
            </a:ext>
          </a:extLst>
        </xdr:spPr>
      </xdr:pic>
      <xdr:sp macro="" textlink="">
        <xdr:nvSpPr>
          <xdr:cNvPr id="7" name="TextBox 6">
            <a:extLst>
              <a:ext uri="{FF2B5EF4-FFF2-40B4-BE49-F238E27FC236}">
                <a16:creationId xmlns:a16="http://schemas.microsoft.com/office/drawing/2014/main" id="{B9BE4608-0E2B-0448-5B3D-1E5A1C6A1C74}"/>
              </a:ext>
            </a:extLst>
          </xdr:cNvPr>
          <xdr:cNvSpPr txBox="1"/>
        </xdr:nvSpPr>
        <xdr:spPr>
          <a:xfrm>
            <a:off x="18703636" y="669637"/>
            <a:ext cx="81612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SALES</a:t>
            </a:r>
          </a:p>
        </xdr:txBody>
      </xdr:sp>
      <xdr:sp macro="" textlink="$W$5">
        <xdr:nvSpPr>
          <xdr:cNvPr id="8" name="TextBox 7">
            <a:extLst>
              <a:ext uri="{FF2B5EF4-FFF2-40B4-BE49-F238E27FC236}">
                <a16:creationId xmlns:a16="http://schemas.microsoft.com/office/drawing/2014/main" id="{D637E32A-4BB2-19B2-AA8E-F89AC17D0E3C}"/>
              </a:ext>
            </a:extLst>
          </xdr:cNvPr>
          <xdr:cNvSpPr txBox="1"/>
        </xdr:nvSpPr>
        <xdr:spPr>
          <a:xfrm>
            <a:off x="18080183" y="2176318"/>
            <a:ext cx="2305579" cy="462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474F784-F24B-4E94-B379-7D1A621937B6}" type="TxLink">
              <a:rPr lang="en-US" sz="2400" b="1" i="0" u="none" strike="noStrike">
                <a:solidFill>
                  <a:srgbClr val="000000"/>
                </a:solidFill>
                <a:latin typeface="Calibri"/>
                <a:ea typeface="Calibri"/>
                <a:cs typeface="Calibri"/>
              </a:rPr>
              <a:pPr/>
              <a:t>₹ 1,30,96,323.24</a:t>
            </a:fld>
            <a:endParaRPr lang="en-IN" sz="2400" b="1"/>
          </a:p>
        </xdr:txBody>
      </xdr:sp>
      <xdr:sp macro="" textlink="">
        <xdr:nvSpPr>
          <xdr:cNvPr id="9" name="TextBox 8">
            <a:extLst>
              <a:ext uri="{FF2B5EF4-FFF2-40B4-BE49-F238E27FC236}">
                <a16:creationId xmlns:a16="http://schemas.microsoft.com/office/drawing/2014/main" id="{5994B9AE-1111-FFAD-9213-E2975F20AE66}"/>
              </a:ext>
            </a:extLst>
          </xdr:cNvPr>
          <xdr:cNvSpPr txBox="1"/>
        </xdr:nvSpPr>
        <xdr:spPr>
          <a:xfrm>
            <a:off x="18001672" y="1866901"/>
            <a:ext cx="15653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SALES</a:t>
            </a:r>
          </a:p>
        </xdr:txBody>
      </xdr:sp>
    </xdr:grpSp>
    <xdr:clientData/>
  </xdr:twoCellAnchor>
  <xdr:twoCellAnchor>
    <xdr:from>
      <xdr:col>27</xdr:col>
      <xdr:colOff>230910</xdr:colOff>
      <xdr:row>1</xdr:row>
      <xdr:rowOff>190500</xdr:rowOff>
    </xdr:from>
    <xdr:to>
      <xdr:col>29</xdr:col>
      <xdr:colOff>785091</xdr:colOff>
      <xdr:row>14</xdr:row>
      <xdr:rowOff>28864</xdr:rowOff>
    </xdr:to>
    <xdr:sp macro="" textlink="">
      <xdr:nvSpPr>
        <xdr:cNvPr id="13" name="Rectangle 12">
          <a:extLst>
            <a:ext uri="{FF2B5EF4-FFF2-40B4-BE49-F238E27FC236}">
              <a16:creationId xmlns:a16="http://schemas.microsoft.com/office/drawing/2014/main" id="{AA9AD120-EB6F-B7E0-B340-BF3502F2F6D0}"/>
            </a:ext>
          </a:extLst>
        </xdr:cNvPr>
        <xdr:cNvSpPr/>
      </xdr:nvSpPr>
      <xdr:spPr>
        <a:xfrm>
          <a:off x="19973637" y="381000"/>
          <a:ext cx="1980045" cy="2262909"/>
        </a:xfrm>
        <a:prstGeom prst="rect">
          <a:avLst/>
        </a:prstGeom>
        <a:ln w="28575"/>
        <a:effectLst>
          <a:glow rad="101600">
            <a:schemeClr val="accent1">
              <a:satMod val="175000"/>
              <a:alpha val="40000"/>
            </a:schemeClr>
          </a:glow>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27</xdr:col>
      <xdr:colOff>367681</xdr:colOff>
      <xdr:row>2</xdr:row>
      <xdr:rowOff>85408</xdr:rowOff>
    </xdr:from>
    <xdr:to>
      <xdr:col>28</xdr:col>
      <xdr:colOff>290857</xdr:colOff>
      <xdr:row>6</xdr:row>
      <xdr:rowOff>26362</xdr:rowOff>
    </xdr:to>
    <xdr:pic>
      <xdr:nvPicPr>
        <xdr:cNvPr id="14" name="Picture 13">
          <a:extLst>
            <a:ext uri="{FF2B5EF4-FFF2-40B4-BE49-F238E27FC236}">
              <a16:creationId xmlns:a16="http://schemas.microsoft.com/office/drawing/2014/main" id="{086FD644-D7A0-349C-1870-312AB24B0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110408" y="472181"/>
          <a:ext cx="638994" cy="679863"/>
        </a:xfrm>
        <a:prstGeom prst="rect">
          <a:avLst/>
        </a:prstGeom>
      </xdr:spPr>
    </xdr:pic>
    <xdr:clientData/>
  </xdr:twoCellAnchor>
  <xdr:twoCellAnchor>
    <xdr:from>
      <xdr:col>28</xdr:col>
      <xdr:colOff>456046</xdr:colOff>
      <xdr:row>3</xdr:row>
      <xdr:rowOff>92364</xdr:rowOff>
    </xdr:from>
    <xdr:to>
      <xdr:col>29</xdr:col>
      <xdr:colOff>562121</xdr:colOff>
      <xdr:row>5</xdr:row>
      <xdr:rowOff>128341</xdr:rowOff>
    </xdr:to>
    <xdr:sp macro="" textlink="">
      <xdr:nvSpPr>
        <xdr:cNvPr id="16" name="TextBox 15">
          <a:extLst>
            <a:ext uri="{FF2B5EF4-FFF2-40B4-BE49-F238E27FC236}">
              <a16:creationId xmlns:a16="http://schemas.microsoft.com/office/drawing/2014/main" id="{E2747599-304C-A1C0-B6BF-2352C26A4B74}"/>
            </a:ext>
          </a:extLst>
        </xdr:cNvPr>
        <xdr:cNvSpPr txBox="1"/>
      </xdr:nvSpPr>
      <xdr:spPr>
        <a:xfrm>
          <a:off x="20914591" y="663864"/>
          <a:ext cx="81612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t>ORDER</a:t>
          </a:r>
        </a:p>
      </xdr:txBody>
    </xdr:sp>
    <xdr:clientData/>
  </xdr:twoCellAnchor>
  <xdr:twoCellAnchor>
    <xdr:from>
      <xdr:col>28</xdr:col>
      <xdr:colOff>178957</xdr:colOff>
      <xdr:row>7</xdr:row>
      <xdr:rowOff>161635</xdr:rowOff>
    </xdr:from>
    <xdr:to>
      <xdr:col>29</xdr:col>
      <xdr:colOff>121590</xdr:colOff>
      <xdr:row>10</xdr:row>
      <xdr:rowOff>63921</xdr:rowOff>
    </xdr:to>
    <xdr:sp macro="" textlink="$W$6">
      <xdr:nvSpPr>
        <xdr:cNvPr id="17" name="TextBox 16">
          <a:extLst>
            <a:ext uri="{FF2B5EF4-FFF2-40B4-BE49-F238E27FC236}">
              <a16:creationId xmlns:a16="http://schemas.microsoft.com/office/drawing/2014/main" id="{DF318655-3F97-9AF2-7C29-201B6C3A1926}"/>
            </a:ext>
          </a:extLst>
        </xdr:cNvPr>
        <xdr:cNvSpPr txBox="1"/>
      </xdr:nvSpPr>
      <xdr:spPr>
        <a:xfrm>
          <a:off x="20637502" y="1472044"/>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03C043B-C836-47EE-A18E-C4C2791A70B2}" type="TxLink">
            <a:rPr lang="en-US" sz="2400" b="1" i="0" u="none" strike="noStrike">
              <a:solidFill>
                <a:srgbClr val="000000"/>
              </a:solidFill>
              <a:latin typeface="Calibri"/>
              <a:ea typeface="Calibri"/>
              <a:cs typeface="Calibri"/>
            </a:rPr>
            <a:pPr/>
            <a:t>500</a:t>
          </a:fld>
          <a:endParaRPr lang="en-IN" sz="4800" b="1"/>
        </a:p>
      </xdr:txBody>
    </xdr:sp>
    <xdr:clientData/>
  </xdr:twoCellAnchor>
  <xdr:twoCellAnchor>
    <xdr:from>
      <xdr:col>27</xdr:col>
      <xdr:colOff>331356</xdr:colOff>
      <xdr:row>6</xdr:row>
      <xdr:rowOff>100448</xdr:rowOff>
    </xdr:from>
    <xdr:to>
      <xdr:col>29</xdr:col>
      <xdr:colOff>709576</xdr:colOff>
      <xdr:row>8</xdr:row>
      <xdr:rowOff>136426</xdr:rowOff>
    </xdr:to>
    <xdr:sp macro="" textlink="">
      <xdr:nvSpPr>
        <xdr:cNvPr id="18" name="TextBox 17">
          <a:extLst>
            <a:ext uri="{FF2B5EF4-FFF2-40B4-BE49-F238E27FC236}">
              <a16:creationId xmlns:a16="http://schemas.microsoft.com/office/drawing/2014/main" id="{4FA694C7-24AC-0558-8E6A-03CC6B5D2A8B}"/>
            </a:ext>
          </a:extLst>
        </xdr:cNvPr>
        <xdr:cNvSpPr txBox="1"/>
      </xdr:nvSpPr>
      <xdr:spPr>
        <a:xfrm>
          <a:off x="20074083" y="1226130"/>
          <a:ext cx="180408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t>TOTAL ORDERS</a:t>
          </a:r>
        </a:p>
      </xdr:txBody>
    </xdr:sp>
    <xdr:clientData/>
  </xdr:twoCellAnchor>
  <xdr:twoCellAnchor>
    <xdr:from>
      <xdr:col>27</xdr:col>
      <xdr:colOff>666176</xdr:colOff>
      <xdr:row>10</xdr:row>
      <xdr:rowOff>181263</xdr:rowOff>
    </xdr:from>
    <xdr:to>
      <xdr:col>29</xdr:col>
      <xdr:colOff>594591</xdr:colOff>
      <xdr:row>13</xdr:row>
      <xdr:rowOff>95094</xdr:rowOff>
    </xdr:to>
    <xdr:sp macro="" textlink="$W$7">
      <xdr:nvSpPr>
        <xdr:cNvPr id="19" name="TextBox 18">
          <a:extLst>
            <a:ext uri="{FF2B5EF4-FFF2-40B4-BE49-F238E27FC236}">
              <a16:creationId xmlns:a16="http://schemas.microsoft.com/office/drawing/2014/main" id="{75281EA2-2BA7-DE5F-E7B3-960F48704929}"/>
            </a:ext>
          </a:extLst>
        </xdr:cNvPr>
        <xdr:cNvSpPr txBox="1"/>
      </xdr:nvSpPr>
      <xdr:spPr>
        <a:xfrm>
          <a:off x="20408903" y="2057399"/>
          <a:ext cx="13542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C29C4302-A3E0-452C-A703-BE510B189746}" type="TxLink">
            <a:rPr lang="en-US" sz="1600" b="1" i="0" u="none" strike="noStrike">
              <a:solidFill>
                <a:srgbClr val="000000"/>
              </a:solidFill>
              <a:latin typeface="Calibri"/>
              <a:ea typeface="Calibri"/>
              <a:cs typeface="Calibri"/>
            </a:rPr>
            <a:pPr/>
            <a:t>26192.64648</a:t>
          </a:fld>
          <a:endParaRPr lang="en-IN" sz="6600" b="1"/>
        </a:p>
      </xdr:txBody>
    </xdr:sp>
    <xdr:clientData/>
  </xdr:twoCellAnchor>
  <xdr:twoCellAnchor>
    <xdr:from>
      <xdr:col>27</xdr:col>
      <xdr:colOff>322120</xdr:colOff>
      <xdr:row>9</xdr:row>
      <xdr:rowOff>177802</xdr:rowOff>
    </xdr:from>
    <xdr:to>
      <xdr:col>29</xdr:col>
      <xdr:colOff>700340</xdr:colOff>
      <xdr:row>12</xdr:row>
      <xdr:rowOff>23279</xdr:rowOff>
    </xdr:to>
    <xdr:sp macro="" textlink="">
      <xdr:nvSpPr>
        <xdr:cNvPr id="20" name="TextBox 19">
          <a:extLst>
            <a:ext uri="{FF2B5EF4-FFF2-40B4-BE49-F238E27FC236}">
              <a16:creationId xmlns:a16="http://schemas.microsoft.com/office/drawing/2014/main" id="{5341688B-D0ED-29F8-8663-F99A2FADA8E1}"/>
            </a:ext>
          </a:extLst>
        </xdr:cNvPr>
        <xdr:cNvSpPr txBox="1"/>
      </xdr:nvSpPr>
      <xdr:spPr>
        <a:xfrm>
          <a:off x="20064847" y="1863438"/>
          <a:ext cx="180408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AVG.</a:t>
          </a:r>
          <a:r>
            <a:rPr lang="en-IN" sz="1600" b="1" baseline="0"/>
            <a:t> SALES/</a:t>
          </a:r>
          <a:r>
            <a:rPr lang="en-IN" sz="1600" b="1"/>
            <a:t>ORDER</a:t>
          </a:r>
        </a:p>
      </xdr:txBody>
    </xdr:sp>
    <xdr:clientData/>
  </xdr:twoCellAnchor>
  <xdr:twoCellAnchor>
    <xdr:from>
      <xdr:col>29</xdr:col>
      <xdr:colOff>1018309</xdr:colOff>
      <xdr:row>2</xdr:row>
      <xdr:rowOff>13855</xdr:rowOff>
    </xdr:from>
    <xdr:to>
      <xdr:col>31</xdr:col>
      <xdr:colOff>475672</xdr:colOff>
      <xdr:row>14</xdr:row>
      <xdr:rowOff>48492</xdr:rowOff>
    </xdr:to>
    <xdr:sp macro="" textlink="">
      <xdr:nvSpPr>
        <xdr:cNvPr id="22" name="Rectangle 21">
          <a:extLst>
            <a:ext uri="{FF2B5EF4-FFF2-40B4-BE49-F238E27FC236}">
              <a16:creationId xmlns:a16="http://schemas.microsoft.com/office/drawing/2014/main" id="{F6CA643A-D22F-0816-9DA7-9CB090CE0BD3}"/>
            </a:ext>
          </a:extLst>
        </xdr:cNvPr>
        <xdr:cNvSpPr/>
      </xdr:nvSpPr>
      <xdr:spPr>
        <a:xfrm>
          <a:off x="22186900" y="400628"/>
          <a:ext cx="1980045" cy="2262909"/>
        </a:xfrm>
        <a:prstGeom prst="rect">
          <a:avLst/>
        </a:prstGeom>
        <a:ln w="28575"/>
        <a:effectLst>
          <a:glow rad="101600">
            <a:schemeClr val="accent1">
              <a:satMod val="175000"/>
              <a:alpha val="40000"/>
            </a:schemeClr>
          </a:glow>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29</xdr:col>
      <xdr:colOff>1155080</xdr:colOff>
      <xdr:row>2</xdr:row>
      <xdr:rowOff>105036</xdr:rowOff>
    </xdr:from>
    <xdr:to>
      <xdr:col>29</xdr:col>
      <xdr:colOff>1794074</xdr:colOff>
      <xdr:row>6</xdr:row>
      <xdr:rowOff>45990</xdr:rowOff>
    </xdr:to>
    <xdr:pic>
      <xdr:nvPicPr>
        <xdr:cNvPr id="23" name="Picture 22">
          <a:extLst>
            <a:ext uri="{FF2B5EF4-FFF2-40B4-BE49-F238E27FC236}">
              <a16:creationId xmlns:a16="http://schemas.microsoft.com/office/drawing/2014/main" id="{F77160F8-A3B1-2455-C0BB-E977561EE7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323671" y="491809"/>
          <a:ext cx="638994" cy="679863"/>
        </a:xfrm>
        <a:prstGeom prst="rect">
          <a:avLst/>
        </a:prstGeom>
      </xdr:spPr>
    </xdr:pic>
    <xdr:clientData/>
  </xdr:twoCellAnchor>
  <xdr:twoCellAnchor>
    <xdr:from>
      <xdr:col>30</xdr:col>
      <xdr:colOff>48490</xdr:colOff>
      <xdr:row>3</xdr:row>
      <xdr:rowOff>111992</xdr:rowOff>
    </xdr:from>
    <xdr:to>
      <xdr:col>31</xdr:col>
      <xdr:colOff>252702</xdr:colOff>
      <xdr:row>5</xdr:row>
      <xdr:rowOff>147969</xdr:rowOff>
    </xdr:to>
    <xdr:sp macro="" textlink="">
      <xdr:nvSpPr>
        <xdr:cNvPr id="25" name="TextBox 24">
          <a:extLst>
            <a:ext uri="{FF2B5EF4-FFF2-40B4-BE49-F238E27FC236}">
              <a16:creationId xmlns:a16="http://schemas.microsoft.com/office/drawing/2014/main" id="{C73ADBEA-5D3B-92B4-85CF-F2BB79ED0F85}"/>
            </a:ext>
          </a:extLst>
        </xdr:cNvPr>
        <xdr:cNvSpPr txBox="1"/>
      </xdr:nvSpPr>
      <xdr:spPr>
        <a:xfrm>
          <a:off x="23127854" y="683492"/>
          <a:ext cx="81612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t>SALES</a:t>
          </a:r>
        </a:p>
      </xdr:txBody>
    </xdr:sp>
    <xdr:clientData/>
  </xdr:twoCellAnchor>
  <xdr:twoCellAnchor>
    <xdr:from>
      <xdr:col>29</xdr:col>
      <xdr:colOff>1335810</xdr:colOff>
      <xdr:row>11</xdr:row>
      <xdr:rowOff>71582</xdr:rowOff>
    </xdr:from>
    <xdr:to>
      <xdr:col>31</xdr:col>
      <xdr:colOff>245828</xdr:colOff>
      <xdr:row>13</xdr:row>
      <xdr:rowOff>170141</xdr:rowOff>
    </xdr:to>
    <xdr:sp macro="" textlink="$W$9">
      <xdr:nvSpPr>
        <xdr:cNvPr id="26" name="TextBox 25">
          <a:extLst>
            <a:ext uri="{FF2B5EF4-FFF2-40B4-BE49-F238E27FC236}">
              <a16:creationId xmlns:a16="http://schemas.microsoft.com/office/drawing/2014/main" id="{90512F87-197C-558D-89DC-4D8325058C0F}"/>
            </a:ext>
          </a:extLst>
        </xdr:cNvPr>
        <xdr:cNvSpPr txBox="1"/>
      </xdr:nvSpPr>
      <xdr:spPr>
        <a:xfrm>
          <a:off x="22504401" y="2132446"/>
          <a:ext cx="14327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173883A7-ABBB-4317-9D27-F1DB71BE325B}" type="TxLink">
            <a:rPr lang="en-US" sz="1800" b="1" i="0" u="none" strike="noStrike">
              <a:solidFill>
                <a:srgbClr val="000000"/>
              </a:solidFill>
              <a:latin typeface="Calibri"/>
              <a:ea typeface="Calibri"/>
              <a:cs typeface="Calibri"/>
            </a:rPr>
            <a:pPr algn="ctr"/>
            <a:t>1072.04</a:t>
          </a:fld>
          <a:endParaRPr lang="en-IN" sz="4000" b="1"/>
        </a:p>
      </xdr:txBody>
    </xdr:sp>
    <xdr:clientData/>
  </xdr:twoCellAnchor>
  <xdr:twoCellAnchor>
    <xdr:from>
      <xdr:col>29</xdr:col>
      <xdr:colOff>1257299</xdr:colOff>
      <xdr:row>10</xdr:row>
      <xdr:rowOff>4620</xdr:rowOff>
    </xdr:from>
    <xdr:to>
      <xdr:col>31</xdr:col>
      <xdr:colOff>375066</xdr:colOff>
      <xdr:row>12</xdr:row>
      <xdr:rowOff>40597</xdr:rowOff>
    </xdr:to>
    <xdr:sp macro="" textlink="">
      <xdr:nvSpPr>
        <xdr:cNvPr id="27" name="TextBox 26">
          <a:extLst>
            <a:ext uri="{FF2B5EF4-FFF2-40B4-BE49-F238E27FC236}">
              <a16:creationId xmlns:a16="http://schemas.microsoft.com/office/drawing/2014/main" id="{CE8B418E-3908-74C2-04E6-5FFBD2586B71}"/>
            </a:ext>
          </a:extLst>
        </xdr:cNvPr>
        <xdr:cNvSpPr txBox="1"/>
      </xdr:nvSpPr>
      <xdr:spPr>
        <a:xfrm>
          <a:off x="22425890" y="1880756"/>
          <a:ext cx="164044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t>LOWEST</a:t>
          </a:r>
          <a:r>
            <a:rPr lang="en-IN" sz="2000" b="1" baseline="0"/>
            <a:t> SALE</a:t>
          </a:r>
          <a:endParaRPr lang="en-IN" sz="2000" b="1"/>
        </a:p>
      </xdr:txBody>
    </xdr:sp>
    <xdr:clientData/>
  </xdr:twoCellAnchor>
  <xdr:twoCellAnchor>
    <xdr:from>
      <xdr:col>29</xdr:col>
      <xdr:colOff>1349665</xdr:colOff>
      <xdr:row>8</xdr:row>
      <xdr:rowOff>16164</xdr:rowOff>
    </xdr:from>
    <xdr:to>
      <xdr:col>31</xdr:col>
      <xdr:colOff>259683</xdr:colOff>
      <xdr:row>10</xdr:row>
      <xdr:rowOff>103177</xdr:rowOff>
    </xdr:to>
    <xdr:sp macro="" textlink="$W$8">
      <xdr:nvSpPr>
        <xdr:cNvPr id="28" name="TextBox 27">
          <a:extLst>
            <a:ext uri="{FF2B5EF4-FFF2-40B4-BE49-F238E27FC236}">
              <a16:creationId xmlns:a16="http://schemas.microsoft.com/office/drawing/2014/main" id="{A580AF7D-C827-D0B4-48E2-410643F51530}"/>
            </a:ext>
          </a:extLst>
        </xdr:cNvPr>
        <xdr:cNvSpPr txBox="1"/>
      </xdr:nvSpPr>
      <xdr:spPr>
        <a:xfrm>
          <a:off x="22518256" y="1511300"/>
          <a:ext cx="14327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DFC3DC67-224F-48B9-B699-1E79876AD498}" type="TxLink">
            <a:rPr lang="en-US" sz="1800" b="1" i="0" u="none" strike="noStrike">
              <a:solidFill>
                <a:srgbClr val="000000"/>
              </a:solidFill>
              <a:latin typeface="Calibri"/>
              <a:ea typeface="Calibri"/>
              <a:cs typeface="Calibri"/>
            </a:rPr>
            <a:pPr algn="ctr"/>
            <a:t>49951.15</a:t>
          </a:fld>
          <a:endParaRPr lang="en-IN" sz="6000" b="1"/>
        </a:p>
      </xdr:txBody>
    </xdr:sp>
    <xdr:clientData/>
  </xdr:twoCellAnchor>
  <xdr:twoCellAnchor>
    <xdr:from>
      <xdr:col>29</xdr:col>
      <xdr:colOff>1213426</xdr:colOff>
      <xdr:row>6</xdr:row>
      <xdr:rowOff>133928</xdr:rowOff>
    </xdr:from>
    <xdr:to>
      <xdr:col>31</xdr:col>
      <xdr:colOff>331193</xdr:colOff>
      <xdr:row>8</xdr:row>
      <xdr:rowOff>169906</xdr:rowOff>
    </xdr:to>
    <xdr:sp macro="" textlink="">
      <xdr:nvSpPr>
        <xdr:cNvPr id="29" name="TextBox 28">
          <a:extLst>
            <a:ext uri="{FF2B5EF4-FFF2-40B4-BE49-F238E27FC236}">
              <a16:creationId xmlns:a16="http://schemas.microsoft.com/office/drawing/2014/main" id="{BEC2B3F0-21F4-4D6D-8785-0F7FE0232D0E}"/>
            </a:ext>
          </a:extLst>
        </xdr:cNvPr>
        <xdr:cNvSpPr txBox="1"/>
      </xdr:nvSpPr>
      <xdr:spPr>
        <a:xfrm>
          <a:off x="22382017" y="1259610"/>
          <a:ext cx="164044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t>HIGHEST</a:t>
          </a:r>
          <a:r>
            <a:rPr lang="en-IN" sz="2000" b="1" baseline="0"/>
            <a:t> SALE</a:t>
          </a:r>
          <a:endParaRPr lang="en-IN" sz="2000" b="1"/>
        </a:p>
      </xdr:txBody>
    </xdr:sp>
    <xdr:clientData/>
  </xdr:twoCellAnchor>
  <xdr:twoCellAnchor>
    <xdr:from>
      <xdr:col>25</xdr:col>
      <xdr:colOff>436745</xdr:colOff>
      <xdr:row>15</xdr:row>
      <xdr:rowOff>25838</xdr:rowOff>
    </xdr:from>
    <xdr:to>
      <xdr:col>28</xdr:col>
      <xdr:colOff>477206</xdr:colOff>
      <xdr:row>27</xdr:row>
      <xdr:rowOff>37622</xdr:rowOff>
    </xdr:to>
    <xdr:grpSp>
      <xdr:nvGrpSpPr>
        <xdr:cNvPr id="41" name="Group 40">
          <a:extLst>
            <a:ext uri="{FF2B5EF4-FFF2-40B4-BE49-F238E27FC236}">
              <a16:creationId xmlns:a16="http://schemas.microsoft.com/office/drawing/2014/main" id="{05D3821D-C9BB-97C5-265B-6827306616EB}"/>
            </a:ext>
          </a:extLst>
        </xdr:cNvPr>
        <xdr:cNvGrpSpPr/>
      </xdr:nvGrpSpPr>
      <xdr:grpSpPr>
        <a:xfrm>
          <a:off x="19129072" y="2863899"/>
          <a:ext cx="1968787" cy="2290009"/>
          <a:chOff x="17718668" y="2820605"/>
          <a:chExt cx="1970049" cy="2276238"/>
        </a:xfrm>
      </xdr:grpSpPr>
      <xdr:sp macro="" textlink="">
        <xdr:nvSpPr>
          <xdr:cNvPr id="31" name="Rectangle 30">
            <a:extLst>
              <a:ext uri="{FF2B5EF4-FFF2-40B4-BE49-F238E27FC236}">
                <a16:creationId xmlns:a16="http://schemas.microsoft.com/office/drawing/2014/main" id="{1FD29965-4CBD-E34C-5235-BC2CADF08CFC}"/>
              </a:ext>
            </a:extLst>
          </xdr:cNvPr>
          <xdr:cNvSpPr/>
        </xdr:nvSpPr>
        <xdr:spPr>
          <a:xfrm>
            <a:off x="17718668" y="2820605"/>
            <a:ext cx="1970049" cy="2276238"/>
          </a:xfrm>
          <a:prstGeom prst="rect">
            <a:avLst/>
          </a:prstGeom>
          <a:ln w="28575"/>
          <a:effectLst>
            <a:glow rad="101600">
              <a:schemeClr val="accent1">
                <a:satMod val="175000"/>
                <a:alpha val="40000"/>
              </a:schemeClr>
            </a:glow>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6990E23C-FD63-9193-78F3-C124B2609BAB}"/>
              </a:ext>
            </a:extLst>
          </xdr:cNvPr>
          <xdr:cNvSpPr txBox="1"/>
        </xdr:nvSpPr>
        <xdr:spPr>
          <a:xfrm>
            <a:off x="18631198" y="3073419"/>
            <a:ext cx="920018" cy="406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2000" b="1"/>
              <a:t>PROFIT</a:t>
            </a:r>
          </a:p>
        </xdr:txBody>
      </xdr:sp>
      <xdr:pic>
        <xdr:nvPicPr>
          <xdr:cNvPr id="32" name="Picture 31">
            <a:extLst>
              <a:ext uri="{FF2B5EF4-FFF2-40B4-BE49-F238E27FC236}">
                <a16:creationId xmlns:a16="http://schemas.microsoft.com/office/drawing/2014/main" id="{7A831817-74DA-21FA-066F-1F15144C012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7855442" y="2957882"/>
            <a:ext cx="638375" cy="593309"/>
          </a:xfrm>
          <a:prstGeom prst="rect">
            <a:avLst/>
          </a:prstGeom>
        </xdr:spPr>
      </xdr:pic>
      <xdr:sp macro="" textlink="$W$13">
        <xdr:nvSpPr>
          <xdr:cNvPr id="35" name="TextBox 34">
            <a:extLst>
              <a:ext uri="{FF2B5EF4-FFF2-40B4-BE49-F238E27FC236}">
                <a16:creationId xmlns:a16="http://schemas.microsoft.com/office/drawing/2014/main" id="{5FF202D8-08CD-F8A2-C969-C7FFC89E7EDA}"/>
              </a:ext>
            </a:extLst>
          </xdr:cNvPr>
          <xdr:cNvSpPr txBox="1"/>
        </xdr:nvSpPr>
        <xdr:spPr>
          <a:xfrm>
            <a:off x="18036176" y="4619573"/>
            <a:ext cx="1427394" cy="47196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AE3E0363-96C4-4857-AE2E-9DDB8FD3C998}" type="TxLink">
              <a:rPr lang="en-US" sz="2000" b="1" i="0" u="none" strike="noStrike">
                <a:solidFill>
                  <a:sysClr val="windowText" lastClr="000000"/>
                </a:solidFill>
                <a:latin typeface="Calibri"/>
                <a:ea typeface="Calibri"/>
                <a:cs typeface="Calibri"/>
              </a:rPr>
              <a:pPr algn="ctr"/>
              <a:t> ₹ 23,42,559.07 </a:t>
            </a:fld>
            <a:endParaRPr lang="en-IN" sz="4400" b="1">
              <a:solidFill>
                <a:sysClr val="windowText" lastClr="000000"/>
              </a:solidFill>
            </a:endParaRPr>
          </a:p>
        </xdr:txBody>
      </xdr:sp>
      <xdr:sp macro="" textlink="">
        <xdr:nvSpPr>
          <xdr:cNvPr id="36" name="TextBox 35">
            <a:extLst>
              <a:ext uri="{FF2B5EF4-FFF2-40B4-BE49-F238E27FC236}">
                <a16:creationId xmlns:a16="http://schemas.microsoft.com/office/drawing/2014/main" id="{69138E51-5D99-2C35-0634-FB7B3D7C6927}"/>
              </a:ext>
            </a:extLst>
          </xdr:cNvPr>
          <xdr:cNvSpPr txBox="1"/>
        </xdr:nvSpPr>
        <xdr:spPr>
          <a:xfrm>
            <a:off x="17848147" y="4308340"/>
            <a:ext cx="1669514" cy="4086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t>TOTAL PROFIT</a:t>
            </a:r>
          </a:p>
        </xdr:txBody>
      </xdr:sp>
    </xdr:grpSp>
    <xdr:clientData/>
  </xdr:twoCellAnchor>
  <xdr:twoCellAnchor editAs="oneCell">
    <xdr:from>
      <xdr:col>25</xdr:col>
      <xdr:colOff>504273</xdr:colOff>
      <xdr:row>18</xdr:row>
      <xdr:rowOff>163266</xdr:rowOff>
    </xdr:from>
    <xdr:to>
      <xdr:col>28</xdr:col>
      <xdr:colOff>408660</xdr:colOff>
      <xdr:row>22</xdr:row>
      <xdr:rowOff>164691</xdr:rowOff>
    </xdr:to>
    <xdr:pic>
      <xdr:nvPicPr>
        <xdr:cNvPr id="40" name="Picture 39">
          <a:extLst>
            <a:ext uri="{FF2B5EF4-FFF2-40B4-BE49-F238E27FC236}">
              <a16:creationId xmlns:a16="http://schemas.microsoft.com/office/drawing/2014/main" id="{A62FF915-D438-5DBD-949E-C61F11572B2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954114" y="3487744"/>
          <a:ext cx="1832987" cy="743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660582</xdr:colOff>
      <xdr:row>15</xdr:row>
      <xdr:rowOff>44906</xdr:rowOff>
    </xdr:from>
    <xdr:to>
      <xdr:col>30</xdr:col>
      <xdr:colOff>19682</xdr:colOff>
      <xdr:row>27</xdr:row>
      <xdr:rowOff>59925</xdr:rowOff>
    </xdr:to>
    <xdr:grpSp>
      <xdr:nvGrpSpPr>
        <xdr:cNvPr id="50" name="Group 49">
          <a:extLst>
            <a:ext uri="{FF2B5EF4-FFF2-40B4-BE49-F238E27FC236}">
              <a16:creationId xmlns:a16="http://schemas.microsoft.com/office/drawing/2014/main" id="{261E8F38-463D-6B63-B6F1-8E23BAF0EAB9}"/>
            </a:ext>
          </a:extLst>
        </xdr:cNvPr>
        <xdr:cNvGrpSpPr/>
      </xdr:nvGrpSpPr>
      <xdr:grpSpPr>
        <a:xfrm>
          <a:off x="21281235" y="2882967"/>
          <a:ext cx="1979447" cy="2293244"/>
          <a:chOff x="19872422" y="2789454"/>
          <a:chExt cx="1982269" cy="2233585"/>
        </a:xfrm>
      </xdr:grpSpPr>
      <xdr:sp macro="" textlink="">
        <xdr:nvSpPr>
          <xdr:cNvPr id="43" name="Rectangle 42">
            <a:extLst>
              <a:ext uri="{FF2B5EF4-FFF2-40B4-BE49-F238E27FC236}">
                <a16:creationId xmlns:a16="http://schemas.microsoft.com/office/drawing/2014/main" id="{2C491C83-094D-7452-90E5-A79A4C2B4EAD}"/>
              </a:ext>
            </a:extLst>
          </xdr:cNvPr>
          <xdr:cNvSpPr/>
        </xdr:nvSpPr>
        <xdr:spPr>
          <a:xfrm>
            <a:off x="19872422" y="2789454"/>
            <a:ext cx="1968021" cy="2233585"/>
          </a:xfrm>
          <a:prstGeom prst="rect">
            <a:avLst/>
          </a:prstGeom>
          <a:ln w="28575"/>
          <a:effectLst>
            <a:glow rad="101600">
              <a:schemeClr val="accent1">
                <a:satMod val="175000"/>
                <a:alpha val="40000"/>
              </a:schemeClr>
            </a:glow>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547A5287-F752-0410-E8FB-C811690755F0}"/>
              </a:ext>
            </a:extLst>
          </xdr:cNvPr>
          <xdr:cNvSpPr txBox="1"/>
        </xdr:nvSpPr>
        <xdr:spPr>
          <a:xfrm>
            <a:off x="20781114" y="3039034"/>
            <a:ext cx="921828" cy="398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IN" sz="2000" b="1"/>
              <a:t>PROFIT</a:t>
            </a:r>
          </a:p>
        </xdr:txBody>
      </xdr:sp>
      <xdr:pic>
        <xdr:nvPicPr>
          <xdr:cNvPr id="45" name="Picture 44">
            <a:extLst>
              <a:ext uri="{FF2B5EF4-FFF2-40B4-BE49-F238E27FC236}">
                <a16:creationId xmlns:a16="http://schemas.microsoft.com/office/drawing/2014/main" id="{33F775D6-CCEC-4E0B-C89A-4E945112F1F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20009196" y="2926731"/>
            <a:ext cx="634537" cy="582509"/>
          </a:xfrm>
          <a:prstGeom prst="rect">
            <a:avLst/>
          </a:prstGeom>
        </xdr:spPr>
      </xdr:pic>
      <xdr:sp macro="" textlink="$W$15">
        <xdr:nvSpPr>
          <xdr:cNvPr id="46" name="TextBox 45">
            <a:extLst>
              <a:ext uri="{FF2B5EF4-FFF2-40B4-BE49-F238E27FC236}">
                <a16:creationId xmlns:a16="http://schemas.microsoft.com/office/drawing/2014/main" id="{5800E7F8-6845-A830-5C58-5ED059DDA56F}"/>
              </a:ext>
            </a:extLst>
          </xdr:cNvPr>
          <xdr:cNvSpPr txBox="1"/>
        </xdr:nvSpPr>
        <xdr:spPr>
          <a:xfrm>
            <a:off x="20189930" y="4556021"/>
            <a:ext cx="1425366" cy="46171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DA52B13F-6E72-4A5D-8636-8613AB8C2E51}" type="TxLink">
              <a:rPr lang="en-US" sz="1800" b="1" i="0" u="none" strike="noStrike">
                <a:solidFill>
                  <a:srgbClr val="000000"/>
                </a:solidFill>
                <a:latin typeface="Calibri"/>
                <a:ea typeface="Calibri"/>
                <a:cs typeface="Calibri"/>
              </a:rPr>
              <a:pPr algn="ctr"/>
              <a:t>4685.11814</a:t>
            </a:fld>
            <a:endParaRPr lang="en-IN" sz="6600" b="1">
              <a:solidFill>
                <a:sysClr val="windowText" lastClr="000000"/>
              </a:solidFill>
            </a:endParaRPr>
          </a:p>
        </xdr:txBody>
      </xdr:sp>
      <xdr:sp macro="" textlink="">
        <xdr:nvSpPr>
          <xdr:cNvPr id="47" name="TextBox 46">
            <a:extLst>
              <a:ext uri="{FF2B5EF4-FFF2-40B4-BE49-F238E27FC236}">
                <a16:creationId xmlns:a16="http://schemas.microsoft.com/office/drawing/2014/main" id="{D4D81AA5-12E7-2251-D264-44BAB9CCE34A}"/>
              </a:ext>
            </a:extLst>
          </xdr:cNvPr>
          <xdr:cNvSpPr txBox="1"/>
        </xdr:nvSpPr>
        <xdr:spPr>
          <a:xfrm>
            <a:off x="20001901" y="4248572"/>
            <a:ext cx="1667486" cy="401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000" b="1"/>
              <a:t>AVG.</a:t>
            </a:r>
            <a:r>
              <a:rPr lang="en-IN" sz="2000" b="1" baseline="0"/>
              <a:t> PROFIT</a:t>
            </a:r>
            <a:endParaRPr lang="en-IN" sz="2000" b="1"/>
          </a:p>
        </xdr:txBody>
      </xdr:sp>
      <xdr:sp macro="" textlink="$W$14">
        <xdr:nvSpPr>
          <xdr:cNvPr id="48" name="TextBox 47">
            <a:extLst>
              <a:ext uri="{FF2B5EF4-FFF2-40B4-BE49-F238E27FC236}">
                <a16:creationId xmlns:a16="http://schemas.microsoft.com/office/drawing/2014/main" id="{9D6884C4-2CB6-E60B-DDB2-2E3688B26E72}"/>
              </a:ext>
            </a:extLst>
          </xdr:cNvPr>
          <xdr:cNvSpPr txBox="1"/>
        </xdr:nvSpPr>
        <xdr:spPr>
          <a:xfrm>
            <a:off x="20162672" y="3849493"/>
            <a:ext cx="1425366" cy="46116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8811C1A2-A78E-41D5-877F-FAEB8495A711}" type="TxLink">
              <a:rPr lang="en-US" sz="2000" b="1" i="0" u="none" strike="noStrike">
                <a:solidFill>
                  <a:sysClr val="windowText" lastClr="000000"/>
                </a:solidFill>
                <a:latin typeface="Calibri"/>
                <a:ea typeface="Calibri"/>
                <a:cs typeface="Calibri"/>
              </a:rPr>
              <a:pPr algn="ctr"/>
              <a:t>17.89%</a:t>
            </a:fld>
            <a:endParaRPr lang="en-IN" sz="11500" b="1">
              <a:solidFill>
                <a:sysClr val="windowText" lastClr="000000"/>
              </a:solidFill>
            </a:endParaRPr>
          </a:p>
        </xdr:txBody>
      </xdr:sp>
      <xdr:sp macro="" textlink="">
        <xdr:nvSpPr>
          <xdr:cNvPr id="49" name="TextBox 48">
            <a:extLst>
              <a:ext uri="{FF2B5EF4-FFF2-40B4-BE49-F238E27FC236}">
                <a16:creationId xmlns:a16="http://schemas.microsoft.com/office/drawing/2014/main" id="{4D7B630A-64CC-AB4B-09EA-F6DB6723A1C0}"/>
              </a:ext>
            </a:extLst>
          </xdr:cNvPr>
          <xdr:cNvSpPr txBox="1"/>
        </xdr:nvSpPr>
        <xdr:spPr>
          <a:xfrm>
            <a:off x="19974643" y="3541495"/>
            <a:ext cx="1880048" cy="402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600" b="1"/>
              <a:t>PROFIT</a:t>
            </a:r>
            <a:r>
              <a:rPr lang="en-IN" sz="1600" b="1" baseline="0"/>
              <a:t> MARGIN(%)</a:t>
            </a:r>
            <a:endParaRPr lang="en-IN" sz="1600" b="1"/>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491436</xdr:colOff>
      <xdr:row>0</xdr:row>
      <xdr:rowOff>78561</xdr:rowOff>
    </xdr:from>
    <xdr:to>
      <xdr:col>11</xdr:col>
      <xdr:colOff>507620</xdr:colOff>
      <xdr:row>13</xdr:row>
      <xdr:rowOff>58046</xdr:rowOff>
    </xdr:to>
    <xdr:graphicFrame macro="">
      <xdr:nvGraphicFramePr>
        <xdr:cNvPr id="2" name="Chart 1">
          <a:extLst>
            <a:ext uri="{FF2B5EF4-FFF2-40B4-BE49-F238E27FC236}">
              <a16:creationId xmlns:a16="http://schemas.microsoft.com/office/drawing/2014/main" id="{094431EB-0C73-DC9A-AAB5-896BD0DAD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491972</xdr:colOff>
      <xdr:row>13</xdr:row>
      <xdr:rowOff>108012</xdr:rowOff>
    </xdr:from>
    <xdr:to>
      <xdr:col>12</xdr:col>
      <xdr:colOff>251535</xdr:colOff>
      <xdr:row>25</xdr:row>
      <xdr:rowOff>118369</xdr:rowOff>
    </xdr:to>
    <xdr:graphicFrame macro="">
      <xdr:nvGraphicFramePr>
        <xdr:cNvPr id="4" name="Chart 3">
          <a:extLst>
            <a:ext uri="{FF2B5EF4-FFF2-40B4-BE49-F238E27FC236}">
              <a16:creationId xmlns:a16="http://schemas.microsoft.com/office/drawing/2014/main" id="{38F92042-2BBF-DD17-AB0A-1BEE73FE1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543268</xdr:colOff>
      <xdr:row>0</xdr:row>
      <xdr:rowOff>79675</xdr:rowOff>
    </xdr:from>
    <xdr:to>
      <xdr:col>18</xdr:col>
      <xdr:colOff>567906</xdr:colOff>
      <xdr:row>13</xdr:row>
      <xdr:rowOff>43132</xdr:rowOff>
    </xdr:to>
    <xdr:graphicFrame macro="">
      <xdr:nvGraphicFramePr>
        <xdr:cNvPr id="5" name="Chart 4">
          <a:extLst>
            <a:ext uri="{FF2B5EF4-FFF2-40B4-BE49-F238E27FC236}">
              <a16:creationId xmlns:a16="http://schemas.microsoft.com/office/drawing/2014/main" id="{F602C547-49F4-4865-C261-555F15C6D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286916</xdr:colOff>
      <xdr:row>13</xdr:row>
      <xdr:rowOff>107577</xdr:rowOff>
    </xdr:from>
    <xdr:to>
      <xdr:col>18</xdr:col>
      <xdr:colOff>560718</xdr:colOff>
      <xdr:row>28</xdr:row>
      <xdr:rowOff>100641</xdr:rowOff>
    </xdr:to>
    <xdr:graphicFrame macro="">
      <xdr:nvGraphicFramePr>
        <xdr:cNvPr id="6" name="Chart 5">
          <a:extLst>
            <a:ext uri="{FF2B5EF4-FFF2-40B4-BE49-F238E27FC236}">
              <a16:creationId xmlns:a16="http://schemas.microsoft.com/office/drawing/2014/main" id="{63A6C5BD-357A-C21D-682D-D8FB64AF6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61103</xdr:colOff>
      <xdr:row>25</xdr:row>
      <xdr:rowOff>145210</xdr:rowOff>
    </xdr:from>
    <xdr:to>
      <xdr:col>12</xdr:col>
      <xdr:colOff>230037</xdr:colOff>
      <xdr:row>37</xdr:row>
      <xdr:rowOff>107829</xdr:rowOff>
    </xdr:to>
    <xdr:graphicFrame macro="">
      <xdr:nvGraphicFramePr>
        <xdr:cNvPr id="7" name="Chart 6">
          <a:extLst>
            <a:ext uri="{FF2B5EF4-FFF2-40B4-BE49-F238E27FC236}">
              <a16:creationId xmlns:a16="http://schemas.microsoft.com/office/drawing/2014/main" id="{A2D88A1E-FD23-1577-4303-2CA8161B1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276764</xdr:colOff>
      <xdr:row>28</xdr:row>
      <xdr:rowOff>123644</xdr:rowOff>
    </xdr:from>
    <xdr:to>
      <xdr:col>19</xdr:col>
      <xdr:colOff>571500</xdr:colOff>
      <xdr:row>43</xdr:row>
      <xdr:rowOff>127958</xdr:rowOff>
    </xdr:to>
    <xdr:graphicFrame macro="">
      <xdr:nvGraphicFramePr>
        <xdr:cNvPr id="8" name="Chart 7">
          <a:extLst>
            <a:ext uri="{FF2B5EF4-FFF2-40B4-BE49-F238E27FC236}">
              <a16:creationId xmlns:a16="http://schemas.microsoft.com/office/drawing/2014/main" id="{8A372E1D-43D7-8784-FB1B-AAB0CAA68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168934</xdr:colOff>
      <xdr:row>38</xdr:row>
      <xdr:rowOff>30192</xdr:rowOff>
    </xdr:from>
    <xdr:to>
      <xdr:col>12</xdr:col>
      <xdr:colOff>237226</xdr:colOff>
      <xdr:row>52</xdr:row>
      <xdr:rowOff>64698</xdr:rowOff>
    </xdr:to>
    <xdr:graphicFrame macro="">
      <xdr:nvGraphicFramePr>
        <xdr:cNvPr id="9" name="Chart 8">
          <a:extLst>
            <a:ext uri="{FF2B5EF4-FFF2-40B4-BE49-F238E27FC236}">
              <a16:creationId xmlns:a16="http://schemas.microsoft.com/office/drawing/2014/main" id="{A0E89DBA-6396-7BF3-4B38-31198CAAC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192639</xdr:colOff>
      <xdr:row>53</xdr:row>
      <xdr:rowOff>15412</xdr:rowOff>
    </xdr:from>
    <xdr:to>
      <xdr:col>16</xdr:col>
      <xdr:colOff>351033</xdr:colOff>
      <xdr:row>68</xdr:row>
      <xdr:rowOff>10274</xdr:rowOff>
    </xdr:to>
    <xdr:graphicFrame macro="">
      <xdr:nvGraphicFramePr>
        <xdr:cNvPr id="10" name="Chart 9">
          <a:extLst>
            <a:ext uri="{FF2B5EF4-FFF2-40B4-BE49-F238E27FC236}">
              <a16:creationId xmlns:a16="http://schemas.microsoft.com/office/drawing/2014/main" id="{D0BBFC96-13FB-EBFB-7CD1-289BF5595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192639</xdr:colOff>
      <xdr:row>68</xdr:row>
      <xdr:rowOff>160959</xdr:rowOff>
    </xdr:from>
    <xdr:to>
      <xdr:col>16</xdr:col>
      <xdr:colOff>342471</xdr:colOff>
      <xdr:row>111</xdr:row>
      <xdr:rowOff>145550</xdr:rowOff>
    </xdr:to>
    <xdr:graphicFrame macro="">
      <xdr:nvGraphicFramePr>
        <xdr:cNvPr id="11" name="Chart 10">
          <a:extLst>
            <a:ext uri="{FF2B5EF4-FFF2-40B4-BE49-F238E27FC236}">
              <a16:creationId xmlns:a16="http://schemas.microsoft.com/office/drawing/2014/main" id="{51E0F18B-C5BC-ED12-BFFB-BB274E31C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592667</xdr:colOff>
      <xdr:row>43</xdr:row>
      <xdr:rowOff>70556</xdr:rowOff>
    </xdr:to>
    <xdr:sp macro="" textlink="">
      <xdr:nvSpPr>
        <xdr:cNvPr id="2" name="Rectangle 1">
          <a:extLst>
            <a:ext uri="{FF2B5EF4-FFF2-40B4-BE49-F238E27FC236}">
              <a16:creationId xmlns:a16="http://schemas.microsoft.com/office/drawing/2014/main" id="{9B90DB58-B96F-820E-22B0-925AC7A1C45D}"/>
            </a:ext>
          </a:extLst>
        </xdr:cNvPr>
        <xdr:cNvSpPr/>
      </xdr:nvSpPr>
      <xdr:spPr>
        <a:xfrm>
          <a:off x="0" y="0"/>
          <a:ext cx="15762111" cy="7958667"/>
        </a:xfrm>
        <a:prstGeom prst="rect">
          <a:avLst/>
        </a:prstGeom>
        <a:solidFill>
          <a:schemeClr val="tx1">
            <a:lumMod val="85000"/>
            <a:lumOff val="15000"/>
          </a:schemeClr>
        </a:solidFill>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300192</xdr:colOff>
      <xdr:row>0</xdr:row>
      <xdr:rowOff>141935</xdr:rowOff>
    </xdr:from>
    <xdr:to>
      <xdr:col>4</xdr:col>
      <xdr:colOff>37630</xdr:colOff>
      <xdr:row>42</xdr:row>
      <xdr:rowOff>31751</xdr:rowOff>
    </xdr:to>
    <xdr:sp macro="" textlink="">
      <xdr:nvSpPr>
        <xdr:cNvPr id="3" name="Rectangle: Rounded Corners 2">
          <a:extLst>
            <a:ext uri="{FF2B5EF4-FFF2-40B4-BE49-F238E27FC236}">
              <a16:creationId xmlns:a16="http://schemas.microsoft.com/office/drawing/2014/main" id="{27B9F69B-F021-92F4-39DB-DCD1CCEFBC22}"/>
            </a:ext>
          </a:extLst>
        </xdr:cNvPr>
        <xdr:cNvSpPr/>
      </xdr:nvSpPr>
      <xdr:spPr>
        <a:xfrm>
          <a:off x="300192" y="141935"/>
          <a:ext cx="2192771" cy="7446316"/>
        </a:xfrm>
        <a:prstGeom prst="roundRect">
          <a:avLst>
            <a:gd name="adj" fmla="val 4927"/>
          </a:avLst>
        </a:prstGeom>
        <a:solidFill>
          <a:sysClr val="window" lastClr="FFFFFF"/>
        </a:solidFill>
        <a:ln>
          <a:solidFill>
            <a:schemeClr val="accent6">
              <a:lumMod val="75000"/>
            </a:schemeClr>
          </a:solid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319216</xdr:colOff>
      <xdr:row>1</xdr:row>
      <xdr:rowOff>175087</xdr:rowOff>
    </xdr:from>
    <xdr:to>
      <xdr:col>7</xdr:col>
      <xdr:colOff>258901</xdr:colOff>
      <xdr:row>10</xdr:row>
      <xdr:rowOff>174004</xdr:rowOff>
    </xdr:to>
    <xdr:sp macro="" textlink="">
      <xdr:nvSpPr>
        <xdr:cNvPr id="17" name="Rectangle: Rounded Corners 16">
          <a:extLst>
            <a:ext uri="{FF2B5EF4-FFF2-40B4-BE49-F238E27FC236}">
              <a16:creationId xmlns:a16="http://schemas.microsoft.com/office/drawing/2014/main" id="{75CAEFFC-6D0F-860D-A08A-105EDE59109F}"/>
            </a:ext>
          </a:extLst>
        </xdr:cNvPr>
        <xdr:cNvSpPr/>
      </xdr:nvSpPr>
      <xdr:spPr>
        <a:xfrm>
          <a:off x="2757616" y="357967"/>
          <a:ext cx="1768485" cy="1644837"/>
        </a:xfrm>
        <a:prstGeom prst="roundRect">
          <a:avLst>
            <a:gd name="adj" fmla="val 3509"/>
          </a:avLst>
        </a:prstGeom>
        <a:solidFill>
          <a:schemeClr val="accent6">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229589</xdr:colOff>
      <xdr:row>0</xdr:row>
      <xdr:rowOff>118419</xdr:rowOff>
    </xdr:from>
    <xdr:to>
      <xdr:col>6</xdr:col>
      <xdr:colOff>376212</xdr:colOff>
      <xdr:row>4</xdr:row>
      <xdr:rowOff>86359</xdr:rowOff>
    </xdr:to>
    <xdr:sp macro="" textlink="">
      <xdr:nvSpPr>
        <xdr:cNvPr id="18" name="Oval 17">
          <a:extLst>
            <a:ext uri="{FF2B5EF4-FFF2-40B4-BE49-F238E27FC236}">
              <a16:creationId xmlns:a16="http://schemas.microsoft.com/office/drawing/2014/main" id="{A53D1D38-3FBE-BF5B-F4F6-E2C442D1C232}"/>
            </a:ext>
          </a:extLst>
        </xdr:cNvPr>
        <xdr:cNvSpPr/>
      </xdr:nvSpPr>
      <xdr:spPr>
        <a:xfrm>
          <a:off x="3277589" y="118419"/>
          <a:ext cx="756223" cy="69946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340539</xdr:colOff>
      <xdr:row>5</xdr:row>
      <xdr:rowOff>68753</xdr:rowOff>
    </xdr:from>
    <xdr:to>
      <xdr:col>7</xdr:col>
      <xdr:colOff>268811</xdr:colOff>
      <xdr:row>7</xdr:row>
      <xdr:rowOff>28380</xdr:rowOff>
    </xdr:to>
    <xdr:sp macro="" textlink="">
      <xdr:nvSpPr>
        <xdr:cNvPr id="19" name="TextBox 18">
          <a:extLst>
            <a:ext uri="{FF2B5EF4-FFF2-40B4-BE49-F238E27FC236}">
              <a16:creationId xmlns:a16="http://schemas.microsoft.com/office/drawing/2014/main" id="{0B01D28E-D1AE-6AB0-61BA-EB35B7EDEBB3}"/>
            </a:ext>
          </a:extLst>
        </xdr:cNvPr>
        <xdr:cNvSpPr txBox="1"/>
      </xdr:nvSpPr>
      <xdr:spPr>
        <a:xfrm>
          <a:off x="2778939" y="983153"/>
          <a:ext cx="1757072" cy="325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ptos Narrow" panose="020B0004020202020204" pitchFamily="34" charset="0"/>
            </a:rPr>
            <a:t>Sales Revenue</a:t>
          </a:r>
        </a:p>
      </xdr:txBody>
    </xdr:sp>
    <xdr:clientData/>
  </xdr:twoCellAnchor>
  <xdr:twoCellAnchor>
    <xdr:from>
      <xdr:col>4</xdr:col>
      <xdr:colOff>419667</xdr:colOff>
      <xdr:row>7</xdr:row>
      <xdr:rowOff>109850</xdr:rowOff>
    </xdr:from>
    <xdr:to>
      <xdr:col>7</xdr:col>
      <xdr:colOff>244303</xdr:colOff>
      <xdr:row>9</xdr:row>
      <xdr:rowOff>106748</xdr:rowOff>
    </xdr:to>
    <xdr:sp macro="" textlink="KPIS!W5">
      <xdr:nvSpPr>
        <xdr:cNvPr id="20" name="TextBox 19">
          <a:extLst>
            <a:ext uri="{FF2B5EF4-FFF2-40B4-BE49-F238E27FC236}">
              <a16:creationId xmlns:a16="http://schemas.microsoft.com/office/drawing/2014/main" id="{D615E9DC-7353-A04E-7688-579C9C246423}"/>
            </a:ext>
          </a:extLst>
        </xdr:cNvPr>
        <xdr:cNvSpPr txBox="1"/>
      </xdr:nvSpPr>
      <xdr:spPr>
        <a:xfrm>
          <a:off x="2858067" y="1390010"/>
          <a:ext cx="1653436" cy="362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7296673-8B06-4BAB-AAC3-3A96B3C431CB}" type="TxLink">
            <a:rPr lang="en-US" sz="1400" b="0" i="0" u="none" strike="noStrike">
              <a:solidFill>
                <a:srgbClr val="000000"/>
              </a:solidFill>
              <a:latin typeface="Arial Rounded MT Bold" panose="020F0704030504030204" pitchFamily="34" charset="0"/>
              <a:ea typeface="Calibri"/>
              <a:cs typeface="Calibri"/>
            </a:rPr>
            <a:t>₹ 1,30,96,323.24</a:t>
          </a:fld>
          <a:endParaRPr lang="en-IN" sz="2400" b="0">
            <a:latin typeface="Arial Rounded MT Bold" panose="020F0704030504030204" pitchFamily="34" charset="0"/>
          </a:endParaRPr>
        </a:p>
      </xdr:txBody>
    </xdr:sp>
    <xdr:clientData/>
  </xdr:twoCellAnchor>
  <xdr:twoCellAnchor>
    <xdr:from>
      <xdr:col>5</xdr:col>
      <xdr:colOff>382570</xdr:colOff>
      <xdr:row>1</xdr:row>
      <xdr:rowOff>73231</xdr:rowOff>
    </xdr:from>
    <xdr:to>
      <xdr:col>6</xdr:col>
      <xdr:colOff>202990</xdr:colOff>
      <xdr:row>3</xdr:row>
      <xdr:rowOff>135855</xdr:rowOff>
    </xdr:to>
    <xdr:pic>
      <xdr:nvPicPr>
        <xdr:cNvPr id="22" name="Picture 21">
          <a:extLst>
            <a:ext uri="{FF2B5EF4-FFF2-40B4-BE49-F238E27FC236}">
              <a16:creationId xmlns:a16="http://schemas.microsoft.com/office/drawing/2014/main" id="{5FCB65EB-AC36-883C-8518-A8BE5AF59AB9}"/>
            </a:ext>
          </a:extLst>
        </xdr:cNvPr>
        <xdr:cNvPicPr>
          <a:picLocks noChangeAspect="1"/>
        </xdr:cNvPicPr>
      </xdr:nvPicPr>
      <xdr:blipFill>
        <a:blip xmlns:r="http://schemas.openxmlformats.org/officeDocument/2006/relationships" r:embed="rId1"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3430570" y="256111"/>
          <a:ext cx="430020" cy="428384"/>
        </a:xfrm>
        <a:prstGeom prst="rect">
          <a:avLst/>
        </a:prstGeom>
      </xdr:spPr>
    </xdr:pic>
    <xdr:clientData/>
  </xdr:twoCellAnchor>
  <xdr:twoCellAnchor>
    <xdr:from>
      <xdr:col>7</xdr:col>
      <xdr:colOff>383826</xdr:colOff>
      <xdr:row>1</xdr:row>
      <xdr:rowOff>175087</xdr:rowOff>
    </xdr:from>
    <xdr:to>
      <xdr:col>10</xdr:col>
      <xdr:colOff>323510</xdr:colOff>
      <xdr:row>10</xdr:row>
      <xdr:rowOff>174004</xdr:rowOff>
    </xdr:to>
    <xdr:sp macro="" textlink="">
      <xdr:nvSpPr>
        <xdr:cNvPr id="25" name="Rectangle: Rounded Corners 24">
          <a:extLst>
            <a:ext uri="{FF2B5EF4-FFF2-40B4-BE49-F238E27FC236}">
              <a16:creationId xmlns:a16="http://schemas.microsoft.com/office/drawing/2014/main" id="{FB872C3C-AB6E-305E-49AD-1B2EA3E61AA3}"/>
            </a:ext>
          </a:extLst>
        </xdr:cNvPr>
        <xdr:cNvSpPr/>
      </xdr:nvSpPr>
      <xdr:spPr>
        <a:xfrm>
          <a:off x="4651026" y="357967"/>
          <a:ext cx="1768484" cy="1644837"/>
        </a:xfrm>
        <a:prstGeom prst="roundRect">
          <a:avLst>
            <a:gd name="adj" fmla="val 3509"/>
          </a:avLst>
        </a:prstGeom>
        <a:solidFill>
          <a:schemeClr val="accent6">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294198</xdr:colOff>
      <xdr:row>0</xdr:row>
      <xdr:rowOff>118419</xdr:rowOff>
    </xdr:from>
    <xdr:to>
      <xdr:col>9</xdr:col>
      <xdr:colOff>440822</xdr:colOff>
      <xdr:row>4</xdr:row>
      <xdr:rowOff>86359</xdr:rowOff>
    </xdr:to>
    <xdr:sp macro="" textlink="">
      <xdr:nvSpPr>
        <xdr:cNvPr id="26" name="Oval 25">
          <a:extLst>
            <a:ext uri="{FF2B5EF4-FFF2-40B4-BE49-F238E27FC236}">
              <a16:creationId xmlns:a16="http://schemas.microsoft.com/office/drawing/2014/main" id="{7C2E8B55-0C4E-116E-E976-21B17426AD9C}"/>
            </a:ext>
          </a:extLst>
        </xdr:cNvPr>
        <xdr:cNvSpPr/>
      </xdr:nvSpPr>
      <xdr:spPr>
        <a:xfrm>
          <a:off x="5170998" y="118419"/>
          <a:ext cx="756224" cy="699460"/>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267474</xdr:colOff>
      <xdr:row>5</xdr:row>
      <xdr:rowOff>68753</xdr:rowOff>
    </xdr:from>
    <xdr:to>
      <xdr:col>10</xdr:col>
      <xdr:colOff>478723</xdr:colOff>
      <xdr:row>7</xdr:row>
      <xdr:rowOff>28380</xdr:rowOff>
    </xdr:to>
    <xdr:sp macro="" textlink="">
      <xdr:nvSpPr>
        <xdr:cNvPr id="27" name="TextBox 26">
          <a:extLst>
            <a:ext uri="{FF2B5EF4-FFF2-40B4-BE49-F238E27FC236}">
              <a16:creationId xmlns:a16="http://schemas.microsoft.com/office/drawing/2014/main" id="{F9EC4D89-ECDF-E7C6-03B7-CC0B67F8B1FA}"/>
            </a:ext>
          </a:extLst>
        </xdr:cNvPr>
        <xdr:cNvSpPr txBox="1"/>
      </xdr:nvSpPr>
      <xdr:spPr>
        <a:xfrm>
          <a:off x="4534674" y="983153"/>
          <a:ext cx="2040049" cy="325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ptos Narrow" panose="020B0004020202020204" pitchFamily="34" charset="0"/>
            </a:rPr>
            <a:t>Order Count</a:t>
          </a:r>
        </a:p>
      </xdr:txBody>
    </xdr:sp>
    <xdr:clientData/>
  </xdr:twoCellAnchor>
  <xdr:twoCellAnchor>
    <xdr:from>
      <xdr:col>7</xdr:col>
      <xdr:colOff>484277</xdr:colOff>
      <xdr:row>7</xdr:row>
      <xdr:rowOff>106123</xdr:rowOff>
    </xdr:from>
    <xdr:to>
      <xdr:col>10</xdr:col>
      <xdr:colOff>308912</xdr:colOff>
      <xdr:row>9</xdr:row>
      <xdr:rowOff>103021</xdr:rowOff>
    </xdr:to>
    <xdr:sp macro="" textlink="KPIS!W6">
      <xdr:nvSpPr>
        <xdr:cNvPr id="28" name="TextBox 27">
          <a:extLst>
            <a:ext uri="{FF2B5EF4-FFF2-40B4-BE49-F238E27FC236}">
              <a16:creationId xmlns:a16="http://schemas.microsoft.com/office/drawing/2014/main" id="{E22B34CC-97CE-63A3-021C-654644CE5BF3}"/>
            </a:ext>
          </a:extLst>
        </xdr:cNvPr>
        <xdr:cNvSpPr txBox="1"/>
      </xdr:nvSpPr>
      <xdr:spPr>
        <a:xfrm>
          <a:off x="4751477" y="1386283"/>
          <a:ext cx="1653435" cy="362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0BD6294-502F-4985-8BC9-12293C9A374D}" type="TxLink">
            <a:rPr lang="en-US" sz="1400" b="0" i="0" u="none" strike="noStrike">
              <a:solidFill>
                <a:srgbClr val="000000"/>
              </a:solidFill>
              <a:latin typeface="Arial Rounded MT Bold" panose="020F0704030504030204" pitchFamily="34" charset="0"/>
              <a:ea typeface="Calibri"/>
              <a:cs typeface="Calibri"/>
            </a:rPr>
            <a:t>500</a:t>
          </a:fld>
          <a:endParaRPr lang="en-IN" sz="2800" b="0">
            <a:latin typeface="Arial Rounded MT Bold" panose="020F0704030504030204" pitchFamily="34" charset="0"/>
          </a:endParaRPr>
        </a:p>
      </xdr:txBody>
    </xdr:sp>
    <xdr:clientData/>
  </xdr:twoCellAnchor>
  <xdr:twoCellAnchor>
    <xdr:from>
      <xdr:col>8</xdr:col>
      <xdr:colOff>451652</xdr:colOff>
      <xdr:row>1</xdr:row>
      <xdr:rowOff>72086</xdr:rowOff>
    </xdr:from>
    <xdr:to>
      <xdr:col>9</xdr:col>
      <xdr:colOff>263129</xdr:colOff>
      <xdr:row>3</xdr:row>
      <xdr:rowOff>137001</xdr:rowOff>
    </xdr:to>
    <xdr:pic>
      <xdr:nvPicPr>
        <xdr:cNvPr id="29" name="Picture 28">
          <a:extLst>
            <a:ext uri="{FF2B5EF4-FFF2-40B4-BE49-F238E27FC236}">
              <a16:creationId xmlns:a16="http://schemas.microsoft.com/office/drawing/2014/main" id="{1EA52E60-AB68-04E1-B31F-8725691A8ABD}"/>
            </a:ext>
          </a:extLst>
        </xdr:cNvPr>
        <xdr:cNvPicPr>
          <a:picLocks noChangeAspect="1"/>
        </xdr:cNvPicPr>
      </xdr:nvPicPr>
      <xdr:blipFill>
        <a:blip xmlns:r="http://schemas.openxmlformats.org/officeDocument/2006/relationships" r:embed="rId2"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5328452" y="254966"/>
          <a:ext cx="421077" cy="430675"/>
        </a:xfrm>
        <a:prstGeom prst="rect">
          <a:avLst/>
        </a:prstGeom>
      </xdr:spPr>
    </xdr:pic>
    <xdr:clientData/>
  </xdr:twoCellAnchor>
  <xdr:twoCellAnchor>
    <xdr:from>
      <xdr:col>10</xdr:col>
      <xdr:colOff>424909</xdr:colOff>
      <xdr:row>2</xdr:row>
      <xdr:rowOff>4222</xdr:rowOff>
    </xdr:from>
    <xdr:to>
      <xdr:col>13</xdr:col>
      <xdr:colOff>364594</xdr:colOff>
      <xdr:row>11</xdr:row>
      <xdr:rowOff>6274</xdr:rowOff>
    </xdr:to>
    <xdr:sp macro="" textlink="">
      <xdr:nvSpPr>
        <xdr:cNvPr id="31" name="Rectangle: Rounded Corners 30">
          <a:extLst>
            <a:ext uri="{FF2B5EF4-FFF2-40B4-BE49-F238E27FC236}">
              <a16:creationId xmlns:a16="http://schemas.microsoft.com/office/drawing/2014/main" id="{C4D163C9-7190-0040-B280-D81924AE6EBF}"/>
            </a:ext>
          </a:extLst>
        </xdr:cNvPr>
        <xdr:cNvSpPr/>
      </xdr:nvSpPr>
      <xdr:spPr>
        <a:xfrm>
          <a:off x="6520909" y="369982"/>
          <a:ext cx="1768485" cy="1647972"/>
        </a:xfrm>
        <a:prstGeom prst="roundRect">
          <a:avLst>
            <a:gd name="adj" fmla="val 3509"/>
          </a:avLst>
        </a:prstGeom>
        <a:solidFill>
          <a:schemeClr val="accent6">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335283</xdr:colOff>
      <xdr:row>0</xdr:row>
      <xdr:rowOff>129977</xdr:rowOff>
    </xdr:from>
    <xdr:to>
      <xdr:col>12</xdr:col>
      <xdr:colOff>481906</xdr:colOff>
      <xdr:row>4</xdr:row>
      <xdr:rowOff>99250</xdr:rowOff>
    </xdr:to>
    <xdr:sp macro="" textlink="">
      <xdr:nvSpPr>
        <xdr:cNvPr id="32" name="Oval 31">
          <a:extLst>
            <a:ext uri="{FF2B5EF4-FFF2-40B4-BE49-F238E27FC236}">
              <a16:creationId xmlns:a16="http://schemas.microsoft.com/office/drawing/2014/main" id="{05311B7E-728C-64DE-1ADA-7609EC0FE20E}"/>
            </a:ext>
          </a:extLst>
        </xdr:cNvPr>
        <xdr:cNvSpPr/>
      </xdr:nvSpPr>
      <xdr:spPr>
        <a:xfrm>
          <a:off x="7040883" y="129977"/>
          <a:ext cx="756223" cy="700793"/>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518975</xdr:colOff>
      <xdr:row>5</xdr:row>
      <xdr:rowOff>68753</xdr:rowOff>
    </xdr:from>
    <xdr:to>
      <xdr:col>13</xdr:col>
      <xdr:colOff>333837</xdr:colOff>
      <xdr:row>7</xdr:row>
      <xdr:rowOff>28380</xdr:rowOff>
    </xdr:to>
    <xdr:sp macro="" textlink="">
      <xdr:nvSpPr>
        <xdr:cNvPr id="33" name="TextBox 32">
          <a:extLst>
            <a:ext uri="{FF2B5EF4-FFF2-40B4-BE49-F238E27FC236}">
              <a16:creationId xmlns:a16="http://schemas.microsoft.com/office/drawing/2014/main" id="{7970EE0F-7DAA-1956-07AF-23F7756326ED}"/>
            </a:ext>
          </a:extLst>
        </xdr:cNvPr>
        <xdr:cNvSpPr txBox="1"/>
      </xdr:nvSpPr>
      <xdr:spPr>
        <a:xfrm>
          <a:off x="6614975" y="983153"/>
          <a:ext cx="1643662" cy="325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ptos Narrow" panose="020B0004020202020204" pitchFamily="34" charset="0"/>
            </a:rPr>
            <a:t>Net Profit</a:t>
          </a:r>
        </a:p>
      </xdr:txBody>
    </xdr:sp>
    <xdr:clientData/>
  </xdr:twoCellAnchor>
  <xdr:twoCellAnchor>
    <xdr:from>
      <xdr:col>10</xdr:col>
      <xdr:colOff>484034</xdr:colOff>
      <xdr:row>7</xdr:row>
      <xdr:rowOff>113576</xdr:rowOff>
    </xdr:from>
    <xdr:to>
      <xdr:col>13</xdr:col>
      <xdr:colOff>308670</xdr:colOff>
      <xdr:row>9</xdr:row>
      <xdr:rowOff>110474</xdr:rowOff>
    </xdr:to>
    <xdr:sp macro="" textlink="KPIS!W13">
      <xdr:nvSpPr>
        <xdr:cNvPr id="34" name="TextBox 33">
          <a:extLst>
            <a:ext uri="{FF2B5EF4-FFF2-40B4-BE49-F238E27FC236}">
              <a16:creationId xmlns:a16="http://schemas.microsoft.com/office/drawing/2014/main" id="{92D42F9A-D7DF-1D28-C8C6-B50A124EB078}"/>
            </a:ext>
          </a:extLst>
        </xdr:cNvPr>
        <xdr:cNvSpPr txBox="1"/>
      </xdr:nvSpPr>
      <xdr:spPr>
        <a:xfrm>
          <a:off x="6580034" y="1393736"/>
          <a:ext cx="1653436" cy="362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23D997C-EDCA-4991-8EEE-DEA195FC235C}" type="TxLink">
            <a:rPr lang="en-US" sz="1400" b="0" i="0" u="none" strike="noStrike">
              <a:solidFill>
                <a:srgbClr val="000000"/>
              </a:solidFill>
              <a:latin typeface="Arial Rounded MT Bold" panose="020F0704030504030204" pitchFamily="34" charset="0"/>
              <a:ea typeface="Calibri"/>
              <a:cs typeface="Calibri"/>
            </a:rPr>
            <a:t> ₹ 23,42,559.07 </a:t>
          </a:fld>
          <a:endParaRPr lang="en-IN" sz="2800" b="0">
            <a:latin typeface="Arial Rounded MT Bold" panose="020F0704030504030204" pitchFamily="34" charset="0"/>
          </a:endParaRPr>
        </a:p>
      </xdr:txBody>
    </xdr:sp>
    <xdr:clientData/>
  </xdr:twoCellAnchor>
  <xdr:twoCellAnchor>
    <xdr:from>
      <xdr:col>11</xdr:col>
      <xdr:colOff>490848</xdr:colOff>
      <xdr:row>1</xdr:row>
      <xdr:rowOff>87999</xdr:rowOff>
    </xdr:from>
    <xdr:to>
      <xdr:col>12</xdr:col>
      <xdr:colOff>306099</xdr:colOff>
      <xdr:row>3</xdr:row>
      <xdr:rowOff>145544</xdr:rowOff>
    </xdr:to>
    <xdr:pic>
      <xdr:nvPicPr>
        <xdr:cNvPr id="35" name="Picture 34">
          <a:extLst>
            <a:ext uri="{FF2B5EF4-FFF2-40B4-BE49-F238E27FC236}">
              <a16:creationId xmlns:a16="http://schemas.microsoft.com/office/drawing/2014/main" id="{CCEA8C7F-0864-88D8-8FA1-94B70D91C992}"/>
            </a:ext>
          </a:extLst>
        </xdr:cNvPr>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7196448" y="270879"/>
          <a:ext cx="424851" cy="423305"/>
        </a:xfrm>
        <a:prstGeom prst="rect">
          <a:avLst/>
        </a:prstGeom>
      </xdr:spPr>
    </xdr:pic>
    <xdr:clientData/>
  </xdr:twoCellAnchor>
  <xdr:twoCellAnchor>
    <xdr:from>
      <xdr:col>13</xdr:col>
      <xdr:colOff>465994</xdr:colOff>
      <xdr:row>2</xdr:row>
      <xdr:rowOff>4221</xdr:rowOff>
    </xdr:from>
    <xdr:to>
      <xdr:col>16</xdr:col>
      <xdr:colOff>405679</xdr:colOff>
      <xdr:row>11</xdr:row>
      <xdr:rowOff>6273</xdr:rowOff>
    </xdr:to>
    <xdr:sp macro="" textlink="">
      <xdr:nvSpPr>
        <xdr:cNvPr id="37" name="Rectangle: Rounded Corners 36">
          <a:extLst>
            <a:ext uri="{FF2B5EF4-FFF2-40B4-BE49-F238E27FC236}">
              <a16:creationId xmlns:a16="http://schemas.microsoft.com/office/drawing/2014/main" id="{8E226F0E-BB93-A3B8-79E8-D270275C6FA1}"/>
            </a:ext>
          </a:extLst>
        </xdr:cNvPr>
        <xdr:cNvSpPr/>
      </xdr:nvSpPr>
      <xdr:spPr>
        <a:xfrm>
          <a:off x="8390794" y="369981"/>
          <a:ext cx="1768485" cy="1647972"/>
        </a:xfrm>
        <a:prstGeom prst="roundRect">
          <a:avLst>
            <a:gd name="adj" fmla="val 3509"/>
          </a:avLst>
        </a:prstGeom>
        <a:solidFill>
          <a:schemeClr val="accent6">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376367</xdr:colOff>
      <xdr:row>0</xdr:row>
      <xdr:rowOff>129976</xdr:rowOff>
    </xdr:from>
    <xdr:to>
      <xdr:col>15</xdr:col>
      <xdr:colOff>522990</xdr:colOff>
      <xdr:row>4</xdr:row>
      <xdr:rowOff>99249</xdr:rowOff>
    </xdr:to>
    <xdr:sp macro="" textlink="">
      <xdr:nvSpPr>
        <xdr:cNvPr id="38" name="Oval 37">
          <a:extLst>
            <a:ext uri="{FF2B5EF4-FFF2-40B4-BE49-F238E27FC236}">
              <a16:creationId xmlns:a16="http://schemas.microsoft.com/office/drawing/2014/main" id="{F62D0FEB-9B50-395B-2C83-0F793294D88A}"/>
            </a:ext>
          </a:extLst>
        </xdr:cNvPr>
        <xdr:cNvSpPr/>
      </xdr:nvSpPr>
      <xdr:spPr>
        <a:xfrm>
          <a:off x="8910767" y="129976"/>
          <a:ext cx="756223" cy="700793"/>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560060</xdr:colOff>
      <xdr:row>5</xdr:row>
      <xdr:rowOff>68753</xdr:rowOff>
    </xdr:from>
    <xdr:to>
      <xdr:col>16</xdr:col>
      <xdr:colOff>374922</xdr:colOff>
      <xdr:row>7</xdr:row>
      <xdr:rowOff>28380</xdr:rowOff>
    </xdr:to>
    <xdr:sp macro="" textlink="">
      <xdr:nvSpPr>
        <xdr:cNvPr id="39" name="TextBox 38">
          <a:extLst>
            <a:ext uri="{FF2B5EF4-FFF2-40B4-BE49-F238E27FC236}">
              <a16:creationId xmlns:a16="http://schemas.microsoft.com/office/drawing/2014/main" id="{D8C2860F-5E58-3D23-B6CC-B8B358D3899E}"/>
            </a:ext>
          </a:extLst>
        </xdr:cNvPr>
        <xdr:cNvSpPr txBox="1"/>
      </xdr:nvSpPr>
      <xdr:spPr>
        <a:xfrm>
          <a:off x="8484860" y="983153"/>
          <a:ext cx="1643662" cy="325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ptos Narrow" panose="020B0004020202020204" pitchFamily="34" charset="0"/>
            </a:rPr>
            <a:t>Sales Volume</a:t>
          </a:r>
        </a:p>
      </xdr:txBody>
    </xdr:sp>
    <xdr:clientData/>
  </xdr:twoCellAnchor>
  <xdr:twoCellAnchor>
    <xdr:from>
      <xdr:col>13</xdr:col>
      <xdr:colOff>566445</xdr:colOff>
      <xdr:row>7</xdr:row>
      <xdr:rowOff>117303</xdr:rowOff>
    </xdr:from>
    <xdr:to>
      <xdr:col>16</xdr:col>
      <xdr:colOff>391081</xdr:colOff>
      <xdr:row>9</xdr:row>
      <xdr:rowOff>114201</xdr:rowOff>
    </xdr:to>
    <xdr:sp macro="" textlink="KPIS!W19">
      <xdr:nvSpPr>
        <xdr:cNvPr id="40" name="TextBox 39">
          <a:extLst>
            <a:ext uri="{FF2B5EF4-FFF2-40B4-BE49-F238E27FC236}">
              <a16:creationId xmlns:a16="http://schemas.microsoft.com/office/drawing/2014/main" id="{1E867B15-BF55-26AF-AA05-5F8B1DB80B07}"/>
            </a:ext>
          </a:extLst>
        </xdr:cNvPr>
        <xdr:cNvSpPr txBox="1"/>
      </xdr:nvSpPr>
      <xdr:spPr>
        <a:xfrm>
          <a:off x="8491245" y="1397463"/>
          <a:ext cx="1653436" cy="362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E7E842E-FD2B-4308-B2A6-82D259BB0A5E}" type="TxLink">
            <a:rPr lang="en-US" sz="1400" b="0" i="0" u="none" strike="noStrike">
              <a:solidFill>
                <a:srgbClr val="000000"/>
              </a:solidFill>
              <a:latin typeface="Arial Rounded MT Bold" panose="020F0704030504030204" pitchFamily="34" charset="0"/>
              <a:ea typeface="Calibri"/>
              <a:cs typeface="Calibri"/>
            </a:rPr>
            <a:t>2709</a:t>
          </a:fld>
          <a:endParaRPr lang="en-IN" sz="2800" b="0">
            <a:latin typeface="Arial Rounded MT Bold" panose="020F0704030504030204" pitchFamily="34" charset="0"/>
          </a:endParaRPr>
        </a:p>
      </xdr:txBody>
    </xdr:sp>
    <xdr:clientData/>
  </xdr:twoCellAnchor>
  <xdr:twoCellAnchor>
    <xdr:from>
      <xdr:col>14</xdr:col>
      <xdr:colOff>531933</xdr:colOff>
      <xdr:row>1</xdr:row>
      <xdr:rowOff>87998</xdr:rowOff>
    </xdr:from>
    <xdr:to>
      <xdr:col>15</xdr:col>
      <xdr:colOff>347184</xdr:colOff>
      <xdr:row>3</xdr:row>
      <xdr:rowOff>145543</xdr:rowOff>
    </xdr:to>
    <xdr:pic>
      <xdr:nvPicPr>
        <xdr:cNvPr id="41" name="Picture 40">
          <a:extLst>
            <a:ext uri="{FF2B5EF4-FFF2-40B4-BE49-F238E27FC236}">
              <a16:creationId xmlns:a16="http://schemas.microsoft.com/office/drawing/2014/main" id="{3A033B60-02B6-7929-614F-79F545217812}"/>
            </a:ext>
          </a:extLst>
        </xdr:cNvPr>
        <xdr:cNvPicPr>
          <a:picLocks noChangeAspect="1"/>
        </xdr:cNvPicPr>
      </xdr:nvPicPr>
      <xdr:blipFill>
        <a:blip xmlns:r="http://schemas.openxmlformats.org/officeDocument/2006/relationships" r:embed="rId4"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9066333" y="270878"/>
          <a:ext cx="424851" cy="423305"/>
        </a:xfrm>
        <a:prstGeom prst="rect">
          <a:avLst/>
        </a:prstGeom>
      </xdr:spPr>
    </xdr:pic>
    <xdr:clientData/>
  </xdr:twoCellAnchor>
  <xdr:twoCellAnchor>
    <xdr:from>
      <xdr:col>16</xdr:col>
      <xdr:colOff>503740</xdr:colOff>
      <xdr:row>2</xdr:row>
      <xdr:rowOff>5155</xdr:rowOff>
    </xdr:from>
    <xdr:to>
      <xdr:col>19</xdr:col>
      <xdr:colOff>443424</xdr:colOff>
      <xdr:row>11</xdr:row>
      <xdr:rowOff>7207</xdr:rowOff>
    </xdr:to>
    <xdr:sp macro="" textlink="">
      <xdr:nvSpPr>
        <xdr:cNvPr id="43" name="Rectangle: Rounded Corners 42">
          <a:extLst>
            <a:ext uri="{FF2B5EF4-FFF2-40B4-BE49-F238E27FC236}">
              <a16:creationId xmlns:a16="http://schemas.microsoft.com/office/drawing/2014/main" id="{6751E46F-A408-7CCA-07EE-0996ACC85B02}"/>
            </a:ext>
          </a:extLst>
        </xdr:cNvPr>
        <xdr:cNvSpPr/>
      </xdr:nvSpPr>
      <xdr:spPr>
        <a:xfrm>
          <a:off x="10257340" y="370915"/>
          <a:ext cx="1768484" cy="1647972"/>
        </a:xfrm>
        <a:prstGeom prst="roundRect">
          <a:avLst>
            <a:gd name="adj" fmla="val 3509"/>
          </a:avLst>
        </a:prstGeom>
        <a:solidFill>
          <a:schemeClr val="accent6">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414113</xdr:colOff>
      <xdr:row>0</xdr:row>
      <xdr:rowOff>130910</xdr:rowOff>
    </xdr:from>
    <xdr:to>
      <xdr:col>18</xdr:col>
      <xdr:colOff>560737</xdr:colOff>
      <xdr:row>4</xdr:row>
      <xdr:rowOff>100183</xdr:rowOff>
    </xdr:to>
    <xdr:sp macro="" textlink="">
      <xdr:nvSpPr>
        <xdr:cNvPr id="44" name="Oval 43">
          <a:extLst>
            <a:ext uri="{FF2B5EF4-FFF2-40B4-BE49-F238E27FC236}">
              <a16:creationId xmlns:a16="http://schemas.microsoft.com/office/drawing/2014/main" id="{C1D8941F-6AD3-EBD1-BE5E-0B2A2246DD6D}"/>
            </a:ext>
          </a:extLst>
        </xdr:cNvPr>
        <xdr:cNvSpPr/>
      </xdr:nvSpPr>
      <xdr:spPr>
        <a:xfrm>
          <a:off x="10777313" y="130910"/>
          <a:ext cx="756224" cy="700793"/>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597806</xdr:colOff>
      <xdr:row>5</xdr:row>
      <xdr:rowOff>68753</xdr:rowOff>
    </xdr:from>
    <xdr:to>
      <xdr:col>19</xdr:col>
      <xdr:colOff>412667</xdr:colOff>
      <xdr:row>7</xdr:row>
      <xdr:rowOff>30158</xdr:rowOff>
    </xdr:to>
    <xdr:sp macro="" textlink="">
      <xdr:nvSpPr>
        <xdr:cNvPr id="45" name="TextBox 44">
          <a:extLst>
            <a:ext uri="{FF2B5EF4-FFF2-40B4-BE49-F238E27FC236}">
              <a16:creationId xmlns:a16="http://schemas.microsoft.com/office/drawing/2014/main" id="{65BB0E7A-61E4-D867-689F-C7A7C0220E50}"/>
            </a:ext>
          </a:extLst>
        </xdr:cNvPr>
        <xdr:cNvSpPr txBox="1"/>
      </xdr:nvSpPr>
      <xdr:spPr>
        <a:xfrm>
          <a:off x="10351406" y="983153"/>
          <a:ext cx="1643661" cy="327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ptos Narrow" panose="020B0004020202020204" pitchFamily="34" charset="0"/>
            </a:rPr>
            <a:t>Best</a:t>
          </a:r>
          <a:r>
            <a:rPr lang="en-IN" sz="2000" b="1" baseline="0">
              <a:latin typeface="Aptos Narrow" panose="020B0004020202020204" pitchFamily="34" charset="0"/>
            </a:rPr>
            <a:t> Sales</a:t>
          </a:r>
          <a:endParaRPr lang="en-IN" sz="2000" b="1">
            <a:latin typeface="Aptos Narrow" panose="020B0004020202020204" pitchFamily="34" charset="0"/>
          </a:endParaRPr>
        </a:p>
      </xdr:txBody>
    </xdr:sp>
    <xdr:clientData/>
  </xdr:twoCellAnchor>
  <xdr:twoCellAnchor>
    <xdr:from>
      <xdr:col>16</xdr:col>
      <xdr:colOff>604191</xdr:colOff>
      <xdr:row>7</xdr:row>
      <xdr:rowOff>121031</xdr:rowOff>
    </xdr:from>
    <xdr:to>
      <xdr:col>19</xdr:col>
      <xdr:colOff>428826</xdr:colOff>
      <xdr:row>9</xdr:row>
      <xdr:rowOff>117929</xdr:rowOff>
    </xdr:to>
    <xdr:sp macro="" textlink="KPIS!W24">
      <xdr:nvSpPr>
        <xdr:cNvPr id="46" name="TextBox 45">
          <a:extLst>
            <a:ext uri="{FF2B5EF4-FFF2-40B4-BE49-F238E27FC236}">
              <a16:creationId xmlns:a16="http://schemas.microsoft.com/office/drawing/2014/main" id="{5CBD6BC6-EF3C-CC17-2317-D1DC7D7E197D}"/>
            </a:ext>
          </a:extLst>
        </xdr:cNvPr>
        <xdr:cNvSpPr txBox="1"/>
      </xdr:nvSpPr>
      <xdr:spPr>
        <a:xfrm>
          <a:off x="10357791" y="1401191"/>
          <a:ext cx="1653435" cy="362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45B62CD-9005-41D4-962B-76C1517AC43D}" type="TxLink">
            <a:rPr lang="en-US" sz="1400" b="0" i="0" u="none" strike="noStrike">
              <a:solidFill>
                <a:srgbClr val="000000"/>
              </a:solidFill>
              <a:latin typeface="Arial Rounded MT Bold" panose="020F0704030504030204" pitchFamily="34" charset="0"/>
              <a:ea typeface="Calibri"/>
              <a:cs typeface="Calibri"/>
            </a:rPr>
            <a:t>115</a:t>
          </a:fld>
          <a:endParaRPr lang="en-IN" sz="2800" b="0">
            <a:latin typeface="Arial Rounded MT Bold" panose="020F0704030504030204" pitchFamily="34" charset="0"/>
          </a:endParaRPr>
        </a:p>
      </xdr:txBody>
    </xdr:sp>
    <xdr:clientData/>
  </xdr:twoCellAnchor>
  <xdr:twoCellAnchor>
    <xdr:from>
      <xdr:col>17</xdr:col>
      <xdr:colOff>569678</xdr:colOff>
      <xdr:row>1</xdr:row>
      <xdr:rowOff>88933</xdr:rowOff>
    </xdr:from>
    <xdr:to>
      <xdr:col>18</xdr:col>
      <xdr:colOff>384930</xdr:colOff>
      <xdr:row>3</xdr:row>
      <xdr:rowOff>146478</xdr:rowOff>
    </xdr:to>
    <xdr:pic>
      <xdr:nvPicPr>
        <xdr:cNvPr id="47" name="Picture 46">
          <a:extLst>
            <a:ext uri="{FF2B5EF4-FFF2-40B4-BE49-F238E27FC236}">
              <a16:creationId xmlns:a16="http://schemas.microsoft.com/office/drawing/2014/main" id="{3F6B8609-FE61-EDFB-3661-7D86C1EAE487}"/>
            </a:ext>
          </a:extLst>
        </xdr:cNvPr>
        <xdr:cNvPicPr>
          <a:picLocks noChangeAspect="1"/>
        </xdr:cNvPicPr>
      </xdr:nvPicPr>
      <xdr:blipFill>
        <a:blip xmlns:r="http://schemas.openxmlformats.org/officeDocument/2006/relationships" r:embed="rId5"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10932878" y="271813"/>
          <a:ext cx="424852" cy="423305"/>
        </a:xfrm>
        <a:prstGeom prst="rect">
          <a:avLst/>
        </a:prstGeom>
      </xdr:spPr>
    </xdr:pic>
    <xdr:clientData/>
  </xdr:twoCellAnchor>
  <xdr:twoCellAnchor editAs="oneCell">
    <xdr:from>
      <xdr:col>1</xdr:col>
      <xdr:colOff>119348</xdr:colOff>
      <xdr:row>1</xdr:row>
      <xdr:rowOff>76796</xdr:rowOff>
    </xdr:from>
    <xdr:to>
      <xdr:col>3</xdr:col>
      <xdr:colOff>119350</xdr:colOff>
      <xdr:row>8</xdr:row>
      <xdr:rowOff>58434</xdr:rowOff>
    </xdr:to>
    <xdr:pic>
      <xdr:nvPicPr>
        <xdr:cNvPr id="49" name="Picture 48">
          <a:extLst>
            <a:ext uri="{FF2B5EF4-FFF2-40B4-BE49-F238E27FC236}">
              <a16:creationId xmlns:a16="http://schemas.microsoft.com/office/drawing/2014/main" id="{BB8C6F6B-07BE-E0FD-86BA-3626C4F05429}"/>
            </a:ext>
          </a:extLst>
        </xdr:cNvPr>
        <xdr:cNvPicPr>
          <a:picLocks noChangeAspect="1"/>
        </xdr:cNvPicPr>
      </xdr:nvPicPr>
      <xdr:blipFill rotWithShape="1">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rcRect l="17836" t="17851" r="19366" b="18429"/>
        <a:stretch>
          <a:fillRect/>
        </a:stretch>
      </xdr:blipFill>
      <xdr:spPr>
        <a:xfrm>
          <a:off x="726889" y="262147"/>
          <a:ext cx="1215083" cy="1279098"/>
        </a:xfrm>
        <a:prstGeom prst="rect">
          <a:avLst/>
        </a:prstGeom>
      </xdr:spPr>
    </xdr:pic>
    <xdr:clientData/>
  </xdr:twoCellAnchor>
  <xdr:twoCellAnchor>
    <xdr:from>
      <xdr:col>0</xdr:col>
      <xdr:colOff>425437</xdr:colOff>
      <xdr:row>8</xdr:row>
      <xdr:rowOff>91277</xdr:rowOff>
    </xdr:from>
    <xdr:to>
      <xdr:col>3</xdr:col>
      <xdr:colOff>354030</xdr:colOff>
      <xdr:row>10</xdr:row>
      <xdr:rowOff>49473</xdr:rowOff>
    </xdr:to>
    <xdr:sp macro="" textlink="">
      <xdr:nvSpPr>
        <xdr:cNvPr id="51" name="TextBox 50">
          <a:extLst>
            <a:ext uri="{FF2B5EF4-FFF2-40B4-BE49-F238E27FC236}">
              <a16:creationId xmlns:a16="http://schemas.microsoft.com/office/drawing/2014/main" id="{CDDD78D4-E806-8317-BBD8-F696769D912A}"/>
            </a:ext>
          </a:extLst>
        </xdr:cNvPr>
        <xdr:cNvSpPr txBox="1"/>
      </xdr:nvSpPr>
      <xdr:spPr>
        <a:xfrm>
          <a:off x="425437" y="1574088"/>
          <a:ext cx="1751215" cy="3288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latin typeface="Harlow Solid Italic" panose="04030604020F02020D02" pitchFamily="82" charset="0"/>
              <a:ea typeface="Batang" panose="02030600000101010101" pitchFamily="18" charset="-127"/>
            </a:rPr>
            <a:t>UrbanCart</a:t>
          </a:r>
          <a:endParaRPr lang="en-IN" sz="2000" b="1">
            <a:latin typeface="Harlow Solid Italic" panose="04030604020F02020D02" pitchFamily="82" charset="0"/>
            <a:ea typeface="Batang" panose="02030600000101010101" pitchFamily="18" charset="-127"/>
          </a:endParaRPr>
        </a:p>
      </xdr:txBody>
    </xdr:sp>
    <xdr:clientData/>
  </xdr:twoCellAnchor>
  <xdr:twoCellAnchor>
    <xdr:from>
      <xdr:col>0</xdr:col>
      <xdr:colOff>529965</xdr:colOff>
      <xdr:row>10</xdr:row>
      <xdr:rowOff>47792</xdr:rowOff>
    </xdr:from>
    <xdr:to>
      <xdr:col>3</xdr:col>
      <xdr:colOff>458558</xdr:colOff>
      <xdr:row>11</xdr:row>
      <xdr:rowOff>35176</xdr:rowOff>
    </xdr:to>
    <xdr:sp macro="" textlink="">
      <xdr:nvSpPr>
        <xdr:cNvPr id="52" name="TextBox 51">
          <a:extLst>
            <a:ext uri="{FF2B5EF4-FFF2-40B4-BE49-F238E27FC236}">
              <a16:creationId xmlns:a16="http://schemas.microsoft.com/office/drawing/2014/main" id="{68D35ED9-239C-4074-22A5-FD3E14BF2812}"/>
            </a:ext>
          </a:extLst>
        </xdr:cNvPr>
        <xdr:cNvSpPr txBox="1"/>
      </xdr:nvSpPr>
      <xdr:spPr>
        <a:xfrm>
          <a:off x="529965" y="1901306"/>
          <a:ext cx="1751215" cy="172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latin typeface="Bell MT" panose="02020503060305020303" pitchFamily="18" charset="0"/>
              <a:ea typeface="Batang" panose="02030600000101010101" pitchFamily="18" charset="-127"/>
            </a:rPr>
            <a:t>Shop Smart, Live Better.</a:t>
          </a:r>
        </a:p>
      </xdr:txBody>
    </xdr:sp>
    <xdr:clientData/>
  </xdr:twoCellAnchor>
  <xdr:twoCellAnchor>
    <xdr:from>
      <xdr:col>0</xdr:col>
      <xdr:colOff>410307</xdr:colOff>
      <xdr:row>11</xdr:row>
      <xdr:rowOff>154512</xdr:rowOff>
    </xdr:from>
    <xdr:to>
      <xdr:col>3</xdr:col>
      <xdr:colOff>549519</xdr:colOff>
      <xdr:row>11</xdr:row>
      <xdr:rowOff>154512</xdr:rowOff>
    </xdr:to>
    <xdr:cxnSp macro="">
      <xdr:nvCxnSpPr>
        <xdr:cNvPr id="56" name="Straight Connector 55">
          <a:extLst>
            <a:ext uri="{FF2B5EF4-FFF2-40B4-BE49-F238E27FC236}">
              <a16:creationId xmlns:a16="http://schemas.microsoft.com/office/drawing/2014/main" id="{EE984B5E-EA83-491F-FA32-A5BAC58F887B}"/>
            </a:ext>
          </a:extLst>
        </xdr:cNvPr>
        <xdr:cNvCxnSpPr/>
      </xdr:nvCxnSpPr>
      <xdr:spPr>
        <a:xfrm>
          <a:off x="410307" y="2152294"/>
          <a:ext cx="1963274" cy="0"/>
        </a:xfrm>
        <a:prstGeom prst="line">
          <a:avLst/>
        </a:prstGeom>
        <a:ln w="79375" cmpd="tri">
          <a:gradFill flip="none" rotWithShape="1">
            <a:gsLst>
              <a:gs pos="0">
                <a:schemeClr val="accent6">
                  <a:lumMod val="40000"/>
                  <a:lumOff val="60000"/>
                </a:schemeClr>
              </a:gs>
              <a:gs pos="58000">
                <a:srgbClr val="92D050"/>
              </a:gs>
            </a:gsLst>
            <a:path path="shape">
              <a:fillToRect l="50000" t="50000" r="50000" b="50000"/>
            </a:path>
            <a:tileRect/>
          </a:gradFill>
          <a:bevel/>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319216</xdr:colOff>
      <xdr:row>11</xdr:row>
      <xdr:rowOff>164758</xdr:rowOff>
    </xdr:from>
    <xdr:to>
      <xdr:col>11</xdr:col>
      <xdr:colOff>545756</xdr:colOff>
      <xdr:row>26</xdr:row>
      <xdr:rowOff>123569</xdr:rowOff>
    </xdr:to>
    <xdr:sp macro="" textlink="">
      <xdr:nvSpPr>
        <xdr:cNvPr id="59" name="Rectangle: Rounded Corners 58">
          <a:extLst>
            <a:ext uri="{FF2B5EF4-FFF2-40B4-BE49-F238E27FC236}">
              <a16:creationId xmlns:a16="http://schemas.microsoft.com/office/drawing/2014/main" id="{A998B827-B15F-3EEA-C13F-E0180CDBE667}"/>
            </a:ext>
          </a:extLst>
        </xdr:cNvPr>
        <xdr:cNvSpPr/>
      </xdr:nvSpPr>
      <xdr:spPr>
        <a:xfrm>
          <a:off x="2749378" y="2203623"/>
          <a:ext cx="4479324" cy="2739081"/>
        </a:xfrm>
        <a:prstGeom prst="roundRect">
          <a:avLst>
            <a:gd name="adj" fmla="val 5389"/>
          </a:avLst>
        </a:prstGeom>
        <a:no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80319</xdr:colOff>
      <xdr:row>11</xdr:row>
      <xdr:rowOff>172996</xdr:rowOff>
    </xdr:from>
    <xdr:to>
      <xdr:col>19</xdr:col>
      <xdr:colOff>306859</xdr:colOff>
      <xdr:row>26</xdr:row>
      <xdr:rowOff>131807</xdr:rowOff>
    </xdr:to>
    <xdr:sp macro="" textlink="">
      <xdr:nvSpPr>
        <xdr:cNvPr id="60" name="Rectangle: Rounded Corners 59">
          <a:extLst>
            <a:ext uri="{FF2B5EF4-FFF2-40B4-BE49-F238E27FC236}">
              <a16:creationId xmlns:a16="http://schemas.microsoft.com/office/drawing/2014/main" id="{138D7032-A617-57DF-2614-A390E3119E75}"/>
            </a:ext>
          </a:extLst>
        </xdr:cNvPr>
        <xdr:cNvSpPr/>
      </xdr:nvSpPr>
      <xdr:spPr>
        <a:xfrm>
          <a:off x="7370805" y="2211861"/>
          <a:ext cx="4479324" cy="2739081"/>
        </a:xfrm>
        <a:prstGeom prst="roundRect">
          <a:avLst>
            <a:gd name="adj" fmla="val 5389"/>
          </a:avLst>
        </a:prstGeom>
        <a:no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327454</xdr:colOff>
      <xdr:row>27</xdr:row>
      <xdr:rowOff>90618</xdr:rowOff>
    </xdr:from>
    <xdr:to>
      <xdr:col>11</xdr:col>
      <xdr:colOff>553994</xdr:colOff>
      <xdr:row>42</xdr:row>
      <xdr:rowOff>49428</xdr:rowOff>
    </xdr:to>
    <xdr:sp macro="" textlink="">
      <xdr:nvSpPr>
        <xdr:cNvPr id="61" name="Rectangle: Rounded Corners 60">
          <a:extLst>
            <a:ext uri="{FF2B5EF4-FFF2-40B4-BE49-F238E27FC236}">
              <a16:creationId xmlns:a16="http://schemas.microsoft.com/office/drawing/2014/main" id="{52D0B592-7944-67A3-CBFD-D136CE0EB6B5}"/>
            </a:ext>
          </a:extLst>
        </xdr:cNvPr>
        <xdr:cNvSpPr/>
      </xdr:nvSpPr>
      <xdr:spPr>
        <a:xfrm>
          <a:off x="2757616" y="5095104"/>
          <a:ext cx="4479324" cy="2739081"/>
        </a:xfrm>
        <a:prstGeom prst="roundRect">
          <a:avLst>
            <a:gd name="adj" fmla="val 5389"/>
          </a:avLst>
        </a:prstGeom>
        <a:no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88557</xdr:colOff>
      <xdr:row>27</xdr:row>
      <xdr:rowOff>109153</xdr:rowOff>
    </xdr:from>
    <xdr:to>
      <xdr:col>19</xdr:col>
      <xdr:colOff>315097</xdr:colOff>
      <xdr:row>42</xdr:row>
      <xdr:rowOff>67963</xdr:rowOff>
    </xdr:to>
    <xdr:sp macro="" textlink="">
      <xdr:nvSpPr>
        <xdr:cNvPr id="62" name="Rectangle: Rounded Corners 61">
          <a:extLst>
            <a:ext uri="{FF2B5EF4-FFF2-40B4-BE49-F238E27FC236}">
              <a16:creationId xmlns:a16="http://schemas.microsoft.com/office/drawing/2014/main" id="{AC0E322B-6DEC-2337-9888-37E9D3126DDB}"/>
            </a:ext>
          </a:extLst>
        </xdr:cNvPr>
        <xdr:cNvSpPr/>
      </xdr:nvSpPr>
      <xdr:spPr>
        <a:xfrm>
          <a:off x="7379043" y="5113639"/>
          <a:ext cx="4479324" cy="2739081"/>
        </a:xfrm>
        <a:prstGeom prst="roundRect">
          <a:avLst>
            <a:gd name="adj" fmla="val 5389"/>
          </a:avLst>
        </a:prstGeom>
        <a:no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455084</xdr:colOff>
      <xdr:row>11</xdr:row>
      <xdr:rowOff>158750</xdr:rowOff>
    </xdr:from>
    <xdr:to>
      <xdr:col>25</xdr:col>
      <xdr:colOff>472036</xdr:colOff>
      <xdr:row>42</xdr:row>
      <xdr:rowOff>42333</xdr:rowOff>
    </xdr:to>
    <xdr:sp macro="" textlink="">
      <xdr:nvSpPr>
        <xdr:cNvPr id="64" name="Rectangle: Rounded Corners 63">
          <a:extLst>
            <a:ext uri="{FF2B5EF4-FFF2-40B4-BE49-F238E27FC236}">
              <a16:creationId xmlns:a16="http://schemas.microsoft.com/office/drawing/2014/main" id="{8699DC06-0BBB-DCA5-2941-C891743FC411}"/>
            </a:ext>
          </a:extLst>
        </xdr:cNvPr>
        <xdr:cNvSpPr/>
      </xdr:nvSpPr>
      <xdr:spPr>
        <a:xfrm>
          <a:off x="11986234" y="2161529"/>
          <a:ext cx="3658368" cy="5527777"/>
        </a:xfrm>
        <a:prstGeom prst="roundRect">
          <a:avLst>
            <a:gd name="adj" fmla="val 5389"/>
          </a:avLst>
        </a:prstGeom>
        <a:no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417286</xdr:colOff>
      <xdr:row>12</xdr:row>
      <xdr:rowOff>36286</xdr:rowOff>
    </xdr:from>
    <xdr:to>
      <xdr:col>11</xdr:col>
      <xdr:colOff>480786</xdr:colOff>
      <xdr:row>26</xdr:row>
      <xdr:rowOff>54428</xdr:rowOff>
    </xdr:to>
    <xdr:graphicFrame macro="">
      <xdr:nvGraphicFramePr>
        <xdr:cNvPr id="66" name="Chart 65">
          <a:extLst>
            <a:ext uri="{FF2B5EF4-FFF2-40B4-BE49-F238E27FC236}">
              <a16:creationId xmlns:a16="http://schemas.microsoft.com/office/drawing/2014/main" id="{1D6D12D3-9C51-49C0-9CF4-693D55222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152400</xdr:colOff>
      <xdr:row>12</xdr:row>
      <xdr:rowOff>50800</xdr:rowOff>
    </xdr:from>
    <xdr:to>
      <xdr:col>19</xdr:col>
      <xdr:colOff>211667</xdr:colOff>
      <xdr:row>26</xdr:row>
      <xdr:rowOff>76200</xdr:rowOff>
    </xdr:to>
    <xdr:graphicFrame macro="">
      <xdr:nvGraphicFramePr>
        <xdr:cNvPr id="67" name="Chart 66">
          <a:extLst>
            <a:ext uri="{FF2B5EF4-FFF2-40B4-BE49-F238E27FC236}">
              <a16:creationId xmlns:a16="http://schemas.microsoft.com/office/drawing/2014/main" id="{B396FAA7-C304-438C-82E0-BC724F95D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448733</xdr:colOff>
      <xdr:row>27</xdr:row>
      <xdr:rowOff>135468</xdr:rowOff>
    </xdr:from>
    <xdr:to>
      <xdr:col>11</xdr:col>
      <xdr:colOff>465666</xdr:colOff>
      <xdr:row>41</xdr:row>
      <xdr:rowOff>177800</xdr:rowOff>
    </xdr:to>
    <xdr:graphicFrame macro="">
      <xdr:nvGraphicFramePr>
        <xdr:cNvPr id="68" name="Chart 67">
          <a:extLst>
            <a:ext uri="{FF2B5EF4-FFF2-40B4-BE49-F238E27FC236}">
              <a16:creationId xmlns:a16="http://schemas.microsoft.com/office/drawing/2014/main" id="{57246261-8D19-4D88-AFC8-5959B766D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525516</xdr:colOff>
      <xdr:row>12</xdr:row>
      <xdr:rowOff>98535</xdr:rowOff>
    </xdr:from>
    <xdr:to>
      <xdr:col>25</xdr:col>
      <xdr:colOff>404601</xdr:colOff>
      <xdr:row>41</xdr:row>
      <xdr:rowOff>70556</xdr:rowOff>
    </xdr:to>
    <xdr:graphicFrame macro="">
      <xdr:nvGraphicFramePr>
        <xdr:cNvPr id="70" name="Chart 69">
          <a:extLst>
            <a:ext uri="{FF2B5EF4-FFF2-40B4-BE49-F238E27FC236}">
              <a16:creationId xmlns:a16="http://schemas.microsoft.com/office/drawing/2014/main" id="{A2911493-AA72-44FC-BCB0-38E37EE0C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168350</xdr:colOff>
      <xdr:row>27</xdr:row>
      <xdr:rowOff>150627</xdr:rowOff>
    </xdr:from>
    <xdr:to>
      <xdr:col>19</xdr:col>
      <xdr:colOff>230372</xdr:colOff>
      <xdr:row>42</xdr:row>
      <xdr:rowOff>53163</xdr:rowOff>
    </xdr:to>
    <xdr:graphicFrame macro="">
      <xdr:nvGraphicFramePr>
        <xdr:cNvPr id="71" name="Chart 70">
          <a:extLst>
            <a:ext uri="{FF2B5EF4-FFF2-40B4-BE49-F238E27FC236}">
              <a16:creationId xmlns:a16="http://schemas.microsoft.com/office/drawing/2014/main" id="{CF0EE958-5D32-4F57-BA0C-C7352F9AB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548786</xdr:colOff>
      <xdr:row>2</xdr:row>
      <xdr:rowOff>8661</xdr:rowOff>
    </xdr:from>
    <xdr:to>
      <xdr:col>22</xdr:col>
      <xdr:colOff>491167</xdr:colOff>
      <xdr:row>11</xdr:row>
      <xdr:rowOff>10713</xdr:rowOff>
    </xdr:to>
    <xdr:sp macro="" textlink="">
      <xdr:nvSpPr>
        <xdr:cNvPr id="74" name="Rectangle: Rounded Corners 73">
          <a:extLst>
            <a:ext uri="{FF2B5EF4-FFF2-40B4-BE49-F238E27FC236}">
              <a16:creationId xmlns:a16="http://schemas.microsoft.com/office/drawing/2014/main" id="{32885C7E-1A21-B260-28D5-B50072385BF9}"/>
            </a:ext>
          </a:extLst>
        </xdr:cNvPr>
        <xdr:cNvSpPr/>
      </xdr:nvSpPr>
      <xdr:spPr>
        <a:xfrm>
          <a:off x="12079936" y="372803"/>
          <a:ext cx="1763089" cy="1640689"/>
        </a:xfrm>
        <a:prstGeom prst="roundRect">
          <a:avLst>
            <a:gd name="adj" fmla="val 3509"/>
          </a:avLst>
        </a:prstGeom>
        <a:solidFill>
          <a:schemeClr val="accent6">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461856</xdr:colOff>
      <xdr:row>0</xdr:row>
      <xdr:rowOff>134416</xdr:rowOff>
    </xdr:from>
    <xdr:to>
      <xdr:col>21</xdr:col>
      <xdr:colOff>605782</xdr:colOff>
      <xdr:row>4</xdr:row>
      <xdr:rowOff>103689</xdr:rowOff>
    </xdr:to>
    <xdr:sp macro="" textlink="">
      <xdr:nvSpPr>
        <xdr:cNvPr id="75" name="Oval 74">
          <a:extLst>
            <a:ext uri="{FF2B5EF4-FFF2-40B4-BE49-F238E27FC236}">
              <a16:creationId xmlns:a16="http://schemas.microsoft.com/office/drawing/2014/main" id="{E9DAF59D-A51B-02B2-ACDF-2C34174F34A0}"/>
            </a:ext>
          </a:extLst>
        </xdr:cNvPr>
        <xdr:cNvSpPr/>
      </xdr:nvSpPr>
      <xdr:spPr>
        <a:xfrm>
          <a:off x="12599909" y="134416"/>
          <a:ext cx="750829" cy="697556"/>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35949</xdr:colOff>
      <xdr:row>5</xdr:row>
      <xdr:rowOff>72259</xdr:rowOff>
    </xdr:from>
    <xdr:to>
      <xdr:col>22</xdr:col>
      <xdr:colOff>460410</xdr:colOff>
      <xdr:row>7</xdr:row>
      <xdr:rowOff>33664</xdr:rowOff>
    </xdr:to>
    <xdr:sp macro="" textlink="">
      <xdr:nvSpPr>
        <xdr:cNvPr id="76" name="TextBox 75">
          <a:extLst>
            <a:ext uri="{FF2B5EF4-FFF2-40B4-BE49-F238E27FC236}">
              <a16:creationId xmlns:a16="http://schemas.microsoft.com/office/drawing/2014/main" id="{9AFAB636-BA9C-7689-9301-80EF80B1A597}"/>
            </a:ext>
          </a:extLst>
        </xdr:cNvPr>
        <xdr:cNvSpPr txBox="1"/>
      </xdr:nvSpPr>
      <xdr:spPr>
        <a:xfrm>
          <a:off x="12174002" y="982613"/>
          <a:ext cx="1638266" cy="325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ptos Narrow" panose="020B0004020202020204" pitchFamily="34" charset="0"/>
            </a:rPr>
            <a:t>Profit Margin</a:t>
          </a:r>
        </a:p>
      </xdr:txBody>
    </xdr:sp>
    <xdr:clientData/>
  </xdr:twoCellAnchor>
  <xdr:twoCellAnchor>
    <xdr:from>
      <xdr:col>20</xdr:col>
      <xdr:colOff>42334</xdr:colOff>
      <xdr:row>7</xdr:row>
      <xdr:rowOff>124537</xdr:rowOff>
    </xdr:from>
    <xdr:to>
      <xdr:col>22</xdr:col>
      <xdr:colOff>476569</xdr:colOff>
      <xdr:row>9</xdr:row>
      <xdr:rowOff>121435</xdr:rowOff>
    </xdr:to>
    <xdr:sp macro="" textlink="KPIS!W14">
      <xdr:nvSpPr>
        <xdr:cNvPr id="77" name="TextBox 76">
          <a:extLst>
            <a:ext uri="{FF2B5EF4-FFF2-40B4-BE49-F238E27FC236}">
              <a16:creationId xmlns:a16="http://schemas.microsoft.com/office/drawing/2014/main" id="{06F53EB4-1A1F-F972-370E-395D2C71B786}"/>
            </a:ext>
          </a:extLst>
        </xdr:cNvPr>
        <xdr:cNvSpPr txBox="1"/>
      </xdr:nvSpPr>
      <xdr:spPr>
        <a:xfrm>
          <a:off x="12180387" y="1399033"/>
          <a:ext cx="1648040" cy="361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2D51B3B-E995-4638-A1B7-38B03028EEE8}" type="TxLink">
            <a:rPr lang="en-US" sz="1400" b="0" i="0" u="none" strike="noStrike">
              <a:solidFill>
                <a:srgbClr val="000000"/>
              </a:solidFill>
              <a:latin typeface="Arial Rounded MT Bold" panose="020F0704030504030204" pitchFamily="34" charset="0"/>
              <a:ea typeface="Calibri"/>
              <a:cs typeface="Calibri"/>
            </a:rPr>
            <a:t>17.89%</a:t>
          </a:fld>
          <a:endParaRPr lang="en-IN" sz="3600" b="0">
            <a:latin typeface="Arial Rounded MT Bold" panose="020F0704030504030204" pitchFamily="34" charset="0"/>
          </a:endParaRPr>
        </a:p>
      </xdr:txBody>
    </xdr:sp>
    <xdr:clientData/>
  </xdr:twoCellAnchor>
  <xdr:twoCellAnchor>
    <xdr:from>
      <xdr:col>21</xdr:col>
      <xdr:colOff>9633</xdr:colOff>
      <xdr:row>1</xdr:row>
      <xdr:rowOff>92439</xdr:rowOff>
    </xdr:from>
    <xdr:to>
      <xdr:col>21</xdr:col>
      <xdr:colOff>430860</xdr:colOff>
      <xdr:row>3</xdr:row>
      <xdr:rowOff>149984</xdr:rowOff>
    </xdr:to>
    <xdr:pic>
      <xdr:nvPicPr>
        <xdr:cNvPr id="78" name="Picture 77">
          <a:extLst>
            <a:ext uri="{FF2B5EF4-FFF2-40B4-BE49-F238E27FC236}">
              <a16:creationId xmlns:a16="http://schemas.microsoft.com/office/drawing/2014/main" id="{33E9251F-B830-9A09-C9F0-712378400CAC}"/>
            </a:ext>
          </a:extLst>
        </xdr:cNvPr>
        <xdr:cNvPicPr>
          <a:picLocks noChangeAspect="1"/>
        </xdr:cNvPicPr>
      </xdr:nvPicPr>
      <xdr:blipFill>
        <a:blip xmlns:r="http://schemas.openxmlformats.org/officeDocument/2006/relationships" r:embed="rId12"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12738497" y="274280"/>
          <a:ext cx="421227" cy="421227"/>
        </a:xfrm>
        <a:prstGeom prst="rect">
          <a:avLst/>
        </a:prstGeom>
      </xdr:spPr>
    </xdr:pic>
    <xdr:clientData/>
  </xdr:twoCellAnchor>
  <xdr:twoCellAnchor>
    <xdr:from>
      <xdr:col>22</xdr:col>
      <xdr:colOff>591134</xdr:colOff>
      <xdr:row>2</xdr:row>
      <xdr:rowOff>3805</xdr:rowOff>
    </xdr:from>
    <xdr:to>
      <xdr:col>25</xdr:col>
      <xdr:colOff>533515</xdr:colOff>
      <xdr:row>11</xdr:row>
      <xdr:rowOff>5857</xdr:rowOff>
    </xdr:to>
    <xdr:sp macro="" textlink="">
      <xdr:nvSpPr>
        <xdr:cNvPr id="79" name="Rectangle: Rounded Corners 78">
          <a:extLst>
            <a:ext uri="{FF2B5EF4-FFF2-40B4-BE49-F238E27FC236}">
              <a16:creationId xmlns:a16="http://schemas.microsoft.com/office/drawing/2014/main" id="{4650540F-5661-C879-4319-D35E1D940B4D}"/>
            </a:ext>
          </a:extLst>
        </xdr:cNvPr>
        <xdr:cNvSpPr/>
      </xdr:nvSpPr>
      <xdr:spPr>
        <a:xfrm>
          <a:off x="13942992" y="367947"/>
          <a:ext cx="1763089" cy="1640689"/>
        </a:xfrm>
        <a:prstGeom prst="roundRect">
          <a:avLst>
            <a:gd name="adj" fmla="val 3509"/>
          </a:avLst>
        </a:prstGeom>
        <a:solidFill>
          <a:schemeClr val="accent6">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504204</xdr:colOff>
      <xdr:row>0</xdr:row>
      <xdr:rowOff>129560</xdr:rowOff>
    </xdr:from>
    <xdr:to>
      <xdr:col>25</xdr:col>
      <xdr:colOff>41228</xdr:colOff>
      <xdr:row>4</xdr:row>
      <xdr:rowOff>98833</xdr:rowOff>
    </xdr:to>
    <xdr:sp macro="" textlink="">
      <xdr:nvSpPr>
        <xdr:cNvPr id="80" name="Oval 79">
          <a:extLst>
            <a:ext uri="{FF2B5EF4-FFF2-40B4-BE49-F238E27FC236}">
              <a16:creationId xmlns:a16="http://schemas.microsoft.com/office/drawing/2014/main" id="{428551FE-248E-2A26-D045-B84809AF5708}"/>
            </a:ext>
          </a:extLst>
        </xdr:cNvPr>
        <xdr:cNvSpPr/>
      </xdr:nvSpPr>
      <xdr:spPr>
        <a:xfrm>
          <a:off x="14462965" y="129560"/>
          <a:ext cx="750829" cy="697556"/>
        </a:xfrm>
        <a:prstGeom prst="ellipse">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78297</xdr:colOff>
      <xdr:row>5</xdr:row>
      <xdr:rowOff>67403</xdr:rowOff>
    </xdr:from>
    <xdr:to>
      <xdr:col>25</xdr:col>
      <xdr:colOff>502758</xdr:colOff>
      <xdr:row>7</xdr:row>
      <xdr:rowOff>28808</xdr:rowOff>
    </xdr:to>
    <xdr:sp macro="" textlink="">
      <xdr:nvSpPr>
        <xdr:cNvPr id="81" name="TextBox 80">
          <a:extLst>
            <a:ext uri="{FF2B5EF4-FFF2-40B4-BE49-F238E27FC236}">
              <a16:creationId xmlns:a16="http://schemas.microsoft.com/office/drawing/2014/main" id="{0CB3F472-CCA7-FEE9-7F8E-7A8810A37EEB}"/>
            </a:ext>
          </a:extLst>
        </xdr:cNvPr>
        <xdr:cNvSpPr txBox="1"/>
      </xdr:nvSpPr>
      <xdr:spPr>
        <a:xfrm>
          <a:off x="14037058" y="977757"/>
          <a:ext cx="1638266" cy="325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latin typeface="Aptos Narrow" panose="020B0004020202020204" pitchFamily="34" charset="0"/>
            </a:rPr>
            <a:t>Best Product</a:t>
          </a:r>
        </a:p>
      </xdr:txBody>
    </xdr:sp>
    <xdr:clientData/>
  </xdr:twoCellAnchor>
  <xdr:twoCellAnchor>
    <xdr:from>
      <xdr:col>23</xdr:col>
      <xdr:colOff>84682</xdr:colOff>
      <xdr:row>7</xdr:row>
      <xdr:rowOff>119681</xdr:rowOff>
    </xdr:from>
    <xdr:to>
      <xdr:col>25</xdr:col>
      <xdr:colOff>518917</xdr:colOff>
      <xdr:row>9</xdr:row>
      <xdr:rowOff>116579</xdr:rowOff>
    </xdr:to>
    <xdr:sp macro="" textlink="KPIS!AF42">
      <xdr:nvSpPr>
        <xdr:cNvPr id="82" name="TextBox 81">
          <a:extLst>
            <a:ext uri="{FF2B5EF4-FFF2-40B4-BE49-F238E27FC236}">
              <a16:creationId xmlns:a16="http://schemas.microsoft.com/office/drawing/2014/main" id="{0E828A90-13C1-5388-0310-78886A79AA70}"/>
            </a:ext>
          </a:extLst>
        </xdr:cNvPr>
        <xdr:cNvSpPr txBox="1"/>
      </xdr:nvSpPr>
      <xdr:spPr>
        <a:xfrm>
          <a:off x="14043443" y="1394177"/>
          <a:ext cx="1648040" cy="361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AEABDA0-06AE-4A93-9166-5A2C6B2395CD}" type="TxLink">
            <a:rPr lang="en-US" sz="1400" b="0" i="0" u="none" strike="noStrike">
              <a:solidFill>
                <a:srgbClr val="000000"/>
              </a:solidFill>
              <a:latin typeface="Arial Rounded MT Bold" panose="020F0704030504030204" pitchFamily="34" charset="0"/>
              <a:ea typeface="Calibri"/>
              <a:cs typeface="Calibri"/>
            </a:rPr>
            <a:t>Laptop</a:t>
          </a:fld>
          <a:endParaRPr lang="en-IN" sz="3600" b="0">
            <a:latin typeface="Arial Rounded MT Bold" panose="020F0704030504030204" pitchFamily="34" charset="0"/>
          </a:endParaRPr>
        </a:p>
      </xdr:txBody>
    </xdr:sp>
    <xdr:clientData/>
  </xdr:twoCellAnchor>
  <xdr:twoCellAnchor>
    <xdr:from>
      <xdr:col>24</xdr:col>
      <xdr:colOff>51981</xdr:colOff>
      <xdr:row>1</xdr:row>
      <xdr:rowOff>87583</xdr:rowOff>
    </xdr:from>
    <xdr:to>
      <xdr:col>24</xdr:col>
      <xdr:colOff>473208</xdr:colOff>
      <xdr:row>3</xdr:row>
      <xdr:rowOff>145128</xdr:rowOff>
    </xdr:to>
    <xdr:pic>
      <xdr:nvPicPr>
        <xdr:cNvPr id="83" name="Picture 82">
          <a:extLst>
            <a:ext uri="{FF2B5EF4-FFF2-40B4-BE49-F238E27FC236}">
              <a16:creationId xmlns:a16="http://schemas.microsoft.com/office/drawing/2014/main" id="{07E68F29-951D-D414-EB65-BB0AD0D2EF39}"/>
            </a:ext>
          </a:extLst>
        </xdr:cNvPr>
        <xdr:cNvPicPr>
          <a:picLocks noChangeAspect="1"/>
        </xdr:cNvPicPr>
      </xdr:nvPicPr>
      <xdr:blipFill>
        <a:blip xmlns:r="http://schemas.openxmlformats.org/officeDocument/2006/relationships" r:embed="rId13" cstate="print">
          <a:duotone>
            <a:schemeClr val="accent6">
              <a:shade val="45000"/>
              <a:satMod val="135000"/>
            </a:schemeClr>
            <a:prstClr val="white"/>
          </a:duotone>
          <a:extLst>
            <a:ext uri="{28A0092B-C50C-407E-A947-70E740481C1C}">
              <a14:useLocalDpi xmlns:a14="http://schemas.microsoft.com/office/drawing/2010/main" val="0"/>
            </a:ext>
          </a:extLst>
        </a:blip>
        <a:srcRect/>
        <a:stretch/>
      </xdr:blipFill>
      <xdr:spPr>
        <a:xfrm>
          <a:off x="14599254" y="269424"/>
          <a:ext cx="421227" cy="421227"/>
        </a:xfrm>
        <a:prstGeom prst="rect">
          <a:avLst/>
        </a:prstGeom>
      </xdr:spPr>
    </xdr:pic>
    <xdr:clientData/>
  </xdr:twoCellAnchor>
  <xdr:twoCellAnchor editAs="oneCell">
    <xdr:from>
      <xdr:col>0</xdr:col>
      <xdr:colOff>394372</xdr:colOff>
      <xdr:row>12</xdr:row>
      <xdr:rowOff>107689</xdr:rowOff>
    </xdr:from>
    <xdr:to>
      <xdr:col>3</xdr:col>
      <xdr:colOff>530831</xdr:colOff>
      <xdr:row>20</xdr:row>
      <xdr:rowOff>68495</xdr:rowOff>
    </xdr:to>
    <mc:AlternateContent xmlns:mc="http://schemas.openxmlformats.org/markup-compatibility/2006">
      <mc:Choice xmlns:a14="http://schemas.microsoft.com/office/drawing/2010/main" Requires="a14">
        <xdr:graphicFrame macro="">
          <xdr:nvGraphicFramePr>
            <xdr:cNvPr id="84" name="Region">
              <a:extLst>
                <a:ext uri="{FF2B5EF4-FFF2-40B4-BE49-F238E27FC236}">
                  <a16:creationId xmlns:a16="http://schemas.microsoft.com/office/drawing/2014/main" id="{73B7F16F-D89B-4193-A191-4EC53271DE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4372" y="2362374"/>
              <a:ext cx="1952733" cy="1463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402934</xdr:colOff>
      <xdr:row>20</xdr:row>
      <xdr:rowOff>116250</xdr:rowOff>
    </xdr:from>
    <xdr:to>
      <xdr:col>3</xdr:col>
      <xdr:colOff>534112</xdr:colOff>
      <xdr:row>25</xdr:row>
      <xdr:rowOff>106822</xdr:rowOff>
    </xdr:to>
    <mc:AlternateContent xmlns:mc="http://schemas.openxmlformats.org/markup-compatibility/2006">
      <mc:Choice xmlns:a14="http://schemas.microsoft.com/office/drawing/2010/main" Requires="a14">
        <xdr:graphicFrame macro="">
          <xdr:nvGraphicFramePr>
            <xdr:cNvPr id="85" name="Year">
              <a:extLst>
                <a:ext uri="{FF2B5EF4-FFF2-40B4-BE49-F238E27FC236}">
                  <a16:creationId xmlns:a16="http://schemas.microsoft.com/office/drawing/2014/main" id="{0C6ACE18-BD9F-4B65-A7BF-56B0CD171B3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02934" y="3874058"/>
              <a:ext cx="1947452" cy="930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401073</xdr:colOff>
      <xdr:row>25</xdr:row>
      <xdr:rowOff>150317</xdr:rowOff>
    </xdr:from>
    <xdr:to>
      <xdr:col>3</xdr:col>
      <xdr:colOff>535577</xdr:colOff>
      <xdr:row>40</xdr:row>
      <xdr:rowOff>91108</xdr:rowOff>
    </xdr:to>
    <mc:AlternateContent xmlns:mc="http://schemas.openxmlformats.org/markup-compatibility/2006">
      <mc:Choice xmlns:a14="http://schemas.microsoft.com/office/drawing/2010/main" Requires="a14">
        <xdr:graphicFrame macro="">
          <xdr:nvGraphicFramePr>
            <xdr:cNvPr id="86" name="Product">
              <a:extLst>
                <a:ext uri="{FF2B5EF4-FFF2-40B4-BE49-F238E27FC236}">
                  <a16:creationId xmlns:a16="http://schemas.microsoft.com/office/drawing/2014/main" id="{3707ECE7-0392-418C-A8E6-71CE0DC3C41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01073" y="4847577"/>
              <a:ext cx="1950778" cy="2759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372206</xdr:colOff>
      <xdr:row>41</xdr:row>
      <xdr:rowOff>17020</xdr:rowOff>
    </xdr:from>
    <xdr:to>
      <xdr:col>3</xdr:col>
      <xdr:colOff>511418</xdr:colOff>
      <xdr:row>41</xdr:row>
      <xdr:rowOff>17020</xdr:rowOff>
    </xdr:to>
    <xdr:cxnSp macro="">
      <xdr:nvCxnSpPr>
        <xdr:cNvPr id="87" name="Straight Connector 86">
          <a:extLst>
            <a:ext uri="{FF2B5EF4-FFF2-40B4-BE49-F238E27FC236}">
              <a16:creationId xmlns:a16="http://schemas.microsoft.com/office/drawing/2014/main" id="{7A4F3F37-6327-62A1-B641-2C06B7C928E9}"/>
            </a:ext>
          </a:extLst>
        </xdr:cNvPr>
        <xdr:cNvCxnSpPr/>
      </xdr:nvCxnSpPr>
      <xdr:spPr>
        <a:xfrm>
          <a:off x="372206" y="7487933"/>
          <a:ext cx="1977951" cy="0"/>
        </a:xfrm>
        <a:prstGeom prst="line">
          <a:avLst/>
        </a:prstGeom>
        <a:ln w="79375" cmpd="tri">
          <a:gradFill flip="none" rotWithShape="1">
            <a:gsLst>
              <a:gs pos="0">
                <a:schemeClr val="accent6">
                  <a:lumMod val="40000"/>
                  <a:lumOff val="60000"/>
                </a:schemeClr>
              </a:gs>
              <a:gs pos="58000">
                <a:srgbClr val="92D050"/>
              </a:gs>
            </a:gsLst>
            <a:path path="shape">
              <a:fillToRect l="50000" t="50000" r="50000" b="50000"/>
            </a:path>
            <a:tileRect/>
          </a:gradFill>
          <a:bevel/>
        </a:ln>
      </xdr:spPr>
      <xdr:style>
        <a:lnRef idx="3">
          <a:schemeClr val="dk1"/>
        </a:lnRef>
        <a:fillRef idx="0">
          <a:schemeClr val="dk1"/>
        </a:fillRef>
        <a:effectRef idx="2">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Patel" refreshedDate="46161.774670486113" createdVersion="8" refreshedVersion="8" minRefreshableVersion="3" recordCount="500" xr:uid="{FD467120-0ACA-48C2-984E-09E60BE67784}">
  <cacheSource type="worksheet">
    <worksheetSource name="Table43"/>
  </cacheSource>
  <cacheFields count="20">
    <cacheField name="Order_ID"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Date" numFmtId="14">
      <sharedItems containsSemiMixedTypes="0" containsNonDate="0" containsDate="1" containsString="0" minDate="2023-01-01T00:00:00" maxDate="2024-01-02T00:00:00" count="270">
        <d v="2023-09-28T00:00:00"/>
        <d v="2023-12-14T00:00:00"/>
        <d v="2023-07-29T00:00:00"/>
        <d v="2023-04-28T00:00:00"/>
        <d v="2023-09-06T00:00:00"/>
        <d v="2023-03-19T00:00:00"/>
        <d v="2023-11-28T00:00:00"/>
        <d v="2023-08-27T00:00:00"/>
        <d v="2023-04-11T00:00:00"/>
        <d v="2023-06-20T00:00:00"/>
        <d v="2023-12-12T00:00:00"/>
        <d v="2023-07-16T00:00:00"/>
        <d v="2023-12-18T00:00:00"/>
        <d v="2023-02-09T00:00:00"/>
        <d v="2023-03-16T00:00:00"/>
        <d v="2023-07-12T00:00:00"/>
        <d v="2023-11-29T00:00:00"/>
        <d v="2023-12-22T00:00:00"/>
        <d v="2023-03-18T00:00:00"/>
        <d v="2023-02-15T00:00:00"/>
        <d v="2023-11-30T00:00:00"/>
        <d v="2023-06-26T00:00:00"/>
        <d v="2023-09-07T00:00:00"/>
        <d v="2023-08-15T00:00:00"/>
        <d v="2023-05-04T00:00:00"/>
        <d v="2023-02-11T00:00:00"/>
        <d v="2023-08-28T00:00:00"/>
        <d v="2023-03-10T00:00:00"/>
        <d v="2023-10-18T00:00:00"/>
        <d v="2023-07-20T00:00:00"/>
        <d v="2023-03-20T00:00:00"/>
        <d v="2023-02-26T00:00:00"/>
        <d v="2023-06-06T00:00:00"/>
        <d v="2023-04-23T00:00:00"/>
        <d v="2023-11-17T00:00:00"/>
        <d v="2023-01-15T00:00:00"/>
        <d v="2023-11-08T00:00:00"/>
        <d v="2023-08-05T00:00:00"/>
        <d v="2023-12-23T00:00:00"/>
        <d v="2023-02-24T00:00:00"/>
        <d v="2023-02-10T00:00:00"/>
        <d v="2023-12-28T00:00:00"/>
        <d v="2023-08-17T00:00:00"/>
        <d v="2023-11-22T00:00:00"/>
        <d v="2023-10-30T00:00:00"/>
        <d v="2023-10-23T00:00:00"/>
        <d v="2023-12-10T00:00:00"/>
        <d v="2023-04-25T00:00:00"/>
        <d v="2023-08-10T00:00:00"/>
        <d v="2023-02-23T00:00:00"/>
        <d v="2023-05-22T00:00:00"/>
        <d v="2023-03-21T00:00:00"/>
        <d v="2023-01-20T00:00:00"/>
        <d v="2023-05-19T00:00:00"/>
        <d v="2023-02-20T00:00:00"/>
        <d v="2023-03-07T00:00:00"/>
        <d v="2023-03-02T00:00:00"/>
        <d v="2023-07-19T00:00:00"/>
        <d v="2023-10-17T00:00:00"/>
        <d v="2023-09-04T00:00:00"/>
        <d v="2023-08-25T00:00:00"/>
        <d v="2023-01-04T00:00:00"/>
        <d v="2023-06-21T00:00:00"/>
        <d v="2023-12-08T00:00:00"/>
        <d v="2023-07-30T00:00:00"/>
        <d v="2023-11-27T00:00:00"/>
        <d v="2023-10-15T00:00:00"/>
        <d v="2023-05-07T00:00:00"/>
        <d v="2023-02-07T00:00:00"/>
        <d v="2023-07-02T00:00:00"/>
        <d v="2023-10-29T00:00:00"/>
        <d v="2023-07-28T00:00:00"/>
        <d v="2023-03-23T00:00:00"/>
        <d v="2023-05-11T00:00:00"/>
        <d v="2023-05-28T00:00:00"/>
        <d v="2023-03-22T00:00:00"/>
        <d v="2023-06-17T00:00:00"/>
        <d v="2023-08-29T00:00:00"/>
        <d v="2023-09-11T00:00:00"/>
        <d v="2023-04-10T00:00:00"/>
        <d v="2023-08-16T00:00:00"/>
        <d v="2023-11-26T00:00:00"/>
        <d v="2023-10-22T00:00:00"/>
        <d v="2023-01-30T00:00:00"/>
        <d v="2023-10-12T00:00:00"/>
        <d v="2023-06-03T00:00:00"/>
        <d v="2023-11-07T00:00:00"/>
        <d v="2023-08-07T00:00:00"/>
        <d v="2023-08-13T00:00:00"/>
        <d v="2023-06-27T00:00:00"/>
        <d v="2023-03-31T00:00:00"/>
        <d v="2023-04-27T00:00:00"/>
        <d v="2023-11-19T00:00:00"/>
        <d v="2023-09-09T00:00:00"/>
        <d v="2023-01-17T00:00:00"/>
        <d v="2023-06-08T00:00:00"/>
        <d v="2023-02-06T00:00:00"/>
        <d v="2023-06-09T00:00:00"/>
        <d v="2023-05-21T00:00:00"/>
        <d v="2023-06-14T00:00:00"/>
        <d v="2023-12-15T00:00:00"/>
        <d v="2023-03-08T00:00:00"/>
        <d v="2023-02-21T00:00:00"/>
        <d v="2023-12-09T00:00:00"/>
        <d v="2023-12-21T00:00:00"/>
        <d v="2023-06-10T00:00:00"/>
        <d v="2023-03-12T00:00:00"/>
        <d v="2023-03-11T00:00:00"/>
        <d v="2023-09-26T00:00:00"/>
        <d v="2023-11-06T00:00:00"/>
        <d v="2023-12-05T00:00:00"/>
        <d v="2023-10-05T00:00:00"/>
        <d v="2023-09-13T00:00:00"/>
        <d v="2023-05-20T00:00:00"/>
        <d v="2023-07-05T00:00:00"/>
        <d v="2023-09-24T00:00:00"/>
        <d v="2023-01-18T00:00:00"/>
        <d v="2023-05-17T00:00:00"/>
        <d v="2023-09-08T00:00:00"/>
        <d v="2023-07-11T00:00:00"/>
        <d v="2023-04-06T00:00:00"/>
        <d v="2023-01-27T00:00:00"/>
        <d v="2023-11-11T00:00:00"/>
        <d v="2023-02-03T00:00:00"/>
        <d v="2023-10-02T00:00:00"/>
        <d v="2023-08-01T00:00:00"/>
        <d v="2023-03-26T00:00:00"/>
        <d v="2023-03-17T00:00:00"/>
        <d v="2023-07-15T00:00:00"/>
        <d v="2023-05-16T00:00:00"/>
        <d v="2023-05-23T00:00:00"/>
        <d v="2023-11-03T00:00:00"/>
        <d v="2023-04-02T00:00:00"/>
        <d v="2023-12-20T00:00:00"/>
        <d v="2023-06-15T00:00:00"/>
        <d v="2023-09-23T00:00:00"/>
        <d v="2023-01-08T00:00:00"/>
        <d v="2023-03-29T00:00:00"/>
        <d v="2023-06-05T00:00:00"/>
        <d v="2023-10-28T00:00:00"/>
        <d v="2023-10-31T00:00:00"/>
        <d v="2023-02-27T00:00:00"/>
        <d v="2023-02-02T00:00:00"/>
        <d v="2023-03-05T00:00:00"/>
        <d v="2023-09-15T00:00:00"/>
        <d v="2023-10-11T00:00:00"/>
        <d v="2023-11-18T00:00:00"/>
        <d v="2023-12-19T00:00:00"/>
        <d v="2023-04-15T00:00:00"/>
        <d v="2023-10-27T00:00:00"/>
        <d v="2023-12-25T00:00:00"/>
        <d v="2023-07-25T00:00:00"/>
        <d v="2023-01-25T00:00:00"/>
        <d v="2023-02-05T00:00:00"/>
        <d v="2023-09-12T00:00:00"/>
        <d v="2023-12-06T00:00:00"/>
        <d v="2023-02-17T00:00:00"/>
        <d v="2023-02-25T00:00:00"/>
        <d v="2023-01-29T00:00:00"/>
        <d v="2023-11-23T00:00:00"/>
        <d v="2023-08-18T00:00:00"/>
        <d v="2023-06-02T00:00:00"/>
        <d v="2023-04-14T00:00:00"/>
        <d v="2023-09-14T00:00:00"/>
        <d v="2023-10-21T00:00:00"/>
        <d v="2023-12-27T00:00:00"/>
        <d v="2023-08-04T00:00:00"/>
        <d v="2023-05-14T00:00:00"/>
        <d v="2023-09-19T00:00:00"/>
        <d v="2023-03-06T00:00:00"/>
        <d v="2023-08-08T00:00:00"/>
        <d v="2023-01-13T00:00:00"/>
        <d v="2023-01-31T00:00:00"/>
        <d v="2023-02-12T00:00:00"/>
        <d v="2023-01-01T00:00:00"/>
        <d v="2023-07-14T00:00:00"/>
        <d v="2023-12-03T00:00:00"/>
        <d v="2023-10-16T00:00:00"/>
        <d v="2023-10-06T00:00:00"/>
        <d v="2023-07-26T00:00:00"/>
        <d v="2023-08-20T00:00:00"/>
        <d v="2023-01-21T00:00:00"/>
        <d v="2023-04-18T00:00:00"/>
        <d v="2023-04-03T00:00:00"/>
        <d v="2023-03-15T00:00:00"/>
        <d v="2023-06-11T00:00:00"/>
        <d v="2023-08-11T00:00:00"/>
        <d v="2023-07-24T00:00:00"/>
        <d v="2023-02-19T00:00:00"/>
        <d v="2023-08-26T00:00:00"/>
        <d v="2023-12-29T00:00:00"/>
        <d v="2023-03-28T00:00:00"/>
        <d v="2023-07-07T00:00:00"/>
        <d v="2023-06-23T00:00:00"/>
        <d v="2023-08-24T00:00:00"/>
        <d v="2023-05-18T00:00:00"/>
        <d v="2023-03-25T00:00:00"/>
        <d v="2023-02-16T00:00:00"/>
        <d v="2023-04-30T00:00:00"/>
        <d v="2023-05-29T00:00:00"/>
        <d v="2023-03-09T00:00:00"/>
        <d v="2023-02-01T00:00:00"/>
        <d v="2023-12-26T00:00:00"/>
        <d v="2023-10-01T00:00:00"/>
        <d v="2023-08-03T00:00:00"/>
        <d v="2023-04-04T00:00:00"/>
        <d v="2023-01-24T00:00:00"/>
        <d v="2023-07-08T00:00:00"/>
        <d v="2023-03-14T00:00:00"/>
        <d v="2023-08-12T00:00:00"/>
        <d v="2023-11-10T00:00:00"/>
        <d v="2023-02-18T00:00:00"/>
        <d v="2023-01-23T00:00:00"/>
        <d v="2023-11-15T00:00:00"/>
        <d v="2023-05-02T00:00:00"/>
        <d v="2023-04-05T00:00:00"/>
        <d v="2023-10-26T00:00:00"/>
        <d v="2023-09-27T00:00:00"/>
        <d v="2023-07-17T00:00:00"/>
        <d v="2023-01-05T00:00:00"/>
        <d v="2023-06-30T00:00:00"/>
        <d v="2023-05-30T00:00:00"/>
        <d v="2023-04-08T00:00:00"/>
        <d v="2023-10-08T00:00:00"/>
        <d v="2023-03-03T00:00:00"/>
        <d v="2023-10-03T00:00:00"/>
        <d v="2023-02-08T00:00:00"/>
        <d v="2023-06-16T00:00:00"/>
        <d v="2023-01-16T00:00:00"/>
        <d v="2023-10-09T00:00:00"/>
        <d v="2023-07-03T00:00:00"/>
        <d v="2023-09-16T00:00:00"/>
        <d v="2023-12-11T00:00:00"/>
        <d v="2023-04-07T00:00:00"/>
        <d v="2023-06-07T00:00:00"/>
        <d v="2023-09-22T00:00:00"/>
        <d v="2023-07-09T00:00:00"/>
        <d v="2023-07-22T00:00:00"/>
        <d v="2023-04-26T00:00:00"/>
        <d v="2023-09-02T00:00:00"/>
        <d v="2023-09-21T00:00:00"/>
        <d v="2023-01-07T00:00:00"/>
        <d v="2023-11-01T00:00:00"/>
        <d v="2023-11-04T00:00:00"/>
        <d v="2023-02-28T00:00:00"/>
        <d v="2023-08-30T00:00:00"/>
        <d v="2023-06-22T00:00:00"/>
        <d v="2024-01-01T00:00:00"/>
        <d v="2023-04-13T00:00:00"/>
        <d v="2023-02-22T00:00:00"/>
        <d v="2023-09-10T00:00:00"/>
        <d v="2023-04-29T00:00:00"/>
        <d v="2023-05-12T00:00:00"/>
        <d v="2023-12-24T00:00:00"/>
        <d v="2023-03-30T00:00:00"/>
        <d v="2023-10-20T00:00:00"/>
        <d v="2023-06-04T00:00:00"/>
        <d v="2023-05-10T00:00:00"/>
        <d v="2023-07-01T00:00:00"/>
        <d v="2023-12-04T00:00:00"/>
        <d v="2023-01-26T00:00:00"/>
        <d v="2023-11-09T00:00:00"/>
        <d v="2023-10-14T00:00:00"/>
        <d v="2023-04-22T00:00:00"/>
        <d v="2023-01-10T00:00:00"/>
        <d v="2023-12-31T00:00:00"/>
        <d v="2023-03-01T00:00:00"/>
        <d v="2023-09-18T00:00:00"/>
        <d v="2023-10-04T00:00:00"/>
        <d v="2023-10-25T00:00:00"/>
      </sharedItems>
      <fieldGroup par="19"/>
    </cacheField>
    <cacheField name="City" numFmtId="0">
      <sharedItems count="9">
        <s v="Jaipur"/>
        <s v="Pune"/>
        <s v="Chennai"/>
        <s v="Delhi"/>
        <s v="Ahmedabad"/>
        <s v="Mumbai"/>
        <s v="Bangalore"/>
        <s v="Surat"/>
        <s v="Vadodara"/>
      </sharedItems>
    </cacheField>
    <cacheField name="State" numFmtId="0">
      <sharedItems count="6">
        <s v="Rajasthan"/>
        <s v="Maharashtra"/>
        <s v="Tamil Nadu"/>
        <s v="Delhi"/>
        <s v="Gujarat"/>
        <s v="Karnataka"/>
      </sharedItems>
    </cacheField>
    <cacheField name="Region" numFmtId="0">
      <sharedItems count="4">
        <s v="South"/>
        <s v="East"/>
        <s v="North"/>
        <s v="West"/>
      </sharedItems>
    </cacheField>
    <cacheField name="Category" numFmtId="0">
      <sharedItems count="3">
        <s v="Electronics"/>
        <s v="Furniture"/>
        <s v="Clothing"/>
      </sharedItems>
    </cacheField>
    <cacheField name="Product" numFmtId="0">
      <sharedItems count="9">
        <s v="Mobile"/>
        <s v="Tablet"/>
        <s v="Sofa"/>
        <s v="Table"/>
        <s v="Chair"/>
        <s v="Jeans"/>
        <s v="Shirt"/>
        <s v="Laptop"/>
        <s v="Jacket"/>
      </sharedItems>
    </cacheField>
    <cacheField name="Sales" numFmtId="1">
      <sharedItems containsSemiMixedTypes="0" containsString="0" containsNumber="1" minValue="1072.04" maxValue="555555"/>
    </cacheField>
    <cacheField name="Quantity" numFmtId="0">
      <sharedItems containsSemiMixedTypes="0" containsString="0" containsNumber="1" containsInteger="1" minValue="1" maxValue="10"/>
    </cacheField>
    <cacheField name="Profit" numFmtId="1">
      <sharedItems containsSemiMixedTypes="0" containsString="0" containsNumber="1" minValue="152.43" maxValue="14334.62"/>
    </cacheField>
    <cacheField name="Sales Status" numFmtId="1">
      <sharedItems count="3">
        <s v="Best Sales"/>
        <s v="Average Sales"/>
        <s v="Poor Sales"/>
      </sharedItems>
    </cacheField>
    <cacheField name="Year" numFmtId="1">
      <sharedItems containsSemiMixedTypes="0" containsString="0" containsNumber="1" containsInteger="1" minValue="2023" maxValue="2024" count="2">
        <n v="2023"/>
        <n v="2024"/>
      </sharedItems>
    </cacheField>
    <cacheField name="Month" numFmtId="1">
      <sharedItems containsSemiMixedTypes="0" containsString="0" containsNumber="1" containsInteger="1" minValue="1" maxValue="12" count="12">
        <n v="9"/>
        <n v="12"/>
        <n v="7"/>
        <n v="4"/>
        <n v="3"/>
        <n v="11"/>
        <n v="8"/>
        <n v="6"/>
        <n v="2"/>
        <n v="5"/>
        <n v="10"/>
        <n v="1"/>
      </sharedItems>
    </cacheField>
    <cacheField name="Day" numFmtId="0">
      <sharedItems containsSemiMixedTypes="0" containsString="0" containsNumber="1" containsInteger="1" minValue="1" maxValue="31"/>
    </cacheField>
    <cacheField name="Monthname" numFmtId="0">
      <sharedItems/>
    </cacheField>
    <cacheField name="Sparkline (Lines)" numFmtId="0">
      <sharedItems containsNonDate="0" containsString="0" containsBlank="1"/>
    </cacheField>
    <cacheField name="Sparklines (Column)" numFmtId="0">
      <sharedItems containsNonDate="0" containsString="0" containsBlank="1"/>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9181641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Patel" refreshedDate="46161.786096990741" createdVersion="8" refreshedVersion="8" minRefreshableVersion="3" recordCount="50" xr:uid="{243CED8E-A998-4D23-A142-C9CE586C1B67}">
  <cacheSource type="worksheet">
    <worksheetSource name="Table4"/>
  </cacheSource>
  <cacheFields count="18">
    <cacheField name="Order_ID" numFmtId="0">
      <sharedItems/>
    </cacheField>
    <cacheField name="Order_Date" numFmtId="14">
      <sharedItems containsSemiMixedTypes="0" containsNonDate="0" containsDate="1" containsString="0" minDate="2026-01-03T00:00:00" maxDate="2026-02-21T00:00:00" count="49">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sharedItems>
      <fieldGroup par="17"/>
    </cacheField>
    <cacheField name="Region" numFmtId="0">
      <sharedItems count="4">
        <s v="West"/>
        <s v="North"/>
        <s v="South"/>
        <s v="East"/>
      </sharedItems>
    </cacheField>
    <cacheField name="State" numFmtId="0">
      <sharedItems count="16">
        <s v="Maharashtra"/>
        <s v="Delhi"/>
        <s v="Karnataka"/>
        <s v="Gujarat"/>
        <s v="West Bengal"/>
        <s v="Tamil Nadu"/>
        <s v="Punjab"/>
        <s v="Kerala"/>
        <s v="Odisha"/>
        <s v="Haryana"/>
        <s v="Bihar"/>
        <s v="Assam"/>
        <s v="Uttar Pradesh"/>
        <s v="Telangana"/>
        <s v="Jharkhand"/>
        <s v="Rajasthan"/>
      </sharedItems>
    </cacheField>
    <cacheField name="City" numFmtId="0">
      <sharedItems/>
    </cacheField>
    <cacheField name="Sales_Executive" numFmtId="0">
      <sharedItems count="6">
        <s v="Rahul Sharma"/>
        <s v="Priya Verma"/>
        <s v="Amit Joshi"/>
        <s v="Neha Patel"/>
        <s v="Arjun Das"/>
        <s v="Karan Mehta"/>
      </sharedItems>
    </cacheField>
    <cacheField name="Department" numFmtId="0">
      <sharedItems count="3">
        <s v="Electronics"/>
        <s v="Furniture"/>
        <s v="Clothing"/>
      </sharedItems>
    </cacheField>
    <cacheField name="Product_Name" numFmtId="0">
      <sharedItems count="45">
        <s v="Laptop"/>
        <s v="Office Chair"/>
        <s v="Keyboard"/>
        <s v="T-Shirt"/>
        <s v="Desk"/>
        <s v="Monitor"/>
        <s v="Mouse"/>
        <s v="Jeans"/>
        <s v="Sofa"/>
        <s v="Tablet"/>
        <s v="Jacket"/>
        <s v="Printer"/>
        <s v="Cabinet"/>
        <s v="Shoes"/>
        <s v="Smartphone"/>
        <s v="Table"/>
        <s v="Hoodie"/>
        <s v="Speaker"/>
        <s v="Bookshelf"/>
        <s v="Projector"/>
        <s v="Cap"/>
        <s v="Bed"/>
        <s v="Hard Disk"/>
        <s v="Shirt"/>
        <s v="Smart Watch"/>
        <s v="Wardrobe"/>
        <s v="Blazer"/>
        <s v="Camera"/>
        <s v="TV Unit"/>
        <s v="Earbuds"/>
        <s v="Dining Table"/>
        <s v="Sweater"/>
        <s v="CPU"/>
        <s v="Chair Set"/>
        <s v="Saree"/>
        <s v="Microwave"/>
        <s v="Recliner"/>
        <s v="Power Bank"/>
        <s v="Track Pants"/>
        <s v="Study Table"/>
        <s v="Trousers"/>
        <s v="Cupboard"/>
        <s v="Router"/>
        <s v="Kurta"/>
        <s v="Office Desk"/>
      </sharedItems>
    </cacheField>
    <cacheField name="Customer_Type" numFmtId="0">
      <sharedItems count="2">
        <s v="Retail"/>
        <s v="Corporate"/>
      </sharedItems>
    </cacheField>
    <cacheField name="Quantity" numFmtId="0">
      <sharedItems containsSemiMixedTypes="0" containsString="0" containsNumber="1" containsInteger="1" minValue="1" maxValue="25"/>
    </cacheField>
    <cacheField name="Unit_Price" numFmtId="0">
      <sharedItems containsSemiMixedTypes="0" containsString="0" containsNumber="1" containsInteger="1" minValue="500" maxValue="65000"/>
    </cacheField>
    <cacheField name="Total_Sales" numFmtId="0">
      <sharedItems containsSemiMixedTypes="0" containsString="0" containsNumber="1" containsInteger="1" minValue="10500" maxValue="180000"/>
    </cacheField>
    <cacheField name="Discount_%" numFmtId="0">
      <sharedItems containsSemiMixedTypes="0" containsString="0" containsNumber="1" containsInteger="1" minValue="5" maxValue="15"/>
    </cacheField>
    <cacheField name="Profit" numFmtId="0">
      <sharedItems containsSemiMixedTypes="0" containsString="0" containsNumber="1" containsInteger="1" minValue="2100" maxValue="30000"/>
    </cacheField>
    <cacheField name="Payment_Mode" numFmtId="0">
      <sharedItems count="3">
        <s v="UPI"/>
        <s v="Card"/>
        <s v="Cash"/>
      </sharedItems>
    </cacheField>
    <cacheField name="Delivery_Status" numFmtId="0">
      <sharedItems count="3">
        <s v="Delivered"/>
        <s v="Returned"/>
        <s v="Pending"/>
      </sharedItems>
    </cacheField>
    <cacheField name="Days (Order_Date)" numFmtId="0" databaseField="0">
      <fieldGroup base="1">
        <rangePr groupBy="days" startDate="2026-01-03T00:00:00" endDate="2026-02-21T00:00:00"/>
        <groupItems count="368">
          <s v="&lt;03-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02-2026"/>
        </groupItems>
      </fieldGroup>
    </cacheField>
    <cacheField name="Months (Order_Date)" numFmtId="0" databaseField="0">
      <fieldGroup base="1">
        <rangePr groupBy="months" startDate="2026-01-03T00:00:00" endDate="2026-02-21T00:00:00"/>
        <groupItems count="14">
          <s v="&lt;03-01-2026"/>
          <s v="Jan"/>
          <s v="Feb"/>
          <s v="Mar"/>
          <s v="Apr"/>
          <s v="May"/>
          <s v="Jun"/>
          <s v="Jul"/>
          <s v="Aug"/>
          <s v="Sep"/>
          <s v="Oct"/>
          <s v="Nov"/>
          <s v="Dec"/>
          <s v="&gt;21-02-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n v="46482.46"/>
    <n v="8"/>
    <n v="12648.46"/>
    <x v="0"/>
    <x v="0"/>
    <x v="0"/>
    <n v="28"/>
    <s v="Sep"/>
    <m/>
    <m/>
  </r>
  <r>
    <x v="1"/>
    <x v="1"/>
    <x v="1"/>
    <x v="1"/>
    <x v="1"/>
    <x v="0"/>
    <x v="0"/>
    <n v="47951.42"/>
    <n v="10"/>
    <n v="9869.94"/>
    <x v="0"/>
    <x v="0"/>
    <x v="1"/>
    <n v="14"/>
    <s v="Dec"/>
    <m/>
    <m/>
  </r>
  <r>
    <x v="2"/>
    <x v="2"/>
    <x v="2"/>
    <x v="2"/>
    <x v="2"/>
    <x v="0"/>
    <x v="1"/>
    <n v="24461.75"/>
    <n v="3"/>
    <n v="7086.73"/>
    <x v="1"/>
    <x v="0"/>
    <x v="2"/>
    <n v="29"/>
    <s v="Jul"/>
    <m/>
    <m/>
  </r>
  <r>
    <x v="3"/>
    <x v="3"/>
    <x v="3"/>
    <x v="3"/>
    <x v="3"/>
    <x v="1"/>
    <x v="2"/>
    <n v="11804.18"/>
    <n v="5"/>
    <n v="2281.2199999999998"/>
    <x v="2"/>
    <x v="0"/>
    <x v="3"/>
    <n v="28"/>
    <s v="Apr"/>
    <m/>
    <m/>
  </r>
  <r>
    <x v="4"/>
    <x v="4"/>
    <x v="4"/>
    <x v="4"/>
    <x v="0"/>
    <x v="1"/>
    <x v="3"/>
    <n v="32428.83"/>
    <n v="7"/>
    <n v="6931.45"/>
    <x v="1"/>
    <x v="0"/>
    <x v="0"/>
    <n v="6"/>
    <s v="Sep"/>
    <m/>
    <m/>
  </r>
  <r>
    <x v="5"/>
    <x v="5"/>
    <x v="2"/>
    <x v="2"/>
    <x v="1"/>
    <x v="1"/>
    <x v="4"/>
    <n v="25931.95"/>
    <n v="4"/>
    <n v="1541.8"/>
    <x v="1"/>
    <x v="0"/>
    <x v="4"/>
    <n v="19"/>
    <s v="Mar"/>
    <m/>
    <m/>
  </r>
  <r>
    <x v="6"/>
    <x v="6"/>
    <x v="5"/>
    <x v="1"/>
    <x v="3"/>
    <x v="1"/>
    <x v="2"/>
    <n v="15599.35"/>
    <n v="4"/>
    <n v="2837.29"/>
    <x v="2"/>
    <x v="0"/>
    <x v="5"/>
    <n v="28"/>
    <s v="Nov"/>
    <m/>
    <m/>
  </r>
  <r>
    <x v="7"/>
    <x v="7"/>
    <x v="2"/>
    <x v="2"/>
    <x v="2"/>
    <x v="2"/>
    <x v="5"/>
    <n v="31649"/>
    <n v="5"/>
    <n v="3646.09"/>
    <x v="1"/>
    <x v="0"/>
    <x v="6"/>
    <n v="27"/>
    <s v="Aug"/>
    <m/>
    <m/>
  </r>
  <r>
    <x v="8"/>
    <x v="8"/>
    <x v="1"/>
    <x v="1"/>
    <x v="0"/>
    <x v="1"/>
    <x v="4"/>
    <n v="555555"/>
    <n v="7"/>
    <n v="2025"/>
    <x v="0"/>
    <x v="0"/>
    <x v="3"/>
    <n v="11"/>
    <s v="Apr"/>
    <m/>
    <m/>
  </r>
  <r>
    <x v="9"/>
    <x v="9"/>
    <x v="5"/>
    <x v="1"/>
    <x v="1"/>
    <x v="2"/>
    <x v="6"/>
    <n v="31852.71"/>
    <n v="5"/>
    <n v="9113.66"/>
    <x v="1"/>
    <x v="0"/>
    <x v="7"/>
    <n v="20"/>
    <s v="Jun"/>
    <m/>
    <m/>
  </r>
  <r>
    <x v="10"/>
    <x v="10"/>
    <x v="3"/>
    <x v="3"/>
    <x v="3"/>
    <x v="2"/>
    <x v="5"/>
    <n v="46127.15"/>
    <n v="7"/>
    <n v="12556.39"/>
    <x v="0"/>
    <x v="0"/>
    <x v="1"/>
    <n v="12"/>
    <s v="Dec"/>
    <m/>
    <m/>
  </r>
  <r>
    <x v="11"/>
    <x v="11"/>
    <x v="2"/>
    <x v="2"/>
    <x v="2"/>
    <x v="0"/>
    <x v="7"/>
    <n v="16045.71"/>
    <n v="10"/>
    <n v="921.15"/>
    <x v="2"/>
    <x v="0"/>
    <x v="2"/>
    <n v="16"/>
    <s v="Jul"/>
    <m/>
    <m/>
  </r>
  <r>
    <x v="12"/>
    <x v="5"/>
    <x v="6"/>
    <x v="5"/>
    <x v="2"/>
    <x v="2"/>
    <x v="5"/>
    <n v="17293.28"/>
    <n v="3"/>
    <n v="3755.05"/>
    <x v="2"/>
    <x v="0"/>
    <x v="4"/>
    <n v="19"/>
    <s v="Mar"/>
    <m/>
    <m/>
  </r>
  <r>
    <x v="13"/>
    <x v="12"/>
    <x v="7"/>
    <x v="4"/>
    <x v="0"/>
    <x v="0"/>
    <x v="7"/>
    <n v="34137.550000000003"/>
    <n v="4"/>
    <n v="1912.63"/>
    <x v="1"/>
    <x v="0"/>
    <x v="1"/>
    <n v="18"/>
    <s v="Dec"/>
    <m/>
    <m/>
  </r>
  <r>
    <x v="14"/>
    <x v="13"/>
    <x v="8"/>
    <x v="4"/>
    <x v="1"/>
    <x v="1"/>
    <x v="4"/>
    <n v="37166.230000000003"/>
    <n v="9"/>
    <n v="4660.25"/>
    <x v="1"/>
    <x v="0"/>
    <x v="8"/>
    <n v="9"/>
    <s v="Feb"/>
    <m/>
    <m/>
  </r>
  <r>
    <x v="15"/>
    <x v="14"/>
    <x v="8"/>
    <x v="4"/>
    <x v="1"/>
    <x v="0"/>
    <x v="1"/>
    <n v="7067.15"/>
    <n v="10"/>
    <n v="959.24"/>
    <x v="2"/>
    <x v="0"/>
    <x v="4"/>
    <n v="16"/>
    <s v="Mar"/>
    <m/>
    <m/>
  </r>
  <r>
    <x v="16"/>
    <x v="15"/>
    <x v="1"/>
    <x v="1"/>
    <x v="1"/>
    <x v="2"/>
    <x v="6"/>
    <n v="28440.25"/>
    <n v="7"/>
    <n v="8317.2999999999993"/>
    <x v="1"/>
    <x v="0"/>
    <x v="2"/>
    <n v="12"/>
    <s v="Jul"/>
    <m/>
    <m/>
  </r>
  <r>
    <x v="17"/>
    <x v="16"/>
    <x v="3"/>
    <x v="3"/>
    <x v="1"/>
    <x v="0"/>
    <x v="7"/>
    <n v="4336.55"/>
    <n v="10"/>
    <n v="883.82"/>
    <x v="2"/>
    <x v="0"/>
    <x v="5"/>
    <n v="29"/>
    <s v="Nov"/>
    <m/>
    <m/>
  </r>
  <r>
    <x v="18"/>
    <x v="17"/>
    <x v="3"/>
    <x v="3"/>
    <x v="1"/>
    <x v="0"/>
    <x v="0"/>
    <n v="1239.49"/>
    <n v="4"/>
    <n v="278.37"/>
    <x v="2"/>
    <x v="0"/>
    <x v="1"/>
    <n v="22"/>
    <s v="Dec"/>
    <m/>
    <m/>
  </r>
  <r>
    <x v="19"/>
    <x v="18"/>
    <x v="4"/>
    <x v="4"/>
    <x v="1"/>
    <x v="1"/>
    <x v="2"/>
    <n v="12013.15"/>
    <n v="7"/>
    <n v="968.92"/>
    <x v="2"/>
    <x v="0"/>
    <x v="4"/>
    <n v="18"/>
    <s v="Mar"/>
    <m/>
    <m/>
  </r>
  <r>
    <x v="20"/>
    <x v="19"/>
    <x v="0"/>
    <x v="0"/>
    <x v="1"/>
    <x v="2"/>
    <x v="8"/>
    <n v="43252.06"/>
    <n v="10"/>
    <n v="8949.06"/>
    <x v="0"/>
    <x v="0"/>
    <x v="8"/>
    <n v="15"/>
    <s v="Feb"/>
    <m/>
    <m/>
  </r>
  <r>
    <x v="21"/>
    <x v="4"/>
    <x v="4"/>
    <x v="4"/>
    <x v="1"/>
    <x v="1"/>
    <x v="4"/>
    <n v="13136.74"/>
    <n v="10"/>
    <n v="2907.53"/>
    <x v="2"/>
    <x v="0"/>
    <x v="0"/>
    <n v="6"/>
    <s v="Sep"/>
    <m/>
    <m/>
  </r>
  <r>
    <x v="22"/>
    <x v="20"/>
    <x v="4"/>
    <x v="4"/>
    <x v="2"/>
    <x v="2"/>
    <x v="8"/>
    <n v="35956.54"/>
    <n v="1"/>
    <n v="6308.41"/>
    <x v="1"/>
    <x v="0"/>
    <x v="5"/>
    <n v="30"/>
    <s v="Nov"/>
    <m/>
    <m/>
  </r>
  <r>
    <x v="23"/>
    <x v="21"/>
    <x v="2"/>
    <x v="2"/>
    <x v="2"/>
    <x v="2"/>
    <x v="6"/>
    <n v="36894.9"/>
    <n v="5"/>
    <n v="10265.879999999999"/>
    <x v="1"/>
    <x v="0"/>
    <x v="7"/>
    <n v="26"/>
    <s v="Jun"/>
    <m/>
    <m/>
  </r>
  <r>
    <x v="24"/>
    <x v="22"/>
    <x v="6"/>
    <x v="5"/>
    <x v="0"/>
    <x v="0"/>
    <x v="7"/>
    <n v="36393.839999999997"/>
    <n v="2"/>
    <n v="4029.33"/>
    <x v="1"/>
    <x v="0"/>
    <x v="0"/>
    <n v="7"/>
    <s v="Sep"/>
    <m/>
    <m/>
  </r>
  <r>
    <x v="25"/>
    <x v="23"/>
    <x v="4"/>
    <x v="4"/>
    <x v="0"/>
    <x v="1"/>
    <x v="4"/>
    <n v="18244.080000000002"/>
    <n v="10"/>
    <n v="1308.29"/>
    <x v="2"/>
    <x v="0"/>
    <x v="6"/>
    <n v="15"/>
    <s v="Aug"/>
    <m/>
    <m/>
  </r>
  <r>
    <x v="26"/>
    <x v="24"/>
    <x v="2"/>
    <x v="2"/>
    <x v="0"/>
    <x v="1"/>
    <x v="2"/>
    <n v="39573.279999999999"/>
    <n v="7"/>
    <n v="6877.16"/>
    <x v="1"/>
    <x v="0"/>
    <x v="9"/>
    <n v="4"/>
    <s v="May"/>
    <m/>
    <m/>
  </r>
  <r>
    <x v="27"/>
    <x v="25"/>
    <x v="7"/>
    <x v="4"/>
    <x v="0"/>
    <x v="1"/>
    <x v="2"/>
    <n v="16112.12"/>
    <n v="2"/>
    <n v="2614.2399999999998"/>
    <x v="2"/>
    <x v="0"/>
    <x v="8"/>
    <n v="11"/>
    <s v="Feb"/>
    <m/>
    <m/>
  </r>
  <r>
    <x v="28"/>
    <x v="26"/>
    <x v="2"/>
    <x v="2"/>
    <x v="0"/>
    <x v="0"/>
    <x v="0"/>
    <n v="17197.509999999998"/>
    <n v="3"/>
    <n v="1675.41"/>
    <x v="2"/>
    <x v="0"/>
    <x v="6"/>
    <n v="28"/>
    <s v="Aug"/>
    <m/>
    <m/>
  </r>
  <r>
    <x v="29"/>
    <x v="27"/>
    <x v="5"/>
    <x v="1"/>
    <x v="0"/>
    <x v="2"/>
    <x v="8"/>
    <n v="40062.949999999997"/>
    <n v="5"/>
    <n v="11536.21"/>
    <x v="0"/>
    <x v="0"/>
    <x v="4"/>
    <n v="10"/>
    <s v="Mar"/>
    <m/>
    <m/>
  </r>
  <r>
    <x v="30"/>
    <x v="28"/>
    <x v="1"/>
    <x v="1"/>
    <x v="0"/>
    <x v="1"/>
    <x v="2"/>
    <n v="30699.4"/>
    <n v="2"/>
    <n v="5821.81"/>
    <x v="1"/>
    <x v="0"/>
    <x v="10"/>
    <n v="18"/>
    <s v="Oct"/>
    <m/>
    <m/>
  </r>
  <r>
    <x v="31"/>
    <x v="29"/>
    <x v="3"/>
    <x v="3"/>
    <x v="0"/>
    <x v="2"/>
    <x v="5"/>
    <n v="46798.46"/>
    <n v="8"/>
    <n v="12650.58"/>
    <x v="0"/>
    <x v="0"/>
    <x v="2"/>
    <n v="20"/>
    <s v="Jul"/>
    <m/>
    <m/>
  </r>
  <r>
    <x v="32"/>
    <x v="30"/>
    <x v="5"/>
    <x v="1"/>
    <x v="0"/>
    <x v="1"/>
    <x v="3"/>
    <n v="18545.72"/>
    <n v="9"/>
    <n v="3893.71"/>
    <x v="2"/>
    <x v="0"/>
    <x v="4"/>
    <n v="20"/>
    <s v="Mar"/>
    <m/>
    <m/>
  </r>
  <r>
    <x v="33"/>
    <x v="9"/>
    <x v="1"/>
    <x v="1"/>
    <x v="0"/>
    <x v="1"/>
    <x v="2"/>
    <n v="47078.67"/>
    <n v="4"/>
    <n v="5416.29"/>
    <x v="0"/>
    <x v="0"/>
    <x v="7"/>
    <n v="20"/>
    <s v="Jun"/>
    <m/>
    <m/>
  </r>
  <r>
    <x v="34"/>
    <x v="31"/>
    <x v="7"/>
    <x v="4"/>
    <x v="0"/>
    <x v="0"/>
    <x v="1"/>
    <n v="45410.16"/>
    <n v="2"/>
    <n v="6601.61"/>
    <x v="0"/>
    <x v="0"/>
    <x v="8"/>
    <n v="26"/>
    <s v="Feb"/>
    <m/>
    <m/>
  </r>
  <r>
    <x v="35"/>
    <x v="32"/>
    <x v="2"/>
    <x v="2"/>
    <x v="0"/>
    <x v="2"/>
    <x v="5"/>
    <n v="8022.9"/>
    <n v="9"/>
    <n v="1118.83"/>
    <x v="2"/>
    <x v="0"/>
    <x v="7"/>
    <n v="6"/>
    <s v="Jun"/>
    <m/>
    <m/>
  </r>
  <r>
    <x v="36"/>
    <x v="33"/>
    <x v="1"/>
    <x v="1"/>
    <x v="0"/>
    <x v="0"/>
    <x v="7"/>
    <n v="34478.959999999999"/>
    <n v="5"/>
    <n v="4118.41"/>
    <x v="1"/>
    <x v="0"/>
    <x v="3"/>
    <n v="23"/>
    <s v="Apr"/>
    <m/>
    <m/>
  </r>
  <r>
    <x v="37"/>
    <x v="34"/>
    <x v="2"/>
    <x v="2"/>
    <x v="0"/>
    <x v="2"/>
    <x v="6"/>
    <n v="34640.65"/>
    <n v="10"/>
    <n v="9567.4500000000007"/>
    <x v="1"/>
    <x v="0"/>
    <x v="5"/>
    <n v="17"/>
    <s v="Nov"/>
    <m/>
    <m/>
  </r>
  <r>
    <x v="38"/>
    <x v="35"/>
    <x v="4"/>
    <x v="4"/>
    <x v="0"/>
    <x v="0"/>
    <x v="7"/>
    <n v="3218.7"/>
    <n v="3"/>
    <n v="572.08000000000004"/>
    <x v="2"/>
    <x v="0"/>
    <x v="11"/>
    <n v="15"/>
    <s v="Jan"/>
    <m/>
    <m/>
  </r>
  <r>
    <x v="39"/>
    <x v="35"/>
    <x v="3"/>
    <x v="3"/>
    <x v="0"/>
    <x v="2"/>
    <x v="6"/>
    <n v="28642.2"/>
    <n v="5"/>
    <n v="2312.54"/>
    <x v="1"/>
    <x v="0"/>
    <x v="11"/>
    <n v="15"/>
    <s v="Jan"/>
    <m/>
    <m/>
  </r>
  <r>
    <x v="40"/>
    <x v="36"/>
    <x v="1"/>
    <x v="1"/>
    <x v="0"/>
    <x v="0"/>
    <x v="0"/>
    <n v="30927.86"/>
    <n v="10"/>
    <n v="8460.2199999999993"/>
    <x v="1"/>
    <x v="0"/>
    <x v="5"/>
    <n v="8"/>
    <s v="Nov"/>
    <m/>
    <m/>
  </r>
  <r>
    <x v="41"/>
    <x v="37"/>
    <x v="0"/>
    <x v="0"/>
    <x v="0"/>
    <x v="2"/>
    <x v="5"/>
    <n v="32426.75"/>
    <n v="7"/>
    <n v="8518.11"/>
    <x v="1"/>
    <x v="0"/>
    <x v="6"/>
    <n v="5"/>
    <s v="Aug"/>
    <m/>
    <m/>
  </r>
  <r>
    <x v="42"/>
    <x v="38"/>
    <x v="8"/>
    <x v="4"/>
    <x v="2"/>
    <x v="2"/>
    <x v="8"/>
    <n v="19643.03"/>
    <n v="5"/>
    <n v="2911.87"/>
    <x v="2"/>
    <x v="0"/>
    <x v="1"/>
    <n v="23"/>
    <s v="Dec"/>
    <m/>
    <m/>
  </r>
  <r>
    <x v="43"/>
    <x v="39"/>
    <x v="4"/>
    <x v="4"/>
    <x v="2"/>
    <x v="0"/>
    <x v="7"/>
    <n v="46031.41"/>
    <n v="10"/>
    <n v="12190.44"/>
    <x v="0"/>
    <x v="0"/>
    <x v="8"/>
    <n v="24"/>
    <s v="Feb"/>
    <m/>
    <m/>
  </r>
  <r>
    <x v="44"/>
    <x v="40"/>
    <x v="3"/>
    <x v="3"/>
    <x v="2"/>
    <x v="0"/>
    <x v="1"/>
    <n v="10312.469999999999"/>
    <n v="3"/>
    <n v="917.6"/>
    <x v="2"/>
    <x v="0"/>
    <x v="8"/>
    <n v="10"/>
    <s v="Feb"/>
    <m/>
    <m/>
  </r>
  <r>
    <x v="45"/>
    <x v="41"/>
    <x v="7"/>
    <x v="4"/>
    <x v="2"/>
    <x v="1"/>
    <x v="3"/>
    <n v="6582.1"/>
    <n v="1"/>
    <n v="1867.37"/>
    <x v="2"/>
    <x v="0"/>
    <x v="1"/>
    <n v="28"/>
    <s v="Dec"/>
    <m/>
    <m/>
  </r>
  <r>
    <x v="46"/>
    <x v="42"/>
    <x v="1"/>
    <x v="1"/>
    <x v="2"/>
    <x v="2"/>
    <x v="8"/>
    <n v="3134.95"/>
    <n v="8"/>
    <n v="371.46"/>
    <x v="2"/>
    <x v="0"/>
    <x v="6"/>
    <n v="17"/>
    <s v="Aug"/>
    <m/>
    <m/>
  </r>
  <r>
    <x v="47"/>
    <x v="43"/>
    <x v="2"/>
    <x v="2"/>
    <x v="2"/>
    <x v="2"/>
    <x v="8"/>
    <n v="43738.86"/>
    <n v="4"/>
    <n v="5140.59"/>
    <x v="0"/>
    <x v="0"/>
    <x v="5"/>
    <n v="22"/>
    <s v="Nov"/>
    <m/>
    <m/>
  </r>
  <r>
    <x v="48"/>
    <x v="44"/>
    <x v="8"/>
    <x v="4"/>
    <x v="2"/>
    <x v="1"/>
    <x v="4"/>
    <n v="17707.400000000001"/>
    <n v="10"/>
    <n v="2970.2"/>
    <x v="2"/>
    <x v="0"/>
    <x v="10"/>
    <n v="30"/>
    <s v="Oct"/>
    <m/>
    <m/>
  </r>
  <r>
    <x v="49"/>
    <x v="45"/>
    <x v="1"/>
    <x v="1"/>
    <x v="2"/>
    <x v="2"/>
    <x v="8"/>
    <n v="7789.2"/>
    <n v="1"/>
    <n v="1011.85"/>
    <x v="2"/>
    <x v="0"/>
    <x v="10"/>
    <n v="23"/>
    <s v="Oct"/>
    <m/>
    <m/>
  </r>
  <r>
    <x v="50"/>
    <x v="46"/>
    <x v="2"/>
    <x v="2"/>
    <x v="2"/>
    <x v="2"/>
    <x v="6"/>
    <n v="18333.759999999998"/>
    <n v="7"/>
    <n v="4255.3900000000003"/>
    <x v="2"/>
    <x v="0"/>
    <x v="1"/>
    <n v="10"/>
    <s v="Dec"/>
    <m/>
    <m/>
  </r>
  <r>
    <x v="51"/>
    <x v="47"/>
    <x v="1"/>
    <x v="1"/>
    <x v="2"/>
    <x v="2"/>
    <x v="8"/>
    <n v="29916.02"/>
    <n v="1"/>
    <n v="6067.18"/>
    <x v="1"/>
    <x v="0"/>
    <x v="3"/>
    <n v="25"/>
    <s v="Apr"/>
    <m/>
    <m/>
  </r>
  <r>
    <x v="52"/>
    <x v="37"/>
    <x v="1"/>
    <x v="1"/>
    <x v="2"/>
    <x v="0"/>
    <x v="0"/>
    <n v="40222.480000000003"/>
    <n v="5"/>
    <n v="8031.61"/>
    <x v="0"/>
    <x v="0"/>
    <x v="6"/>
    <n v="5"/>
    <s v="Aug"/>
    <m/>
    <m/>
  </r>
  <r>
    <x v="53"/>
    <x v="48"/>
    <x v="6"/>
    <x v="5"/>
    <x v="3"/>
    <x v="0"/>
    <x v="0"/>
    <n v="28351.119999999999"/>
    <n v="2"/>
    <n v="7580.92"/>
    <x v="1"/>
    <x v="0"/>
    <x v="6"/>
    <n v="10"/>
    <s v="Aug"/>
    <m/>
    <m/>
  </r>
  <r>
    <x v="54"/>
    <x v="49"/>
    <x v="5"/>
    <x v="1"/>
    <x v="3"/>
    <x v="2"/>
    <x v="5"/>
    <n v="26706.3"/>
    <n v="5"/>
    <n v="3028.14"/>
    <x v="1"/>
    <x v="0"/>
    <x v="8"/>
    <n v="23"/>
    <s v="Feb"/>
    <m/>
    <m/>
  </r>
  <r>
    <x v="55"/>
    <x v="50"/>
    <x v="0"/>
    <x v="0"/>
    <x v="3"/>
    <x v="0"/>
    <x v="7"/>
    <n v="5030.05"/>
    <n v="3"/>
    <n v="1411.28"/>
    <x v="2"/>
    <x v="0"/>
    <x v="9"/>
    <n v="22"/>
    <s v="May"/>
    <m/>
    <m/>
  </r>
  <r>
    <x v="56"/>
    <x v="51"/>
    <x v="5"/>
    <x v="1"/>
    <x v="3"/>
    <x v="0"/>
    <x v="1"/>
    <n v="36606.480000000003"/>
    <n v="1"/>
    <n v="5249.58"/>
    <x v="1"/>
    <x v="0"/>
    <x v="4"/>
    <n v="21"/>
    <s v="Mar"/>
    <m/>
    <m/>
  </r>
  <r>
    <x v="57"/>
    <x v="52"/>
    <x v="1"/>
    <x v="1"/>
    <x v="3"/>
    <x v="0"/>
    <x v="0"/>
    <n v="30254.94"/>
    <n v="3"/>
    <n v="5950.99"/>
    <x v="1"/>
    <x v="0"/>
    <x v="11"/>
    <n v="20"/>
    <s v="Jan"/>
    <m/>
    <m/>
  </r>
  <r>
    <x v="58"/>
    <x v="53"/>
    <x v="5"/>
    <x v="1"/>
    <x v="3"/>
    <x v="2"/>
    <x v="8"/>
    <n v="43019.7"/>
    <n v="4"/>
    <n v="9540.3799999999992"/>
    <x v="0"/>
    <x v="0"/>
    <x v="9"/>
    <n v="19"/>
    <s v="May"/>
    <m/>
    <m/>
  </r>
  <r>
    <x v="59"/>
    <x v="54"/>
    <x v="8"/>
    <x v="4"/>
    <x v="3"/>
    <x v="0"/>
    <x v="1"/>
    <n v="3020.57"/>
    <n v="7"/>
    <n v="762.12"/>
    <x v="2"/>
    <x v="0"/>
    <x v="8"/>
    <n v="20"/>
    <s v="Feb"/>
    <m/>
    <m/>
  </r>
  <r>
    <x v="60"/>
    <x v="55"/>
    <x v="3"/>
    <x v="3"/>
    <x v="3"/>
    <x v="0"/>
    <x v="0"/>
    <n v="29105.97"/>
    <n v="7"/>
    <n v="7986.26"/>
    <x v="1"/>
    <x v="0"/>
    <x v="4"/>
    <n v="7"/>
    <s v="Mar"/>
    <m/>
    <m/>
  </r>
  <r>
    <x v="61"/>
    <x v="56"/>
    <x v="2"/>
    <x v="2"/>
    <x v="3"/>
    <x v="0"/>
    <x v="1"/>
    <n v="42202.76"/>
    <n v="10"/>
    <n v="5345.77"/>
    <x v="0"/>
    <x v="0"/>
    <x v="4"/>
    <n v="2"/>
    <s v="Mar"/>
    <m/>
    <m/>
  </r>
  <r>
    <x v="62"/>
    <x v="57"/>
    <x v="1"/>
    <x v="1"/>
    <x v="3"/>
    <x v="2"/>
    <x v="6"/>
    <n v="16484.55"/>
    <n v="9"/>
    <n v="1351"/>
    <x v="2"/>
    <x v="0"/>
    <x v="2"/>
    <n v="19"/>
    <s v="Jul"/>
    <m/>
    <m/>
  </r>
  <r>
    <x v="63"/>
    <x v="58"/>
    <x v="1"/>
    <x v="1"/>
    <x v="3"/>
    <x v="1"/>
    <x v="3"/>
    <n v="48949.84"/>
    <n v="9"/>
    <n v="10667.27"/>
    <x v="0"/>
    <x v="0"/>
    <x v="10"/>
    <n v="17"/>
    <s v="Oct"/>
    <m/>
    <m/>
  </r>
  <r>
    <x v="64"/>
    <x v="59"/>
    <x v="5"/>
    <x v="1"/>
    <x v="3"/>
    <x v="1"/>
    <x v="3"/>
    <n v="19183.52"/>
    <n v="5"/>
    <n v="2804.51"/>
    <x v="2"/>
    <x v="0"/>
    <x v="0"/>
    <n v="4"/>
    <s v="Sep"/>
    <m/>
    <m/>
  </r>
  <r>
    <x v="65"/>
    <x v="60"/>
    <x v="3"/>
    <x v="3"/>
    <x v="3"/>
    <x v="0"/>
    <x v="7"/>
    <n v="25834.9"/>
    <n v="2"/>
    <n v="6880.51"/>
    <x v="1"/>
    <x v="0"/>
    <x v="6"/>
    <n v="25"/>
    <s v="Aug"/>
    <m/>
    <m/>
  </r>
  <r>
    <x v="66"/>
    <x v="61"/>
    <x v="3"/>
    <x v="3"/>
    <x v="0"/>
    <x v="0"/>
    <x v="7"/>
    <n v="37162.660000000003"/>
    <n v="8"/>
    <n v="5652.71"/>
    <x v="1"/>
    <x v="0"/>
    <x v="11"/>
    <n v="4"/>
    <s v="Jan"/>
    <m/>
    <m/>
  </r>
  <r>
    <x v="67"/>
    <x v="62"/>
    <x v="5"/>
    <x v="1"/>
    <x v="1"/>
    <x v="1"/>
    <x v="2"/>
    <n v="28938.6"/>
    <n v="10"/>
    <n v="7700.06"/>
    <x v="1"/>
    <x v="0"/>
    <x v="7"/>
    <n v="21"/>
    <s v="Jun"/>
    <m/>
    <m/>
  </r>
  <r>
    <x v="68"/>
    <x v="63"/>
    <x v="8"/>
    <x v="4"/>
    <x v="1"/>
    <x v="1"/>
    <x v="2"/>
    <n v="10690.45"/>
    <n v="5"/>
    <n v="2992.24"/>
    <x v="2"/>
    <x v="0"/>
    <x v="1"/>
    <n v="8"/>
    <s v="Dec"/>
    <m/>
    <m/>
  </r>
  <r>
    <x v="69"/>
    <x v="64"/>
    <x v="3"/>
    <x v="3"/>
    <x v="0"/>
    <x v="2"/>
    <x v="8"/>
    <n v="4383.75"/>
    <n v="1"/>
    <n v="918.46"/>
    <x v="2"/>
    <x v="0"/>
    <x v="2"/>
    <n v="30"/>
    <s v="Jul"/>
    <m/>
    <m/>
  </r>
  <r>
    <x v="70"/>
    <x v="65"/>
    <x v="5"/>
    <x v="1"/>
    <x v="0"/>
    <x v="0"/>
    <x v="1"/>
    <n v="23844.99"/>
    <n v="5"/>
    <n v="2367.61"/>
    <x v="1"/>
    <x v="0"/>
    <x v="5"/>
    <n v="27"/>
    <s v="Nov"/>
    <m/>
    <m/>
  </r>
  <r>
    <x v="71"/>
    <x v="66"/>
    <x v="1"/>
    <x v="1"/>
    <x v="1"/>
    <x v="1"/>
    <x v="4"/>
    <n v="48504.77"/>
    <n v="10"/>
    <n v="8679.41"/>
    <x v="0"/>
    <x v="0"/>
    <x v="10"/>
    <n v="15"/>
    <s v="Oct"/>
    <m/>
    <m/>
  </r>
  <r>
    <x v="72"/>
    <x v="67"/>
    <x v="7"/>
    <x v="4"/>
    <x v="0"/>
    <x v="2"/>
    <x v="5"/>
    <n v="10052.780000000001"/>
    <n v="8"/>
    <n v="2293.2600000000002"/>
    <x v="2"/>
    <x v="0"/>
    <x v="9"/>
    <n v="7"/>
    <s v="May"/>
    <m/>
    <m/>
  </r>
  <r>
    <x v="73"/>
    <x v="68"/>
    <x v="7"/>
    <x v="4"/>
    <x v="1"/>
    <x v="0"/>
    <x v="7"/>
    <n v="47147.42"/>
    <n v="6"/>
    <n v="9546.64"/>
    <x v="0"/>
    <x v="0"/>
    <x v="8"/>
    <n v="7"/>
    <s v="Feb"/>
    <m/>
    <m/>
  </r>
  <r>
    <x v="74"/>
    <x v="69"/>
    <x v="7"/>
    <x v="4"/>
    <x v="2"/>
    <x v="0"/>
    <x v="0"/>
    <n v="35496.660000000003"/>
    <n v="8"/>
    <n v="8170.12"/>
    <x v="1"/>
    <x v="0"/>
    <x v="2"/>
    <n v="2"/>
    <s v="Jul"/>
    <m/>
    <m/>
  </r>
  <r>
    <x v="75"/>
    <x v="1"/>
    <x v="6"/>
    <x v="5"/>
    <x v="2"/>
    <x v="0"/>
    <x v="7"/>
    <n v="33753.199999999997"/>
    <n v="9"/>
    <n v="4284.71"/>
    <x v="1"/>
    <x v="0"/>
    <x v="1"/>
    <n v="14"/>
    <s v="Dec"/>
    <m/>
    <m/>
  </r>
  <r>
    <x v="76"/>
    <x v="70"/>
    <x v="6"/>
    <x v="5"/>
    <x v="2"/>
    <x v="2"/>
    <x v="8"/>
    <n v="7488.8"/>
    <n v="5"/>
    <n v="2208.5100000000002"/>
    <x v="2"/>
    <x v="0"/>
    <x v="10"/>
    <n v="29"/>
    <s v="Oct"/>
    <m/>
    <m/>
  </r>
  <r>
    <x v="77"/>
    <x v="71"/>
    <x v="3"/>
    <x v="3"/>
    <x v="2"/>
    <x v="0"/>
    <x v="7"/>
    <n v="41949.599999999999"/>
    <n v="1"/>
    <n v="2775.01"/>
    <x v="0"/>
    <x v="0"/>
    <x v="2"/>
    <n v="28"/>
    <s v="Jul"/>
    <m/>
    <m/>
  </r>
  <r>
    <x v="78"/>
    <x v="72"/>
    <x v="4"/>
    <x v="4"/>
    <x v="2"/>
    <x v="1"/>
    <x v="4"/>
    <n v="34219.17"/>
    <n v="5"/>
    <n v="6904.79"/>
    <x v="1"/>
    <x v="0"/>
    <x v="4"/>
    <n v="23"/>
    <s v="Mar"/>
    <m/>
    <m/>
  </r>
  <r>
    <x v="79"/>
    <x v="73"/>
    <x v="5"/>
    <x v="1"/>
    <x v="2"/>
    <x v="0"/>
    <x v="1"/>
    <n v="18981.490000000002"/>
    <n v="2"/>
    <n v="4601.25"/>
    <x v="2"/>
    <x v="0"/>
    <x v="9"/>
    <n v="11"/>
    <s v="May"/>
    <m/>
    <m/>
  </r>
  <r>
    <x v="80"/>
    <x v="74"/>
    <x v="8"/>
    <x v="4"/>
    <x v="2"/>
    <x v="0"/>
    <x v="7"/>
    <n v="13262.03"/>
    <n v="3"/>
    <n v="1704.76"/>
    <x v="2"/>
    <x v="0"/>
    <x v="9"/>
    <n v="28"/>
    <s v="May"/>
    <m/>
    <m/>
  </r>
  <r>
    <x v="81"/>
    <x v="75"/>
    <x v="5"/>
    <x v="1"/>
    <x v="2"/>
    <x v="2"/>
    <x v="6"/>
    <n v="28533.71"/>
    <n v="7"/>
    <n v="5376.75"/>
    <x v="1"/>
    <x v="0"/>
    <x v="4"/>
    <n v="22"/>
    <s v="Mar"/>
    <m/>
    <m/>
  </r>
  <r>
    <x v="82"/>
    <x v="53"/>
    <x v="8"/>
    <x v="4"/>
    <x v="2"/>
    <x v="2"/>
    <x v="5"/>
    <n v="23050.22"/>
    <n v="9"/>
    <n v="3097.82"/>
    <x v="1"/>
    <x v="0"/>
    <x v="9"/>
    <n v="19"/>
    <s v="May"/>
    <m/>
    <m/>
  </r>
  <r>
    <x v="83"/>
    <x v="32"/>
    <x v="3"/>
    <x v="3"/>
    <x v="2"/>
    <x v="0"/>
    <x v="7"/>
    <n v="5628.94"/>
    <n v="10"/>
    <n v="502.11"/>
    <x v="2"/>
    <x v="0"/>
    <x v="7"/>
    <n v="6"/>
    <s v="Jun"/>
    <m/>
    <m/>
  </r>
  <r>
    <x v="84"/>
    <x v="76"/>
    <x v="4"/>
    <x v="4"/>
    <x v="2"/>
    <x v="0"/>
    <x v="7"/>
    <n v="24580.28"/>
    <n v="4"/>
    <n v="4569.32"/>
    <x v="1"/>
    <x v="0"/>
    <x v="7"/>
    <n v="17"/>
    <s v="Jun"/>
    <m/>
    <m/>
  </r>
  <r>
    <x v="85"/>
    <x v="77"/>
    <x v="1"/>
    <x v="1"/>
    <x v="2"/>
    <x v="2"/>
    <x v="6"/>
    <n v="5581.58"/>
    <n v="4"/>
    <n v="1382.81"/>
    <x v="2"/>
    <x v="0"/>
    <x v="6"/>
    <n v="29"/>
    <s v="Aug"/>
    <m/>
    <m/>
  </r>
  <r>
    <x v="86"/>
    <x v="78"/>
    <x v="8"/>
    <x v="4"/>
    <x v="2"/>
    <x v="1"/>
    <x v="3"/>
    <n v="42628.71"/>
    <n v="2"/>
    <n v="12647.05"/>
    <x v="0"/>
    <x v="0"/>
    <x v="0"/>
    <n v="11"/>
    <s v="Sep"/>
    <m/>
    <m/>
  </r>
  <r>
    <x v="87"/>
    <x v="79"/>
    <x v="4"/>
    <x v="4"/>
    <x v="2"/>
    <x v="1"/>
    <x v="2"/>
    <n v="36936.449999999997"/>
    <n v="1"/>
    <n v="1871.1"/>
    <x v="1"/>
    <x v="0"/>
    <x v="3"/>
    <n v="10"/>
    <s v="Apr"/>
    <m/>
    <m/>
  </r>
  <r>
    <x v="88"/>
    <x v="80"/>
    <x v="0"/>
    <x v="0"/>
    <x v="2"/>
    <x v="0"/>
    <x v="7"/>
    <n v="49161.73"/>
    <n v="4"/>
    <n v="11453.36"/>
    <x v="0"/>
    <x v="0"/>
    <x v="6"/>
    <n v="16"/>
    <s v="Aug"/>
    <m/>
    <m/>
  </r>
  <r>
    <x v="89"/>
    <x v="81"/>
    <x v="2"/>
    <x v="2"/>
    <x v="2"/>
    <x v="1"/>
    <x v="3"/>
    <n v="2971.97"/>
    <n v="4"/>
    <n v="387.64"/>
    <x v="2"/>
    <x v="0"/>
    <x v="5"/>
    <n v="26"/>
    <s v="Nov"/>
    <m/>
    <m/>
  </r>
  <r>
    <x v="90"/>
    <x v="82"/>
    <x v="4"/>
    <x v="4"/>
    <x v="2"/>
    <x v="2"/>
    <x v="6"/>
    <n v="45280.43"/>
    <n v="8"/>
    <n v="5426.84"/>
    <x v="0"/>
    <x v="0"/>
    <x v="10"/>
    <n v="22"/>
    <s v="Oct"/>
    <m/>
    <m/>
  </r>
  <r>
    <x v="91"/>
    <x v="83"/>
    <x v="3"/>
    <x v="3"/>
    <x v="2"/>
    <x v="0"/>
    <x v="0"/>
    <n v="15117.73"/>
    <n v="1"/>
    <n v="3245"/>
    <x v="2"/>
    <x v="0"/>
    <x v="11"/>
    <n v="30"/>
    <s v="Jan"/>
    <m/>
    <m/>
  </r>
  <r>
    <x v="92"/>
    <x v="84"/>
    <x v="1"/>
    <x v="1"/>
    <x v="2"/>
    <x v="2"/>
    <x v="8"/>
    <n v="17343.349999999999"/>
    <n v="4"/>
    <n v="3930.83"/>
    <x v="2"/>
    <x v="0"/>
    <x v="10"/>
    <n v="12"/>
    <s v="Oct"/>
    <m/>
    <m/>
  </r>
  <r>
    <x v="93"/>
    <x v="85"/>
    <x v="8"/>
    <x v="4"/>
    <x v="2"/>
    <x v="0"/>
    <x v="7"/>
    <n v="20412.259999999998"/>
    <n v="9"/>
    <n v="4042.76"/>
    <x v="1"/>
    <x v="0"/>
    <x v="7"/>
    <n v="3"/>
    <s v="Jun"/>
    <m/>
    <m/>
  </r>
  <r>
    <x v="94"/>
    <x v="86"/>
    <x v="0"/>
    <x v="0"/>
    <x v="2"/>
    <x v="2"/>
    <x v="6"/>
    <n v="43100.75"/>
    <n v="3"/>
    <n v="7277.93"/>
    <x v="0"/>
    <x v="0"/>
    <x v="5"/>
    <n v="7"/>
    <s v="Nov"/>
    <m/>
    <m/>
  </r>
  <r>
    <x v="95"/>
    <x v="77"/>
    <x v="3"/>
    <x v="3"/>
    <x v="2"/>
    <x v="1"/>
    <x v="2"/>
    <n v="33221.47"/>
    <n v="2"/>
    <n v="8139.07"/>
    <x v="1"/>
    <x v="0"/>
    <x v="6"/>
    <n v="29"/>
    <s v="Aug"/>
    <m/>
    <m/>
  </r>
  <r>
    <x v="96"/>
    <x v="87"/>
    <x v="1"/>
    <x v="1"/>
    <x v="2"/>
    <x v="2"/>
    <x v="6"/>
    <n v="27420.6"/>
    <n v="1"/>
    <n v="3380.25"/>
    <x v="1"/>
    <x v="0"/>
    <x v="6"/>
    <n v="7"/>
    <s v="Aug"/>
    <m/>
    <m/>
  </r>
  <r>
    <x v="97"/>
    <x v="88"/>
    <x v="2"/>
    <x v="2"/>
    <x v="2"/>
    <x v="0"/>
    <x v="1"/>
    <n v="41720.79"/>
    <n v="9"/>
    <n v="7269.45"/>
    <x v="0"/>
    <x v="0"/>
    <x v="6"/>
    <n v="13"/>
    <s v="Aug"/>
    <m/>
    <m/>
  </r>
  <r>
    <x v="98"/>
    <x v="72"/>
    <x v="3"/>
    <x v="3"/>
    <x v="2"/>
    <x v="0"/>
    <x v="0"/>
    <n v="43520.98"/>
    <n v="8"/>
    <n v="6580.87"/>
    <x v="0"/>
    <x v="0"/>
    <x v="4"/>
    <n v="23"/>
    <s v="Mar"/>
    <m/>
    <m/>
  </r>
  <r>
    <x v="99"/>
    <x v="89"/>
    <x v="2"/>
    <x v="2"/>
    <x v="0"/>
    <x v="2"/>
    <x v="8"/>
    <n v="43256.76"/>
    <n v="9"/>
    <n v="12801"/>
    <x v="0"/>
    <x v="0"/>
    <x v="7"/>
    <n v="27"/>
    <s v="Jun"/>
    <m/>
    <m/>
  </r>
  <r>
    <x v="100"/>
    <x v="90"/>
    <x v="8"/>
    <x v="4"/>
    <x v="0"/>
    <x v="2"/>
    <x v="6"/>
    <n v="28432"/>
    <n v="1"/>
    <n v="4326.1000000000004"/>
    <x v="1"/>
    <x v="0"/>
    <x v="4"/>
    <n v="31"/>
    <s v="Mar"/>
    <m/>
    <m/>
  </r>
  <r>
    <x v="101"/>
    <x v="91"/>
    <x v="4"/>
    <x v="4"/>
    <x v="0"/>
    <x v="1"/>
    <x v="4"/>
    <n v="45607.68"/>
    <n v="9"/>
    <n v="10061.65"/>
    <x v="0"/>
    <x v="0"/>
    <x v="3"/>
    <n v="27"/>
    <s v="Apr"/>
    <m/>
    <m/>
  </r>
  <r>
    <x v="102"/>
    <x v="92"/>
    <x v="1"/>
    <x v="1"/>
    <x v="0"/>
    <x v="1"/>
    <x v="3"/>
    <n v="45100.31"/>
    <n v="5"/>
    <n v="5435.3"/>
    <x v="0"/>
    <x v="0"/>
    <x v="5"/>
    <n v="19"/>
    <s v="Nov"/>
    <m/>
    <m/>
  </r>
  <r>
    <x v="103"/>
    <x v="6"/>
    <x v="6"/>
    <x v="5"/>
    <x v="0"/>
    <x v="0"/>
    <x v="1"/>
    <n v="31680.26"/>
    <n v="6"/>
    <n v="7130.43"/>
    <x v="1"/>
    <x v="0"/>
    <x v="5"/>
    <n v="28"/>
    <s v="Nov"/>
    <m/>
    <m/>
  </r>
  <r>
    <x v="104"/>
    <x v="93"/>
    <x v="0"/>
    <x v="0"/>
    <x v="0"/>
    <x v="1"/>
    <x v="4"/>
    <n v="17942.34"/>
    <n v="4"/>
    <n v="4800.71"/>
    <x v="2"/>
    <x v="0"/>
    <x v="0"/>
    <n v="9"/>
    <s v="Sep"/>
    <m/>
    <m/>
  </r>
  <r>
    <x v="105"/>
    <x v="94"/>
    <x v="8"/>
    <x v="4"/>
    <x v="0"/>
    <x v="2"/>
    <x v="6"/>
    <n v="46409.88"/>
    <n v="7"/>
    <n v="12657.84"/>
    <x v="0"/>
    <x v="0"/>
    <x v="11"/>
    <n v="17"/>
    <s v="Jan"/>
    <m/>
    <m/>
  </r>
  <r>
    <x v="106"/>
    <x v="46"/>
    <x v="6"/>
    <x v="5"/>
    <x v="0"/>
    <x v="2"/>
    <x v="6"/>
    <n v="20904.05"/>
    <n v="9"/>
    <n v="2758.95"/>
    <x v="1"/>
    <x v="0"/>
    <x v="1"/>
    <n v="10"/>
    <s v="Dec"/>
    <m/>
    <m/>
  </r>
  <r>
    <x v="107"/>
    <x v="37"/>
    <x v="2"/>
    <x v="2"/>
    <x v="0"/>
    <x v="2"/>
    <x v="8"/>
    <n v="9106.1"/>
    <n v="3"/>
    <n v="519.4"/>
    <x v="2"/>
    <x v="0"/>
    <x v="6"/>
    <n v="5"/>
    <s v="Aug"/>
    <m/>
    <m/>
  </r>
  <r>
    <x v="108"/>
    <x v="66"/>
    <x v="0"/>
    <x v="0"/>
    <x v="0"/>
    <x v="1"/>
    <x v="2"/>
    <n v="7629.97"/>
    <n v="9"/>
    <n v="1489.6"/>
    <x v="2"/>
    <x v="0"/>
    <x v="10"/>
    <n v="15"/>
    <s v="Oct"/>
    <m/>
    <m/>
  </r>
  <r>
    <x v="109"/>
    <x v="72"/>
    <x v="4"/>
    <x v="4"/>
    <x v="0"/>
    <x v="0"/>
    <x v="0"/>
    <n v="23310.71"/>
    <n v="1"/>
    <n v="3512.57"/>
    <x v="1"/>
    <x v="0"/>
    <x v="4"/>
    <n v="23"/>
    <s v="Mar"/>
    <m/>
    <m/>
  </r>
  <r>
    <x v="110"/>
    <x v="95"/>
    <x v="5"/>
    <x v="1"/>
    <x v="0"/>
    <x v="0"/>
    <x v="7"/>
    <n v="27994.05"/>
    <n v="4"/>
    <n v="5449.63"/>
    <x v="1"/>
    <x v="0"/>
    <x v="7"/>
    <n v="8"/>
    <s v="Jun"/>
    <m/>
    <m/>
  </r>
  <r>
    <x v="111"/>
    <x v="96"/>
    <x v="2"/>
    <x v="2"/>
    <x v="0"/>
    <x v="0"/>
    <x v="7"/>
    <n v="32440.06"/>
    <n v="3"/>
    <n v="7193.85"/>
    <x v="1"/>
    <x v="0"/>
    <x v="8"/>
    <n v="6"/>
    <s v="Feb"/>
    <m/>
    <m/>
  </r>
  <r>
    <x v="112"/>
    <x v="21"/>
    <x v="5"/>
    <x v="1"/>
    <x v="0"/>
    <x v="0"/>
    <x v="7"/>
    <n v="40462.19"/>
    <n v="3"/>
    <n v="9068.9"/>
    <x v="0"/>
    <x v="0"/>
    <x v="7"/>
    <n v="26"/>
    <s v="Jun"/>
    <m/>
    <m/>
  </r>
  <r>
    <x v="113"/>
    <x v="97"/>
    <x v="7"/>
    <x v="4"/>
    <x v="0"/>
    <x v="2"/>
    <x v="5"/>
    <n v="4946.33"/>
    <n v="9"/>
    <n v="1157.56"/>
    <x v="2"/>
    <x v="0"/>
    <x v="7"/>
    <n v="9"/>
    <s v="Jun"/>
    <m/>
    <m/>
  </r>
  <r>
    <x v="114"/>
    <x v="98"/>
    <x v="2"/>
    <x v="2"/>
    <x v="0"/>
    <x v="1"/>
    <x v="2"/>
    <n v="41523.230000000003"/>
    <n v="7"/>
    <n v="9474.06"/>
    <x v="0"/>
    <x v="0"/>
    <x v="9"/>
    <n v="21"/>
    <s v="May"/>
    <m/>
    <m/>
  </r>
  <r>
    <x v="115"/>
    <x v="99"/>
    <x v="7"/>
    <x v="4"/>
    <x v="0"/>
    <x v="2"/>
    <x v="6"/>
    <n v="41692.239999999998"/>
    <n v="1"/>
    <n v="11454.59"/>
    <x v="0"/>
    <x v="0"/>
    <x v="7"/>
    <n v="14"/>
    <s v="Jun"/>
    <m/>
    <m/>
  </r>
  <r>
    <x v="116"/>
    <x v="100"/>
    <x v="2"/>
    <x v="2"/>
    <x v="0"/>
    <x v="1"/>
    <x v="2"/>
    <n v="37435.72"/>
    <n v="10"/>
    <n v="7225.3"/>
    <x v="1"/>
    <x v="0"/>
    <x v="1"/>
    <n v="15"/>
    <s v="Dec"/>
    <m/>
    <m/>
  </r>
  <r>
    <x v="117"/>
    <x v="101"/>
    <x v="3"/>
    <x v="3"/>
    <x v="0"/>
    <x v="2"/>
    <x v="8"/>
    <n v="24188.17"/>
    <n v="4"/>
    <n v="1398.98"/>
    <x v="1"/>
    <x v="0"/>
    <x v="4"/>
    <n v="8"/>
    <s v="Mar"/>
    <m/>
    <m/>
  </r>
  <r>
    <x v="118"/>
    <x v="102"/>
    <x v="0"/>
    <x v="0"/>
    <x v="0"/>
    <x v="0"/>
    <x v="0"/>
    <n v="7636.41"/>
    <n v="5"/>
    <n v="1440.24"/>
    <x v="2"/>
    <x v="0"/>
    <x v="8"/>
    <n v="21"/>
    <s v="Feb"/>
    <m/>
    <m/>
  </r>
  <r>
    <x v="119"/>
    <x v="61"/>
    <x v="5"/>
    <x v="1"/>
    <x v="0"/>
    <x v="1"/>
    <x v="4"/>
    <n v="46770.74"/>
    <n v="9"/>
    <n v="10311.32"/>
    <x v="0"/>
    <x v="0"/>
    <x v="11"/>
    <n v="4"/>
    <s v="Jan"/>
    <m/>
    <m/>
  </r>
  <r>
    <x v="120"/>
    <x v="103"/>
    <x v="5"/>
    <x v="1"/>
    <x v="0"/>
    <x v="1"/>
    <x v="4"/>
    <n v="25666.98"/>
    <n v="6"/>
    <n v="5659.2"/>
    <x v="1"/>
    <x v="0"/>
    <x v="1"/>
    <n v="9"/>
    <s v="Dec"/>
    <m/>
    <m/>
  </r>
  <r>
    <x v="121"/>
    <x v="104"/>
    <x v="7"/>
    <x v="4"/>
    <x v="0"/>
    <x v="0"/>
    <x v="0"/>
    <n v="23082.5"/>
    <n v="5"/>
    <n v="6692.32"/>
    <x v="1"/>
    <x v="0"/>
    <x v="1"/>
    <n v="21"/>
    <s v="Dec"/>
    <m/>
    <m/>
  </r>
  <r>
    <x v="122"/>
    <x v="105"/>
    <x v="7"/>
    <x v="4"/>
    <x v="0"/>
    <x v="2"/>
    <x v="6"/>
    <n v="38476.03"/>
    <n v="5"/>
    <n v="4209.84"/>
    <x v="1"/>
    <x v="0"/>
    <x v="7"/>
    <n v="10"/>
    <s v="Jun"/>
    <m/>
    <m/>
  </r>
  <r>
    <x v="123"/>
    <x v="106"/>
    <x v="7"/>
    <x v="4"/>
    <x v="0"/>
    <x v="2"/>
    <x v="5"/>
    <n v="18610.04"/>
    <n v="9"/>
    <n v="2849.41"/>
    <x v="2"/>
    <x v="0"/>
    <x v="4"/>
    <n v="12"/>
    <s v="Mar"/>
    <m/>
    <m/>
  </r>
  <r>
    <x v="124"/>
    <x v="107"/>
    <x v="5"/>
    <x v="1"/>
    <x v="0"/>
    <x v="0"/>
    <x v="0"/>
    <n v="9386.76"/>
    <n v="5"/>
    <n v="1362.58"/>
    <x v="2"/>
    <x v="0"/>
    <x v="4"/>
    <n v="11"/>
    <s v="Mar"/>
    <m/>
    <m/>
  </r>
  <r>
    <x v="125"/>
    <x v="41"/>
    <x v="4"/>
    <x v="4"/>
    <x v="0"/>
    <x v="0"/>
    <x v="0"/>
    <n v="28617.52"/>
    <n v="6"/>
    <n v="2807.32"/>
    <x v="1"/>
    <x v="0"/>
    <x v="1"/>
    <n v="28"/>
    <s v="Dec"/>
    <m/>
    <m/>
  </r>
  <r>
    <x v="126"/>
    <x v="63"/>
    <x v="1"/>
    <x v="1"/>
    <x v="0"/>
    <x v="2"/>
    <x v="5"/>
    <n v="23321.11"/>
    <n v="6"/>
    <n v="6516.94"/>
    <x v="1"/>
    <x v="0"/>
    <x v="1"/>
    <n v="8"/>
    <s v="Dec"/>
    <m/>
    <m/>
  </r>
  <r>
    <x v="127"/>
    <x v="108"/>
    <x v="4"/>
    <x v="4"/>
    <x v="0"/>
    <x v="0"/>
    <x v="0"/>
    <n v="30886.63"/>
    <n v="3"/>
    <n v="7845.04"/>
    <x v="1"/>
    <x v="0"/>
    <x v="0"/>
    <n v="26"/>
    <s v="Sep"/>
    <m/>
    <m/>
  </r>
  <r>
    <x v="128"/>
    <x v="109"/>
    <x v="0"/>
    <x v="0"/>
    <x v="0"/>
    <x v="2"/>
    <x v="8"/>
    <n v="33355.910000000003"/>
    <n v="5"/>
    <n v="2731.47"/>
    <x v="1"/>
    <x v="0"/>
    <x v="5"/>
    <n v="6"/>
    <s v="Nov"/>
    <m/>
    <m/>
  </r>
  <r>
    <x v="129"/>
    <x v="69"/>
    <x v="0"/>
    <x v="0"/>
    <x v="0"/>
    <x v="1"/>
    <x v="3"/>
    <n v="23925.26"/>
    <n v="3"/>
    <n v="4614.3999999999996"/>
    <x v="1"/>
    <x v="0"/>
    <x v="2"/>
    <n v="2"/>
    <s v="Jul"/>
    <m/>
    <m/>
  </r>
  <r>
    <x v="130"/>
    <x v="61"/>
    <x v="0"/>
    <x v="0"/>
    <x v="0"/>
    <x v="0"/>
    <x v="7"/>
    <n v="46208.11"/>
    <n v="1"/>
    <n v="4640.21"/>
    <x v="0"/>
    <x v="0"/>
    <x v="11"/>
    <n v="4"/>
    <s v="Jan"/>
    <m/>
    <m/>
  </r>
  <r>
    <x v="131"/>
    <x v="40"/>
    <x v="0"/>
    <x v="0"/>
    <x v="0"/>
    <x v="2"/>
    <x v="8"/>
    <n v="7965.54"/>
    <n v="3"/>
    <n v="2341.5300000000002"/>
    <x v="2"/>
    <x v="0"/>
    <x v="8"/>
    <n v="10"/>
    <s v="Feb"/>
    <m/>
    <m/>
  </r>
  <r>
    <x v="132"/>
    <x v="110"/>
    <x v="1"/>
    <x v="1"/>
    <x v="0"/>
    <x v="0"/>
    <x v="7"/>
    <n v="47622.58"/>
    <n v="8"/>
    <n v="13847.81"/>
    <x v="0"/>
    <x v="0"/>
    <x v="1"/>
    <n v="5"/>
    <s v="Dec"/>
    <m/>
    <m/>
  </r>
  <r>
    <x v="133"/>
    <x v="111"/>
    <x v="3"/>
    <x v="3"/>
    <x v="0"/>
    <x v="2"/>
    <x v="6"/>
    <n v="2192.81"/>
    <n v="2"/>
    <n v="448.06"/>
    <x v="2"/>
    <x v="0"/>
    <x v="10"/>
    <n v="5"/>
    <s v="Oct"/>
    <m/>
    <m/>
  </r>
  <r>
    <x v="134"/>
    <x v="112"/>
    <x v="6"/>
    <x v="5"/>
    <x v="0"/>
    <x v="0"/>
    <x v="7"/>
    <n v="39455.26"/>
    <n v="6"/>
    <n v="7254.89"/>
    <x v="1"/>
    <x v="0"/>
    <x v="0"/>
    <n v="13"/>
    <s v="Sep"/>
    <m/>
    <m/>
  </r>
  <r>
    <x v="135"/>
    <x v="113"/>
    <x v="5"/>
    <x v="1"/>
    <x v="0"/>
    <x v="2"/>
    <x v="6"/>
    <n v="33615.199999999997"/>
    <n v="10"/>
    <n v="9400.1200000000008"/>
    <x v="1"/>
    <x v="0"/>
    <x v="9"/>
    <n v="20"/>
    <s v="May"/>
    <m/>
    <m/>
  </r>
  <r>
    <x v="136"/>
    <x v="114"/>
    <x v="0"/>
    <x v="0"/>
    <x v="0"/>
    <x v="0"/>
    <x v="1"/>
    <n v="43630.27"/>
    <n v="1"/>
    <n v="5720.89"/>
    <x v="0"/>
    <x v="0"/>
    <x v="2"/>
    <n v="5"/>
    <s v="Jul"/>
    <m/>
    <m/>
  </r>
  <r>
    <x v="137"/>
    <x v="45"/>
    <x v="5"/>
    <x v="1"/>
    <x v="0"/>
    <x v="2"/>
    <x v="8"/>
    <n v="45089.98"/>
    <n v="5"/>
    <n v="4787.6899999999996"/>
    <x v="0"/>
    <x v="0"/>
    <x v="10"/>
    <n v="23"/>
    <s v="Oct"/>
    <m/>
    <m/>
  </r>
  <r>
    <x v="138"/>
    <x v="115"/>
    <x v="5"/>
    <x v="1"/>
    <x v="0"/>
    <x v="1"/>
    <x v="4"/>
    <n v="41314.769999999997"/>
    <n v="7"/>
    <n v="9847.14"/>
    <x v="0"/>
    <x v="0"/>
    <x v="0"/>
    <n v="24"/>
    <s v="Sep"/>
    <m/>
    <m/>
  </r>
  <r>
    <x v="139"/>
    <x v="39"/>
    <x v="5"/>
    <x v="1"/>
    <x v="0"/>
    <x v="1"/>
    <x v="3"/>
    <n v="33348.76"/>
    <n v="2"/>
    <n v="3732.78"/>
    <x v="1"/>
    <x v="0"/>
    <x v="8"/>
    <n v="24"/>
    <s v="Feb"/>
    <m/>
    <m/>
  </r>
  <r>
    <x v="140"/>
    <x v="116"/>
    <x v="2"/>
    <x v="2"/>
    <x v="0"/>
    <x v="0"/>
    <x v="0"/>
    <n v="36059.56"/>
    <n v="8"/>
    <n v="6777.54"/>
    <x v="1"/>
    <x v="0"/>
    <x v="11"/>
    <n v="18"/>
    <s v="Jan"/>
    <m/>
    <m/>
  </r>
  <r>
    <x v="141"/>
    <x v="117"/>
    <x v="7"/>
    <x v="4"/>
    <x v="0"/>
    <x v="1"/>
    <x v="4"/>
    <n v="21431.96"/>
    <n v="6"/>
    <n v="2214.5500000000002"/>
    <x v="1"/>
    <x v="0"/>
    <x v="9"/>
    <n v="17"/>
    <s v="May"/>
    <m/>
    <m/>
  </r>
  <r>
    <x v="142"/>
    <x v="118"/>
    <x v="4"/>
    <x v="4"/>
    <x v="0"/>
    <x v="0"/>
    <x v="0"/>
    <n v="29187.79"/>
    <n v="2"/>
    <n v="1532.13"/>
    <x v="1"/>
    <x v="0"/>
    <x v="0"/>
    <n v="8"/>
    <s v="Sep"/>
    <m/>
    <m/>
  </r>
  <r>
    <x v="143"/>
    <x v="61"/>
    <x v="5"/>
    <x v="1"/>
    <x v="1"/>
    <x v="2"/>
    <x v="5"/>
    <n v="45025.54"/>
    <n v="2"/>
    <n v="12720.22"/>
    <x v="0"/>
    <x v="0"/>
    <x v="11"/>
    <n v="4"/>
    <s v="Jan"/>
    <m/>
    <m/>
  </r>
  <r>
    <x v="144"/>
    <x v="119"/>
    <x v="1"/>
    <x v="1"/>
    <x v="1"/>
    <x v="0"/>
    <x v="0"/>
    <n v="29484.35"/>
    <n v="4"/>
    <n v="2052.4299999999998"/>
    <x v="1"/>
    <x v="0"/>
    <x v="2"/>
    <n v="11"/>
    <s v="Jul"/>
    <m/>
    <m/>
  </r>
  <r>
    <x v="145"/>
    <x v="98"/>
    <x v="4"/>
    <x v="4"/>
    <x v="1"/>
    <x v="0"/>
    <x v="7"/>
    <n v="16959.68"/>
    <n v="4"/>
    <n v="1943.65"/>
    <x v="2"/>
    <x v="0"/>
    <x v="9"/>
    <n v="21"/>
    <s v="May"/>
    <m/>
    <m/>
  </r>
  <r>
    <x v="146"/>
    <x v="120"/>
    <x v="8"/>
    <x v="4"/>
    <x v="1"/>
    <x v="0"/>
    <x v="7"/>
    <n v="31987.86"/>
    <n v="8"/>
    <n v="9445.74"/>
    <x v="1"/>
    <x v="0"/>
    <x v="3"/>
    <n v="6"/>
    <s v="Apr"/>
    <m/>
    <m/>
  </r>
  <r>
    <x v="147"/>
    <x v="121"/>
    <x v="8"/>
    <x v="4"/>
    <x v="1"/>
    <x v="2"/>
    <x v="5"/>
    <n v="24644.97"/>
    <n v="5"/>
    <n v="2363.06"/>
    <x v="1"/>
    <x v="0"/>
    <x v="11"/>
    <n v="27"/>
    <s v="Jan"/>
    <m/>
    <m/>
  </r>
  <r>
    <x v="148"/>
    <x v="122"/>
    <x v="7"/>
    <x v="4"/>
    <x v="1"/>
    <x v="0"/>
    <x v="0"/>
    <n v="28554.67"/>
    <n v="9"/>
    <n v="7750.57"/>
    <x v="1"/>
    <x v="0"/>
    <x v="5"/>
    <n v="11"/>
    <s v="Nov"/>
    <m/>
    <m/>
  </r>
  <r>
    <x v="149"/>
    <x v="123"/>
    <x v="2"/>
    <x v="2"/>
    <x v="1"/>
    <x v="0"/>
    <x v="7"/>
    <n v="8418.6"/>
    <n v="7"/>
    <n v="1523.75"/>
    <x v="2"/>
    <x v="0"/>
    <x v="8"/>
    <n v="3"/>
    <s v="Feb"/>
    <m/>
    <m/>
  </r>
  <r>
    <x v="150"/>
    <x v="65"/>
    <x v="2"/>
    <x v="2"/>
    <x v="1"/>
    <x v="1"/>
    <x v="3"/>
    <n v="27560.07"/>
    <n v="8"/>
    <n v="2515.9699999999998"/>
    <x v="1"/>
    <x v="0"/>
    <x v="5"/>
    <n v="27"/>
    <s v="Nov"/>
    <m/>
    <m/>
  </r>
  <r>
    <x v="151"/>
    <x v="124"/>
    <x v="6"/>
    <x v="5"/>
    <x v="1"/>
    <x v="1"/>
    <x v="2"/>
    <n v="13616.19"/>
    <n v="10"/>
    <n v="4009.3"/>
    <x v="2"/>
    <x v="0"/>
    <x v="10"/>
    <n v="2"/>
    <s v="Oct"/>
    <m/>
    <m/>
  </r>
  <r>
    <x v="152"/>
    <x v="125"/>
    <x v="6"/>
    <x v="5"/>
    <x v="1"/>
    <x v="0"/>
    <x v="1"/>
    <n v="25212.93"/>
    <n v="8"/>
    <n v="3535.68"/>
    <x v="1"/>
    <x v="0"/>
    <x v="6"/>
    <n v="1"/>
    <s v="Aug"/>
    <m/>
    <m/>
  </r>
  <r>
    <x v="153"/>
    <x v="54"/>
    <x v="1"/>
    <x v="1"/>
    <x v="1"/>
    <x v="2"/>
    <x v="8"/>
    <n v="43825.39"/>
    <n v="6"/>
    <n v="10611"/>
    <x v="0"/>
    <x v="0"/>
    <x v="8"/>
    <n v="20"/>
    <s v="Feb"/>
    <m/>
    <m/>
  </r>
  <r>
    <x v="154"/>
    <x v="126"/>
    <x v="3"/>
    <x v="3"/>
    <x v="1"/>
    <x v="1"/>
    <x v="4"/>
    <n v="40738.550000000003"/>
    <n v="10"/>
    <n v="3969.18"/>
    <x v="0"/>
    <x v="0"/>
    <x v="4"/>
    <n v="26"/>
    <s v="Mar"/>
    <m/>
    <m/>
  </r>
  <r>
    <x v="155"/>
    <x v="75"/>
    <x v="0"/>
    <x v="0"/>
    <x v="1"/>
    <x v="1"/>
    <x v="3"/>
    <n v="8460.74"/>
    <n v="4"/>
    <n v="1472.42"/>
    <x v="2"/>
    <x v="0"/>
    <x v="4"/>
    <n v="22"/>
    <s v="Mar"/>
    <m/>
    <m/>
  </r>
  <r>
    <x v="156"/>
    <x v="127"/>
    <x v="7"/>
    <x v="4"/>
    <x v="1"/>
    <x v="0"/>
    <x v="7"/>
    <n v="41629.51"/>
    <n v="9"/>
    <n v="11605.29"/>
    <x v="0"/>
    <x v="0"/>
    <x v="4"/>
    <n v="17"/>
    <s v="Mar"/>
    <m/>
    <m/>
  </r>
  <r>
    <x v="157"/>
    <x v="26"/>
    <x v="1"/>
    <x v="1"/>
    <x v="1"/>
    <x v="1"/>
    <x v="3"/>
    <n v="26680.82"/>
    <n v="2"/>
    <n v="5004.5"/>
    <x v="1"/>
    <x v="0"/>
    <x v="6"/>
    <n v="28"/>
    <s v="Aug"/>
    <m/>
    <m/>
  </r>
  <r>
    <x v="158"/>
    <x v="95"/>
    <x v="1"/>
    <x v="1"/>
    <x v="1"/>
    <x v="1"/>
    <x v="3"/>
    <n v="31459.86"/>
    <n v="7"/>
    <n v="2921.88"/>
    <x v="1"/>
    <x v="0"/>
    <x v="7"/>
    <n v="8"/>
    <s v="Jun"/>
    <m/>
    <m/>
  </r>
  <r>
    <x v="159"/>
    <x v="128"/>
    <x v="4"/>
    <x v="4"/>
    <x v="1"/>
    <x v="1"/>
    <x v="2"/>
    <n v="2532.71"/>
    <n v="8"/>
    <n v="324.74"/>
    <x v="2"/>
    <x v="0"/>
    <x v="2"/>
    <n v="15"/>
    <s v="Jul"/>
    <m/>
    <m/>
  </r>
  <r>
    <x v="160"/>
    <x v="129"/>
    <x v="8"/>
    <x v="4"/>
    <x v="1"/>
    <x v="2"/>
    <x v="6"/>
    <n v="26794.54"/>
    <n v="8"/>
    <n v="5027.8900000000003"/>
    <x v="1"/>
    <x v="0"/>
    <x v="9"/>
    <n v="16"/>
    <s v="May"/>
    <m/>
    <m/>
  </r>
  <r>
    <x v="161"/>
    <x v="130"/>
    <x v="0"/>
    <x v="0"/>
    <x v="1"/>
    <x v="2"/>
    <x v="6"/>
    <n v="36838.78"/>
    <n v="6"/>
    <n v="4092.23"/>
    <x v="1"/>
    <x v="0"/>
    <x v="9"/>
    <n v="23"/>
    <s v="May"/>
    <m/>
    <m/>
  </r>
  <r>
    <x v="162"/>
    <x v="131"/>
    <x v="3"/>
    <x v="3"/>
    <x v="1"/>
    <x v="2"/>
    <x v="8"/>
    <n v="13801.62"/>
    <n v="1"/>
    <n v="1863.69"/>
    <x v="2"/>
    <x v="0"/>
    <x v="5"/>
    <n v="3"/>
    <s v="Nov"/>
    <m/>
    <m/>
  </r>
  <r>
    <x v="163"/>
    <x v="132"/>
    <x v="7"/>
    <x v="4"/>
    <x v="1"/>
    <x v="2"/>
    <x v="5"/>
    <n v="26884.04"/>
    <n v="9"/>
    <n v="4634.18"/>
    <x v="1"/>
    <x v="0"/>
    <x v="3"/>
    <n v="2"/>
    <s v="Apr"/>
    <m/>
    <m/>
  </r>
  <r>
    <x v="164"/>
    <x v="133"/>
    <x v="3"/>
    <x v="3"/>
    <x v="1"/>
    <x v="2"/>
    <x v="8"/>
    <n v="24536.3"/>
    <n v="4"/>
    <n v="4883.58"/>
    <x v="1"/>
    <x v="0"/>
    <x v="1"/>
    <n v="20"/>
    <s v="Dec"/>
    <m/>
    <m/>
  </r>
  <r>
    <x v="165"/>
    <x v="134"/>
    <x v="4"/>
    <x v="4"/>
    <x v="1"/>
    <x v="0"/>
    <x v="0"/>
    <n v="38091.9"/>
    <n v="3"/>
    <n v="2162.17"/>
    <x v="1"/>
    <x v="0"/>
    <x v="7"/>
    <n v="15"/>
    <s v="Jun"/>
    <m/>
    <m/>
  </r>
  <r>
    <x v="166"/>
    <x v="113"/>
    <x v="8"/>
    <x v="4"/>
    <x v="1"/>
    <x v="1"/>
    <x v="3"/>
    <n v="39598.29"/>
    <n v="5"/>
    <n v="6403.75"/>
    <x v="1"/>
    <x v="0"/>
    <x v="9"/>
    <n v="20"/>
    <s v="May"/>
    <m/>
    <m/>
  </r>
  <r>
    <x v="167"/>
    <x v="25"/>
    <x v="8"/>
    <x v="4"/>
    <x v="1"/>
    <x v="0"/>
    <x v="7"/>
    <n v="4814.78"/>
    <n v="6"/>
    <n v="378.7"/>
    <x v="2"/>
    <x v="0"/>
    <x v="8"/>
    <n v="11"/>
    <s v="Feb"/>
    <m/>
    <m/>
  </r>
  <r>
    <x v="168"/>
    <x v="86"/>
    <x v="2"/>
    <x v="2"/>
    <x v="1"/>
    <x v="2"/>
    <x v="5"/>
    <n v="20072.27"/>
    <n v="1"/>
    <n v="4794.18"/>
    <x v="1"/>
    <x v="0"/>
    <x v="5"/>
    <n v="7"/>
    <s v="Nov"/>
    <m/>
    <m/>
  </r>
  <r>
    <x v="169"/>
    <x v="4"/>
    <x v="0"/>
    <x v="0"/>
    <x v="1"/>
    <x v="2"/>
    <x v="5"/>
    <n v="23725.51"/>
    <n v="1"/>
    <n v="1324.6"/>
    <x v="1"/>
    <x v="0"/>
    <x v="0"/>
    <n v="6"/>
    <s v="Sep"/>
    <m/>
    <m/>
  </r>
  <r>
    <x v="170"/>
    <x v="135"/>
    <x v="2"/>
    <x v="2"/>
    <x v="1"/>
    <x v="0"/>
    <x v="0"/>
    <n v="6338.6"/>
    <n v="10"/>
    <n v="850.83"/>
    <x v="2"/>
    <x v="0"/>
    <x v="0"/>
    <n v="23"/>
    <s v="Sep"/>
    <m/>
    <m/>
  </r>
  <r>
    <x v="171"/>
    <x v="136"/>
    <x v="4"/>
    <x v="4"/>
    <x v="1"/>
    <x v="2"/>
    <x v="6"/>
    <n v="43340.91"/>
    <n v="3"/>
    <n v="3409.31"/>
    <x v="0"/>
    <x v="0"/>
    <x v="11"/>
    <n v="8"/>
    <s v="Jan"/>
    <m/>
    <m/>
  </r>
  <r>
    <x v="172"/>
    <x v="137"/>
    <x v="7"/>
    <x v="4"/>
    <x v="1"/>
    <x v="2"/>
    <x v="8"/>
    <n v="5774.71"/>
    <n v="6"/>
    <n v="1350.62"/>
    <x v="2"/>
    <x v="0"/>
    <x v="4"/>
    <n v="29"/>
    <s v="Mar"/>
    <m/>
    <m/>
  </r>
  <r>
    <x v="173"/>
    <x v="93"/>
    <x v="0"/>
    <x v="0"/>
    <x v="1"/>
    <x v="0"/>
    <x v="0"/>
    <n v="31543.41"/>
    <n v="7"/>
    <n v="7095.9"/>
    <x v="1"/>
    <x v="0"/>
    <x v="0"/>
    <n v="9"/>
    <s v="Sep"/>
    <m/>
    <m/>
  </r>
  <r>
    <x v="174"/>
    <x v="29"/>
    <x v="7"/>
    <x v="4"/>
    <x v="1"/>
    <x v="1"/>
    <x v="3"/>
    <n v="48726.25"/>
    <n v="6"/>
    <n v="9754.02"/>
    <x v="0"/>
    <x v="0"/>
    <x v="2"/>
    <n v="20"/>
    <s v="Jul"/>
    <m/>
    <m/>
  </r>
  <r>
    <x v="175"/>
    <x v="138"/>
    <x v="3"/>
    <x v="3"/>
    <x v="1"/>
    <x v="0"/>
    <x v="1"/>
    <n v="4877.32"/>
    <n v="2"/>
    <n v="678.04"/>
    <x v="2"/>
    <x v="0"/>
    <x v="7"/>
    <n v="5"/>
    <s v="Jun"/>
    <m/>
    <m/>
  </r>
  <r>
    <x v="176"/>
    <x v="139"/>
    <x v="5"/>
    <x v="1"/>
    <x v="1"/>
    <x v="1"/>
    <x v="3"/>
    <n v="36632.480000000003"/>
    <n v="5"/>
    <n v="4419.68"/>
    <x v="1"/>
    <x v="0"/>
    <x v="10"/>
    <n v="28"/>
    <s v="Oct"/>
    <m/>
    <m/>
  </r>
  <r>
    <x v="177"/>
    <x v="102"/>
    <x v="4"/>
    <x v="4"/>
    <x v="1"/>
    <x v="2"/>
    <x v="5"/>
    <n v="7302.34"/>
    <n v="10"/>
    <n v="909.18"/>
    <x v="2"/>
    <x v="0"/>
    <x v="8"/>
    <n v="21"/>
    <s v="Feb"/>
    <m/>
    <m/>
  </r>
  <r>
    <x v="178"/>
    <x v="101"/>
    <x v="1"/>
    <x v="1"/>
    <x v="1"/>
    <x v="2"/>
    <x v="8"/>
    <n v="17646.86"/>
    <n v="9"/>
    <n v="3145.05"/>
    <x v="2"/>
    <x v="0"/>
    <x v="4"/>
    <n v="8"/>
    <s v="Mar"/>
    <m/>
    <m/>
  </r>
  <r>
    <x v="179"/>
    <x v="140"/>
    <x v="7"/>
    <x v="4"/>
    <x v="1"/>
    <x v="0"/>
    <x v="0"/>
    <n v="18272.21"/>
    <n v="9"/>
    <n v="4352.6099999999997"/>
    <x v="2"/>
    <x v="0"/>
    <x v="10"/>
    <n v="31"/>
    <s v="Oct"/>
    <m/>
    <m/>
  </r>
  <r>
    <x v="180"/>
    <x v="88"/>
    <x v="3"/>
    <x v="3"/>
    <x v="1"/>
    <x v="1"/>
    <x v="4"/>
    <n v="30968.38"/>
    <n v="7"/>
    <n v="4688.1000000000004"/>
    <x v="1"/>
    <x v="0"/>
    <x v="6"/>
    <n v="13"/>
    <s v="Aug"/>
    <m/>
    <m/>
  </r>
  <r>
    <x v="181"/>
    <x v="85"/>
    <x v="4"/>
    <x v="4"/>
    <x v="1"/>
    <x v="2"/>
    <x v="6"/>
    <n v="17745.36"/>
    <n v="2"/>
    <n v="1736.15"/>
    <x v="2"/>
    <x v="0"/>
    <x v="7"/>
    <n v="3"/>
    <s v="Jun"/>
    <m/>
    <m/>
  </r>
  <r>
    <x v="182"/>
    <x v="141"/>
    <x v="4"/>
    <x v="4"/>
    <x v="1"/>
    <x v="0"/>
    <x v="1"/>
    <n v="30601.31"/>
    <n v="9"/>
    <n v="4632.5600000000004"/>
    <x v="1"/>
    <x v="0"/>
    <x v="8"/>
    <n v="27"/>
    <s v="Feb"/>
    <m/>
    <m/>
  </r>
  <r>
    <x v="183"/>
    <x v="81"/>
    <x v="3"/>
    <x v="3"/>
    <x v="1"/>
    <x v="1"/>
    <x v="2"/>
    <n v="27508.720000000001"/>
    <n v="4"/>
    <n v="2649.16"/>
    <x v="1"/>
    <x v="0"/>
    <x v="5"/>
    <n v="26"/>
    <s v="Nov"/>
    <m/>
    <m/>
  </r>
  <r>
    <x v="184"/>
    <x v="142"/>
    <x v="6"/>
    <x v="5"/>
    <x v="1"/>
    <x v="1"/>
    <x v="4"/>
    <n v="20818.54"/>
    <n v="10"/>
    <n v="2457.2199999999998"/>
    <x v="1"/>
    <x v="0"/>
    <x v="8"/>
    <n v="2"/>
    <s v="Feb"/>
    <m/>
    <m/>
  </r>
  <r>
    <x v="185"/>
    <x v="143"/>
    <x v="2"/>
    <x v="2"/>
    <x v="1"/>
    <x v="1"/>
    <x v="4"/>
    <n v="49951.15"/>
    <n v="8"/>
    <n v="9925.48"/>
    <x v="0"/>
    <x v="0"/>
    <x v="4"/>
    <n v="5"/>
    <s v="Mar"/>
    <m/>
    <m/>
  </r>
  <r>
    <x v="186"/>
    <x v="144"/>
    <x v="4"/>
    <x v="4"/>
    <x v="1"/>
    <x v="2"/>
    <x v="6"/>
    <n v="14099.59"/>
    <n v="7"/>
    <n v="1349.86"/>
    <x v="2"/>
    <x v="0"/>
    <x v="0"/>
    <n v="15"/>
    <s v="Sep"/>
    <m/>
    <m/>
  </r>
  <r>
    <x v="187"/>
    <x v="145"/>
    <x v="1"/>
    <x v="1"/>
    <x v="0"/>
    <x v="2"/>
    <x v="6"/>
    <n v="30464.74"/>
    <n v="6"/>
    <n v="7362.23"/>
    <x v="1"/>
    <x v="0"/>
    <x v="10"/>
    <n v="11"/>
    <s v="Oct"/>
    <m/>
    <m/>
  </r>
  <r>
    <x v="188"/>
    <x v="47"/>
    <x v="2"/>
    <x v="2"/>
    <x v="1"/>
    <x v="0"/>
    <x v="1"/>
    <n v="45371.4"/>
    <n v="9"/>
    <n v="10014.870000000001"/>
    <x v="0"/>
    <x v="0"/>
    <x v="3"/>
    <n v="25"/>
    <s v="Apr"/>
    <m/>
    <m/>
  </r>
  <r>
    <x v="189"/>
    <x v="138"/>
    <x v="8"/>
    <x v="4"/>
    <x v="0"/>
    <x v="2"/>
    <x v="5"/>
    <n v="22118.26"/>
    <n v="4"/>
    <n v="2171.89"/>
    <x v="1"/>
    <x v="0"/>
    <x v="7"/>
    <n v="5"/>
    <s v="Jun"/>
    <m/>
    <m/>
  </r>
  <r>
    <x v="190"/>
    <x v="146"/>
    <x v="0"/>
    <x v="0"/>
    <x v="1"/>
    <x v="0"/>
    <x v="1"/>
    <n v="37631.99"/>
    <n v="10"/>
    <n v="2815.66"/>
    <x v="1"/>
    <x v="0"/>
    <x v="5"/>
    <n v="18"/>
    <s v="Nov"/>
    <m/>
    <m/>
  </r>
  <r>
    <x v="191"/>
    <x v="147"/>
    <x v="1"/>
    <x v="1"/>
    <x v="2"/>
    <x v="0"/>
    <x v="7"/>
    <n v="32613.74"/>
    <n v="3"/>
    <n v="2329.77"/>
    <x v="1"/>
    <x v="0"/>
    <x v="1"/>
    <n v="19"/>
    <s v="Dec"/>
    <m/>
    <m/>
  </r>
  <r>
    <x v="192"/>
    <x v="148"/>
    <x v="8"/>
    <x v="4"/>
    <x v="2"/>
    <x v="2"/>
    <x v="8"/>
    <n v="19402.79"/>
    <n v="5"/>
    <n v="4070.53"/>
    <x v="2"/>
    <x v="0"/>
    <x v="3"/>
    <n v="15"/>
    <s v="Apr"/>
    <m/>
    <m/>
  </r>
  <r>
    <x v="193"/>
    <x v="149"/>
    <x v="7"/>
    <x v="4"/>
    <x v="0"/>
    <x v="0"/>
    <x v="1"/>
    <n v="38828.89"/>
    <n v="1"/>
    <n v="3558.41"/>
    <x v="1"/>
    <x v="0"/>
    <x v="10"/>
    <n v="27"/>
    <s v="Oct"/>
    <m/>
    <m/>
  </r>
  <r>
    <x v="194"/>
    <x v="150"/>
    <x v="0"/>
    <x v="0"/>
    <x v="1"/>
    <x v="0"/>
    <x v="7"/>
    <n v="40947.69"/>
    <n v="10"/>
    <n v="3402.46"/>
    <x v="0"/>
    <x v="0"/>
    <x v="1"/>
    <n v="25"/>
    <s v="Dec"/>
    <m/>
    <m/>
  </r>
  <r>
    <x v="195"/>
    <x v="151"/>
    <x v="8"/>
    <x v="4"/>
    <x v="0"/>
    <x v="0"/>
    <x v="7"/>
    <n v="42010.67"/>
    <n v="2"/>
    <n v="11879.89"/>
    <x v="0"/>
    <x v="0"/>
    <x v="2"/>
    <n v="25"/>
    <s v="Jul"/>
    <m/>
    <m/>
  </r>
  <r>
    <x v="196"/>
    <x v="152"/>
    <x v="0"/>
    <x v="0"/>
    <x v="1"/>
    <x v="2"/>
    <x v="6"/>
    <n v="15486.53"/>
    <n v="3"/>
    <n v="3644.96"/>
    <x v="2"/>
    <x v="0"/>
    <x v="11"/>
    <n v="25"/>
    <s v="Jan"/>
    <m/>
    <m/>
  </r>
  <r>
    <x v="197"/>
    <x v="153"/>
    <x v="6"/>
    <x v="5"/>
    <x v="2"/>
    <x v="0"/>
    <x v="7"/>
    <n v="30608.400000000001"/>
    <n v="1"/>
    <n v="2635.57"/>
    <x v="1"/>
    <x v="0"/>
    <x v="8"/>
    <n v="5"/>
    <s v="Feb"/>
    <m/>
    <m/>
  </r>
  <r>
    <x v="198"/>
    <x v="154"/>
    <x v="2"/>
    <x v="2"/>
    <x v="2"/>
    <x v="2"/>
    <x v="6"/>
    <n v="15000.25"/>
    <n v="1"/>
    <n v="3201.7"/>
    <x v="2"/>
    <x v="0"/>
    <x v="0"/>
    <n v="12"/>
    <s v="Sep"/>
    <m/>
    <m/>
  </r>
  <r>
    <x v="199"/>
    <x v="155"/>
    <x v="1"/>
    <x v="1"/>
    <x v="0"/>
    <x v="1"/>
    <x v="2"/>
    <n v="30584.37"/>
    <n v="4"/>
    <n v="5866.07"/>
    <x v="1"/>
    <x v="0"/>
    <x v="1"/>
    <n v="6"/>
    <s v="Dec"/>
    <m/>
    <m/>
  </r>
  <r>
    <x v="200"/>
    <x v="27"/>
    <x v="5"/>
    <x v="1"/>
    <x v="1"/>
    <x v="1"/>
    <x v="4"/>
    <n v="2307.9"/>
    <n v="2"/>
    <n v="185.88"/>
    <x v="2"/>
    <x v="0"/>
    <x v="4"/>
    <n v="10"/>
    <s v="Mar"/>
    <m/>
    <m/>
  </r>
  <r>
    <x v="201"/>
    <x v="145"/>
    <x v="1"/>
    <x v="1"/>
    <x v="0"/>
    <x v="1"/>
    <x v="3"/>
    <n v="46291.49"/>
    <n v="6"/>
    <n v="5632.5"/>
    <x v="0"/>
    <x v="0"/>
    <x v="10"/>
    <n v="11"/>
    <s v="Oct"/>
    <m/>
    <m/>
  </r>
  <r>
    <x v="202"/>
    <x v="156"/>
    <x v="8"/>
    <x v="4"/>
    <x v="1"/>
    <x v="0"/>
    <x v="1"/>
    <n v="14665.44"/>
    <n v="7"/>
    <n v="2033.06"/>
    <x v="2"/>
    <x v="0"/>
    <x v="8"/>
    <n v="17"/>
    <s v="Feb"/>
    <m/>
    <m/>
  </r>
  <r>
    <x v="203"/>
    <x v="157"/>
    <x v="2"/>
    <x v="2"/>
    <x v="2"/>
    <x v="1"/>
    <x v="2"/>
    <n v="29742"/>
    <n v="1"/>
    <n v="5975.9"/>
    <x v="1"/>
    <x v="0"/>
    <x v="8"/>
    <n v="25"/>
    <s v="Feb"/>
    <m/>
    <m/>
  </r>
  <r>
    <x v="204"/>
    <x v="158"/>
    <x v="1"/>
    <x v="1"/>
    <x v="2"/>
    <x v="0"/>
    <x v="7"/>
    <n v="35349.51"/>
    <n v="4"/>
    <n v="10510.77"/>
    <x v="1"/>
    <x v="0"/>
    <x v="11"/>
    <n v="29"/>
    <s v="Jan"/>
    <m/>
    <m/>
  </r>
  <r>
    <x v="205"/>
    <x v="159"/>
    <x v="4"/>
    <x v="4"/>
    <x v="0"/>
    <x v="0"/>
    <x v="0"/>
    <n v="25985.13"/>
    <n v="6"/>
    <n v="2350.9299999999998"/>
    <x v="1"/>
    <x v="0"/>
    <x v="5"/>
    <n v="23"/>
    <s v="Nov"/>
    <m/>
    <m/>
  </r>
  <r>
    <x v="206"/>
    <x v="160"/>
    <x v="5"/>
    <x v="1"/>
    <x v="1"/>
    <x v="1"/>
    <x v="2"/>
    <n v="42832.639999999999"/>
    <n v="7"/>
    <n v="9063.49"/>
    <x v="0"/>
    <x v="0"/>
    <x v="6"/>
    <n v="18"/>
    <s v="Aug"/>
    <m/>
    <m/>
  </r>
  <r>
    <x v="207"/>
    <x v="161"/>
    <x v="7"/>
    <x v="4"/>
    <x v="0"/>
    <x v="2"/>
    <x v="5"/>
    <n v="22629.8"/>
    <n v="9"/>
    <n v="6097.6"/>
    <x v="1"/>
    <x v="0"/>
    <x v="7"/>
    <n v="2"/>
    <s v="Jun"/>
    <m/>
    <m/>
  </r>
  <r>
    <x v="208"/>
    <x v="162"/>
    <x v="3"/>
    <x v="3"/>
    <x v="1"/>
    <x v="0"/>
    <x v="7"/>
    <n v="13679.99"/>
    <n v="6"/>
    <n v="3823.09"/>
    <x v="2"/>
    <x v="0"/>
    <x v="3"/>
    <n v="14"/>
    <s v="Apr"/>
    <m/>
    <m/>
  </r>
  <r>
    <x v="209"/>
    <x v="163"/>
    <x v="1"/>
    <x v="1"/>
    <x v="2"/>
    <x v="1"/>
    <x v="3"/>
    <n v="36043.949999999997"/>
    <n v="8"/>
    <n v="5946.66"/>
    <x v="1"/>
    <x v="0"/>
    <x v="0"/>
    <n v="14"/>
    <s v="Sep"/>
    <m/>
    <m/>
  </r>
  <r>
    <x v="210"/>
    <x v="164"/>
    <x v="2"/>
    <x v="2"/>
    <x v="2"/>
    <x v="2"/>
    <x v="6"/>
    <n v="8717.0400000000009"/>
    <n v="7"/>
    <n v="550.32000000000005"/>
    <x v="2"/>
    <x v="0"/>
    <x v="10"/>
    <n v="21"/>
    <s v="Oct"/>
    <m/>
    <m/>
  </r>
  <r>
    <x v="211"/>
    <x v="36"/>
    <x v="1"/>
    <x v="1"/>
    <x v="0"/>
    <x v="1"/>
    <x v="3"/>
    <n v="49857.23"/>
    <n v="1"/>
    <n v="9642.2000000000007"/>
    <x v="0"/>
    <x v="0"/>
    <x v="5"/>
    <n v="8"/>
    <s v="Nov"/>
    <m/>
    <m/>
  </r>
  <r>
    <x v="212"/>
    <x v="165"/>
    <x v="5"/>
    <x v="1"/>
    <x v="1"/>
    <x v="0"/>
    <x v="0"/>
    <n v="11971.17"/>
    <n v="4"/>
    <n v="2338.79"/>
    <x v="2"/>
    <x v="0"/>
    <x v="1"/>
    <n v="27"/>
    <s v="Dec"/>
    <m/>
    <m/>
  </r>
  <r>
    <x v="213"/>
    <x v="43"/>
    <x v="0"/>
    <x v="0"/>
    <x v="0"/>
    <x v="0"/>
    <x v="0"/>
    <n v="35720.53"/>
    <n v="2"/>
    <n v="7171.98"/>
    <x v="1"/>
    <x v="0"/>
    <x v="5"/>
    <n v="22"/>
    <s v="Nov"/>
    <m/>
    <m/>
  </r>
  <r>
    <x v="214"/>
    <x v="77"/>
    <x v="0"/>
    <x v="0"/>
    <x v="1"/>
    <x v="0"/>
    <x v="1"/>
    <n v="15091"/>
    <n v="10"/>
    <n v="4408.8599999999997"/>
    <x v="2"/>
    <x v="0"/>
    <x v="6"/>
    <n v="29"/>
    <s v="Aug"/>
    <m/>
    <m/>
  </r>
  <r>
    <x v="215"/>
    <x v="166"/>
    <x v="8"/>
    <x v="4"/>
    <x v="2"/>
    <x v="0"/>
    <x v="1"/>
    <n v="1464.91"/>
    <n v="2"/>
    <n v="166.33"/>
    <x v="2"/>
    <x v="0"/>
    <x v="6"/>
    <n v="4"/>
    <s v="Aug"/>
    <m/>
    <m/>
  </r>
  <r>
    <x v="216"/>
    <x v="73"/>
    <x v="8"/>
    <x v="4"/>
    <x v="2"/>
    <x v="0"/>
    <x v="0"/>
    <n v="20871"/>
    <n v="6"/>
    <n v="1123.25"/>
    <x v="1"/>
    <x v="0"/>
    <x v="9"/>
    <n v="11"/>
    <s v="May"/>
    <m/>
    <m/>
  </r>
  <r>
    <x v="217"/>
    <x v="167"/>
    <x v="0"/>
    <x v="0"/>
    <x v="0"/>
    <x v="2"/>
    <x v="8"/>
    <n v="16475.830000000002"/>
    <n v="3"/>
    <n v="2544.4499999999998"/>
    <x v="2"/>
    <x v="0"/>
    <x v="9"/>
    <n v="14"/>
    <s v="May"/>
    <m/>
    <m/>
  </r>
  <r>
    <x v="218"/>
    <x v="26"/>
    <x v="1"/>
    <x v="1"/>
    <x v="1"/>
    <x v="0"/>
    <x v="1"/>
    <n v="40284"/>
    <n v="5"/>
    <n v="10032.85"/>
    <x v="0"/>
    <x v="0"/>
    <x v="6"/>
    <n v="28"/>
    <s v="Aug"/>
    <m/>
    <m/>
  </r>
  <r>
    <x v="219"/>
    <x v="168"/>
    <x v="6"/>
    <x v="5"/>
    <x v="0"/>
    <x v="0"/>
    <x v="0"/>
    <n v="8686.2199999999993"/>
    <n v="2"/>
    <n v="929.05"/>
    <x v="2"/>
    <x v="0"/>
    <x v="0"/>
    <n v="19"/>
    <s v="Sep"/>
    <m/>
    <m/>
  </r>
  <r>
    <x v="220"/>
    <x v="169"/>
    <x v="7"/>
    <x v="4"/>
    <x v="1"/>
    <x v="1"/>
    <x v="2"/>
    <n v="6913.56"/>
    <n v="3"/>
    <n v="1983.12"/>
    <x v="2"/>
    <x v="0"/>
    <x v="4"/>
    <n v="6"/>
    <s v="Mar"/>
    <m/>
    <m/>
  </r>
  <r>
    <x v="221"/>
    <x v="120"/>
    <x v="3"/>
    <x v="3"/>
    <x v="2"/>
    <x v="1"/>
    <x v="3"/>
    <n v="37149.339999999997"/>
    <n v="10"/>
    <n v="10843.22"/>
    <x v="1"/>
    <x v="0"/>
    <x v="3"/>
    <n v="6"/>
    <s v="Apr"/>
    <m/>
    <m/>
  </r>
  <r>
    <x v="222"/>
    <x v="170"/>
    <x v="4"/>
    <x v="4"/>
    <x v="2"/>
    <x v="0"/>
    <x v="7"/>
    <n v="16640.29"/>
    <n v="3"/>
    <n v="1393.49"/>
    <x v="2"/>
    <x v="0"/>
    <x v="6"/>
    <n v="8"/>
    <s v="Aug"/>
    <m/>
    <m/>
  </r>
  <r>
    <x v="223"/>
    <x v="171"/>
    <x v="0"/>
    <x v="0"/>
    <x v="0"/>
    <x v="1"/>
    <x v="3"/>
    <n v="21947.32"/>
    <n v="3"/>
    <n v="6382.79"/>
    <x v="1"/>
    <x v="0"/>
    <x v="11"/>
    <n v="13"/>
    <s v="Jan"/>
    <m/>
    <m/>
  </r>
  <r>
    <x v="224"/>
    <x v="172"/>
    <x v="0"/>
    <x v="0"/>
    <x v="1"/>
    <x v="2"/>
    <x v="8"/>
    <n v="24075.200000000001"/>
    <n v="10"/>
    <n v="5340.35"/>
    <x v="1"/>
    <x v="0"/>
    <x v="11"/>
    <n v="31"/>
    <s v="Jan"/>
    <m/>
    <m/>
  </r>
  <r>
    <x v="225"/>
    <x v="173"/>
    <x v="4"/>
    <x v="4"/>
    <x v="0"/>
    <x v="1"/>
    <x v="2"/>
    <n v="44542.65"/>
    <n v="6"/>
    <n v="12094.77"/>
    <x v="0"/>
    <x v="0"/>
    <x v="8"/>
    <n v="12"/>
    <s v="Feb"/>
    <m/>
    <m/>
  </r>
  <r>
    <x v="226"/>
    <x v="174"/>
    <x v="6"/>
    <x v="5"/>
    <x v="1"/>
    <x v="2"/>
    <x v="8"/>
    <n v="42137.27"/>
    <n v="5"/>
    <n v="5097.54"/>
    <x v="0"/>
    <x v="0"/>
    <x v="11"/>
    <n v="1"/>
    <s v="Jan"/>
    <m/>
    <m/>
  </r>
  <r>
    <x v="227"/>
    <x v="175"/>
    <x v="5"/>
    <x v="1"/>
    <x v="2"/>
    <x v="2"/>
    <x v="6"/>
    <n v="33630.86"/>
    <n v="5"/>
    <n v="2900.81"/>
    <x v="1"/>
    <x v="0"/>
    <x v="2"/>
    <n v="14"/>
    <s v="Jul"/>
    <m/>
    <m/>
  </r>
  <r>
    <x v="228"/>
    <x v="176"/>
    <x v="6"/>
    <x v="5"/>
    <x v="2"/>
    <x v="1"/>
    <x v="3"/>
    <n v="1156.72"/>
    <n v="2"/>
    <n v="281.39"/>
    <x v="2"/>
    <x v="0"/>
    <x v="1"/>
    <n v="3"/>
    <s v="Dec"/>
    <m/>
    <m/>
  </r>
  <r>
    <x v="229"/>
    <x v="60"/>
    <x v="4"/>
    <x v="4"/>
    <x v="0"/>
    <x v="0"/>
    <x v="1"/>
    <n v="28988.87"/>
    <n v="4"/>
    <n v="8348.4500000000007"/>
    <x v="1"/>
    <x v="0"/>
    <x v="6"/>
    <n v="25"/>
    <s v="Aug"/>
    <m/>
    <m/>
  </r>
  <r>
    <x v="230"/>
    <x v="139"/>
    <x v="0"/>
    <x v="0"/>
    <x v="1"/>
    <x v="1"/>
    <x v="3"/>
    <n v="40961.07"/>
    <n v="7"/>
    <n v="11511.53"/>
    <x v="0"/>
    <x v="0"/>
    <x v="10"/>
    <n v="28"/>
    <s v="Oct"/>
    <m/>
    <m/>
  </r>
  <r>
    <x v="231"/>
    <x v="177"/>
    <x v="0"/>
    <x v="0"/>
    <x v="0"/>
    <x v="2"/>
    <x v="5"/>
    <n v="44103.15"/>
    <n v="8"/>
    <n v="7622.06"/>
    <x v="0"/>
    <x v="0"/>
    <x v="10"/>
    <n v="16"/>
    <s v="Oct"/>
    <m/>
    <m/>
  </r>
  <r>
    <x v="232"/>
    <x v="178"/>
    <x v="5"/>
    <x v="1"/>
    <x v="1"/>
    <x v="1"/>
    <x v="3"/>
    <n v="40991.879999999997"/>
    <n v="3"/>
    <n v="10571.44"/>
    <x v="0"/>
    <x v="0"/>
    <x v="10"/>
    <n v="6"/>
    <s v="Oct"/>
    <m/>
    <m/>
  </r>
  <r>
    <x v="233"/>
    <x v="76"/>
    <x v="7"/>
    <x v="4"/>
    <x v="2"/>
    <x v="2"/>
    <x v="5"/>
    <n v="22770.06"/>
    <n v="9"/>
    <n v="3327.09"/>
    <x v="1"/>
    <x v="0"/>
    <x v="7"/>
    <n v="17"/>
    <s v="Jun"/>
    <m/>
    <m/>
  </r>
  <r>
    <x v="234"/>
    <x v="179"/>
    <x v="4"/>
    <x v="4"/>
    <x v="2"/>
    <x v="2"/>
    <x v="6"/>
    <n v="32866.050000000003"/>
    <n v="5"/>
    <n v="7169.07"/>
    <x v="1"/>
    <x v="0"/>
    <x v="2"/>
    <n v="26"/>
    <s v="Jul"/>
    <m/>
    <m/>
  </r>
  <r>
    <x v="235"/>
    <x v="180"/>
    <x v="7"/>
    <x v="4"/>
    <x v="0"/>
    <x v="2"/>
    <x v="5"/>
    <n v="10663.17"/>
    <n v="2"/>
    <n v="2411.1799999999998"/>
    <x v="2"/>
    <x v="0"/>
    <x v="6"/>
    <n v="20"/>
    <s v="Aug"/>
    <m/>
    <m/>
  </r>
  <r>
    <x v="236"/>
    <x v="98"/>
    <x v="6"/>
    <x v="5"/>
    <x v="1"/>
    <x v="2"/>
    <x v="8"/>
    <n v="25820.27"/>
    <n v="6"/>
    <n v="1912.88"/>
    <x v="1"/>
    <x v="0"/>
    <x v="9"/>
    <n v="21"/>
    <s v="May"/>
    <m/>
    <m/>
  </r>
  <r>
    <x v="237"/>
    <x v="35"/>
    <x v="1"/>
    <x v="1"/>
    <x v="0"/>
    <x v="2"/>
    <x v="5"/>
    <n v="18390.77"/>
    <n v="10"/>
    <n v="2737.63"/>
    <x v="2"/>
    <x v="0"/>
    <x v="11"/>
    <n v="15"/>
    <s v="Jan"/>
    <m/>
    <m/>
  </r>
  <r>
    <x v="238"/>
    <x v="181"/>
    <x v="7"/>
    <x v="4"/>
    <x v="1"/>
    <x v="1"/>
    <x v="2"/>
    <n v="9511"/>
    <n v="2"/>
    <n v="1162.99"/>
    <x v="2"/>
    <x v="0"/>
    <x v="11"/>
    <n v="21"/>
    <s v="Jan"/>
    <m/>
    <m/>
  </r>
  <r>
    <x v="239"/>
    <x v="14"/>
    <x v="0"/>
    <x v="0"/>
    <x v="2"/>
    <x v="0"/>
    <x v="1"/>
    <n v="36211.370000000003"/>
    <n v="6"/>
    <n v="7076.58"/>
    <x v="1"/>
    <x v="0"/>
    <x v="4"/>
    <n v="16"/>
    <s v="Mar"/>
    <m/>
    <m/>
  </r>
  <r>
    <x v="240"/>
    <x v="182"/>
    <x v="1"/>
    <x v="1"/>
    <x v="2"/>
    <x v="0"/>
    <x v="1"/>
    <n v="38204.660000000003"/>
    <n v="1"/>
    <n v="10074.93"/>
    <x v="1"/>
    <x v="0"/>
    <x v="3"/>
    <n v="18"/>
    <s v="Apr"/>
    <m/>
    <m/>
  </r>
  <r>
    <x v="241"/>
    <x v="61"/>
    <x v="8"/>
    <x v="4"/>
    <x v="0"/>
    <x v="1"/>
    <x v="2"/>
    <n v="40939.94"/>
    <n v="7"/>
    <n v="7280.08"/>
    <x v="0"/>
    <x v="0"/>
    <x v="11"/>
    <n v="4"/>
    <s v="Jan"/>
    <m/>
    <m/>
  </r>
  <r>
    <x v="242"/>
    <x v="183"/>
    <x v="3"/>
    <x v="3"/>
    <x v="1"/>
    <x v="1"/>
    <x v="4"/>
    <n v="26046.11"/>
    <n v="2"/>
    <n v="3289.52"/>
    <x v="1"/>
    <x v="0"/>
    <x v="3"/>
    <n v="3"/>
    <s v="Apr"/>
    <m/>
    <m/>
  </r>
  <r>
    <x v="243"/>
    <x v="184"/>
    <x v="4"/>
    <x v="4"/>
    <x v="0"/>
    <x v="2"/>
    <x v="6"/>
    <n v="40691.96"/>
    <n v="4"/>
    <n v="2624.84"/>
    <x v="0"/>
    <x v="0"/>
    <x v="4"/>
    <n v="15"/>
    <s v="Mar"/>
    <m/>
    <m/>
  </r>
  <r>
    <x v="244"/>
    <x v="67"/>
    <x v="3"/>
    <x v="3"/>
    <x v="1"/>
    <x v="1"/>
    <x v="4"/>
    <n v="49598.16"/>
    <n v="2"/>
    <n v="8746.65"/>
    <x v="0"/>
    <x v="0"/>
    <x v="9"/>
    <n v="7"/>
    <s v="May"/>
    <m/>
    <m/>
  </r>
  <r>
    <x v="245"/>
    <x v="185"/>
    <x v="4"/>
    <x v="4"/>
    <x v="2"/>
    <x v="1"/>
    <x v="2"/>
    <n v="13177.69"/>
    <n v="2"/>
    <n v="1536.55"/>
    <x v="2"/>
    <x v="0"/>
    <x v="7"/>
    <n v="11"/>
    <s v="Jun"/>
    <m/>
    <m/>
  </r>
  <r>
    <x v="246"/>
    <x v="111"/>
    <x v="8"/>
    <x v="4"/>
    <x v="2"/>
    <x v="0"/>
    <x v="1"/>
    <n v="25816.6"/>
    <n v="1"/>
    <n v="6376.67"/>
    <x v="1"/>
    <x v="0"/>
    <x v="10"/>
    <n v="5"/>
    <s v="Oct"/>
    <m/>
    <m/>
  </r>
  <r>
    <x v="247"/>
    <x v="39"/>
    <x v="4"/>
    <x v="4"/>
    <x v="0"/>
    <x v="0"/>
    <x v="7"/>
    <n v="4142.42"/>
    <n v="7"/>
    <n v="987.96"/>
    <x v="2"/>
    <x v="0"/>
    <x v="8"/>
    <n v="24"/>
    <s v="Feb"/>
    <m/>
    <m/>
  </r>
  <r>
    <x v="248"/>
    <x v="186"/>
    <x v="4"/>
    <x v="4"/>
    <x v="1"/>
    <x v="0"/>
    <x v="7"/>
    <n v="48741.85"/>
    <n v="2"/>
    <n v="6991.38"/>
    <x v="0"/>
    <x v="0"/>
    <x v="6"/>
    <n v="11"/>
    <s v="Aug"/>
    <m/>
    <m/>
  </r>
  <r>
    <x v="249"/>
    <x v="63"/>
    <x v="5"/>
    <x v="1"/>
    <x v="0"/>
    <x v="0"/>
    <x v="7"/>
    <n v="22157.78"/>
    <n v="2"/>
    <n v="4517.67"/>
    <x v="1"/>
    <x v="0"/>
    <x v="1"/>
    <n v="8"/>
    <s v="Dec"/>
    <m/>
    <m/>
  </r>
  <r>
    <x v="250"/>
    <x v="76"/>
    <x v="1"/>
    <x v="1"/>
    <x v="1"/>
    <x v="1"/>
    <x v="2"/>
    <n v="17751.919999999998"/>
    <n v="7"/>
    <n v="4931.21"/>
    <x v="2"/>
    <x v="0"/>
    <x v="7"/>
    <n v="17"/>
    <s v="Jun"/>
    <m/>
    <m/>
  </r>
  <r>
    <x v="251"/>
    <x v="126"/>
    <x v="8"/>
    <x v="4"/>
    <x v="2"/>
    <x v="2"/>
    <x v="8"/>
    <n v="11067.21"/>
    <n v="3"/>
    <n v="2057.92"/>
    <x v="2"/>
    <x v="0"/>
    <x v="4"/>
    <n v="26"/>
    <s v="Mar"/>
    <m/>
    <m/>
  </r>
  <r>
    <x v="252"/>
    <x v="187"/>
    <x v="8"/>
    <x v="4"/>
    <x v="2"/>
    <x v="1"/>
    <x v="4"/>
    <n v="13954.05"/>
    <n v="10"/>
    <n v="3139.56"/>
    <x v="2"/>
    <x v="0"/>
    <x v="2"/>
    <n v="24"/>
    <s v="Jul"/>
    <m/>
    <m/>
  </r>
  <r>
    <x v="253"/>
    <x v="188"/>
    <x v="3"/>
    <x v="3"/>
    <x v="0"/>
    <x v="1"/>
    <x v="2"/>
    <n v="10782.97"/>
    <n v="7"/>
    <n v="772.84"/>
    <x v="2"/>
    <x v="0"/>
    <x v="8"/>
    <n v="19"/>
    <s v="Feb"/>
    <m/>
    <m/>
  </r>
  <r>
    <x v="254"/>
    <x v="34"/>
    <x v="6"/>
    <x v="5"/>
    <x v="1"/>
    <x v="2"/>
    <x v="5"/>
    <n v="49437.25"/>
    <n v="8"/>
    <n v="14199.96"/>
    <x v="0"/>
    <x v="0"/>
    <x v="5"/>
    <n v="17"/>
    <s v="Nov"/>
    <m/>
    <m/>
  </r>
  <r>
    <x v="255"/>
    <x v="108"/>
    <x v="6"/>
    <x v="5"/>
    <x v="0"/>
    <x v="0"/>
    <x v="1"/>
    <n v="31032.49"/>
    <n v="9"/>
    <n v="7395"/>
    <x v="1"/>
    <x v="0"/>
    <x v="0"/>
    <n v="26"/>
    <s v="Sep"/>
    <m/>
    <m/>
  </r>
  <r>
    <x v="256"/>
    <x v="180"/>
    <x v="5"/>
    <x v="1"/>
    <x v="1"/>
    <x v="1"/>
    <x v="2"/>
    <n v="27868.7"/>
    <n v="2"/>
    <n v="6973.6"/>
    <x v="1"/>
    <x v="0"/>
    <x v="6"/>
    <n v="20"/>
    <s v="Aug"/>
    <m/>
    <m/>
  </r>
  <r>
    <x v="257"/>
    <x v="103"/>
    <x v="0"/>
    <x v="0"/>
    <x v="2"/>
    <x v="2"/>
    <x v="8"/>
    <n v="40634.300000000003"/>
    <n v="10"/>
    <n v="11614.53"/>
    <x v="0"/>
    <x v="0"/>
    <x v="1"/>
    <n v="9"/>
    <s v="Dec"/>
    <m/>
    <m/>
  </r>
  <r>
    <x v="258"/>
    <x v="189"/>
    <x v="4"/>
    <x v="4"/>
    <x v="2"/>
    <x v="2"/>
    <x v="5"/>
    <n v="2252.35"/>
    <n v="2"/>
    <n v="469.57"/>
    <x v="2"/>
    <x v="0"/>
    <x v="6"/>
    <n v="26"/>
    <s v="Aug"/>
    <m/>
    <m/>
  </r>
  <r>
    <x v="259"/>
    <x v="190"/>
    <x v="1"/>
    <x v="1"/>
    <x v="0"/>
    <x v="1"/>
    <x v="4"/>
    <n v="24406.17"/>
    <n v="2"/>
    <n v="1809.18"/>
    <x v="1"/>
    <x v="0"/>
    <x v="1"/>
    <n v="29"/>
    <s v="Dec"/>
    <m/>
    <m/>
  </r>
  <r>
    <x v="260"/>
    <x v="36"/>
    <x v="3"/>
    <x v="3"/>
    <x v="1"/>
    <x v="0"/>
    <x v="7"/>
    <n v="14529.22"/>
    <n v="8"/>
    <n v="3777.18"/>
    <x v="2"/>
    <x v="0"/>
    <x v="5"/>
    <n v="8"/>
    <s v="Nov"/>
    <m/>
    <m/>
  </r>
  <r>
    <x v="261"/>
    <x v="191"/>
    <x v="7"/>
    <x v="4"/>
    <x v="0"/>
    <x v="0"/>
    <x v="0"/>
    <n v="19364.93"/>
    <n v="3"/>
    <n v="5725.87"/>
    <x v="2"/>
    <x v="0"/>
    <x v="4"/>
    <n v="28"/>
    <s v="Mar"/>
    <m/>
    <m/>
  </r>
  <r>
    <x v="262"/>
    <x v="66"/>
    <x v="5"/>
    <x v="1"/>
    <x v="1"/>
    <x v="2"/>
    <x v="5"/>
    <n v="39741.019999999997"/>
    <n v="6"/>
    <n v="11691.37"/>
    <x v="1"/>
    <x v="0"/>
    <x v="10"/>
    <n v="15"/>
    <s v="Oct"/>
    <m/>
    <m/>
  </r>
  <r>
    <x v="263"/>
    <x v="192"/>
    <x v="3"/>
    <x v="3"/>
    <x v="2"/>
    <x v="1"/>
    <x v="4"/>
    <n v="28526.5"/>
    <n v="9"/>
    <n v="2168.42"/>
    <x v="1"/>
    <x v="0"/>
    <x v="2"/>
    <n v="7"/>
    <s v="Jul"/>
    <m/>
    <m/>
  </r>
  <r>
    <x v="264"/>
    <x v="160"/>
    <x v="4"/>
    <x v="4"/>
    <x v="2"/>
    <x v="1"/>
    <x v="3"/>
    <n v="23711.97"/>
    <n v="10"/>
    <n v="3673.28"/>
    <x v="1"/>
    <x v="0"/>
    <x v="6"/>
    <n v="18"/>
    <s v="Aug"/>
    <m/>
    <m/>
  </r>
  <r>
    <x v="265"/>
    <x v="29"/>
    <x v="4"/>
    <x v="4"/>
    <x v="0"/>
    <x v="2"/>
    <x v="8"/>
    <n v="28029.09"/>
    <n v="2"/>
    <n v="5086.72"/>
    <x v="1"/>
    <x v="0"/>
    <x v="2"/>
    <n v="20"/>
    <s v="Jul"/>
    <m/>
    <m/>
  </r>
  <r>
    <x v="266"/>
    <x v="63"/>
    <x v="7"/>
    <x v="4"/>
    <x v="1"/>
    <x v="2"/>
    <x v="8"/>
    <n v="5734.42"/>
    <n v="4"/>
    <n v="1489.22"/>
    <x v="2"/>
    <x v="0"/>
    <x v="1"/>
    <n v="8"/>
    <s v="Dec"/>
    <m/>
    <m/>
  </r>
  <r>
    <x v="267"/>
    <x v="2"/>
    <x v="5"/>
    <x v="1"/>
    <x v="0"/>
    <x v="2"/>
    <x v="5"/>
    <n v="39653.46"/>
    <n v="5"/>
    <n v="11436.72"/>
    <x v="1"/>
    <x v="0"/>
    <x v="2"/>
    <n v="29"/>
    <s v="Jul"/>
    <m/>
    <m/>
  </r>
  <r>
    <x v="268"/>
    <x v="193"/>
    <x v="5"/>
    <x v="1"/>
    <x v="1"/>
    <x v="1"/>
    <x v="3"/>
    <n v="31139.39"/>
    <n v="5"/>
    <n v="5027.6499999999996"/>
    <x v="1"/>
    <x v="0"/>
    <x v="7"/>
    <n v="23"/>
    <s v="Jun"/>
    <m/>
    <m/>
  </r>
  <r>
    <x v="269"/>
    <x v="39"/>
    <x v="5"/>
    <x v="1"/>
    <x v="2"/>
    <x v="1"/>
    <x v="3"/>
    <n v="22141.33"/>
    <n v="7"/>
    <n v="4473.1400000000003"/>
    <x v="1"/>
    <x v="0"/>
    <x v="8"/>
    <n v="24"/>
    <s v="Feb"/>
    <m/>
    <m/>
  </r>
  <r>
    <x v="270"/>
    <x v="36"/>
    <x v="1"/>
    <x v="1"/>
    <x v="2"/>
    <x v="0"/>
    <x v="7"/>
    <n v="44279.01"/>
    <n v="7"/>
    <n v="6441.93"/>
    <x v="0"/>
    <x v="0"/>
    <x v="5"/>
    <n v="8"/>
    <s v="Nov"/>
    <m/>
    <m/>
  </r>
  <r>
    <x v="271"/>
    <x v="174"/>
    <x v="6"/>
    <x v="5"/>
    <x v="0"/>
    <x v="1"/>
    <x v="2"/>
    <n v="34850.58"/>
    <n v="6"/>
    <n v="7187.87"/>
    <x v="1"/>
    <x v="0"/>
    <x v="11"/>
    <n v="1"/>
    <s v="Jan"/>
    <m/>
    <m/>
  </r>
  <r>
    <x v="272"/>
    <x v="42"/>
    <x v="3"/>
    <x v="3"/>
    <x v="1"/>
    <x v="2"/>
    <x v="6"/>
    <n v="5858.59"/>
    <n v="3"/>
    <n v="796.7"/>
    <x v="2"/>
    <x v="0"/>
    <x v="6"/>
    <n v="17"/>
    <s v="Aug"/>
    <m/>
    <m/>
  </r>
  <r>
    <x v="273"/>
    <x v="194"/>
    <x v="8"/>
    <x v="4"/>
    <x v="0"/>
    <x v="2"/>
    <x v="8"/>
    <n v="48376.78"/>
    <n v="2"/>
    <n v="6380.96"/>
    <x v="0"/>
    <x v="0"/>
    <x v="6"/>
    <n v="24"/>
    <s v="Aug"/>
    <m/>
    <m/>
  </r>
  <r>
    <x v="274"/>
    <x v="18"/>
    <x v="7"/>
    <x v="4"/>
    <x v="1"/>
    <x v="2"/>
    <x v="8"/>
    <n v="45474.51"/>
    <n v="5"/>
    <n v="10209.879999999999"/>
    <x v="0"/>
    <x v="0"/>
    <x v="4"/>
    <n v="18"/>
    <s v="Mar"/>
    <m/>
    <m/>
  </r>
  <r>
    <x v="275"/>
    <x v="144"/>
    <x v="8"/>
    <x v="4"/>
    <x v="2"/>
    <x v="2"/>
    <x v="5"/>
    <n v="38210.57"/>
    <n v="1"/>
    <n v="8172.28"/>
    <x v="1"/>
    <x v="0"/>
    <x v="0"/>
    <n v="15"/>
    <s v="Sep"/>
    <m/>
    <m/>
  </r>
  <r>
    <x v="276"/>
    <x v="195"/>
    <x v="6"/>
    <x v="5"/>
    <x v="2"/>
    <x v="1"/>
    <x v="3"/>
    <n v="2743.4"/>
    <n v="2"/>
    <n v="324.44"/>
    <x v="2"/>
    <x v="0"/>
    <x v="9"/>
    <n v="18"/>
    <s v="May"/>
    <m/>
    <m/>
  </r>
  <r>
    <x v="277"/>
    <x v="196"/>
    <x v="1"/>
    <x v="1"/>
    <x v="0"/>
    <x v="2"/>
    <x v="5"/>
    <n v="17723.98"/>
    <n v="3"/>
    <n v="3188.41"/>
    <x v="2"/>
    <x v="0"/>
    <x v="4"/>
    <n v="25"/>
    <s v="Mar"/>
    <m/>
    <m/>
  </r>
  <r>
    <x v="278"/>
    <x v="197"/>
    <x v="1"/>
    <x v="1"/>
    <x v="1"/>
    <x v="0"/>
    <x v="1"/>
    <n v="37126.15"/>
    <n v="7"/>
    <n v="7778.08"/>
    <x v="1"/>
    <x v="0"/>
    <x v="8"/>
    <n v="16"/>
    <s v="Feb"/>
    <m/>
    <m/>
  </r>
  <r>
    <x v="279"/>
    <x v="91"/>
    <x v="0"/>
    <x v="0"/>
    <x v="0"/>
    <x v="0"/>
    <x v="0"/>
    <n v="33645.160000000003"/>
    <n v="9"/>
    <n v="3910.56"/>
    <x v="1"/>
    <x v="0"/>
    <x v="3"/>
    <n v="27"/>
    <s v="Apr"/>
    <m/>
    <m/>
  </r>
  <r>
    <x v="280"/>
    <x v="83"/>
    <x v="6"/>
    <x v="5"/>
    <x v="1"/>
    <x v="1"/>
    <x v="2"/>
    <n v="16719.09"/>
    <n v="4"/>
    <n v="1211.3699999999999"/>
    <x v="2"/>
    <x v="0"/>
    <x v="11"/>
    <n v="30"/>
    <s v="Jan"/>
    <m/>
    <m/>
  </r>
  <r>
    <x v="281"/>
    <x v="198"/>
    <x v="0"/>
    <x v="0"/>
    <x v="2"/>
    <x v="2"/>
    <x v="5"/>
    <n v="25813.7"/>
    <n v="4"/>
    <n v="5481.41"/>
    <x v="1"/>
    <x v="0"/>
    <x v="3"/>
    <n v="30"/>
    <s v="Apr"/>
    <m/>
    <m/>
  </r>
  <r>
    <x v="282"/>
    <x v="105"/>
    <x v="7"/>
    <x v="4"/>
    <x v="2"/>
    <x v="0"/>
    <x v="1"/>
    <n v="4086.81"/>
    <n v="4"/>
    <n v="760.68"/>
    <x v="2"/>
    <x v="0"/>
    <x v="7"/>
    <n v="10"/>
    <s v="Jun"/>
    <m/>
    <m/>
  </r>
  <r>
    <x v="283"/>
    <x v="87"/>
    <x v="8"/>
    <x v="4"/>
    <x v="0"/>
    <x v="0"/>
    <x v="1"/>
    <n v="18521.38"/>
    <n v="1"/>
    <n v="1946.16"/>
    <x v="2"/>
    <x v="0"/>
    <x v="6"/>
    <n v="7"/>
    <s v="Aug"/>
    <m/>
    <m/>
  </r>
  <r>
    <x v="284"/>
    <x v="7"/>
    <x v="7"/>
    <x v="4"/>
    <x v="1"/>
    <x v="1"/>
    <x v="4"/>
    <n v="35464.68"/>
    <n v="3"/>
    <n v="4946.6099999999997"/>
    <x v="1"/>
    <x v="0"/>
    <x v="6"/>
    <n v="27"/>
    <s v="Aug"/>
    <m/>
    <m/>
  </r>
  <r>
    <x v="285"/>
    <x v="70"/>
    <x v="6"/>
    <x v="5"/>
    <x v="0"/>
    <x v="0"/>
    <x v="7"/>
    <n v="49796.639999999999"/>
    <n v="9"/>
    <n v="11826.36"/>
    <x v="0"/>
    <x v="0"/>
    <x v="10"/>
    <n v="29"/>
    <s v="Oct"/>
    <m/>
    <m/>
  </r>
  <r>
    <x v="286"/>
    <x v="199"/>
    <x v="4"/>
    <x v="4"/>
    <x v="1"/>
    <x v="1"/>
    <x v="2"/>
    <n v="6484.96"/>
    <n v="3"/>
    <n v="1208.78"/>
    <x v="2"/>
    <x v="0"/>
    <x v="9"/>
    <n v="29"/>
    <s v="May"/>
    <m/>
    <m/>
  </r>
  <r>
    <x v="287"/>
    <x v="0"/>
    <x v="6"/>
    <x v="5"/>
    <x v="2"/>
    <x v="0"/>
    <x v="1"/>
    <n v="33163.33"/>
    <n v="10"/>
    <n v="7488.7"/>
    <x v="1"/>
    <x v="0"/>
    <x v="0"/>
    <n v="28"/>
    <s v="Sep"/>
    <m/>
    <m/>
  </r>
  <r>
    <x v="288"/>
    <x v="200"/>
    <x v="0"/>
    <x v="0"/>
    <x v="2"/>
    <x v="2"/>
    <x v="8"/>
    <n v="13149.05"/>
    <n v="7"/>
    <n v="3576.49"/>
    <x v="2"/>
    <x v="0"/>
    <x v="4"/>
    <n v="9"/>
    <s v="Mar"/>
    <m/>
    <m/>
  </r>
  <r>
    <x v="289"/>
    <x v="201"/>
    <x v="3"/>
    <x v="3"/>
    <x v="0"/>
    <x v="2"/>
    <x v="5"/>
    <n v="34621.160000000003"/>
    <n v="3"/>
    <n v="7130.72"/>
    <x v="1"/>
    <x v="0"/>
    <x v="8"/>
    <n v="1"/>
    <s v="Feb"/>
    <m/>
    <m/>
  </r>
  <r>
    <x v="290"/>
    <x v="82"/>
    <x v="0"/>
    <x v="0"/>
    <x v="1"/>
    <x v="1"/>
    <x v="4"/>
    <n v="11966.24"/>
    <n v="5"/>
    <n v="2420.86"/>
    <x v="2"/>
    <x v="0"/>
    <x v="10"/>
    <n v="22"/>
    <s v="Oct"/>
    <m/>
    <m/>
  </r>
  <r>
    <x v="291"/>
    <x v="123"/>
    <x v="7"/>
    <x v="4"/>
    <x v="0"/>
    <x v="0"/>
    <x v="7"/>
    <n v="20790.45"/>
    <n v="10"/>
    <n v="2754"/>
    <x v="1"/>
    <x v="0"/>
    <x v="8"/>
    <n v="3"/>
    <s v="Feb"/>
    <m/>
    <m/>
  </r>
  <r>
    <x v="292"/>
    <x v="157"/>
    <x v="3"/>
    <x v="3"/>
    <x v="1"/>
    <x v="0"/>
    <x v="7"/>
    <n v="20312.77"/>
    <n v="5"/>
    <n v="5618.1"/>
    <x v="1"/>
    <x v="0"/>
    <x v="8"/>
    <n v="25"/>
    <s v="Feb"/>
    <m/>
    <m/>
  </r>
  <r>
    <x v="293"/>
    <x v="157"/>
    <x v="1"/>
    <x v="1"/>
    <x v="2"/>
    <x v="1"/>
    <x v="2"/>
    <n v="39381.9"/>
    <n v="10"/>
    <n v="7457.7"/>
    <x v="1"/>
    <x v="0"/>
    <x v="8"/>
    <n v="25"/>
    <s v="Feb"/>
    <m/>
    <m/>
  </r>
  <r>
    <x v="294"/>
    <x v="202"/>
    <x v="1"/>
    <x v="1"/>
    <x v="2"/>
    <x v="1"/>
    <x v="2"/>
    <n v="32040.32"/>
    <n v="10"/>
    <n v="7617.08"/>
    <x v="1"/>
    <x v="0"/>
    <x v="1"/>
    <n v="26"/>
    <s v="Dec"/>
    <m/>
    <m/>
  </r>
  <r>
    <x v="295"/>
    <x v="203"/>
    <x v="5"/>
    <x v="1"/>
    <x v="0"/>
    <x v="1"/>
    <x v="2"/>
    <n v="9943.7099999999991"/>
    <n v="2"/>
    <n v="1663.61"/>
    <x v="2"/>
    <x v="0"/>
    <x v="10"/>
    <n v="1"/>
    <s v="Oct"/>
    <m/>
    <m/>
  </r>
  <r>
    <x v="296"/>
    <x v="204"/>
    <x v="6"/>
    <x v="5"/>
    <x v="1"/>
    <x v="1"/>
    <x v="3"/>
    <n v="44799.3"/>
    <n v="10"/>
    <n v="5560.78"/>
    <x v="0"/>
    <x v="0"/>
    <x v="6"/>
    <n v="3"/>
    <s v="Aug"/>
    <m/>
    <m/>
  </r>
  <r>
    <x v="297"/>
    <x v="69"/>
    <x v="4"/>
    <x v="4"/>
    <x v="0"/>
    <x v="1"/>
    <x v="3"/>
    <n v="30482.42"/>
    <n v="8"/>
    <n v="4421.99"/>
    <x v="1"/>
    <x v="0"/>
    <x v="2"/>
    <n v="2"/>
    <s v="Jul"/>
    <m/>
    <m/>
  </r>
  <r>
    <x v="298"/>
    <x v="53"/>
    <x v="7"/>
    <x v="4"/>
    <x v="1"/>
    <x v="2"/>
    <x v="8"/>
    <n v="46018.66"/>
    <n v="4"/>
    <n v="11286.35"/>
    <x v="0"/>
    <x v="0"/>
    <x v="9"/>
    <n v="19"/>
    <s v="May"/>
    <m/>
    <m/>
  </r>
  <r>
    <x v="299"/>
    <x v="181"/>
    <x v="5"/>
    <x v="1"/>
    <x v="2"/>
    <x v="0"/>
    <x v="1"/>
    <n v="45604.85"/>
    <n v="4"/>
    <n v="10780.42"/>
    <x v="0"/>
    <x v="0"/>
    <x v="11"/>
    <n v="21"/>
    <s v="Jan"/>
    <m/>
    <m/>
  </r>
  <r>
    <x v="300"/>
    <x v="178"/>
    <x v="0"/>
    <x v="0"/>
    <x v="2"/>
    <x v="1"/>
    <x v="4"/>
    <n v="10568"/>
    <n v="9"/>
    <n v="1896.29"/>
    <x v="2"/>
    <x v="0"/>
    <x v="10"/>
    <n v="6"/>
    <s v="Oct"/>
    <m/>
    <m/>
  </r>
  <r>
    <x v="301"/>
    <x v="205"/>
    <x v="5"/>
    <x v="1"/>
    <x v="0"/>
    <x v="1"/>
    <x v="4"/>
    <n v="36013.07"/>
    <n v="7"/>
    <n v="2887.26"/>
    <x v="1"/>
    <x v="0"/>
    <x v="3"/>
    <n v="4"/>
    <s v="Apr"/>
    <m/>
    <m/>
  </r>
  <r>
    <x v="302"/>
    <x v="206"/>
    <x v="3"/>
    <x v="3"/>
    <x v="1"/>
    <x v="1"/>
    <x v="3"/>
    <n v="8545.89"/>
    <n v="8"/>
    <n v="998.97"/>
    <x v="2"/>
    <x v="0"/>
    <x v="11"/>
    <n v="24"/>
    <s v="Jan"/>
    <m/>
    <m/>
  </r>
  <r>
    <x v="303"/>
    <x v="188"/>
    <x v="3"/>
    <x v="3"/>
    <x v="0"/>
    <x v="1"/>
    <x v="4"/>
    <n v="46736.67"/>
    <n v="5"/>
    <n v="4010.98"/>
    <x v="0"/>
    <x v="0"/>
    <x v="8"/>
    <n v="19"/>
    <s v="Feb"/>
    <m/>
    <m/>
  </r>
  <r>
    <x v="304"/>
    <x v="82"/>
    <x v="8"/>
    <x v="4"/>
    <x v="1"/>
    <x v="2"/>
    <x v="8"/>
    <n v="42026.12"/>
    <n v="5"/>
    <n v="7474.37"/>
    <x v="0"/>
    <x v="0"/>
    <x v="10"/>
    <n v="22"/>
    <s v="Oct"/>
    <m/>
    <m/>
  </r>
  <r>
    <x v="305"/>
    <x v="207"/>
    <x v="4"/>
    <x v="4"/>
    <x v="2"/>
    <x v="2"/>
    <x v="5"/>
    <n v="31540.15"/>
    <n v="8"/>
    <n v="4128.9799999999996"/>
    <x v="1"/>
    <x v="0"/>
    <x v="2"/>
    <n v="8"/>
    <s v="Jul"/>
    <m/>
    <m/>
  </r>
  <r>
    <x v="306"/>
    <x v="71"/>
    <x v="2"/>
    <x v="2"/>
    <x v="2"/>
    <x v="1"/>
    <x v="2"/>
    <n v="29281.72"/>
    <n v="10"/>
    <n v="2759"/>
    <x v="1"/>
    <x v="0"/>
    <x v="2"/>
    <n v="28"/>
    <s v="Jul"/>
    <m/>
    <m/>
  </r>
  <r>
    <x v="307"/>
    <x v="156"/>
    <x v="8"/>
    <x v="4"/>
    <x v="0"/>
    <x v="2"/>
    <x v="6"/>
    <n v="23981.49"/>
    <n v="2"/>
    <n v="5193.12"/>
    <x v="1"/>
    <x v="0"/>
    <x v="8"/>
    <n v="17"/>
    <s v="Feb"/>
    <m/>
    <m/>
  </r>
  <r>
    <x v="308"/>
    <x v="97"/>
    <x v="7"/>
    <x v="4"/>
    <x v="1"/>
    <x v="1"/>
    <x v="2"/>
    <n v="11039.74"/>
    <n v="6"/>
    <n v="642.16999999999996"/>
    <x v="2"/>
    <x v="0"/>
    <x v="7"/>
    <n v="9"/>
    <s v="Jun"/>
    <m/>
    <m/>
  </r>
  <r>
    <x v="309"/>
    <x v="40"/>
    <x v="6"/>
    <x v="5"/>
    <x v="0"/>
    <x v="0"/>
    <x v="1"/>
    <n v="24072.58"/>
    <n v="2"/>
    <n v="4237.45"/>
    <x v="1"/>
    <x v="0"/>
    <x v="8"/>
    <n v="10"/>
    <s v="Feb"/>
    <m/>
    <m/>
  </r>
  <r>
    <x v="310"/>
    <x v="173"/>
    <x v="1"/>
    <x v="1"/>
    <x v="1"/>
    <x v="2"/>
    <x v="8"/>
    <n v="48043.43"/>
    <n v="6"/>
    <n v="6191.26"/>
    <x v="0"/>
    <x v="0"/>
    <x v="8"/>
    <n v="12"/>
    <s v="Feb"/>
    <m/>
    <m/>
  </r>
  <r>
    <x v="311"/>
    <x v="208"/>
    <x v="8"/>
    <x v="4"/>
    <x v="2"/>
    <x v="1"/>
    <x v="2"/>
    <n v="45172.53"/>
    <n v="6"/>
    <n v="3057.46"/>
    <x v="0"/>
    <x v="0"/>
    <x v="4"/>
    <n v="14"/>
    <s v="Mar"/>
    <m/>
    <m/>
  </r>
  <r>
    <x v="312"/>
    <x v="209"/>
    <x v="4"/>
    <x v="4"/>
    <x v="2"/>
    <x v="2"/>
    <x v="6"/>
    <n v="36425.279999999999"/>
    <n v="2"/>
    <n v="2652.3"/>
    <x v="1"/>
    <x v="0"/>
    <x v="6"/>
    <n v="12"/>
    <s v="Aug"/>
    <m/>
    <m/>
  </r>
  <r>
    <x v="313"/>
    <x v="111"/>
    <x v="8"/>
    <x v="4"/>
    <x v="0"/>
    <x v="1"/>
    <x v="4"/>
    <n v="34225.440000000002"/>
    <n v="5"/>
    <n v="7171.55"/>
    <x v="1"/>
    <x v="0"/>
    <x v="10"/>
    <n v="5"/>
    <s v="Oct"/>
    <m/>
    <m/>
  </r>
  <r>
    <x v="314"/>
    <x v="210"/>
    <x v="7"/>
    <x v="4"/>
    <x v="1"/>
    <x v="0"/>
    <x v="0"/>
    <n v="47580.01"/>
    <n v="1"/>
    <n v="13586.56"/>
    <x v="0"/>
    <x v="0"/>
    <x v="5"/>
    <n v="10"/>
    <s v="Nov"/>
    <m/>
    <m/>
  </r>
  <r>
    <x v="315"/>
    <x v="211"/>
    <x v="8"/>
    <x v="4"/>
    <x v="0"/>
    <x v="0"/>
    <x v="0"/>
    <n v="17212.37"/>
    <n v="6"/>
    <n v="4577.87"/>
    <x v="2"/>
    <x v="0"/>
    <x v="8"/>
    <n v="18"/>
    <s v="Feb"/>
    <m/>
    <m/>
  </r>
  <r>
    <x v="316"/>
    <x v="212"/>
    <x v="2"/>
    <x v="2"/>
    <x v="1"/>
    <x v="0"/>
    <x v="1"/>
    <n v="48075.95"/>
    <n v="7"/>
    <n v="4672.51"/>
    <x v="0"/>
    <x v="0"/>
    <x v="11"/>
    <n v="23"/>
    <s v="Jan"/>
    <m/>
    <m/>
  </r>
  <r>
    <x v="317"/>
    <x v="18"/>
    <x v="5"/>
    <x v="1"/>
    <x v="2"/>
    <x v="1"/>
    <x v="3"/>
    <n v="9681.73"/>
    <n v="10"/>
    <n v="628.19000000000005"/>
    <x v="2"/>
    <x v="0"/>
    <x v="4"/>
    <n v="18"/>
    <s v="Mar"/>
    <m/>
    <m/>
  </r>
  <r>
    <x v="318"/>
    <x v="213"/>
    <x v="5"/>
    <x v="1"/>
    <x v="2"/>
    <x v="2"/>
    <x v="5"/>
    <n v="31708.44"/>
    <n v="4"/>
    <n v="1986.92"/>
    <x v="1"/>
    <x v="0"/>
    <x v="5"/>
    <n v="15"/>
    <s v="Nov"/>
    <m/>
    <m/>
  </r>
  <r>
    <x v="319"/>
    <x v="72"/>
    <x v="5"/>
    <x v="1"/>
    <x v="0"/>
    <x v="1"/>
    <x v="4"/>
    <n v="23576.81"/>
    <n v="5"/>
    <n v="5469.68"/>
    <x v="1"/>
    <x v="0"/>
    <x v="4"/>
    <n v="23"/>
    <s v="Mar"/>
    <m/>
    <m/>
  </r>
  <r>
    <x v="320"/>
    <x v="214"/>
    <x v="6"/>
    <x v="5"/>
    <x v="1"/>
    <x v="2"/>
    <x v="8"/>
    <n v="46941.22"/>
    <n v="3"/>
    <n v="11351.59"/>
    <x v="0"/>
    <x v="0"/>
    <x v="9"/>
    <n v="2"/>
    <s v="May"/>
    <m/>
    <m/>
  </r>
  <r>
    <x v="321"/>
    <x v="215"/>
    <x v="5"/>
    <x v="1"/>
    <x v="0"/>
    <x v="2"/>
    <x v="6"/>
    <n v="30511.77"/>
    <n v="4"/>
    <n v="2577.4699999999998"/>
    <x v="1"/>
    <x v="0"/>
    <x v="3"/>
    <n v="5"/>
    <s v="Apr"/>
    <m/>
    <m/>
  </r>
  <r>
    <x v="322"/>
    <x v="216"/>
    <x v="8"/>
    <x v="4"/>
    <x v="1"/>
    <x v="0"/>
    <x v="1"/>
    <n v="1705.27"/>
    <n v="2"/>
    <n v="258.72000000000003"/>
    <x v="2"/>
    <x v="0"/>
    <x v="10"/>
    <n v="26"/>
    <s v="Oct"/>
    <m/>
    <m/>
  </r>
  <r>
    <x v="323"/>
    <x v="217"/>
    <x v="3"/>
    <x v="3"/>
    <x v="2"/>
    <x v="0"/>
    <x v="0"/>
    <n v="40330.29"/>
    <n v="9"/>
    <n v="9484.9599999999991"/>
    <x v="0"/>
    <x v="0"/>
    <x v="0"/>
    <n v="27"/>
    <s v="Sep"/>
    <m/>
    <m/>
  </r>
  <r>
    <x v="324"/>
    <x v="181"/>
    <x v="2"/>
    <x v="2"/>
    <x v="2"/>
    <x v="1"/>
    <x v="4"/>
    <n v="22523.13"/>
    <n v="3"/>
    <n v="5559.51"/>
    <x v="1"/>
    <x v="0"/>
    <x v="11"/>
    <n v="21"/>
    <s v="Jan"/>
    <m/>
    <m/>
  </r>
  <r>
    <x v="325"/>
    <x v="154"/>
    <x v="5"/>
    <x v="1"/>
    <x v="0"/>
    <x v="2"/>
    <x v="5"/>
    <n v="9721.76"/>
    <n v="1"/>
    <n v="2426.7199999999998"/>
    <x v="2"/>
    <x v="0"/>
    <x v="0"/>
    <n v="12"/>
    <s v="Sep"/>
    <m/>
    <m/>
  </r>
  <r>
    <x v="326"/>
    <x v="180"/>
    <x v="7"/>
    <x v="4"/>
    <x v="1"/>
    <x v="2"/>
    <x v="8"/>
    <n v="13433.44"/>
    <n v="10"/>
    <n v="3809.36"/>
    <x v="2"/>
    <x v="0"/>
    <x v="6"/>
    <n v="20"/>
    <s v="Aug"/>
    <m/>
    <m/>
  </r>
  <r>
    <x v="327"/>
    <x v="123"/>
    <x v="1"/>
    <x v="1"/>
    <x v="0"/>
    <x v="1"/>
    <x v="3"/>
    <n v="42800.72"/>
    <n v="2"/>
    <n v="3432.12"/>
    <x v="0"/>
    <x v="0"/>
    <x v="8"/>
    <n v="3"/>
    <s v="Feb"/>
    <m/>
    <m/>
  </r>
  <r>
    <x v="328"/>
    <x v="213"/>
    <x v="7"/>
    <x v="4"/>
    <x v="1"/>
    <x v="1"/>
    <x v="2"/>
    <n v="11997.4"/>
    <n v="9"/>
    <n v="2230.12"/>
    <x v="2"/>
    <x v="0"/>
    <x v="5"/>
    <n v="15"/>
    <s v="Nov"/>
    <m/>
    <m/>
  </r>
  <r>
    <x v="329"/>
    <x v="59"/>
    <x v="1"/>
    <x v="1"/>
    <x v="2"/>
    <x v="2"/>
    <x v="6"/>
    <n v="16524.43"/>
    <n v="5"/>
    <n v="3288.46"/>
    <x v="2"/>
    <x v="0"/>
    <x v="0"/>
    <n v="4"/>
    <s v="Sep"/>
    <m/>
    <m/>
  </r>
  <r>
    <x v="330"/>
    <x v="46"/>
    <x v="1"/>
    <x v="1"/>
    <x v="2"/>
    <x v="2"/>
    <x v="8"/>
    <n v="10353.51"/>
    <n v="9"/>
    <n v="1656.01"/>
    <x v="2"/>
    <x v="0"/>
    <x v="1"/>
    <n v="10"/>
    <s v="Dec"/>
    <m/>
    <m/>
  </r>
  <r>
    <x v="331"/>
    <x v="57"/>
    <x v="0"/>
    <x v="0"/>
    <x v="0"/>
    <x v="1"/>
    <x v="4"/>
    <n v="49849.49"/>
    <n v="2"/>
    <n v="14334.62"/>
    <x v="0"/>
    <x v="0"/>
    <x v="2"/>
    <n v="19"/>
    <s v="Jul"/>
    <m/>
    <m/>
  </r>
  <r>
    <x v="332"/>
    <x v="209"/>
    <x v="4"/>
    <x v="4"/>
    <x v="1"/>
    <x v="2"/>
    <x v="6"/>
    <n v="40482.129999999997"/>
    <n v="4"/>
    <n v="9904.9599999999991"/>
    <x v="0"/>
    <x v="0"/>
    <x v="6"/>
    <n v="12"/>
    <s v="Aug"/>
    <m/>
    <m/>
  </r>
  <r>
    <x v="333"/>
    <x v="129"/>
    <x v="2"/>
    <x v="2"/>
    <x v="0"/>
    <x v="1"/>
    <x v="4"/>
    <n v="24555.21"/>
    <n v="7"/>
    <n v="6048.99"/>
    <x v="1"/>
    <x v="0"/>
    <x v="9"/>
    <n v="16"/>
    <s v="May"/>
    <m/>
    <m/>
  </r>
  <r>
    <x v="334"/>
    <x v="218"/>
    <x v="4"/>
    <x v="4"/>
    <x v="1"/>
    <x v="2"/>
    <x v="8"/>
    <n v="12319.01"/>
    <n v="8"/>
    <n v="2389.34"/>
    <x v="2"/>
    <x v="0"/>
    <x v="2"/>
    <n v="17"/>
    <s v="Jul"/>
    <m/>
    <m/>
  </r>
  <r>
    <x v="335"/>
    <x v="49"/>
    <x v="4"/>
    <x v="4"/>
    <x v="2"/>
    <x v="2"/>
    <x v="6"/>
    <n v="13647.29"/>
    <n v="1"/>
    <n v="1756.26"/>
    <x v="2"/>
    <x v="0"/>
    <x v="8"/>
    <n v="23"/>
    <s v="Feb"/>
    <m/>
    <m/>
  </r>
  <r>
    <x v="336"/>
    <x v="219"/>
    <x v="4"/>
    <x v="4"/>
    <x v="2"/>
    <x v="1"/>
    <x v="4"/>
    <n v="47809.440000000002"/>
    <n v="8"/>
    <n v="3486.63"/>
    <x v="0"/>
    <x v="0"/>
    <x v="11"/>
    <n v="5"/>
    <s v="Jan"/>
    <m/>
    <m/>
  </r>
  <r>
    <x v="337"/>
    <x v="125"/>
    <x v="3"/>
    <x v="3"/>
    <x v="0"/>
    <x v="0"/>
    <x v="1"/>
    <n v="13063.77"/>
    <n v="7"/>
    <n v="919.67"/>
    <x v="2"/>
    <x v="0"/>
    <x v="6"/>
    <n v="1"/>
    <s v="Aug"/>
    <m/>
    <m/>
  </r>
  <r>
    <x v="338"/>
    <x v="103"/>
    <x v="7"/>
    <x v="4"/>
    <x v="1"/>
    <x v="0"/>
    <x v="7"/>
    <n v="19511.96"/>
    <n v="9"/>
    <n v="3592.28"/>
    <x v="2"/>
    <x v="0"/>
    <x v="1"/>
    <n v="9"/>
    <s v="Dec"/>
    <m/>
    <m/>
  </r>
  <r>
    <x v="339"/>
    <x v="0"/>
    <x v="4"/>
    <x v="4"/>
    <x v="0"/>
    <x v="0"/>
    <x v="7"/>
    <n v="3861.56"/>
    <n v="3"/>
    <n v="788.54"/>
    <x v="2"/>
    <x v="0"/>
    <x v="0"/>
    <n v="28"/>
    <s v="Sep"/>
    <m/>
    <m/>
  </r>
  <r>
    <x v="340"/>
    <x v="220"/>
    <x v="1"/>
    <x v="1"/>
    <x v="1"/>
    <x v="2"/>
    <x v="8"/>
    <n v="5630.69"/>
    <n v="7"/>
    <n v="337.23"/>
    <x v="2"/>
    <x v="0"/>
    <x v="7"/>
    <n v="30"/>
    <s v="Jun"/>
    <m/>
    <m/>
  </r>
  <r>
    <x v="341"/>
    <x v="202"/>
    <x v="4"/>
    <x v="4"/>
    <x v="2"/>
    <x v="2"/>
    <x v="8"/>
    <n v="12929.68"/>
    <n v="1"/>
    <n v="3699.71"/>
    <x v="2"/>
    <x v="0"/>
    <x v="1"/>
    <n v="26"/>
    <s v="Dec"/>
    <m/>
    <m/>
  </r>
  <r>
    <x v="342"/>
    <x v="2"/>
    <x v="3"/>
    <x v="3"/>
    <x v="2"/>
    <x v="0"/>
    <x v="1"/>
    <n v="2770.4"/>
    <n v="7"/>
    <n v="401.13"/>
    <x v="2"/>
    <x v="0"/>
    <x v="2"/>
    <n v="29"/>
    <s v="Jul"/>
    <m/>
    <m/>
  </r>
  <r>
    <x v="343"/>
    <x v="221"/>
    <x v="8"/>
    <x v="4"/>
    <x v="0"/>
    <x v="2"/>
    <x v="5"/>
    <n v="44238.62"/>
    <n v="7"/>
    <n v="10311.209999999999"/>
    <x v="0"/>
    <x v="0"/>
    <x v="9"/>
    <n v="30"/>
    <s v="May"/>
    <m/>
    <m/>
  </r>
  <r>
    <x v="344"/>
    <x v="222"/>
    <x v="2"/>
    <x v="2"/>
    <x v="1"/>
    <x v="0"/>
    <x v="7"/>
    <n v="34979.96"/>
    <n v="3"/>
    <n v="6888.91"/>
    <x v="1"/>
    <x v="0"/>
    <x v="3"/>
    <n v="8"/>
    <s v="Apr"/>
    <m/>
    <m/>
  </r>
  <r>
    <x v="345"/>
    <x v="95"/>
    <x v="3"/>
    <x v="3"/>
    <x v="0"/>
    <x v="2"/>
    <x v="5"/>
    <n v="48862.53"/>
    <n v="4"/>
    <n v="12427.15"/>
    <x v="0"/>
    <x v="0"/>
    <x v="7"/>
    <n v="8"/>
    <s v="Jun"/>
    <m/>
    <m/>
  </r>
  <r>
    <x v="346"/>
    <x v="223"/>
    <x v="7"/>
    <x v="4"/>
    <x v="1"/>
    <x v="0"/>
    <x v="1"/>
    <n v="8542.52"/>
    <n v="9"/>
    <n v="1149.1300000000001"/>
    <x v="2"/>
    <x v="0"/>
    <x v="10"/>
    <n v="8"/>
    <s v="Oct"/>
    <m/>
    <m/>
  </r>
  <r>
    <x v="347"/>
    <x v="81"/>
    <x v="0"/>
    <x v="0"/>
    <x v="2"/>
    <x v="0"/>
    <x v="0"/>
    <n v="27306.13"/>
    <n v="6"/>
    <n v="6925.83"/>
    <x v="1"/>
    <x v="0"/>
    <x v="5"/>
    <n v="26"/>
    <s v="Nov"/>
    <m/>
    <m/>
  </r>
  <r>
    <x v="348"/>
    <x v="135"/>
    <x v="4"/>
    <x v="4"/>
    <x v="2"/>
    <x v="0"/>
    <x v="0"/>
    <n v="6233.07"/>
    <n v="2"/>
    <n v="1160.33"/>
    <x v="2"/>
    <x v="0"/>
    <x v="0"/>
    <n v="23"/>
    <s v="Sep"/>
    <m/>
    <m/>
  </r>
  <r>
    <x v="349"/>
    <x v="52"/>
    <x v="7"/>
    <x v="4"/>
    <x v="0"/>
    <x v="1"/>
    <x v="3"/>
    <n v="16041.6"/>
    <n v="4"/>
    <n v="3108.36"/>
    <x v="2"/>
    <x v="0"/>
    <x v="11"/>
    <n v="20"/>
    <s v="Jan"/>
    <m/>
    <m/>
  </r>
  <r>
    <x v="350"/>
    <x v="123"/>
    <x v="7"/>
    <x v="4"/>
    <x v="1"/>
    <x v="0"/>
    <x v="0"/>
    <n v="32906.46"/>
    <n v="10"/>
    <n v="2385.66"/>
    <x v="1"/>
    <x v="0"/>
    <x v="8"/>
    <n v="3"/>
    <s v="Feb"/>
    <m/>
    <m/>
  </r>
  <r>
    <x v="351"/>
    <x v="224"/>
    <x v="3"/>
    <x v="3"/>
    <x v="0"/>
    <x v="2"/>
    <x v="8"/>
    <n v="37239.54"/>
    <n v="7"/>
    <n v="2504.85"/>
    <x v="1"/>
    <x v="0"/>
    <x v="4"/>
    <n v="3"/>
    <s v="Mar"/>
    <m/>
    <m/>
  </r>
  <r>
    <x v="352"/>
    <x v="225"/>
    <x v="3"/>
    <x v="3"/>
    <x v="1"/>
    <x v="2"/>
    <x v="8"/>
    <n v="4483.34"/>
    <n v="9"/>
    <n v="1083.8"/>
    <x v="2"/>
    <x v="0"/>
    <x v="10"/>
    <n v="3"/>
    <s v="Oct"/>
    <m/>
    <m/>
  </r>
  <r>
    <x v="353"/>
    <x v="226"/>
    <x v="7"/>
    <x v="4"/>
    <x v="2"/>
    <x v="2"/>
    <x v="5"/>
    <n v="48213.14"/>
    <n v="6"/>
    <n v="10326.15"/>
    <x v="0"/>
    <x v="0"/>
    <x v="8"/>
    <n v="8"/>
    <s v="Feb"/>
    <m/>
    <m/>
  </r>
  <r>
    <x v="354"/>
    <x v="105"/>
    <x v="3"/>
    <x v="3"/>
    <x v="2"/>
    <x v="1"/>
    <x v="4"/>
    <n v="42851.99"/>
    <n v="5"/>
    <n v="9496.2099999999991"/>
    <x v="0"/>
    <x v="0"/>
    <x v="7"/>
    <n v="10"/>
    <s v="Jun"/>
    <m/>
    <m/>
  </r>
  <r>
    <x v="355"/>
    <x v="56"/>
    <x v="2"/>
    <x v="2"/>
    <x v="0"/>
    <x v="1"/>
    <x v="3"/>
    <n v="1320.69"/>
    <n v="2"/>
    <n v="152.43"/>
    <x v="2"/>
    <x v="0"/>
    <x v="4"/>
    <n v="2"/>
    <s v="Mar"/>
    <m/>
    <m/>
  </r>
  <r>
    <x v="356"/>
    <x v="227"/>
    <x v="8"/>
    <x v="4"/>
    <x v="1"/>
    <x v="2"/>
    <x v="6"/>
    <n v="27600.51"/>
    <n v="4"/>
    <n v="6255.76"/>
    <x v="1"/>
    <x v="0"/>
    <x v="7"/>
    <n v="16"/>
    <s v="Jun"/>
    <m/>
    <m/>
  </r>
  <r>
    <x v="357"/>
    <x v="228"/>
    <x v="1"/>
    <x v="1"/>
    <x v="0"/>
    <x v="0"/>
    <x v="1"/>
    <n v="36776.78"/>
    <n v="10"/>
    <n v="9228.1200000000008"/>
    <x v="1"/>
    <x v="0"/>
    <x v="11"/>
    <n v="16"/>
    <s v="Jan"/>
    <m/>
    <m/>
  </r>
  <r>
    <x v="358"/>
    <x v="66"/>
    <x v="5"/>
    <x v="1"/>
    <x v="1"/>
    <x v="2"/>
    <x v="6"/>
    <n v="23572.9"/>
    <n v="9"/>
    <n v="2990.66"/>
    <x v="1"/>
    <x v="0"/>
    <x v="10"/>
    <n v="15"/>
    <s v="Oct"/>
    <m/>
    <m/>
  </r>
  <r>
    <x v="359"/>
    <x v="16"/>
    <x v="5"/>
    <x v="1"/>
    <x v="2"/>
    <x v="0"/>
    <x v="1"/>
    <n v="47935.1"/>
    <n v="5"/>
    <n v="13700.82"/>
    <x v="0"/>
    <x v="0"/>
    <x v="5"/>
    <n v="29"/>
    <s v="Nov"/>
    <m/>
    <m/>
  </r>
  <r>
    <x v="360"/>
    <x v="139"/>
    <x v="6"/>
    <x v="5"/>
    <x v="2"/>
    <x v="1"/>
    <x v="2"/>
    <n v="48787.24"/>
    <n v="5"/>
    <n v="4438.05"/>
    <x v="0"/>
    <x v="0"/>
    <x v="10"/>
    <n v="28"/>
    <s v="Oct"/>
    <m/>
    <m/>
  </r>
  <r>
    <x v="361"/>
    <x v="177"/>
    <x v="8"/>
    <x v="4"/>
    <x v="0"/>
    <x v="1"/>
    <x v="4"/>
    <n v="40509.99"/>
    <n v="10"/>
    <n v="9829.24"/>
    <x v="0"/>
    <x v="0"/>
    <x v="10"/>
    <n v="16"/>
    <s v="Oct"/>
    <m/>
    <m/>
  </r>
  <r>
    <x v="362"/>
    <x v="51"/>
    <x v="3"/>
    <x v="3"/>
    <x v="1"/>
    <x v="0"/>
    <x v="7"/>
    <n v="48237.08"/>
    <n v="4"/>
    <n v="9886.32"/>
    <x v="0"/>
    <x v="0"/>
    <x v="4"/>
    <n v="21"/>
    <s v="Mar"/>
    <m/>
    <m/>
  </r>
  <r>
    <x v="363"/>
    <x v="229"/>
    <x v="8"/>
    <x v="4"/>
    <x v="0"/>
    <x v="2"/>
    <x v="6"/>
    <n v="8457.08"/>
    <n v="3"/>
    <n v="618.28"/>
    <x v="2"/>
    <x v="0"/>
    <x v="10"/>
    <n v="9"/>
    <s v="Oct"/>
    <m/>
    <m/>
  </r>
  <r>
    <x v="364"/>
    <x v="230"/>
    <x v="5"/>
    <x v="1"/>
    <x v="1"/>
    <x v="2"/>
    <x v="6"/>
    <n v="38741.599999999999"/>
    <n v="2"/>
    <n v="3876.42"/>
    <x v="1"/>
    <x v="0"/>
    <x v="2"/>
    <n v="3"/>
    <s v="Jul"/>
    <m/>
    <m/>
  </r>
  <r>
    <x v="365"/>
    <x v="231"/>
    <x v="4"/>
    <x v="4"/>
    <x v="2"/>
    <x v="0"/>
    <x v="7"/>
    <n v="2389.33"/>
    <n v="2"/>
    <n v="314.41000000000003"/>
    <x v="2"/>
    <x v="0"/>
    <x v="0"/>
    <n v="16"/>
    <s v="Sep"/>
    <m/>
    <m/>
  </r>
  <r>
    <x v="366"/>
    <x v="232"/>
    <x v="2"/>
    <x v="2"/>
    <x v="2"/>
    <x v="0"/>
    <x v="1"/>
    <n v="49373.38"/>
    <n v="5"/>
    <n v="3614.64"/>
    <x v="0"/>
    <x v="0"/>
    <x v="1"/>
    <n v="11"/>
    <s v="Dec"/>
    <m/>
    <m/>
  </r>
  <r>
    <x v="367"/>
    <x v="33"/>
    <x v="7"/>
    <x v="4"/>
    <x v="0"/>
    <x v="1"/>
    <x v="3"/>
    <n v="8784.44"/>
    <n v="3"/>
    <n v="2460.11"/>
    <x v="2"/>
    <x v="0"/>
    <x v="3"/>
    <n v="23"/>
    <s v="Apr"/>
    <m/>
    <m/>
  </r>
  <r>
    <x v="368"/>
    <x v="89"/>
    <x v="3"/>
    <x v="3"/>
    <x v="1"/>
    <x v="1"/>
    <x v="2"/>
    <n v="23978.25"/>
    <n v="2"/>
    <n v="4700.3500000000004"/>
    <x v="1"/>
    <x v="0"/>
    <x v="7"/>
    <n v="27"/>
    <s v="Jun"/>
    <m/>
    <m/>
  </r>
  <r>
    <x v="369"/>
    <x v="82"/>
    <x v="0"/>
    <x v="0"/>
    <x v="0"/>
    <x v="2"/>
    <x v="8"/>
    <n v="45270.46"/>
    <n v="3"/>
    <n v="8514.58"/>
    <x v="0"/>
    <x v="0"/>
    <x v="10"/>
    <n v="22"/>
    <s v="Oct"/>
    <m/>
    <m/>
  </r>
  <r>
    <x v="370"/>
    <x v="233"/>
    <x v="6"/>
    <x v="5"/>
    <x v="1"/>
    <x v="0"/>
    <x v="1"/>
    <n v="45850.91"/>
    <n v="2"/>
    <n v="6963.28"/>
    <x v="0"/>
    <x v="0"/>
    <x v="3"/>
    <n v="7"/>
    <s v="Apr"/>
    <m/>
    <m/>
  </r>
  <r>
    <x v="371"/>
    <x v="174"/>
    <x v="3"/>
    <x v="3"/>
    <x v="2"/>
    <x v="0"/>
    <x v="7"/>
    <n v="49704.45"/>
    <n v="1"/>
    <n v="6338.36"/>
    <x v="0"/>
    <x v="0"/>
    <x v="11"/>
    <n v="1"/>
    <s v="Jan"/>
    <m/>
    <m/>
  </r>
  <r>
    <x v="372"/>
    <x v="193"/>
    <x v="0"/>
    <x v="0"/>
    <x v="2"/>
    <x v="1"/>
    <x v="4"/>
    <n v="7689.17"/>
    <n v="2"/>
    <n v="2073.4699999999998"/>
    <x v="2"/>
    <x v="0"/>
    <x v="7"/>
    <n v="23"/>
    <s v="Jun"/>
    <m/>
    <m/>
  </r>
  <r>
    <x v="373"/>
    <x v="205"/>
    <x v="7"/>
    <x v="4"/>
    <x v="0"/>
    <x v="0"/>
    <x v="1"/>
    <n v="11067.26"/>
    <n v="3"/>
    <n v="2295.61"/>
    <x v="2"/>
    <x v="0"/>
    <x v="3"/>
    <n v="4"/>
    <s v="Apr"/>
    <m/>
    <m/>
  </r>
  <r>
    <x v="374"/>
    <x v="164"/>
    <x v="2"/>
    <x v="2"/>
    <x v="1"/>
    <x v="0"/>
    <x v="1"/>
    <n v="4039.27"/>
    <n v="4"/>
    <n v="706.06"/>
    <x v="2"/>
    <x v="0"/>
    <x v="10"/>
    <n v="21"/>
    <s v="Oct"/>
    <m/>
    <m/>
  </r>
  <r>
    <x v="375"/>
    <x v="234"/>
    <x v="3"/>
    <x v="3"/>
    <x v="0"/>
    <x v="0"/>
    <x v="7"/>
    <n v="21927.99"/>
    <n v="1"/>
    <n v="3544.98"/>
    <x v="1"/>
    <x v="0"/>
    <x v="7"/>
    <n v="7"/>
    <s v="Jun"/>
    <m/>
    <m/>
  </r>
  <r>
    <x v="376"/>
    <x v="73"/>
    <x v="5"/>
    <x v="1"/>
    <x v="1"/>
    <x v="2"/>
    <x v="5"/>
    <n v="5975.75"/>
    <n v="2"/>
    <n v="329.14"/>
    <x v="2"/>
    <x v="0"/>
    <x v="9"/>
    <n v="11"/>
    <s v="May"/>
    <m/>
    <m/>
  </r>
  <r>
    <x v="377"/>
    <x v="235"/>
    <x v="0"/>
    <x v="0"/>
    <x v="2"/>
    <x v="2"/>
    <x v="6"/>
    <n v="20190.7"/>
    <n v="3"/>
    <n v="2927.7"/>
    <x v="1"/>
    <x v="0"/>
    <x v="0"/>
    <n v="22"/>
    <s v="Sep"/>
    <m/>
    <m/>
  </r>
  <r>
    <x v="378"/>
    <x v="40"/>
    <x v="3"/>
    <x v="3"/>
    <x v="2"/>
    <x v="2"/>
    <x v="6"/>
    <n v="13485.54"/>
    <n v="7"/>
    <n v="3010.14"/>
    <x v="2"/>
    <x v="0"/>
    <x v="8"/>
    <n v="10"/>
    <s v="Feb"/>
    <m/>
    <m/>
  </r>
  <r>
    <x v="379"/>
    <x v="105"/>
    <x v="1"/>
    <x v="1"/>
    <x v="0"/>
    <x v="0"/>
    <x v="7"/>
    <n v="21403.96"/>
    <n v="2"/>
    <n v="5457.97"/>
    <x v="1"/>
    <x v="0"/>
    <x v="7"/>
    <n v="10"/>
    <s v="Jun"/>
    <m/>
    <m/>
  </r>
  <r>
    <x v="380"/>
    <x v="58"/>
    <x v="3"/>
    <x v="3"/>
    <x v="1"/>
    <x v="0"/>
    <x v="0"/>
    <n v="28745.93"/>
    <n v="8"/>
    <n v="6468.31"/>
    <x v="1"/>
    <x v="0"/>
    <x v="10"/>
    <n v="17"/>
    <s v="Oct"/>
    <m/>
    <m/>
  </r>
  <r>
    <x v="381"/>
    <x v="236"/>
    <x v="5"/>
    <x v="1"/>
    <x v="0"/>
    <x v="1"/>
    <x v="4"/>
    <n v="7482.71"/>
    <n v="5"/>
    <n v="437.89"/>
    <x v="2"/>
    <x v="0"/>
    <x v="2"/>
    <n v="9"/>
    <s v="Jul"/>
    <m/>
    <m/>
  </r>
  <r>
    <x v="382"/>
    <x v="155"/>
    <x v="7"/>
    <x v="4"/>
    <x v="1"/>
    <x v="1"/>
    <x v="2"/>
    <n v="46251.07"/>
    <n v="7"/>
    <n v="2777.42"/>
    <x v="0"/>
    <x v="0"/>
    <x v="1"/>
    <n v="6"/>
    <s v="Dec"/>
    <m/>
    <m/>
  </r>
  <r>
    <x v="383"/>
    <x v="223"/>
    <x v="3"/>
    <x v="3"/>
    <x v="2"/>
    <x v="1"/>
    <x v="3"/>
    <n v="19948.55"/>
    <n v="4"/>
    <n v="1195.3"/>
    <x v="2"/>
    <x v="0"/>
    <x v="10"/>
    <n v="8"/>
    <s v="Oct"/>
    <m/>
    <m/>
  </r>
  <r>
    <x v="384"/>
    <x v="95"/>
    <x v="1"/>
    <x v="1"/>
    <x v="2"/>
    <x v="1"/>
    <x v="4"/>
    <n v="5721.76"/>
    <n v="7"/>
    <n v="1413.25"/>
    <x v="2"/>
    <x v="0"/>
    <x v="7"/>
    <n v="8"/>
    <s v="Jun"/>
    <m/>
    <m/>
  </r>
  <r>
    <x v="385"/>
    <x v="111"/>
    <x v="5"/>
    <x v="1"/>
    <x v="0"/>
    <x v="1"/>
    <x v="4"/>
    <n v="20443.47"/>
    <n v="4"/>
    <n v="3275.27"/>
    <x v="1"/>
    <x v="0"/>
    <x v="10"/>
    <n v="5"/>
    <s v="Oct"/>
    <m/>
    <m/>
  </r>
  <r>
    <x v="386"/>
    <x v="185"/>
    <x v="2"/>
    <x v="2"/>
    <x v="1"/>
    <x v="2"/>
    <x v="8"/>
    <n v="33096.26"/>
    <n v="6"/>
    <n v="3046.86"/>
    <x v="1"/>
    <x v="0"/>
    <x v="7"/>
    <n v="11"/>
    <s v="Jun"/>
    <m/>
    <m/>
  </r>
  <r>
    <x v="387"/>
    <x v="170"/>
    <x v="4"/>
    <x v="4"/>
    <x v="0"/>
    <x v="1"/>
    <x v="2"/>
    <n v="48615.63"/>
    <n v="4"/>
    <n v="12402.67"/>
    <x v="0"/>
    <x v="0"/>
    <x v="6"/>
    <n v="8"/>
    <s v="Aug"/>
    <m/>
    <m/>
  </r>
  <r>
    <x v="388"/>
    <x v="188"/>
    <x v="3"/>
    <x v="3"/>
    <x v="1"/>
    <x v="0"/>
    <x v="0"/>
    <n v="41877.24"/>
    <n v="6"/>
    <n v="12432.71"/>
    <x v="0"/>
    <x v="0"/>
    <x v="8"/>
    <n v="19"/>
    <s v="Feb"/>
    <m/>
    <m/>
  </r>
  <r>
    <x v="389"/>
    <x v="237"/>
    <x v="3"/>
    <x v="3"/>
    <x v="2"/>
    <x v="2"/>
    <x v="6"/>
    <n v="21423.18"/>
    <n v="6"/>
    <n v="2642.67"/>
    <x v="1"/>
    <x v="0"/>
    <x v="2"/>
    <n v="22"/>
    <s v="Jul"/>
    <m/>
    <m/>
  </r>
  <r>
    <x v="390"/>
    <x v="228"/>
    <x v="5"/>
    <x v="1"/>
    <x v="2"/>
    <x v="0"/>
    <x v="0"/>
    <n v="12449.38"/>
    <n v="7"/>
    <n v="786.53"/>
    <x v="2"/>
    <x v="0"/>
    <x v="11"/>
    <n v="16"/>
    <s v="Jan"/>
    <m/>
    <m/>
  </r>
  <r>
    <x v="391"/>
    <x v="84"/>
    <x v="1"/>
    <x v="1"/>
    <x v="0"/>
    <x v="1"/>
    <x v="2"/>
    <n v="12941.19"/>
    <n v="4"/>
    <n v="1257.8900000000001"/>
    <x v="2"/>
    <x v="0"/>
    <x v="10"/>
    <n v="12"/>
    <s v="Oct"/>
    <m/>
    <m/>
  </r>
  <r>
    <x v="392"/>
    <x v="26"/>
    <x v="5"/>
    <x v="1"/>
    <x v="1"/>
    <x v="1"/>
    <x v="3"/>
    <n v="22201.1"/>
    <n v="6"/>
    <n v="4513.6000000000004"/>
    <x v="1"/>
    <x v="0"/>
    <x v="6"/>
    <n v="28"/>
    <s v="Aug"/>
    <m/>
    <m/>
  </r>
  <r>
    <x v="393"/>
    <x v="114"/>
    <x v="7"/>
    <x v="4"/>
    <x v="0"/>
    <x v="0"/>
    <x v="0"/>
    <n v="32017.52"/>
    <n v="9"/>
    <n v="6657.95"/>
    <x v="1"/>
    <x v="0"/>
    <x v="2"/>
    <n v="5"/>
    <s v="Jul"/>
    <m/>
    <m/>
  </r>
  <r>
    <x v="394"/>
    <x v="238"/>
    <x v="5"/>
    <x v="1"/>
    <x v="1"/>
    <x v="0"/>
    <x v="7"/>
    <n v="9140.99"/>
    <n v="9"/>
    <n v="1852.84"/>
    <x v="2"/>
    <x v="0"/>
    <x v="3"/>
    <n v="26"/>
    <s v="Apr"/>
    <m/>
    <m/>
  </r>
  <r>
    <x v="395"/>
    <x v="107"/>
    <x v="0"/>
    <x v="0"/>
    <x v="2"/>
    <x v="1"/>
    <x v="3"/>
    <n v="31801.74"/>
    <n v="5"/>
    <n v="4975.09"/>
    <x v="1"/>
    <x v="0"/>
    <x v="4"/>
    <n v="11"/>
    <s v="Mar"/>
    <m/>
    <m/>
  </r>
  <r>
    <x v="396"/>
    <x v="78"/>
    <x v="3"/>
    <x v="3"/>
    <x v="2"/>
    <x v="0"/>
    <x v="7"/>
    <n v="18034.93"/>
    <n v="1"/>
    <n v="2248.6999999999998"/>
    <x v="2"/>
    <x v="0"/>
    <x v="0"/>
    <n v="11"/>
    <s v="Sep"/>
    <m/>
    <m/>
  </r>
  <r>
    <x v="397"/>
    <x v="35"/>
    <x v="7"/>
    <x v="4"/>
    <x v="0"/>
    <x v="0"/>
    <x v="1"/>
    <n v="29008.89"/>
    <n v="3"/>
    <n v="6564.12"/>
    <x v="1"/>
    <x v="0"/>
    <x v="11"/>
    <n v="15"/>
    <s v="Jan"/>
    <m/>
    <m/>
  </r>
  <r>
    <x v="398"/>
    <x v="239"/>
    <x v="3"/>
    <x v="3"/>
    <x v="1"/>
    <x v="0"/>
    <x v="7"/>
    <n v="23170.27"/>
    <n v="7"/>
    <n v="3487.51"/>
    <x v="1"/>
    <x v="0"/>
    <x v="0"/>
    <n v="2"/>
    <s v="Sep"/>
    <m/>
    <m/>
  </r>
  <r>
    <x v="399"/>
    <x v="216"/>
    <x v="3"/>
    <x v="3"/>
    <x v="0"/>
    <x v="0"/>
    <x v="0"/>
    <n v="17142.79"/>
    <n v="5"/>
    <n v="4739.3999999999996"/>
    <x v="2"/>
    <x v="0"/>
    <x v="10"/>
    <n v="26"/>
    <s v="Oct"/>
    <m/>
    <m/>
  </r>
  <r>
    <x v="400"/>
    <x v="168"/>
    <x v="3"/>
    <x v="3"/>
    <x v="1"/>
    <x v="0"/>
    <x v="7"/>
    <n v="2524.96"/>
    <n v="4"/>
    <n v="350.09"/>
    <x v="2"/>
    <x v="0"/>
    <x v="0"/>
    <n v="19"/>
    <s v="Sep"/>
    <m/>
    <m/>
  </r>
  <r>
    <x v="401"/>
    <x v="42"/>
    <x v="2"/>
    <x v="2"/>
    <x v="2"/>
    <x v="1"/>
    <x v="3"/>
    <n v="42834.37"/>
    <n v="4"/>
    <n v="4416.7700000000004"/>
    <x v="0"/>
    <x v="0"/>
    <x v="6"/>
    <n v="17"/>
    <s v="Aug"/>
    <m/>
    <m/>
  </r>
  <r>
    <x v="402"/>
    <x v="156"/>
    <x v="7"/>
    <x v="4"/>
    <x v="2"/>
    <x v="1"/>
    <x v="4"/>
    <n v="42841.86"/>
    <n v="5"/>
    <n v="9517.9500000000007"/>
    <x v="0"/>
    <x v="0"/>
    <x v="8"/>
    <n v="17"/>
    <s v="Feb"/>
    <m/>
    <m/>
  </r>
  <r>
    <x v="403"/>
    <x v="71"/>
    <x v="7"/>
    <x v="4"/>
    <x v="0"/>
    <x v="0"/>
    <x v="7"/>
    <n v="11685.69"/>
    <n v="7"/>
    <n v="1915.68"/>
    <x v="2"/>
    <x v="0"/>
    <x v="2"/>
    <n v="28"/>
    <s v="Jul"/>
    <m/>
    <m/>
  </r>
  <r>
    <x v="404"/>
    <x v="154"/>
    <x v="2"/>
    <x v="2"/>
    <x v="1"/>
    <x v="1"/>
    <x v="2"/>
    <n v="19564.080000000002"/>
    <n v="4"/>
    <n v="5174.68"/>
    <x v="2"/>
    <x v="0"/>
    <x v="0"/>
    <n v="12"/>
    <s v="Sep"/>
    <m/>
    <m/>
  </r>
  <r>
    <x v="405"/>
    <x v="240"/>
    <x v="5"/>
    <x v="1"/>
    <x v="0"/>
    <x v="0"/>
    <x v="7"/>
    <n v="19188.95"/>
    <n v="8"/>
    <n v="4252.95"/>
    <x v="2"/>
    <x v="0"/>
    <x v="0"/>
    <n v="21"/>
    <s v="Sep"/>
    <m/>
    <m/>
  </r>
  <r>
    <x v="406"/>
    <x v="162"/>
    <x v="6"/>
    <x v="5"/>
    <x v="1"/>
    <x v="0"/>
    <x v="0"/>
    <n v="48474.84"/>
    <n v="10"/>
    <n v="4164.55"/>
    <x v="0"/>
    <x v="0"/>
    <x v="3"/>
    <n v="14"/>
    <s v="Apr"/>
    <m/>
    <m/>
  </r>
  <r>
    <x v="407"/>
    <x v="241"/>
    <x v="6"/>
    <x v="5"/>
    <x v="2"/>
    <x v="0"/>
    <x v="1"/>
    <n v="36147.51"/>
    <n v="8"/>
    <n v="7327.76"/>
    <x v="1"/>
    <x v="0"/>
    <x v="11"/>
    <n v="7"/>
    <s v="Jan"/>
    <m/>
    <m/>
  </r>
  <r>
    <x v="408"/>
    <x v="80"/>
    <x v="1"/>
    <x v="1"/>
    <x v="2"/>
    <x v="0"/>
    <x v="1"/>
    <n v="15852.65"/>
    <n v="5"/>
    <n v="1225.72"/>
    <x v="2"/>
    <x v="0"/>
    <x v="6"/>
    <n v="16"/>
    <s v="Aug"/>
    <m/>
    <m/>
  </r>
  <r>
    <x v="409"/>
    <x v="242"/>
    <x v="4"/>
    <x v="4"/>
    <x v="0"/>
    <x v="2"/>
    <x v="5"/>
    <n v="39386.74"/>
    <n v="8"/>
    <n v="5212.04"/>
    <x v="1"/>
    <x v="0"/>
    <x v="5"/>
    <n v="1"/>
    <s v="Nov"/>
    <m/>
    <m/>
  </r>
  <r>
    <x v="410"/>
    <x v="243"/>
    <x v="6"/>
    <x v="5"/>
    <x v="1"/>
    <x v="2"/>
    <x v="6"/>
    <n v="1072.04"/>
    <n v="1"/>
    <n v="258.16000000000003"/>
    <x v="2"/>
    <x v="0"/>
    <x v="5"/>
    <n v="4"/>
    <s v="Nov"/>
    <m/>
    <m/>
  </r>
  <r>
    <x v="411"/>
    <x v="220"/>
    <x v="5"/>
    <x v="1"/>
    <x v="0"/>
    <x v="0"/>
    <x v="1"/>
    <n v="34096.050000000003"/>
    <n v="5"/>
    <n v="8352.9"/>
    <x v="1"/>
    <x v="0"/>
    <x v="7"/>
    <n v="30"/>
    <s v="Jun"/>
    <m/>
    <m/>
  </r>
  <r>
    <x v="412"/>
    <x v="244"/>
    <x v="8"/>
    <x v="4"/>
    <x v="1"/>
    <x v="1"/>
    <x v="4"/>
    <n v="21431.4"/>
    <n v="6"/>
    <n v="3110.02"/>
    <x v="1"/>
    <x v="0"/>
    <x v="8"/>
    <n v="28"/>
    <s v="Feb"/>
    <m/>
    <m/>
  </r>
  <r>
    <x v="413"/>
    <x v="0"/>
    <x v="3"/>
    <x v="3"/>
    <x v="2"/>
    <x v="2"/>
    <x v="6"/>
    <n v="49809.53"/>
    <n v="10"/>
    <n v="12615.9"/>
    <x v="0"/>
    <x v="0"/>
    <x v="0"/>
    <n v="28"/>
    <s v="Sep"/>
    <m/>
    <m/>
  </r>
  <r>
    <x v="414"/>
    <x v="245"/>
    <x v="0"/>
    <x v="0"/>
    <x v="2"/>
    <x v="0"/>
    <x v="1"/>
    <n v="37457.269999999997"/>
    <n v="2"/>
    <n v="2038.02"/>
    <x v="1"/>
    <x v="0"/>
    <x v="6"/>
    <n v="30"/>
    <s v="Aug"/>
    <m/>
    <m/>
  </r>
  <r>
    <x v="415"/>
    <x v="110"/>
    <x v="2"/>
    <x v="2"/>
    <x v="0"/>
    <x v="1"/>
    <x v="2"/>
    <n v="9482.2900000000009"/>
    <n v="8"/>
    <n v="1193.25"/>
    <x v="2"/>
    <x v="0"/>
    <x v="1"/>
    <n v="5"/>
    <s v="Dec"/>
    <m/>
    <m/>
  </r>
  <r>
    <x v="416"/>
    <x v="246"/>
    <x v="4"/>
    <x v="4"/>
    <x v="1"/>
    <x v="1"/>
    <x v="3"/>
    <n v="35623"/>
    <n v="7"/>
    <n v="6475.03"/>
    <x v="1"/>
    <x v="0"/>
    <x v="7"/>
    <n v="22"/>
    <s v="Jun"/>
    <m/>
    <m/>
  </r>
  <r>
    <x v="417"/>
    <x v="121"/>
    <x v="3"/>
    <x v="3"/>
    <x v="0"/>
    <x v="2"/>
    <x v="8"/>
    <n v="46161.55"/>
    <n v="8"/>
    <n v="11578.56"/>
    <x v="0"/>
    <x v="0"/>
    <x v="11"/>
    <n v="27"/>
    <s v="Jan"/>
    <m/>
    <m/>
  </r>
  <r>
    <x v="418"/>
    <x v="33"/>
    <x v="1"/>
    <x v="1"/>
    <x v="1"/>
    <x v="1"/>
    <x v="2"/>
    <n v="14247.34"/>
    <n v="8"/>
    <n v="837.69"/>
    <x v="2"/>
    <x v="0"/>
    <x v="3"/>
    <n v="23"/>
    <s v="Apr"/>
    <m/>
    <m/>
  </r>
  <r>
    <x v="419"/>
    <x v="247"/>
    <x v="3"/>
    <x v="3"/>
    <x v="2"/>
    <x v="2"/>
    <x v="6"/>
    <n v="2003.36"/>
    <n v="5"/>
    <n v="300.98"/>
    <x v="2"/>
    <x v="1"/>
    <x v="11"/>
    <n v="1"/>
    <s v="Jan"/>
    <m/>
    <m/>
  </r>
  <r>
    <x v="420"/>
    <x v="248"/>
    <x v="6"/>
    <x v="5"/>
    <x v="2"/>
    <x v="0"/>
    <x v="0"/>
    <n v="25271.97"/>
    <n v="5"/>
    <n v="7144.62"/>
    <x v="1"/>
    <x v="0"/>
    <x v="3"/>
    <n v="13"/>
    <s v="Apr"/>
    <m/>
    <m/>
  </r>
  <r>
    <x v="421"/>
    <x v="56"/>
    <x v="6"/>
    <x v="5"/>
    <x v="0"/>
    <x v="1"/>
    <x v="2"/>
    <n v="37101.279999999999"/>
    <n v="10"/>
    <n v="7469.11"/>
    <x v="1"/>
    <x v="0"/>
    <x v="4"/>
    <n v="2"/>
    <s v="Mar"/>
    <m/>
    <m/>
  </r>
  <r>
    <x v="422"/>
    <x v="249"/>
    <x v="7"/>
    <x v="4"/>
    <x v="1"/>
    <x v="2"/>
    <x v="6"/>
    <n v="42041.48"/>
    <n v="3"/>
    <n v="3319.44"/>
    <x v="0"/>
    <x v="0"/>
    <x v="8"/>
    <n v="22"/>
    <s v="Feb"/>
    <m/>
    <m/>
  </r>
  <r>
    <x v="423"/>
    <x v="250"/>
    <x v="2"/>
    <x v="2"/>
    <x v="0"/>
    <x v="1"/>
    <x v="3"/>
    <n v="20704.54"/>
    <n v="3"/>
    <n v="2503.7199999999998"/>
    <x v="1"/>
    <x v="0"/>
    <x v="0"/>
    <n v="10"/>
    <s v="Sep"/>
    <m/>
    <m/>
  </r>
  <r>
    <x v="424"/>
    <x v="251"/>
    <x v="5"/>
    <x v="1"/>
    <x v="1"/>
    <x v="1"/>
    <x v="2"/>
    <n v="22455.3"/>
    <n v="10"/>
    <n v="3904.62"/>
    <x v="1"/>
    <x v="0"/>
    <x v="3"/>
    <n v="29"/>
    <s v="Apr"/>
    <m/>
    <m/>
  </r>
  <r>
    <x v="425"/>
    <x v="169"/>
    <x v="6"/>
    <x v="5"/>
    <x v="2"/>
    <x v="2"/>
    <x v="6"/>
    <n v="6038.12"/>
    <n v="3"/>
    <n v="525.65"/>
    <x v="2"/>
    <x v="0"/>
    <x v="4"/>
    <n v="6"/>
    <s v="Mar"/>
    <m/>
    <m/>
  </r>
  <r>
    <x v="426"/>
    <x v="252"/>
    <x v="6"/>
    <x v="5"/>
    <x v="2"/>
    <x v="2"/>
    <x v="6"/>
    <n v="48326.83"/>
    <n v="4"/>
    <n v="3436.06"/>
    <x v="0"/>
    <x v="0"/>
    <x v="9"/>
    <n v="12"/>
    <s v="May"/>
    <m/>
    <m/>
  </r>
  <r>
    <x v="427"/>
    <x v="253"/>
    <x v="5"/>
    <x v="1"/>
    <x v="0"/>
    <x v="1"/>
    <x v="2"/>
    <n v="9672.61"/>
    <n v="2"/>
    <n v="984.08"/>
    <x v="2"/>
    <x v="0"/>
    <x v="1"/>
    <n v="24"/>
    <s v="Dec"/>
    <m/>
    <m/>
  </r>
  <r>
    <x v="428"/>
    <x v="34"/>
    <x v="0"/>
    <x v="0"/>
    <x v="1"/>
    <x v="2"/>
    <x v="8"/>
    <n v="19904.45"/>
    <n v="9"/>
    <n v="5096.17"/>
    <x v="2"/>
    <x v="0"/>
    <x v="5"/>
    <n v="17"/>
    <s v="Nov"/>
    <m/>
    <m/>
  </r>
  <r>
    <x v="429"/>
    <x v="221"/>
    <x v="1"/>
    <x v="1"/>
    <x v="0"/>
    <x v="2"/>
    <x v="8"/>
    <n v="16944.29"/>
    <n v="4"/>
    <n v="3322.86"/>
    <x v="2"/>
    <x v="0"/>
    <x v="9"/>
    <n v="30"/>
    <s v="May"/>
    <m/>
    <m/>
  </r>
  <r>
    <x v="430"/>
    <x v="56"/>
    <x v="4"/>
    <x v="4"/>
    <x v="1"/>
    <x v="2"/>
    <x v="6"/>
    <n v="26079.08"/>
    <n v="4"/>
    <n v="4882.3900000000003"/>
    <x v="1"/>
    <x v="0"/>
    <x v="4"/>
    <n v="2"/>
    <s v="Mar"/>
    <m/>
    <m/>
  </r>
  <r>
    <x v="431"/>
    <x v="15"/>
    <x v="8"/>
    <x v="4"/>
    <x v="2"/>
    <x v="0"/>
    <x v="1"/>
    <n v="7671.29"/>
    <n v="2"/>
    <n v="1004.67"/>
    <x v="2"/>
    <x v="0"/>
    <x v="2"/>
    <n v="12"/>
    <s v="Jul"/>
    <m/>
    <m/>
  </r>
  <r>
    <x v="432"/>
    <x v="254"/>
    <x v="8"/>
    <x v="4"/>
    <x v="2"/>
    <x v="0"/>
    <x v="7"/>
    <n v="1166.95"/>
    <n v="8"/>
    <n v="238.76"/>
    <x v="2"/>
    <x v="0"/>
    <x v="4"/>
    <n v="30"/>
    <s v="Mar"/>
    <m/>
    <m/>
  </r>
  <r>
    <x v="433"/>
    <x v="79"/>
    <x v="0"/>
    <x v="0"/>
    <x v="0"/>
    <x v="1"/>
    <x v="4"/>
    <n v="35047.11"/>
    <n v="5"/>
    <n v="8499.74"/>
    <x v="1"/>
    <x v="0"/>
    <x v="3"/>
    <n v="10"/>
    <s v="Apr"/>
    <m/>
    <m/>
  </r>
  <r>
    <x v="434"/>
    <x v="221"/>
    <x v="5"/>
    <x v="1"/>
    <x v="1"/>
    <x v="1"/>
    <x v="2"/>
    <n v="40670.42"/>
    <n v="2"/>
    <n v="2326.37"/>
    <x v="0"/>
    <x v="0"/>
    <x v="9"/>
    <n v="30"/>
    <s v="May"/>
    <m/>
    <m/>
  </r>
  <r>
    <x v="435"/>
    <x v="103"/>
    <x v="3"/>
    <x v="3"/>
    <x v="0"/>
    <x v="1"/>
    <x v="4"/>
    <n v="24434.99"/>
    <n v="6"/>
    <n v="4352.29"/>
    <x v="1"/>
    <x v="0"/>
    <x v="1"/>
    <n v="9"/>
    <s v="Dec"/>
    <m/>
    <m/>
  </r>
  <r>
    <x v="436"/>
    <x v="247"/>
    <x v="6"/>
    <x v="5"/>
    <x v="1"/>
    <x v="1"/>
    <x v="2"/>
    <n v="46015.08"/>
    <n v="6"/>
    <n v="11461.24"/>
    <x v="0"/>
    <x v="1"/>
    <x v="11"/>
    <n v="1"/>
    <s v="Jan"/>
    <m/>
    <m/>
  </r>
  <r>
    <x v="437"/>
    <x v="255"/>
    <x v="6"/>
    <x v="5"/>
    <x v="2"/>
    <x v="2"/>
    <x v="6"/>
    <n v="1292.73"/>
    <n v="7"/>
    <n v="383.69"/>
    <x v="2"/>
    <x v="0"/>
    <x v="10"/>
    <n v="20"/>
    <s v="Oct"/>
    <m/>
    <m/>
  </r>
  <r>
    <x v="438"/>
    <x v="256"/>
    <x v="5"/>
    <x v="1"/>
    <x v="2"/>
    <x v="1"/>
    <x v="4"/>
    <n v="9874.76"/>
    <n v="3"/>
    <n v="1358.17"/>
    <x v="2"/>
    <x v="0"/>
    <x v="7"/>
    <n v="4"/>
    <s v="Jun"/>
    <m/>
    <m/>
  </r>
  <r>
    <x v="439"/>
    <x v="64"/>
    <x v="3"/>
    <x v="3"/>
    <x v="0"/>
    <x v="1"/>
    <x v="4"/>
    <n v="15146.54"/>
    <n v="2"/>
    <n v="2336.02"/>
    <x v="2"/>
    <x v="0"/>
    <x v="2"/>
    <n v="30"/>
    <s v="Jul"/>
    <m/>
    <m/>
  </r>
  <r>
    <x v="440"/>
    <x v="142"/>
    <x v="8"/>
    <x v="4"/>
    <x v="1"/>
    <x v="2"/>
    <x v="5"/>
    <n v="34618.480000000003"/>
    <n v="3"/>
    <n v="5814.36"/>
    <x v="1"/>
    <x v="0"/>
    <x v="8"/>
    <n v="2"/>
    <s v="Feb"/>
    <m/>
    <m/>
  </r>
  <r>
    <x v="441"/>
    <x v="77"/>
    <x v="3"/>
    <x v="3"/>
    <x v="0"/>
    <x v="2"/>
    <x v="8"/>
    <n v="46015.64"/>
    <n v="2"/>
    <n v="6821.68"/>
    <x v="0"/>
    <x v="0"/>
    <x v="6"/>
    <n v="29"/>
    <s v="Aug"/>
    <m/>
    <m/>
  </r>
  <r>
    <x v="442"/>
    <x v="257"/>
    <x v="8"/>
    <x v="4"/>
    <x v="1"/>
    <x v="1"/>
    <x v="2"/>
    <n v="43471.73"/>
    <n v="4"/>
    <n v="9929.52"/>
    <x v="0"/>
    <x v="0"/>
    <x v="9"/>
    <n v="10"/>
    <s v="May"/>
    <m/>
    <m/>
  </r>
  <r>
    <x v="443"/>
    <x v="258"/>
    <x v="0"/>
    <x v="0"/>
    <x v="2"/>
    <x v="0"/>
    <x v="0"/>
    <n v="27516.51"/>
    <n v="9"/>
    <n v="3418.86"/>
    <x v="1"/>
    <x v="0"/>
    <x v="2"/>
    <n v="1"/>
    <s v="Jul"/>
    <m/>
    <m/>
  </r>
  <r>
    <x v="444"/>
    <x v="20"/>
    <x v="0"/>
    <x v="0"/>
    <x v="2"/>
    <x v="0"/>
    <x v="7"/>
    <n v="48032.71"/>
    <n v="4"/>
    <n v="6135.71"/>
    <x v="0"/>
    <x v="0"/>
    <x v="5"/>
    <n v="30"/>
    <s v="Nov"/>
    <m/>
    <m/>
  </r>
  <r>
    <x v="445"/>
    <x v="188"/>
    <x v="6"/>
    <x v="5"/>
    <x v="0"/>
    <x v="1"/>
    <x v="3"/>
    <n v="7864.34"/>
    <n v="10"/>
    <n v="820.53"/>
    <x v="2"/>
    <x v="0"/>
    <x v="8"/>
    <n v="19"/>
    <s v="Feb"/>
    <m/>
    <m/>
  </r>
  <r>
    <x v="446"/>
    <x v="121"/>
    <x v="4"/>
    <x v="4"/>
    <x v="1"/>
    <x v="0"/>
    <x v="1"/>
    <n v="27123.54"/>
    <n v="2"/>
    <n v="2817.45"/>
    <x v="1"/>
    <x v="0"/>
    <x v="11"/>
    <n v="27"/>
    <s v="Jan"/>
    <m/>
    <m/>
  </r>
  <r>
    <x v="447"/>
    <x v="129"/>
    <x v="4"/>
    <x v="4"/>
    <x v="0"/>
    <x v="0"/>
    <x v="7"/>
    <n v="24573.8"/>
    <n v="6"/>
    <n v="3674.62"/>
    <x v="1"/>
    <x v="0"/>
    <x v="9"/>
    <n v="16"/>
    <s v="May"/>
    <m/>
    <m/>
  </r>
  <r>
    <x v="448"/>
    <x v="102"/>
    <x v="2"/>
    <x v="2"/>
    <x v="1"/>
    <x v="1"/>
    <x v="4"/>
    <n v="24662.23"/>
    <n v="3"/>
    <n v="3744.45"/>
    <x v="1"/>
    <x v="0"/>
    <x v="8"/>
    <n v="21"/>
    <s v="Feb"/>
    <m/>
    <m/>
  </r>
  <r>
    <x v="449"/>
    <x v="66"/>
    <x v="5"/>
    <x v="1"/>
    <x v="2"/>
    <x v="1"/>
    <x v="2"/>
    <n v="22932.71"/>
    <n v="1"/>
    <n v="1770.13"/>
    <x v="1"/>
    <x v="0"/>
    <x v="10"/>
    <n v="15"/>
    <s v="Oct"/>
    <m/>
    <m/>
  </r>
  <r>
    <x v="450"/>
    <x v="122"/>
    <x v="0"/>
    <x v="0"/>
    <x v="2"/>
    <x v="2"/>
    <x v="6"/>
    <n v="2101.9299999999998"/>
    <n v="6"/>
    <n v="507.01"/>
    <x v="2"/>
    <x v="0"/>
    <x v="5"/>
    <n v="11"/>
    <s v="Nov"/>
    <m/>
    <m/>
  </r>
  <r>
    <x v="451"/>
    <x v="135"/>
    <x v="4"/>
    <x v="4"/>
    <x v="0"/>
    <x v="1"/>
    <x v="4"/>
    <n v="23897.96"/>
    <n v="7"/>
    <n v="4085.47"/>
    <x v="1"/>
    <x v="0"/>
    <x v="0"/>
    <n v="23"/>
    <s v="Sep"/>
    <m/>
    <m/>
  </r>
  <r>
    <x v="452"/>
    <x v="132"/>
    <x v="6"/>
    <x v="5"/>
    <x v="1"/>
    <x v="1"/>
    <x v="4"/>
    <n v="32507.15"/>
    <n v="10"/>
    <n v="4890.71"/>
    <x v="1"/>
    <x v="0"/>
    <x v="3"/>
    <n v="2"/>
    <s v="Apr"/>
    <m/>
    <m/>
  </r>
  <r>
    <x v="453"/>
    <x v="67"/>
    <x v="5"/>
    <x v="1"/>
    <x v="0"/>
    <x v="0"/>
    <x v="0"/>
    <n v="8584.92"/>
    <n v="1"/>
    <n v="2560.9699999999998"/>
    <x v="2"/>
    <x v="0"/>
    <x v="9"/>
    <n v="7"/>
    <s v="May"/>
    <m/>
    <m/>
  </r>
  <r>
    <x v="454"/>
    <x v="130"/>
    <x v="3"/>
    <x v="3"/>
    <x v="1"/>
    <x v="1"/>
    <x v="3"/>
    <n v="17850.810000000001"/>
    <n v="9"/>
    <n v="4605.67"/>
    <x v="2"/>
    <x v="0"/>
    <x v="9"/>
    <n v="23"/>
    <s v="May"/>
    <m/>
    <m/>
  </r>
  <r>
    <x v="455"/>
    <x v="188"/>
    <x v="0"/>
    <x v="0"/>
    <x v="2"/>
    <x v="0"/>
    <x v="1"/>
    <n v="33800.74"/>
    <n v="2"/>
    <n v="2747.6"/>
    <x v="1"/>
    <x v="0"/>
    <x v="8"/>
    <n v="19"/>
    <s v="Feb"/>
    <m/>
    <m/>
  </r>
  <r>
    <x v="456"/>
    <x v="259"/>
    <x v="1"/>
    <x v="1"/>
    <x v="2"/>
    <x v="1"/>
    <x v="2"/>
    <n v="5414.74"/>
    <n v="4"/>
    <n v="976.86"/>
    <x v="2"/>
    <x v="0"/>
    <x v="1"/>
    <n v="4"/>
    <s v="Dec"/>
    <m/>
    <m/>
  </r>
  <r>
    <x v="457"/>
    <x v="260"/>
    <x v="7"/>
    <x v="4"/>
    <x v="0"/>
    <x v="1"/>
    <x v="3"/>
    <n v="12452.06"/>
    <n v="2"/>
    <n v="2412.8200000000002"/>
    <x v="2"/>
    <x v="0"/>
    <x v="11"/>
    <n v="26"/>
    <s v="Jan"/>
    <m/>
    <m/>
  </r>
  <r>
    <x v="458"/>
    <x v="151"/>
    <x v="0"/>
    <x v="0"/>
    <x v="1"/>
    <x v="1"/>
    <x v="4"/>
    <n v="15764.96"/>
    <n v="4"/>
    <n v="2352.7399999999998"/>
    <x v="2"/>
    <x v="0"/>
    <x v="2"/>
    <n v="25"/>
    <s v="Jul"/>
    <m/>
    <m/>
  </r>
  <r>
    <x v="459"/>
    <x v="261"/>
    <x v="7"/>
    <x v="4"/>
    <x v="0"/>
    <x v="1"/>
    <x v="2"/>
    <n v="41835.79"/>
    <n v="1"/>
    <n v="2744.23"/>
    <x v="0"/>
    <x v="0"/>
    <x v="5"/>
    <n v="9"/>
    <s v="Nov"/>
    <m/>
    <m/>
  </r>
  <r>
    <x v="460"/>
    <x v="199"/>
    <x v="2"/>
    <x v="2"/>
    <x v="1"/>
    <x v="2"/>
    <x v="6"/>
    <n v="23801.25"/>
    <n v="2"/>
    <n v="6445.33"/>
    <x v="1"/>
    <x v="0"/>
    <x v="9"/>
    <n v="29"/>
    <s v="May"/>
    <m/>
    <m/>
  </r>
  <r>
    <x v="461"/>
    <x v="43"/>
    <x v="4"/>
    <x v="4"/>
    <x v="2"/>
    <x v="1"/>
    <x v="2"/>
    <n v="15461.71"/>
    <n v="3"/>
    <n v="3314.59"/>
    <x v="2"/>
    <x v="0"/>
    <x v="5"/>
    <n v="22"/>
    <s v="Nov"/>
    <m/>
    <m/>
  </r>
  <r>
    <x v="462"/>
    <x v="221"/>
    <x v="6"/>
    <x v="5"/>
    <x v="2"/>
    <x v="1"/>
    <x v="4"/>
    <n v="45619.47"/>
    <n v="10"/>
    <n v="10134.75"/>
    <x v="0"/>
    <x v="0"/>
    <x v="9"/>
    <n v="30"/>
    <s v="May"/>
    <m/>
    <m/>
  </r>
  <r>
    <x v="463"/>
    <x v="184"/>
    <x v="0"/>
    <x v="0"/>
    <x v="0"/>
    <x v="2"/>
    <x v="6"/>
    <n v="15028.38"/>
    <n v="7"/>
    <n v="2910.42"/>
    <x v="2"/>
    <x v="0"/>
    <x v="4"/>
    <n v="15"/>
    <s v="Mar"/>
    <m/>
    <m/>
  </r>
  <r>
    <x v="464"/>
    <x v="178"/>
    <x v="3"/>
    <x v="3"/>
    <x v="1"/>
    <x v="0"/>
    <x v="7"/>
    <n v="30842.46"/>
    <n v="1"/>
    <n v="3773.49"/>
    <x v="1"/>
    <x v="0"/>
    <x v="10"/>
    <n v="6"/>
    <s v="Oct"/>
    <m/>
    <m/>
  </r>
  <r>
    <x v="465"/>
    <x v="45"/>
    <x v="0"/>
    <x v="0"/>
    <x v="0"/>
    <x v="0"/>
    <x v="1"/>
    <n v="6318.79"/>
    <n v="4"/>
    <n v="1551.93"/>
    <x v="2"/>
    <x v="0"/>
    <x v="10"/>
    <n v="23"/>
    <s v="Oct"/>
    <m/>
    <m/>
  </r>
  <r>
    <x v="466"/>
    <x v="156"/>
    <x v="8"/>
    <x v="4"/>
    <x v="1"/>
    <x v="2"/>
    <x v="6"/>
    <n v="14828.09"/>
    <n v="7"/>
    <n v="2884.42"/>
    <x v="2"/>
    <x v="0"/>
    <x v="8"/>
    <n v="17"/>
    <s v="Feb"/>
    <m/>
    <m/>
  </r>
  <r>
    <x v="467"/>
    <x v="64"/>
    <x v="7"/>
    <x v="4"/>
    <x v="2"/>
    <x v="1"/>
    <x v="3"/>
    <n v="16069.37"/>
    <n v="2"/>
    <n v="3976.35"/>
    <x v="2"/>
    <x v="0"/>
    <x v="2"/>
    <n v="30"/>
    <s v="Jul"/>
    <m/>
    <m/>
  </r>
  <r>
    <x v="468"/>
    <x v="262"/>
    <x v="5"/>
    <x v="1"/>
    <x v="2"/>
    <x v="0"/>
    <x v="1"/>
    <n v="13770.88"/>
    <n v="9"/>
    <n v="1110.72"/>
    <x v="2"/>
    <x v="0"/>
    <x v="10"/>
    <n v="14"/>
    <s v="Oct"/>
    <m/>
    <m/>
  </r>
  <r>
    <x v="469"/>
    <x v="90"/>
    <x v="7"/>
    <x v="4"/>
    <x v="0"/>
    <x v="1"/>
    <x v="4"/>
    <n v="24821.75"/>
    <n v="4"/>
    <n v="4789.5600000000004"/>
    <x v="1"/>
    <x v="0"/>
    <x v="4"/>
    <n v="31"/>
    <s v="Mar"/>
    <m/>
    <m/>
  </r>
  <r>
    <x v="470"/>
    <x v="263"/>
    <x v="1"/>
    <x v="1"/>
    <x v="1"/>
    <x v="0"/>
    <x v="0"/>
    <n v="19819"/>
    <n v="9"/>
    <n v="4493.47"/>
    <x v="2"/>
    <x v="0"/>
    <x v="3"/>
    <n v="22"/>
    <s v="Apr"/>
    <m/>
    <m/>
  </r>
  <r>
    <x v="471"/>
    <x v="84"/>
    <x v="7"/>
    <x v="4"/>
    <x v="0"/>
    <x v="0"/>
    <x v="1"/>
    <n v="7807.18"/>
    <n v="9"/>
    <n v="893.09"/>
    <x v="2"/>
    <x v="0"/>
    <x v="10"/>
    <n v="12"/>
    <s v="Oct"/>
    <m/>
    <m/>
  </r>
  <r>
    <x v="472"/>
    <x v="180"/>
    <x v="6"/>
    <x v="5"/>
    <x v="1"/>
    <x v="0"/>
    <x v="0"/>
    <n v="29187.5"/>
    <n v="3"/>
    <n v="2048.9699999999998"/>
    <x v="1"/>
    <x v="0"/>
    <x v="6"/>
    <n v="20"/>
    <s v="Aug"/>
    <m/>
    <m/>
  </r>
  <r>
    <x v="473"/>
    <x v="165"/>
    <x v="0"/>
    <x v="0"/>
    <x v="2"/>
    <x v="1"/>
    <x v="3"/>
    <n v="30736.28"/>
    <n v="6"/>
    <n v="6419.01"/>
    <x v="1"/>
    <x v="0"/>
    <x v="1"/>
    <n v="27"/>
    <s v="Dec"/>
    <m/>
    <m/>
  </r>
  <r>
    <x v="474"/>
    <x v="224"/>
    <x v="5"/>
    <x v="1"/>
    <x v="2"/>
    <x v="1"/>
    <x v="2"/>
    <n v="14023.91"/>
    <n v="7"/>
    <n v="1687.3"/>
    <x v="2"/>
    <x v="0"/>
    <x v="4"/>
    <n v="3"/>
    <s v="Mar"/>
    <m/>
    <m/>
  </r>
  <r>
    <x v="475"/>
    <x v="248"/>
    <x v="2"/>
    <x v="2"/>
    <x v="0"/>
    <x v="1"/>
    <x v="4"/>
    <n v="16267.75"/>
    <n v="3"/>
    <n v="3928.17"/>
    <x v="2"/>
    <x v="0"/>
    <x v="3"/>
    <n v="13"/>
    <s v="Apr"/>
    <m/>
    <m/>
  </r>
  <r>
    <x v="476"/>
    <x v="237"/>
    <x v="8"/>
    <x v="4"/>
    <x v="1"/>
    <x v="2"/>
    <x v="8"/>
    <n v="17638.95"/>
    <n v="1"/>
    <n v="5267.64"/>
    <x v="2"/>
    <x v="0"/>
    <x v="2"/>
    <n v="22"/>
    <s v="Jul"/>
    <m/>
    <m/>
  </r>
  <r>
    <x v="477"/>
    <x v="183"/>
    <x v="6"/>
    <x v="5"/>
    <x v="0"/>
    <x v="2"/>
    <x v="8"/>
    <n v="4634.8100000000004"/>
    <n v="5"/>
    <n v="1129.28"/>
    <x v="2"/>
    <x v="0"/>
    <x v="3"/>
    <n v="3"/>
    <s v="Apr"/>
    <m/>
    <m/>
  </r>
  <r>
    <x v="478"/>
    <x v="200"/>
    <x v="8"/>
    <x v="4"/>
    <x v="1"/>
    <x v="2"/>
    <x v="5"/>
    <n v="38025.67"/>
    <n v="8"/>
    <n v="2827.8"/>
    <x v="1"/>
    <x v="0"/>
    <x v="4"/>
    <n v="9"/>
    <s v="Mar"/>
    <m/>
    <m/>
  </r>
  <r>
    <x v="479"/>
    <x v="222"/>
    <x v="8"/>
    <x v="4"/>
    <x v="2"/>
    <x v="0"/>
    <x v="7"/>
    <n v="2127.65"/>
    <n v="9"/>
    <n v="181.46"/>
    <x v="2"/>
    <x v="0"/>
    <x v="3"/>
    <n v="8"/>
    <s v="Apr"/>
    <m/>
    <m/>
  </r>
  <r>
    <x v="480"/>
    <x v="264"/>
    <x v="7"/>
    <x v="4"/>
    <x v="2"/>
    <x v="2"/>
    <x v="6"/>
    <n v="45815.93"/>
    <n v="8"/>
    <n v="2496.91"/>
    <x v="0"/>
    <x v="0"/>
    <x v="11"/>
    <n v="10"/>
    <s v="Jan"/>
    <m/>
    <m/>
  </r>
  <r>
    <x v="481"/>
    <x v="265"/>
    <x v="3"/>
    <x v="3"/>
    <x v="0"/>
    <x v="0"/>
    <x v="0"/>
    <n v="15944.17"/>
    <n v="3"/>
    <n v="1241.5"/>
    <x v="2"/>
    <x v="0"/>
    <x v="1"/>
    <n v="31"/>
    <s v="Dec"/>
    <m/>
    <m/>
  </r>
  <r>
    <x v="482"/>
    <x v="29"/>
    <x v="5"/>
    <x v="1"/>
    <x v="1"/>
    <x v="2"/>
    <x v="8"/>
    <n v="13865.4"/>
    <n v="7"/>
    <n v="1146.8599999999999"/>
    <x v="2"/>
    <x v="0"/>
    <x v="2"/>
    <n v="20"/>
    <s v="Jul"/>
    <m/>
    <m/>
  </r>
  <r>
    <x v="483"/>
    <x v="255"/>
    <x v="0"/>
    <x v="0"/>
    <x v="0"/>
    <x v="2"/>
    <x v="6"/>
    <n v="49401.07"/>
    <n v="7"/>
    <n v="13668.97"/>
    <x v="0"/>
    <x v="0"/>
    <x v="10"/>
    <n v="20"/>
    <s v="Oct"/>
    <m/>
    <m/>
  </r>
  <r>
    <x v="484"/>
    <x v="45"/>
    <x v="8"/>
    <x v="4"/>
    <x v="1"/>
    <x v="1"/>
    <x v="3"/>
    <n v="6564.48"/>
    <n v="1"/>
    <n v="522.54999999999995"/>
    <x v="2"/>
    <x v="0"/>
    <x v="10"/>
    <n v="23"/>
    <s v="Oct"/>
    <m/>
    <m/>
  </r>
  <r>
    <x v="485"/>
    <x v="69"/>
    <x v="7"/>
    <x v="4"/>
    <x v="2"/>
    <x v="0"/>
    <x v="0"/>
    <n v="5283.9"/>
    <n v="9"/>
    <n v="1226.3399999999999"/>
    <x v="2"/>
    <x v="0"/>
    <x v="2"/>
    <n v="2"/>
    <s v="Jul"/>
    <m/>
    <m/>
  </r>
  <r>
    <x v="486"/>
    <x v="126"/>
    <x v="1"/>
    <x v="1"/>
    <x v="2"/>
    <x v="1"/>
    <x v="4"/>
    <n v="36607.199999999997"/>
    <n v="7"/>
    <n v="3454.39"/>
    <x v="1"/>
    <x v="0"/>
    <x v="4"/>
    <n v="26"/>
    <s v="Mar"/>
    <m/>
    <m/>
  </r>
  <r>
    <x v="487"/>
    <x v="266"/>
    <x v="7"/>
    <x v="4"/>
    <x v="0"/>
    <x v="1"/>
    <x v="3"/>
    <n v="17654.32"/>
    <n v="9"/>
    <n v="1231.93"/>
    <x v="2"/>
    <x v="0"/>
    <x v="4"/>
    <n v="1"/>
    <s v="Mar"/>
    <m/>
    <m/>
  </r>
  <r>
    <x v="488"/>
    <x v="37"/>
    <x v="4"/>
    <x v="4"/>
    <x v="1"/>
    <x v="2"/>
    <x v="8"/>
    <n v="9433.0400000000009"/>
    <n v="8"/>
    <n v="2046"/>
    <x v="2"/>
    <x v="0"/>
    <x v="6"/>
    <n v="5"/>
    <s v="Aug"/>
    <m/>
    <m/>
  </r>
  <r>
    <x v="489"/>
    <x v="28"/>
    <x v="7"/>
    <x v="4"/>
    <x v="0"/>
    <x v="1"/>
    <x v="3"/>
    <n v="2839.73"/>
    <n v="9"/>
    <n v="780.48"/>
    <x v="2"/>
    <x v="0"/>
    <x v="10"/>
    <n v="18"/>
    <s v="Oct"/>
    <m/>
    <m/>
  </r>
  <r>
    <x v="490"/>
    <x v="267"/>
    <x v="4"/>
    <x v="4"/>
    <x v="1"/>
    <x v="2"/>
    <x v="8"/>
    <n v="37729.72"/>
    <n v="8"/>
    <n v="7417.54"/>
    <x v="1"/>
    <x v="0"/>
    <x v="0"/>
    <n v="18"/>
    <s v="Sep"/>
    <m/>
    <m/>
  </r>
  <r>
    <x v="491"/>
    <x v="138"/>
    <x v="6"/>
    <x v="5"/>
    <x v="2"/>
    <x v="0"/>
    <x v="0"/>
    <n v="42195.65"/>
    <n v="8"/>
    <n v="7879.74"/>
    <x v="0"/>
    <x v="0"/>
    <x v="7"/>
    <n v="5"/>
    <s v="Jun"/>
    <m/>
    <m/>
  </r>
  <r>
    <x v="492"/>
    <x v="60"/>
    <x v="2"/>
    <x v="2"/>
    <x v="2"/>
    <x v="1"/>
    <x v="3"/>
    <n v="43878.42"/>
    <n v="7"/>
    <n v="6784.49"/>
    <x v="0"/>
    <x v="0"/>
    <x v="6"/>
    <n v="25"/>
    <s v="Aug"/>
    <m/>
    <m/>
  </r>
  <r>
    <x v="493"/>
    <x v="268"/>
    <x v="3"/>
    <x v="3"/>
    <x v="0"/>
    <x v="1"/>
    <x v="4"/>
    <n v="38660.239999999998"/>
    <n v="10"/>
    <n v="4376.5"/>
    <x v="1"/>
    <x v="0"/>
    <x v="10"/>
    <n v="4"/>
    <s v="Oct"/>
    <m/>
    <m/>
  </r>
  <r>
    <x v="494"/>
    <x v="97"/>
    <x v="8"/>
    <x v="4"/>
    <x v="1"/>
    <x v="2"/>
    <x v="5"/>
    <n v="21116.26"/>
    <n v="4"/>
    <n v="5256.29"/>
    <x v="1"/>
    <x v="0"/>
    <x v="7"/>
    <n v="9"/>
    <s v="Jun"/>
    <m/>
    <m/>
  </r>
  <r>
    <x v="495"/>
    <x v="161"/>
    <x v="8"/>
    <x v="4"/>
    <x v="0"/>
    <x v="1"/>
    <x v="4"/>
    <n v="4757.99"/>
    <n v="10"/>
    <n v="1164.3900000000001"/>
    <x v="2"/>
    <x v="0"/>
    <x v="7"/>
    <n v="2"/>
    <s v="Jun"/>
    <m/>
    <m/>
  </r>
  <r>
    <x v="496"/>
    <x v="108"/>
    <x v="5"/>
    <x v="1"/>
    <x v="1"/>
    <x v="2"/>
    <x v="6"/>
    <n v="8870.2800000000007"/>
    <n v="2"/>
    <n v="1105.6300000000001"/>
    <x v="2"/>
    <x v="0"/>
    <x v="0"/>
    <n v="26"/>
    <s v="Sep"/>
    <m/>
    <m/>
  </r>
  <r>
    <x v="497"/>
    <x v="43"/>
    <x v="5"/>
    <x v="1"/>
    <x v="2"/>
    <x v="2"/>
    <x v="6"/>
    <n v="46482.94"/>
    <n v="10"/>
    <n v="7712.88"/>
    <x v="0"/>
    <x v="0"/>
    <x v="5"/>
    <n v="22"/>
    <s v="Nov"/>
    <m/>
    <m/>
  </r>
  <r>
    <x v="498"/>
    <x v="238"/>
    <x v="5"/>
    <x v="1"/>
    <x v="2"/>
    <x v="0"/>
    <x v="0"/>
    <n v="43505.83"/>
    <n v="7"/>
    <n v="7809.91"/>
    <x v="0"/>
    <x v="0"/>
    <x v="3"/>
    <n v="26"/>
    <s v="Apr"/>
    <m/>
    <m/>
  </r>
  <r>
    <x v="499"/>
    <x v="269"/>
    <x v="1"/>
    <x v="1"/>
    <x v="0"/>
    <x v="2"/>
    <x v="5"/>
    <n v="33463.57"/>
    <n v="6"/>
    <n v="6469.01"/>
    <x v="1"/>
    <x v="0"/>
    <x v="10"/>
    <n v="25"/>
    <s v="Oct"/>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RD1001"/>
    <x v="0"/>
    <x v="0"/>
    <x v="0"/>
    <s v="Mumbai"/>
    <x v="0"/>
    <x v="0"/>
    <x v="0"/>
    <x v="0"/>
    <n v="2"/>
    <n v="55000"/>
    <n v="110000"/>
    <n v="10"/>
    <n v="18000"/>
    <x v="0"/>
    <x v="0"/>
  </r>
  <r>
    <s v="ORD1002"/>
    <x v="1"/>
    <x v="1"/>
    <x v="1"/>
    <s v="Delhi"/>
    <x v="1"/>
    <x v="1"/>
    <x v="1"/>
    <x v="1"/>
    <n v="5"/>
    <n v="4500"/>
    <n v="22500"/>
    <n v="5"/>
    <n v="4000"/>
    <x v="1"/>
    <x v="0"/>
  </r>
  <r>
    <s v="ORD1003"/>
    <x v="2"/>
    <x v="2"/>
    <x v="2"/>
    <s v="Bangalore"/>
    <x v="2"/>
    <x v="0"/>
    <x v="2"/>
    <x v="0"/>
    <n v="10"/>
    <n v="1200"/>
    <n v="12000"/>
    <n v="8"/>
    <n v="2500"/>
    <x v="2"/>
    <x v="0"/>
  </r>
  <r>
    <s v="ORD1004"/>
    <x v="3"/>
    <x v="0"/>
    <x v="3"/>
    <s v="Ahmedabad"/>
    <x v="3"/>
    <x v="2"/>
    <x v="3"/>
    <x v="0"/>
    <n v="20"/>
    <n v="800"/>
    <n v="16000"/>
    <n v="12"/>
    <n v="3200"/>
    <x v="0"/>
    <x v="1"/>
  </r>
  <r>
    <s v="ORD1005"/>
    <x v="3"/>
    <x v="3"/>
    <x v="4"/>
    <s v="Kolkata"/>
    <x v="4"/>
    <x v="1"/>
    <x v="4"/>
    <x v="1"/>
    <n v="3"/>
    <n v="7000"/>
    <n v="21000"/>
    <n v="6"/>
    <n v="3500"/>
    <x v="1"/>
    <x v="0"/>
  </r>
  <r>
    <s v="ORD1006"/>
    <x v="4"/>
    <x v="2"/>
    <x v="5"/>
    <s v="Chennai"/>
    <x v="5"/>
    <x v="0"/>
    <x v="5"/>
    <x v="1"/>
    <n v="4"/>
    <n v="15000"/>
    <n v="60000"/>
    <n v="10"/>
    <n v="9000"/>
    <x v="0"/>
    <x v="2"/>
  </r>
  <r>
    <s v="ORD1007"/>
    <x v="5"/>
    <x v="0"/>
    <x v="0"/>
    <s v="Pune"/>
    <x v="0"/>
    <x v="0"/>
    <x v="6"/>
    <x v="0"/>
    <n v="15"/>
    <n v="700"/>
    <n v="10500"/>
    <n v="5"/>
    <n v="2100"/>
    <x v="2"/>
    <x v="0"/>
  </r>
  <r>
    <s v="ORD1008"/>
    <x v="6"/>
    <x v="1"/>
    <x v="6"/>
    <s v="Chandigarh"/>
    <x v="1"/>
    <x v="2"/>
    <x v="7"/>
    <x v="0"/>
    <n v="8"/>
    <n v="1800"/>
    <n v="14400"/>
    <n v="7"/>
    <n v="3000"/>
    <x v="1"/>
    <x v="0"/>
  </r>
  <r>
    <s v="ORD1009"/>
    <x v="7"/>
    <x v="2"/>
    <x v="7"/>
    <s v="Kochi"/>
    <x v="2"/>
    <x v="1"/>
    <x v="8"/>
    <x v="1"/>
    <n v="2"/>
    <n v="30000"/>
    <n v="60000"/>
    <n v="15"/>
    <n v="8000"/>
    <x v="0"/>
    <x v="0"/>
  </r>
  <r>
    <s v="ORD1010"/>
    <x v="8"/>
    <x v="3"/>
    <x v="8"/>
    <s v="Bhubaneswar"/>
    <x v="3"/>
    <x v="0"/>
    <x v="9"/>
    <x v="0"/>
    <n v="6"/>
    <n v="18000"/>
    <n v="108000"/>
    <n v="9"/>
    <n v="16000"/>
    <x v="1"/>
    <x v="0"/>
  </r>
  <r>
    <s v="ORD1011"/>
    <x v="9"/>
    <x v="0"/>
    <x v="0"/>
    <s v="Mumbai"/>
    <x v="0"/>
    <x v="2"/>
    <x v="10"/>
    <x v="0"/>
    <n v="7"/>
    <n v="2500"/>
    <n v="17500"/>
    <n v="5"/>
    <n v="3500"/>
    <x v="0"/>
    <x v="0"/>
  </r>
  <r>
    <s v="ORD1012"/>
    <x v="10"/>
    <x v="1"/>
    <x v="1"/>
    <s v="Delhi"/>
    <x v="1"/>
    <x v="0"/>
    <x v="11"/>
    <x v="1"/>
    <n v="3"/>
    <n v="12000"/>
    <n v="36000"/>
    <n v="8"/>
    <n v="6500"/>
    <x v="1"/>
    <x v="2"/>
  </r>
  <r>
    <s v="ORD1013"/>
    <x v="11"/>
    <x v="2"/>
    <x v="2"/>
    <s v="Bangalore"/>
    <x v="2"/>
    <x v="1"/>
    <x v="12"/>
    <x v="1"/>
    <n v="2"/>
    <n v="15000"/>
    <n v="30000"/>
    <n v="10"/>
    <n v="5000"/>
    <x v="2"/>
    <x v="0"/>
  </r>
  <r>
    <s v="ORD1014"/>
    <x v="12"/>
    <x v="3"/>
    <x v="4"/>
    <s v="Kolkata"/>
    <x v="3"/>
    <x v="2"/>
    <x v="13"/>
    <x v="0"/>
    <n v="12"/>
    <n v="2200"/>
    <n v="26400"/>
    <n v="6"/>
    <n v="5000"/>
    <x v="0"/>
    <x v="1"/>
  </r>
  <r>
    <s v="ORD1015"/>
    <x v="13"/>
    <x v="0"/>
    <x v="3"/>
    <s v="Surat"/>
    <x v="0"/>
    <x v="0"/>
    <x v="14"/>
    <x v="0"/>
    <n v="5"/>
    <n v="30000"/>
    <n v="150000"/>
    <n v="12"/>
    <n v="25000"/>
    <x v="1"/>
    <x v="0"/>
  </r>
  <r>
    <s v="ORD1016"/>
    <x v="14"/>
    <x v="1"/>
    <x v="9"/>
    <s v="Gurgaon"/>
    <x v="1"/>
    <x v="1"/>
    <x v="15"/>
    <x v="1"/>
    <n v="4"/>
    <n v="9000"/>
    <n v="36000"/>
    <n v="5"/>
    <n v="7000"/>
    <x v="0"/>
    <x v="0"/>
  </r>
  <r>
    <s v="ORD1017"/>
    <x v="15"/>
    <x v="2"/>
    <x v="5"/>
    <s v="Chennai"/>
    <x v="2"/>
    <x v="2"/>
    <x v="16"/>
    <x v="0"/>
    <n v="9"/>
    <n v="2000"/>
    <n v="18000"/>
    <n v="7"/>
    <n v="3600"/>
    <x v="2"/>
    <x v="0"/>
  </r>
  <r>
    <s v="ORD1018"/>
    <x v="16"/>
    <x v="3"/>
    <x v="10"/>
    <s v="Patna"/>
    <x v="3"/>
    <x v="0"/>
    <x v="17"/>
    <x v="0"/>
    <n v="11"/>
    <n v="3500"/>
    <n v="38500"/>
    <n v="8"/>
    <n v="7000"/>
    <x v="1"/>
    <x v="2"/>
  </r>
  <r>
    <s v="ORD1019"/>
    <x v="17"/>
    <x v="0"/>
    <x v="0"/>
    <s v="Nagpur"/>
    <x v="0"/>
    <x v="1"/>
    <x v="18"/>
    <x v="1"/>
    <n v="3"/>
    <n v="11000"/>
    <n v="33000"/>
    <n v="6"/>
    <n v="6000"/>
    <x v="0"/>
    <x v="0"/>
  </r>
  <r>
    <s v="ORD1020"/>
    <x v="18"/>
    <x v="1"/>
    <x v="1"/>
    <s v="Delhi"/>
    <x v="1"/>
    <x v="0"/>
    <x v="19"/>
    <x v="1"/>
    <n v="2"/>
    <n v="45000"/>
    <n v="90000"/>
    <n v="10"/>
    <n v="14000"/>
    <x v="1"/>
    <x v="0"/>
  </r>
  <r>
    <s v="ORD1021"/>
    <x v="19"/>
    <x v="2"/>
    <x v="7"/>
    <s v="Trivandrum"/>
    <x v="2"/>
    <x v="2"/>
    <x v="20"/>
    <x v="0"/>
    <n v="25"/>
    <n v="500"/>
    <n v="12500"/>
    <n v="5"/>
    <n v="2500"/>
    <x v="2"/>
    <x v="0"/>
  </r>
  <r>
    <s v="ORD1022"/>
    <x v="20"/>
    <x v="3"/>
    <x v="11"/>
    <s v="Guwahati"/>
    <x v="3"/>
    <x v="1"/>
    <x v="21"/>
    <x v="1"/>
    <n v="2"/>
    <n v="40000"/>
    <n v="80000"/>
    <n v="10"/>
    <n v="12000"/>
    <x v="0"/>
    <x v="0"/>
  </r>
  <r>
    <s v="ORD1023"/>
    <x v="21"/>
    <x v="0"/>
    <x v="0"/>
    <s v="Nashik"/>
    <x v="0"/>
    <x v="0"/>
    <x v="22"/>
    <x v="0"/>
    <n v="8"/>
    <n v="5000"/>
    <n v="40000"/>
    <n v="6"/>
    <n v="7500"/>
    <x v="1"/>
    <x v="0"/>
  </r>
  <r>
    <s v="ORD1024"/>
    <x v="22"/>
    <x v="1"/>
    <x v="12"/>
    <s v="Lucknow"/>
    <x v="1"/>
    <x v="2"/>
    <x v="23"/>
    <x v="0"/>
    <n v="18"/>
    <n v="1200"/>
    <n v="21600"/>
    <n v="8"/>
    <n v="4200"/>
    <x v="2"/>
    <x v="1"/>
  </r>
  <r>
    <s v="ORD1025"/>
    <x v="23"/>
    <x v="2"/>
    <x v="13"/>
    <s v="Hyderabad"/>
    <x v="5"/>
    <x v="0"/>
    <x v="24"/>
    <x v="0"/>
    <n v="6"/>
    <n v="12000"/>
    <n v="72000"/>
    <n v="9"/>
    <n v="11000"/>
    <x v="0"/>
    <x v="0"/>
  </r>
  <r>
    <s v="ORD1026"/>
    <x v="24"/>
    <x v="3"/>
    <x v="14"/>
    <s v="Ranchi"/>
    <x v="4"/>
    <x v="1"/>
    <x v="25"/>
    <x v="1"/>
    <n v="1"/>
    <n v="55000"/>
    <n v="55000"/>
    <n v="12"/>
    <n v="9000"/>
    <x v="1"/>
    <x v="2"/>
  </r>
  <r>
    <s v="ORD1027"/>
    <x v="25"/>
    <x v="0"/>
    <x v="3"/>
    <s v="Vadodara"/>
    <x v="0"/>
    <x v="2"/>
    <x v="26"/>
    <x v="0"/>
    <n v="4"/>
    <n v="4500"/>
    <n v="18000"/>
    <n v="5"/>
    <n v="3500"/>
    <x v="2"/>
    <x v="0"/>
  </r>
  <r>
    <s v="ORD1028"/>
    <x v="26"/>
    <x v="1"/>
    <x v="15"/>
    <s v="Jaipur"/>
    <x v="1"/>
    <x v="0"/>
    <x v="27"/>
    <x v="1"/>
    <n v="3"/>
    <n v="38000"/>
    <n v="114000"/>
    <n v="10"/>
    <n v="17000"/>
    <x v="0"/>
    <x v="0"/>
  </r>
  <r>
    <s v="ORD1029"/>
    <x v="27"/>
    <x v="2"/>
    <x v="2"/>
    <s v="Mysore"/>
    <x v="2"/>
    <x v="1"/>
    <x v="28"/>
    <x v="0"/>
    <n v="2"/>
    <n v="18000"/>
    <n v="36000"/>
    <n v="7"/>
    <n v="6000"/>
    <x v="1"/>
    <x v="0"/>
  </r>
  <r>
    <s v="ORD1030"/>
    <x v="28"/>
    <x v="3"/>
    <x v="4"/>
    <s v="Siliguri"/>
    <x v="3"/>
    <x v="0"/>
    <x v="29"/>
    <x v="0"/>
    <n v="14"/>
    <n v="2500"/>
    <n v="35000"/>
    <n v="6"/>
    <n v="6500"/>
    <x v="0"/>
    <x v="0"/>
  </r>
  <r>
    <s v="ORD1031"/>
    <x v="29"/>
    <x v="0"/>
    <x v="0"/>
    <s v="Mumbai"/>
    <x v="0"/>
    <x v="1"/>
    <x v="30"/>
    <x v="1"/>
    <n v="2"/>
    <n v="65000"/>
    <n v="130000"/>
    <n v="15"/>
    <n v="18000"/>
    <x v="1"/>
    <x v="0"/>
  </r>
  <r>
    <s v="ORD1032"/>
    <x v="30"/>
    <x v="1"/>
    <x v="1"/>
    <s v="Delhi"/>
    <x v="1"/>
    <x v="2"/>
    <x v="31"/>
    <x v="0"/>
    <n v="10"/>
    <n v="1800"/>
    <n v="18000"/>
    <n v="5"/>
    <n v="3200"/>
    <x v="2"/>
    <x v="0"/>
  </r>
  <r>
    <s v="ORD1033"/>
    <x v="31"/>
    <x v="2"/>
    <x v="5"/>
    <s v="Coimbatore"/>
    <x v="5"/>
    <x v="0"/>
    <x v="32"/>
    <x v="0"/>
    <n v="4"/>
    <n v="28000"/>
    <n v="112000"/>
    <n v="8"/>
    <n v="19000"/>
    <x v="0"/>
    <x v="0"/>
  </r>
  <r>
    <s v="ORD1034"/>
    <x v="32"/>
    <x v="3"/>
    <x v="10"/>
    <s v="Gaya"/>
    <x v="4"/>
    <x v="1"/>
    <x v="33"/>
    <x v="1"/>
    <n v="3"/>
    <n v="14000"/>
    <n v="42000"/>
    <n v="9"/>
    <n v="7000"/>
    <x v="1"/>
    <x v="2"/>
  </r>
  <r>
    <s v="ORD1035"/>
    <x v="33"/>
    <x v="0"/>
    <x v="3"/>
    <s v="Ahmedabad"/>
    <x v="3"/>
    <x v="2"/>
    <x v="34"/>
    <x v="0"/>
    <n v="12"/>
    <n v="3500"/>
    <n v="42000"/>
    <n v="7"/>
    <n v="8000"/>
    <x v="0"/>
    <x v="0"/>
  </r>
  <r>
    <s v="ORD1036"/>
    <x v="34"/>
    <x v="1"/>
    <x v="6"/>
    <s v="Ludhiana"/>
    <x v="1"/>
    <x v="0"/>
    <x v="35"/>
    <x v="0"/>
    <n v="5"/>
    <n v="9000"/>
    <n v="45000"/>
    <n v="6"/>
    <n v="7500"/>
    <x v="2"/>
    <x v="0"/>
  </r>
  <r>
    <s v="ORD1037"/>
    <x v="35"/>
    <x v="2"/>
    <x v="7"/>
    <s v="Kochi"/>
    <x v="2"/>
    <x v="1"/>
    <x v="36"/>
    <x v="0"/>
    <n v="2"/>
    <n v="25000"/>
    <n v="50000"/>
    <n v="10"/>
    <n v="8500"/>
    <x v="1"/>
    <x v="0"/>
  </r>
  <r>
    <s v="ORD1038"/>
    <x v="36"/>
    <x v="3"/>
    <x v="8"/>
    <s v="Cuttack"/>
    <x v="3"/>
    <x v="0"/>
    <x v="37"/>
    <x v="0"/>
    <n v="20"/>
    <n v="1500"/>
    <n v="30000"/>
    <n v="5"/>
    <n v="6000"/>
    <x v="0"/>
    <x v="1"/>
  </r>
  <r>
    <s v="ORD1039"/>
    <x v="37"/>
    <x v="0"/>
    <x v="0"/>
    <s v="Pune"/>
    <x v="0"/>
    <x v="2"/>
    <x v="38"/>
    <x v="0"/>
    <n v="16"/>
    <n v="1400"/>
    <n v="22400"/>
    <n v="8"/>
    <n v="4200"/>
    <x v="2"/>
    <x v="0"/>
  </r>
  <r>
    <s v="ORD1040"/>
    <x v="38"/>
    <x v="1"/>
    <x v="9"/>
    <s v="Faridabad"/>
    <x v="1"/>
    <x v="1"/>
    <x v="39"/>
    <x v="1"/>
    <n v="4"/>
    <n v="10000"/>
    <n v="40000"/>
    <n v="6"/>
    <n v="7200"/>
    <x v="1"/>
    <x v="0"/>
  </r>
  <r>
    <s v="ORD1041"/>
    <x v="39"/>
    <x v="2"/>
    <x v="13"/>
    <s v="Hyderabad"/>
    <x v="5"/>
    <x v="0"/>
    <x v="0"/>
    <x v="0"/>
    <n v="3"/>
    <n v="60000"/>
    <n v="180000"/>
    <n v="12"/>
    <n v="30000"/>
    <x v="0"/>
    <x v="0"/>
  </r>
  <r>
    <s v="ORD1042"/>
    <x v="40"/>
    <x v="3"/>
    <x v="11"/>
    <s v="Dibrugarh"/>
    <x v="4"/>
    <x v="2"/>
    <x v="10"/>
    <x v="0"/>
    <n v="7"/>
    <n v="2800"/>
    <n v="19600"/>
    <n v="5"/>
    <n v="3600"/>
    <x v="2"/>
    <x v="0"/>
  </r>
  <r>
    <s v="ORD1043"/>
    <x v="41"/>
    <x v="0"/>
    <x v="3"/>
    <s v="Rajkot"/>
    <x v="3"/>
    <x v="1"/>
    <x v="8"/>
    <x v="0"/>
    <n v="1"/>
    <n v="45000"/>
    <n v="45000"/>
    <n v="8"/>
    <n v="7000"/>
    <x v="1"/>
    <x v="2"/>
  </r>
  <r>
    <s v="ORD1044"/>
    <x v="42"/>
    <x v="1"/>
    <x v="12"/>
    <s v="Kanpur"/>
    <x v="1"/>
    <x v="0"/>
    <x v="9"/>
    <x v="0"/>
    <n v="5"/>
    <n v="20000"/>
    <n v="100000"/>
    <n v="10"/>
    <n v="15000"/>
    <x v="0"/>
    <x v="0"/>
  </r>
  <r>
    <s v="ORD1045"/>
    <x v="43"/>
    <x v="2"/>
    <x v="2"/>
    <s v="Bangalore"/>
    <x v="2"/>
    <x v="2"/>
    <x v="40"/>
    <x v="0"/>
    <n v="11"/>
    <n v="1800"/>
    <n v="19800"/>
    <n v="6"/>
    <n v="3900"/>
    <x v="2"/>
    <x v="0"/>
  </r>
  <r>
    <s v="ORD1046"/>
    <x v="44"/>
    <x v="3"/>
    <x v="14"/>
    <s v="Jamshedpur"/>
    <x v="3"/>
    <x v="1"/>
    <x v="41"/>
    <x v="1"/>
    <n v="2"/>
    <n v="30000"/>
    <n v="60000"/>
    <n v="9"/>
    <n v="9500"/>
    <x v="1"/>
    <x v="0"/>
  </r>
  <r>
    <s v="ORD1047"/>
    <x v="45"/>
    <x v="0"/>
    <x v="0"/>
    <s v="Nagpur"/>
    <x v="0"/>
    <x v="0"/>
    <x v="42"/>
    <x v="0"/>
    <n v="9"/>
    <n v="2500"/>
    <n v="22500"/>
    <n v="5"/>
    <n v="4500"/>
    <x v="0"/>
    <x v="0"/>
  </r>
  <r>
    <s v="ORD1048"/>
    <x v="46"/>
    <x v="1"/>
    <x v="15"/>
    <s v="Udaipur"/>
    <x v="1"/>
    <x v="2"/>
    <x v="43"/>
    <x v="0"/>
    <n v="13"/>
    <n v="1600"/>
    <n v="20800"/>
    <n v="7"/>
    <n v="4100"/>
    <x v="2"/>
    <x v="1"/>
  </r>
  <r>
    <s v="ORD1049"/>
    <x v="47"/>
    <x v="2"/>
    <x v="5"/>
    <s v="Madurai"/>
    <x v="5"/>
    <x v="1"/>
    <x v="44"/>
    <x v="1"/>
    <n v="2"/>
    <n v="22000"/>
    <n v="44000"/>
    <n v="8"/>
    <n v="7800"/>
    <x v="1"/>
    <x v="0"/>
  </r>
  <r>
    <s v="ORD1050"/>
    <x v="48"/>
    <x v="3"/>
    <x v="4"/>
    <s v="Kolkata"/>
    <x v="4"/>
    <x v="0"/>
    <x v="11"/>
    <x v="0"/>
    <n v="4"/>
    <n v="14000"/>
    <n v="56000"/>
    <n v="10"/>
    <n v="850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68FC8-E738-4278-A2DC-92122D53929E}"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M4:AN17"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showAll="0"/>
    <pivotField numFmtId="1" showAll="0">
      <items count="3">
        <item x="0"/>
        <item x="1"/>
        <item t="default"/>
      </items>
    </pivotField>
    <pivotField numFmtId="1" showAll="0">
      <items count="13">
        <item x="11"/>
        <item x="8"/>
        <item x="4"/>
        <item x="3"/>
        <item x="9"/>
        <item x="7"/>
        <item x="2"/>
        <item x="6"/>
        <item x="0"/>
        <item x="10"/>
        <item x="5"/>
        <item x="1"/>
        <item t="default"/>
      </items>
    </pivotField>
    <pivotField showAll="0"/>
    <pivotField showAll="0"/>
    <pivotField showAll="0"/>
    <pivotField showAll="0"/>
    <pivotField axis="axisRow" showAll="0" sortType="descending">
      <items count="15">
        <item sd="0" x="1"/>
        <item sd="0" x="2"/>
        <item sd="0" x="3"/>
        <item sd="0" x="4"/>
        <item sd="0" x="5"/>
        <item sd="0" x="6"/>
        <item sd="0" x="7"/>
        <item sd="0" x="8"/>
        <item sd="0" x="9"/>
        <item sd="0" x="10"/>
        <item sd="0" x="11"/>
        <item sd="0" x="12"/>
        <item sd="0" x="0"/>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13">
    <i>
      <x v="3"/>
    </i>
    <i>
      <x v="1"/>
    </i>
    <i>
      <x v="9"/>
    </i>
    <i>
      <x v="7"/>
    </i>
    <i>
      <x v="2"/>
    </i>
    <i>
      <x/>
    </i>
    <i>
      <x v="10"/>
    </i>
    <i>
      <x v="5"/>
    </i>
    <i>
      <x v="6"/>
    </i>
    <i>
      <x v="4"/>
    </i>
    <i>
      <x v="11"/>
    </i>
    <i>
      <x v="8"/>
    </i>
    <i t="grand">
      <x/>
    </i>
  </rowItems>
  <colItems count="1">
    <i/>
  </colItems>
  <dataFields count="1">
    <dataField name="Sum of Sales" fld="7" baseField="0" baseItem="0" numFmtId="1"/>
  </dataFields>
  <chartFormats count="2">
    <chartFormat chart="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22BBCA-688B-4ECD-B7C2-7F88F2219CE1}" name="PivotTable1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BH4:BI45"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axis="axisRow" showAll="0">
      <items count="10">
        <item x="4"/>
        <item x="8"/>
        <item x="5"/>
        <item x="7"/>
        <item x="0"/>
        <item x="6"/>
        <item x="2"/>
        <item x="3"/>
        <item x="1"/>
        <item t="default"/>
      </items>
    </pivotField>
    <pivotField numFmtId="1" showAll="0"/>
    <pivotField dataField="1"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showAll="0">
      <items count="5">
        <item sd="0" x="0"/>
        <item sd="0" x="1"/>
        <item sd="0" x="2"/>
        <item sd="0" x="3"/>
        <item t="default"/>
      </items>
    </pivotField>
  </pivotFields>
  <rowFields count="2">
    <field x="18"/>
    <field x="6"/>
  </rowFields>
  <rowItems count="41">
    <i>
      <x v="1"/>
    </i>
    <i r="1">
      <x/>
    </i>
    <i r="1">
      <x v="1"/>
    </i>
    <i r="1">
      <x v="2"/>
    </i>
    <i r="1">
      <x v="3"/>
    </i>
    <i r="1">
      <x v="4"/>
    </i>
    <i r="1">
      <x v="5"/>
    </i>
    <i r="1">
      <x v="6"/>
    </i>
    <i r="1">
      <x v="7"/>
    </i>
    <i r="1">
      <x v="8"/>
    </i>
    <i>
      <x v="2"/>
    </i>
    <i r="1">
      <x/>
    </i>
    <i r="1">
      <x v="1"/>
    </i>
    <i r="1">
      <x v="2"/>
    </i>
    <i r="1">
      <x v="3"/>
    </i>
    <i r="1">
      <x v="4"/>
    </i>
    <i r="1">
      <x v="5"/>
    </i>
    <i r="1">
      <x v="6"/>
    </i>
    <i r="1">
      <x v="7"/>
    </i>
    <i r="1">
      <x v="8"/>
    </i>
    <i>
      <x v="3"/>
    </i>
    <i r="1">
      <x/>
    </i>
    <i r="1">
      <x v="1"/>
    </i>
    <i r="1">
      <x v="2"/>
    </i>
    <i r="1">
      <x v="3"/>
    </i>
    <i r="1">
      <x v="4"/>
    </i>
    <i r="1">
      <x v="5"/>
    </i>
    <i r="1">
      <x v="6"/>
    </i>
    <i r="1">
      <x v="7"/>
    </i>
    <i r="1">
      <x v="8"/>
    </i>
    <i>
      <x v="4"/>
    </i>
    <i r="1">
      <x/>
    </i>
    <i r="1">
      <x v="1"/>
    </i>
    <i r="1">
      <x v="2"/>
    </i>
    <i r="1">
      <x v="3"/>
    </i>
    <i r="1">
      <x v="4"/>
    </i>
    <i r="1">
      <x v="5"/>
    </i>
    <i r="1">
      <x v="6"/>
    </i>
    <i r="1">
      <x v="7"/>
    </i>
    <i r="1">
      <x v="8"/>
    </i>
    <i t="grand">
      <x/>
    </i>
  </rowItems>
  <colItems count="1">
    <i/>
  </colItems>
  <dataFields count="1">
    <dataField name="Sum of Quantity" fld="8"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601242-0EA2-4E97-A13C-3ED9906D5BCC}" name="PivotTable1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S4:AT57" firstHeaderRow="1" firstDataRow="1" firstDataCol="1"/>
  <pivotFields count="20">
    <pivotField axis="axisRow" showAll="0" measureFilter="1" sortType="ascending">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numFmtId="1" showAll="0"/>
    <pivotField dataField="1"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53">
    <i>
      <x v="1"/>
    </i>
    <i>
      <x v="11"/>
    </i>
    <i>
      <x v="15"/>
    </i>
    <i>
      <x v="17"/>
    </i>
    <i>
      <x v="20"/>
    </i>
    <i>
      <x v="21"/>
    </i>
    <i>
      <x v="25"/>
    </i>
    <i>
      <x v="37"/>
    </i>
    <i>
      <x v="40"/>
    </i>
    <i>
      <x v="43"/>
    </i>
    <i>
      <x v="48"/>
    </i>
    <i>
      <x v="61"/>
    </i>
    <i>
      <x v="67"/>
    </i>
    <i>
      <x v="71"/>
    </i>
    <i>
      <x v="83"/>
    </i>
    <i>
      <x v="116"/>
    </i>
    <i>
      <x v="135"/>
    </i>
    <i>
      <x v="151"/>
    </i>
    <i>
      <x v="154"/>
    </i>
    <i>
      <x v="170"/>
    </i>
    <i>
      <x v="177"/>
    </i>
    <i>
      <x v="184"/>
    </i>
    <i>
      <x v="190"/>
    </i>
    <i>
      <x v="194"/>
    </i>
    <i>
      <x v="214"/>
    </i>
    <i>
      <x v="221"/>
    </i>
    <i>
      <x v="224"/>
    </i>
    <i>
      <x v="237"/>
    </i>
    <i>
      <x v="252"/>
    </i>
    <i>
      <x v="257"/>
    </i>
    <i>
      <x v="264"/>
    </i>
    <i>
      <x v="287"/>
    </i>
    <i>
      <x v="291"/>
    </i>
    <i>
      <x v="293"/>
    </i>
    <i>
      <x v="294"/>
    </i>
    <i>
      <x v="296"/>
    </i>
    <i>
      <x v="306"/>
    </i>
    <i>
      <x v="317"/>
    </i>
    <i>
      <x v="326"/>
    </i>
    <i>
      <x v="350"/>
    </i>
    <i>
      <x v="357"/>
    </i>
    <i>
      <x v="361"/>
    </i>
    <i>
      <x v="406"/>
    </i>
    <i>
      <x v="413"/>
    </i>
    <i>
      <x v="421"/>
    </i>
    <i>
      <x v="424"/>
    </i>
    <i>
      <x v="445"/>
    </i>
    <i>
      <x v="452"/>
    </i>
    <i>
      <x v="462"/>
    </i>
    <i>
      <x v="493"/>
    </i>
    <i>
      <x v="495"/>
    </i>
    <i>
      <x v="497"/>
    </i>
    <i t="grand">
      <x/>
    </i>
  </rowItems>
  <colItems count="1">
    <i/>
  </colItems>
  <dataFields count="1">
    <dataField name="Sum of Quantity" fld="8" baseField="0" baseItem="0"/>
  </dataFields>
  <pivotTableStyleInfo name="PivotStyleLight16" showRowHeaders="1" showColHeaders="1" showRowStripes="0" showColStripes="0" showLastColumn="1"/>
  <filters count="1">
    <filter fld="0"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B4C54-6492-434E-9AA8-FAE16588F92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4:M14"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axis="axisRow" showAll="0">
      <items count="10">
        <item x="4"/>
        <item x="6"/>
        <item x="2"/>
        <item x="3"/>
        <item x="0"/>
        <item x="5"/>
        <item x="1"/>
        <item x="7"/>
        <item x="8"/>
        <item t="default"/>
      </items>
    </pivotField>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0">
    <i>
      <x/>
    </i>
    <i>
      <x v="1"/>
    </i>
    <i>
      <x v="2"/>
    </i>
    <i>
      <x v="3"/>
    </i>
    <i>
      <x v="4"/>
    </i>
    <i>
      <x v="5"/>
    </i>
    <i>
      <x v="6"/>
    </i>
    <i>
      <x v="7"/>
    </i>
    <i>
      <x v="8"/>
    </i>
    <i t="grand">
      <x/>
    </i>
  </rowItems>
  <colItems count="1">
    <i/>
  </colItems>
  <dataFields count="1">
    <dataField name="Sum of Sales" fld="7" baseField="0" baseItem="0"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343155-AFC1-4D0A-8A28-D34F9622D6F2}"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Y4:AZ10" firstHeaderRow="1" firstDataRow="1" firstDataCol="1"/>
  <pivotFields count="20">
    <pivotField axis="axisRow"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v="18"/>
    </i>
    <i>
      <x v="228"/>
    </i>
    <i>
      <x v="410"/>
    </i>
    <i>
      <x v="432"/>
    </i>
    <i>
      <x v="437"/>
    </i>
    <i t="grand">
      <x/>
    </i>
  </rowItems>
  <colItems count="1">
    <i/>
  </colItems>
  <dataFields count="1">
    <dataField name="Sum of Sales" fld="7" baseField="0" baseItem="0" numFmtId="1"/>
  </dataFields>
  <pivotTableStyleInfo name="PivotStyleLight16" showRowHeaders="1" showColHeaders="1" showRowStripes="0" showColStripes="0" showLastColumn="1"/>
  <filters count="1">
    <filter fld="0"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BBCD44-F445-458C-8410-02C5B8C35C1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J4:AK7"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numFmtId="1" showAll="0"/>
    <pivotField showAll="0"/>
    <pivotField dataField="1" numFmtId="1" showAll="0"/>
    <pivotField showAll="0"/>
    <pivotField numFmtId="1" showAll="0">
      <items count="3">
        <item x="0"/>
        <item x="1"/>
        <item t="default"/>
      </items>
    </pivotField>
    <pivotField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9"/>
  </rowFields>
  <rowItems count="3">
    <i>
      <x v="1"/>
    </i>
    <i>
      <x v="2"/>
    </i>
    <i t="grand">
      <x/>
    </i>
  </rowItems>
  <colItems count="1">
    <i/>
  </colItems>
  <dataFields count="1">
    <dataField name="Sum of Profit" fld="9" baseField="0" baseItem="0" numFmtId="1"/>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A569F3-7212-4720-8DD5-CD7F56E62007}" name="PivotTable2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W7:BW8" firstHeaderRow="1" firstDataRow="1" firstDataCol="0" rowPageCount="2" colPageCount="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axis="axisPage" showAll="0">
      <items count="10">
        <item x="4"/>
        <item x="8"/>
        <item x="5"/>
        <item x="7"/>
        <item x="0"/>
        <item x="6"/>
        <item x="2"/>
        <item x="3"/>
        <item x="1"/>
        <item t="default"/>
      </items>
    </pivotField>
    <pivotField numFmtId="1" showAll="0"/>
    <pivotField dataField="1" showAll="0"/>
    <pivotField numFmtId="1" showAll="0"/>
    <pivotField showAll="0"/>
    <pivotField numFmtId="1" showAll="0">
      <items count="3">
        <item x="0"/>
        <item x="1"/>
        <item t="default"/>
      </items>
    </pivotField>
    <pivotField numFmtId="1" showAll="0"/>
    <pivotField showAll="0"/>
    <pivotField showAll="0"/>
    <pivotField showAll="0"/>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pageFields count="2">
    <pageField fld="6" hier="-1"/>
    <pageField fld="17" item="4" hier="-1"/>
  </pageFields>
  <dataFields count="1">
    <dataField name="Sum of Quantity" fld="8"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12DCC6-9251-42B6-B926-4F269A9E09C3}"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N4:BO8" firstHeaderRow="1" firstDataRow="1" firstDataCol="1" rowPageCount="1" colPageCount="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axis="axisRow" showAll="0">
      <items count="4">
        <item x="2"/>
        <item x="0"/>
        <item x="1"/>
        <item t="default"/>
      </items>
    </pivotField>
    <pivotField showAll="0">
      <items count="10">
        <item x="4"/>
        <item x="8"/>
        <item x="5"/>
        <item x="7"/>
        <item x="0"/>
        <item x="6"/>
        <item x="2"/>
        <item x="3"/>
        <item x="1"/>
        <item t="default"/>
      </items>
    </pivotField>
    <pivotField dataField="1" numFmtId="1" showAll="0"/>
    <pivotField showAll="0"/>
    <pivotField numFmtId="1" showAll="0"/>
    <pivotField axis="axisPage" showAll="0">
      <items count="4">
        <item x="1"/>
        <item x="0"/>
        <item x="2"/>
        <item t="default"/>
      </items>
    </pivotField>
    <pivotField numFmtId="1" showAll="0">
      <items count="3">
        <item x="0"/>
        <item x="1"/>
        <item t="default"/>
      </items>
    </pivotField>
    <pivotField numFmtI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4">
    <i>
      <x/>
    </i>
    <i>
      <x v="1"/>
    </i>
    <i>
      <x v="2"/>
    </i>
    <i t="grand">
      <x/>
    </i>
  </rowItems>
  <colItems count="1">
    <i/>
  </colItems>
  <pageFields count="1">
    <pageField fld="10" hier="-1"/>
  </pageFields>
  <dataFields count="1">
    <dataField name="Count of Sales" fld="7" subtotal="count" baseField="5"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5" count="1" selected="0">
            <x v="0"/>
          </reference>
        </references>
      </pivotArea>
    </chartFormat>
    <chartFormat chart="11" format="10">
      <pivotArea type="data" outline="0" fieldPosition="0">
        <references count="2">
          <reference field="4294967294" count="1" selected="0">
            <x v="0"/>
          </reference>
          <reference field="5" count="1" selected="0">
            <x v="1"/>
          </reference>
        </references>
      </pivotArea>
    </chartFormat>
    <chartFormat chart="11"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6DE733-64DD-46F8-B11B-65B1D20E6CB8}"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B4:BC10" firstHeaderRow="1" firstDataRow="1" firstDataCol="1"/>
  <pivotFields count="20">
    <pivotField axis="axisRow"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numFmtId="1" showAll="0"/>
    <pivotField showAll="0"/>
    <pivotField dataField="1" numFmtId="1" showAll="0"/>
    <pivotField showAll="0"/>
    <pivotField numFmtId="1" showAll="0">
      <items count="3">
        <item x="0"/>
        <item x="1"/>
        <item t="default"/>
      </items>
    </pivotField>
    <pivotField numFmtId="1" showAll="0"/>
    <pivotField showAll="0"/>
    <pivotField showAll="0"/>
    <pivotField showAll="0"/>
    <pivotField showAll="0"/>
    <pivotField showAll="0" measureFilter="1">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v="200"/>
    </i>
    <i>
      <x v="215"/>
    </i>
    <i>
      <x v="355"/>
    </i>
    <i>
      <x v="432"/>
    </i>
    <i>
      <x v="479"/>
    </i>
    <i t="grand">
      <x/>
    </i>
  </rowItems>
  <colItems count="1">
    <i/>
  </colItems>
  <dataFields count="1">
    <dataField name="Sum of Profit" fld="9" baseField="0" baseItem="0" numFmtId="1"/>
  </dataFields>
  <pivotTableStyleInfo name="PivotStyleLight16" showRowHeaders="1" showColHeaders="1" showRowStripes="0" showColStripes="0" showLastColumn="1"/>
  <filters count="2">
    <filter fld="0" type="count" evalOrder="-1" id="7" iMeasureFld="0">
      <autoFilter ref="A1">
        <filterColumn colId="0">
          <top10 top="0" val="5" filterVal="5"/>
        </filterColumn>
      </autoFilter>
    </filter>
    <filter fld="17" type="count" evalOrder="-1" id="5"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527AF3-79A2-49A2-8D86-973AA36EF6A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4:V11"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axis="axisRow" showAll="0">
      <items count="7">
        <item x="3"/>
        <item x="4"/>
        <item x="5"/>
        <item x="1"/>
        <item x="0"/>
        <item x="2"/>
        <item t="default"/>
      </items>
    </pivotField>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Average of Sales" fld="7" subtotal="average" baseField="3" baseItem="0" numFmtId="1"/>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1187E6-BC23-4AB9-B929-0DC7132561EA}" name="PivotTable2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Z7:CA9" firstHeaderRow="1" firstDataRow="1" firstDataCol="1" rowPageCount="2" colPageCount="1"/>
  <pivotFields count="20">
    <pivotField showAll="0"/>
    <pivotField axis="axisRow" numFmtId="14" showAll="0" measureFilter="1">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axis="axisPage" showAll="0">
      <items count="10">
        <item x="4"/>
        <item x="8"/>
        <item x="5"/>
        <item x="7"/>
        <item x="0"/>
        <item x="6"/>
        <item x="2"/>
        <item x="3"/>
        <item x="1"/>
        <item t="default"/>
      </items>
    </pivotField>
    <pivotField numFmtId="1" showAll="0"/>
    <pivotField dataField="1" showAll="0"/>
    <pivotField numFmtId="1" showAll="0"/>
    <pivotField showAll="0"/>
    <pivotField numFmtId="1" showAll="0">
      <items count="3">
        <item x="0"/>
        <item x="1"/>
        <item t="default"/>
      </items>
    </pivotField>
    <pivotField numFmtId="1" showAll="0"/>
    <pivotField showAll="0"/>
    <pivotField showAll="0"/>
    <pivotField showAll="0"/>
    <pivotField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2">
    <i>
      <x v="1"/>
    </i>
    <i t="grand">
      <x/>
    </i>
  </rowItems>
  <colItems count="1">
    <i/>
  </colItems>
  <pageFields count="2">
    <pageField fld="6" hier="-1"/>
    <pageField fld="17" item="1" hier="-1"/>
  </pageFields>
  <dataFields count="1">
    <dataField name="Sum of Quantity" fld="8" baseField="0" baseItem="0"/>
  </dataFields>
  <pivotTableStyleInfo name="PivotStyleLight16" showRowHeaders="1" showColHeaders="1" showRowStripes="0" showColStripes="0" showLastColumn="1"/>
  <filters count="1">
    <filter fld="1" type="count" evalOrder="-1" id="10"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75D474-2690-48A8-979F-BCF0387B348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A4:AB14"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axis="axisRow" showAll="0">
      <items count="10">
        <item x="4"/>
        <item x="8"/>
        <item x="5"/>
        <item x="7"/>
        <item x="0"/>
        <item x="6"/>
        <item x="2"/>
        <item x="3"/>
        <item x="1"/>
        <item t="default"/>
      </items>
    </pivotField>
    <pivotField numFmtId="1" showAll="0"/>
    <pivotField showAll="0"/>
    <pivotField dataField="1" numFmtId="1" showAll="0"/>
    <pivotField showAll="0"/>
    <pivotField numFmtId="1" showAll="0">
      <items count="3">
        <item x="0"/>
        <item x="1"/>
        <item t="default"/>
      </items>
    </pivotField>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0">
    <i>
      <x/>
    </i>
    <i>
      <x v="1"/>
    </i>
    <i>
      <x v="2"/>
    </i>
    <i>
      <x v="3"/>
    </i>
    <i>
      <x v="4"/>
    </i>
    <i>
      <x v="5"/>
    </i>
    <i>
      <x v="6"/>
    </i>
    <i>
      <x v="7"/>
    </i>
    <i>
      <x v="8"/>
    </i>
    <i t="grand">
      <x/>
    </i>
  </rowItems>
  <colItems count="1">
    <i/>
  </colItems>
  <dataFields count="1">
    <dataField name="Sum of Profit" fld="9" baseField="0" baseItem="0" numFmtId="1"/>
  </dataField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0553AA-801F-4E37-946E-2C61DBDC9313}" name="PivotTable2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T2:BU4"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numFmtId="1" showAll="0"/>
    <pivotField dataField="1" showAll="0"/>
    <pivotField numFmtId="1" showAll="0"/>
    <pivotField showAll="0"/>
    <pivotField numFmtId="1" showAll="0">
      <items count="3">
        <item x="0"/>
        <item x="1"/>
        <item t="default"/>
      </items>
    </pivotField>
    <pivotField numFmtId="1" showAll="0"/>
    <pivotField showAll="0"/>
    <pivotField showAll="0"/>
    <pivotField showAll="0"/>
    <pivotField showAll="0"/>
    <pivotField axis="axisRow" showAll="0" measureFilter="1">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2">
    <i>
      <x v="10"/>
    </i>
    <i t="grand">
      <x/>
    </i>
  </rowItems>
  <colItems count="1">
    <i/>
  </colItems>
  <dataFields count="1">
    <dataField name="Sum of Quantity" fld="8" baseField="17" baseItem="1"/>
  </dataFields>
  <pivotTableStyleInfo name="PivotStyleLight16" showRowHeaders="1" showColHeaders="1" showRowStripes="0" showColStripes="0" showLastColumn="1"/>
  <filters count="1">
    <filter fld="17" type="count" evalOrder="-1" id="9"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2DCEDE3-F328-45E6-BBED-6477780DFE6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4:P9"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axis="axisRow"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Sales" fld="7" baseField="0" baseItem="0" numFmtId="1"/>
  </dataFields>
  <chartFormats count="1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3204813-0873-4771-AA72-3417C6B3FAE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D4:AE14"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axis="axisRow" showAll="0">
      <items count="10">
        <item x="4"/>
        <item x="8"/>
        <item x="5"/>
        <item x="7"/>
        <item x="0"/>
        <item x="6"/>
        <item x="2"/>
        <item x="3"/>
        <item x="1"/>
        <item t="default"/>
      </items>
    </pivotField>
    <pivotField numFmtId="1" showAll="0"/>
    <pivotField dataField="1"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0">
    <i>
      <x/>
    </i>
    <i>
      <x v="1"/>
    </i>
    <i>
      <x v="2"/>
    </i>
    <i>
      <x v="3"/>
    </i>
    <i>
      <x v="4"/>
    </i>
    <i>
      <x v="5"/>
    </i>
    <i>
      <x v="6"/>
    </i>
    <i>
      <x v="7"/>
    </i>
    <i>
      <x v="8"/>
    </i>
    <i t="grand">
      <x/>
    </i>
  </rowItems>
  <colItems count="1">
    <i/>
  </colItems>
  <dataFields count="1">
    <dataField name="Sum of Quantity" fld="8"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3656A29-204F-4F47-A056-5A43C9DF766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R4:S8"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axis="axisRow" showAll="0">
      <items count="4">
        <item x="2"/>
        <item x="0"/>
        <item x="1"/>
        <item t="default"/>
      </items>
    </pivotField>
    <pivotField showAll="0">
      <items count="10">
        <item x="4"/>
        <item x="8"/>
        <item x="5"/>
        <item x="7"/>
        <item x="0"/>
        <item x="6"/>
        <item x="2"/>
        <item x="3"/>
        <item x="1"/>
        <item t="default"/>
      </items>
    </pivotField>
    <pivotField numFmtId="1" showAll="0"/>
    <pivotField showAll="0"/>
    <pivotField dataField="1" numFmtId="1" showAll="0"/>
    <pivotField showAll="0"/>
    <pivotField numFmtId="1" showAll="0">
      <items count="3">
        <item x="0"/>
        <item x="1"/>
        <item t="default"/>
      </items>
    </pivotField>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Profit" fld="9" baseField="0" baseItem="0" numFmtId="1"/>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1AC19C5-24E3-49D6-BA60-F9385105C6C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4:Y14"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axis="axisRow" showAll="0" sortType="descending">
      <items count="10">
        <item x="4"/>
        <item x="8"/>
        <item x="5"/>
        <item x="7"/>
        <item x="0"/>
        <item x="6"/>
        <item x="2"/>
        <item x="3"/>
        <item x="1"/>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0">
    <i>
      <x/>
    </i>
    <i>
      <x v="3"/>
    </i>
    <i>
      <x v="5"/>
    </i>
    <i>
      <x v="1"/>
    </i>
    <i>
      <x v="6"/>
    </i>
    <i>
      <x v="4"/>
    </i>
    <i>
      <x v="8"/>
    </i>
    <i>
      <x v="7"/>
    </i>
    <i>
      <x v="2"/>
    </i>
    <i t="grand">
      <x/>
    </i>
  </rowItems>
  <colItems count="1">
    <i/>
  </colItems>
  <dataFields count="1">
    <dataField name="Sum of Sales" fld="7" baseField="0" baseItem="0" numFmtId="1"/>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19FA418-120F-4121-84D8-B16863BDDD76}"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Q4:BR6" firstHeaderRow="1" firstDataRow="1" firstDataCol="1" rowPageCount="1" colPageCount="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axis="axisRow" showAll="0" measureFilter="1">
      <items count="10">
        <item x="4"/>
        <item x="6"/>
        <item x="2"/>
        <item x="3"/>
        <item x="0"/>
        <item x="5"/>
        <item x="1"/>
        <item x="7"/>
        <item x="8"/>
        <item t="default"/>
      </items>
    </pivotField>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axis="axisPage" showAll="0">
      <items count="4">
        <item x="1"/>
        <item x="0"/>
        <item x="2"/>
        <item t="default"/>
      </items>
    </pivotField>
    <pivotField numFmtId="1" showAll="0">
      <items count="3">
        <item x="0"/>
        <item x="1"/>
        <item t="default"/>
      </items>
    </pivotField>
    <pivotField numFmtI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2">
    <i>
      <x v="7"/>
    </i>
    <i t="grand">
      <x/>
    </i>
  </rowItems>
  <colItems count="1">
    <i/>
  </colItems>
  <pageFields count="1">
    <pageField fld="10" item="2" hier="-1"/>
  </pageFields>
  <dataFields count="1">
    <dataField name="Count of Sales" fld="7" subtotal="count" baseField="5" baseItem="0"/>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DA159DE-8F1A-489D-BEC3-30D9137BBEDE}"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V4:AW10" firstHeaderRow="1" firstDataRow="1" firstDataCol="1"/>
  <pivotFields count="20">
    <pivotField axis="axisRow"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numFmtId="1" showAll="0"/>
    <pivotField showAll="0"/>
    <pivotField dataField="1" numFmtId="1" showAll="0"/>
    <pivotField showAll="0"/>
    <pivotField numFmtId="1" showAll="0">
      <items count="3">
        <item x="0"/>
        <item x="1"/>
        <item t="default"/>
      </items>
    </pivotField>
    <pivotField numFmtId="1" showAll="0"/>
    <pivotField showAll="0"/>
    <pivotField showAll="0"/>
    <pivotField showAll="0"/>
    <pivotField showAll="0"/>
    <pivotField showAll="0" measureFilter="1">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v="132"/>
    </i>
    <i>
      <x v="254"/>
    </i>
    <i>
      <x v="331"/>
    </i>
    <i>
      <x v="359"/>
    </i>
    <i>
      <x v="483"/>
    </i>
    <i t="grand">
      <x/>
    </i>
  </rowItems>
  <colItems count="1">
    <i/>
  </colItems>
  <dataFields count="1">
    <dataField name="Sum of Profit" fld="9" baseField="0" baseItem="0" numFmtId="1"/>
  </dataFields>
  <pivotTableStyleInfo name="PivotStyleLight16" showRowHeaders="1" showColHeaders="1" showRowStripes="0" showColStripes="0" showLastColumn="1"/>
  <filters count="2">
    <filter fld="17" type="count" evalOrder="-1" id="5" iMeasureFld="0">
      <autoFilter ref="A1">
        <filterColumn colId="0">
          <top10 top="0" val="1" filterVal="1"/>
        </filterColumn>
      </autoFilter>
    </filter>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7669B50-6E19-4546-AEAE-7CAE1EEBB141}" name="PivotTable19"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BK4:BL8"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axis="axisRow" showAll="0">
      <items count="4">
        <item x="1"/>
        <item x="0"/>
        <item x="2"/>
        <item t="default"/>
      </items>
    </pivotField>
    <pivotField numFmtId="1" showAll="0">
      <items count="3">
        <item x="0"/>
        <item x="1"/>
        <item t="default"/>
      </items>
    </pivotField>
    <pivotField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showAll="0">
      <items count="5">
        <item sd="0" x="0"/>
        <item sd="0" x="1"/>
        <item sd="0" x="2"/>
        <item sd="0" x="3"/>
        <item t="default"/>
      </items>
    </pivotField>
  </pivotFields>
  <rowFields count="1">
    <field x="10"/>
  </rowFields>
  <rowItems count="4">
    <i>
      <x/>
    </i>
    <i>
      <x v="1"/>
    </i>
    <i>
      <x v="2"/>
    </i>
    <i t="grand">
      <x/>
    </i>
  </rowItems>
  <colItems count="1">
    <i/>
  </colItems>
  <dataFields count="1">
    <dataField name="Count of Sales" fld="7" subtotal="count" baseField="10" baseItem="0"/>
  </dataFields>
  <chartFormats count="4">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0" count="1" selected="0">
            <x v="0"/>
          </reference>
        </references>
      </pivotArea>
    </chartFormat>
    <chartFormat chart="20" format="2">
      <pivotArea type="data" outline="0" fieldPosition="0">
        <references count="2">
          <reference field="4294967294" count="1" selected="0">
            <x v="0"/>
          </reference>
          <reference field="10" count="1" selected="0">
            <x v="1"/>
          </reference>
        </references>
      </pivotArea>
    </chartFormat>
    <chartFormat chart="2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3BAB70-F85B-4D9F-858A-70347D8708EB}"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G4:AH7"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9"/>
  </rowFields>
  <rowItems count="3">
    <i>
      <x v="1"/>
    </i>
    <i>
      <x v="2"/>
    </i>
    <i t="grand">
      <x/>
    </i>
  </rowItems>
  <colItems count="1">
    <i/>
  </colItems>
  <dataFields count="1">
    <dataField name="Sum of Sales" fld="7" baseField="0" baseItem="0" numFmtId="1"/>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54431F5-BF7C-4F20-94EB-255763E0DCDB}"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E4:BF9"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dataField="1" numFmtId="1" showAll="0"/>
    <pivotField showAll="0"/>
    <pivotField numFmtId="1" showAll="0"/>
    <pivotField showAll="0"/>
    <pivotField numFmtId="1" showAll="0">
      <items count="3">
        <item x="0"/>
        <item x="1"/>
        <item t="default"/>
      </items>
    </pivotField>
    <pivotField numFmtI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5">
    <i>
      <x v="1"/>
    </i>
    <i>
      <x v="2"/>
    </i>
    <i>
      <x v="3"/>
    </i>
    <i>
      <x v="4"/>
    </i>
    <i t="grand">
      <x/>
    </i>
  </rowItems>
  <colItems count="1">
    <i/>
  </colItems>
  <dataFields count="1">
    <dataField name="Sum of Sales" fld="7" baseField="0" baseItem="0" numFmtId="1"/>
  </dataField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8" count="1" selected="0">
            <x v="1"/>
          </reference>
        </references>
      </pivotArea>
    </chartFormat>
    <chartFormat chart="8" format="2">
      <pivotArea type="data" outline="0" fieldPosition="0">
        <references count="2">
          <reference field="4294967294" count="1" selected="0">
            <x v="0"/>
          </reference>
          <reference field="18" count="1" selected="0">
            <x v="2"/>
          </reference>
        </references>
      </pivotArea>
    </chartFormat>
    <chartFormat chart="8" format="3">
      <pivotArea type="data" outline="0" fieldPosition="0">
        <references count="2">
          <reference field="4294967294" count="1" selected="0">
            <x v="0"/>
          </reference>
          <reference field="18" count="1" selected="0">
            <x v="3"/>
          </reference>
        </references>
      </pivotArea>
    </chartFormat>
    <chartFormat chart="8" format="4">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E07DE7A-C950-414C-8B68-A6E29F422124}"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P4:AQ6" firstHeaderRow="1" firstDataRow="1" firstDataCol="1"/>
  <pivotFields count="20">
    <pivotField showAll="0"/>
    <pivotField numFmtId="14" showAll="0">
      <items count="271">
        <item x="174"/>
        <item x="61"/>
        <item x="219"/>
        <item x="241"/>
        <item x="136"/>
        <item x="264"/>
        <item x="171"/>
        <item x="35"/>
        <item x="228"/>
        <item x="94"/>
        <item x="116"/>
        <item x="52"/>
        <item x="181"/>
        <item x="212"/>
        <item x="206"/>
        <item x="152"/>
        <item x="260"/>
        <item x="121"/>
        <item x="158"/>
        <item x="83"/>
        <item x="172"/>
        <item x="201"/>
        <item x="142"/>
        <item x="123"/>
        <item x="153"/>
        <item x="96"/>
        <item x="68"/>
        <item x="226"/>
        <item x="13"/>
        <item x="40"/>
        <item x="25"/>
        <item x="173"/>
        <item x="19"/>
        <item x="197"/>
        <item x="156"/>
        <item x="211"/>
        <item x="188"/>
        <item x="54"/>
        <item x="102"/>
        <item x="249"/>
        <item x="49"/>
        <item x="39"/>
        <item x="157"/>
        <item x="31"/>
        <item x="141"/>
        <item x="244"/>
        <item x="266"/>
        <item x="56"/>
        <item x="224"/>
        <item x="143"/>
        <item x="169"/>
        <item x="55"/>
        <item x="101"/>
        <item x="200"/>
        <item x="27"/>
        <item x="107"/>
        <item x="106"/>
        <item x="208"/>
        <item x="184"/>
        <item x="14"/>
        <item x="127"/>
        <item x="18"/>
        <item x="5"/>
        <item x="30"/>
        <item x="51"/>
        <item x="75"/>
        <item x="72"/>
        <item x="196"/>
        <item x="126"/>
        <item x="191"/>
        <item x="137"/>
        <item x="254"/>
        <item x="90"/>
        <item x="132"/>
        <item x="183"/>
        <item x="205"/>
        <item x="215"/>
        <item x="120"/>
        <item x="233"/>
        <item x="222"/>
        <item x="79"/>
        <item x="8"/>
        <item x="248"/>
        <item x="162"/>
        <item x="148"/>
        <item x="182"/>
        <item x="263"/>
        <item x="33"/>
        <item x="47"/>
        <item x="238"/>
        <item x="91"/>
        <item x="3"/>
        <item x="251"/>
        <item x="198"/>
        <item x="214"/>
        <item x="24"/>
        <item x="67"/>
        <item x="257"/>
        <item x="73"/>
        <item x="252"/>
        <item x="167"/>
        <item x="129"/>
        <item x="117"/>
        <item x="195"/>
        <item x="53"/>
        <item x="113"/>
        <item x="98"/>
        <item x="50"/>
        <item x="130"/>
        <item x="74"/>
        <item x="199"/>
        <item x="221"/>
        <item x="161"/>
        <item x="85"/>
        <item x="256"/>
        <item x="138"/>
        <item x="32"/>
        <item x="234"/>
        <item x="95"/>
        <item x="97"/>
        <item x="105"/>
        <item x="185"/>
        <item x="99"/>
        <item x="134"/>
        <item x="227"/>
        <item x="76"/>
        <item x="9"/>
        <item x="62"/>
        <item x="246"/>
        <item x="193"/>
        <item x="21"/>
        <item x="89"/>
        <item x="220"/>
        <item x="258"/>
        <item x="69"/>
        <item x="230"/>
        <item x="114"/>
        <item x="192"/>
        <item x="207"/>
        <item x="236"/>
        <item x="119"/>
        <item x="15"/>
        <item x="175"/>
        <item x="128"/>
        <item x="11"/>
        <item x="218"/>
        <item x="57"/>
        <item x="29"/>
        <item x="237"/>
        <item x="187"/>
        <item x="151"/>
        <item x="179"/>
        <item x="71"/>
        <item x="2"/>
        <item x="64"/>
        <item x="125"/>
        <item x="204"/>
        <item x="166"/>
        <item x="37"/>
        <item x="87"/>
        <item x="170"/>
        <item x="48"/>
        <item x="186"/>
        <item x="209"/>
        <item x="88"/>
        <item x="23"/>
        <item x="80"/>
        <item x="42"/>
        <item x="160"/>
        <item x="180"/>
        <item x="194"/>
        <item x="60"/>
        <item x="189"/>
        <item x="7"/>
        <item x="26"/>
        <item x="77"/>
        <item x="245"/>
        <item x="239"/>
        <item x="59"/>
        <item x="4"/>
        <item x="22"/>
        <item x="118"/>
        <item x="93"/>
        <item x="250"/>
        <item x="78"/>
        <item x="154"/>
        <item x="112"/>
        <item x="163"/>
        <item x="144"/>
        <item x="231"/>
        <item x="267"/>
        <item x="168"/>
        <item x="240"/>
        <item x="235"/>
        <item x="135"/>
        <item x="115"/>
        <item x="108"/>
        <item x="217"/>
        <item x="0"/>
        <item x="203"/>
        <item x="124"/>
        <item x="225"/>
        <item x="268"/>
        <item x="111"/>
        <item x="178"/>
        <item x="223"/>
        <item x="229"/>
        <item x="145"/>
        <item x="84"/>
        <item x="262"/>
        <item x="66"/>
        <item x="177"/>
        <item x="58"/>
        <item x="28"/>
        <item x="255"/>
        <item x="164"/>
        <item x="82"/>
        <item x="45"/>
        <item x="269"/>
        <item x="216"/>
        <item x="149"/>
        <item x="139"/>
        <item x="70"/>
        <item x="44"/>
        <item x="140"/>
        <item x="242"/>
        <item x="131"/>
        <item x="243"/>
        <item x="109"/>
        <item x="86"/>
        <item x="36"/>
        <item x="261"/>
        <item x="210"/>
        <item x="122"/>
        <item x="213"/>
        <item x="34"/>
        <item x="146"/>
        <item x="92"/>
        <item x="43"/>
        <item x="159"/>
        <item x="81"/>
        <item x="65"/>
        <item x="6"/>
        <item x="16"/>
        <item x="20"/>
        <item x="176"/>
        <item x="259"/>
        <item x="110"/>
        <item x="155"/>
        <item x="63"/>
        <item x="103"/>
        <item x="46"/>
        <item x="232"/>
        <item x="10"/>
        <item x="1"/>
        <item x="100"/>
        <item x="12"/>
        <item x="147"/>
        <item x="133"/>
        <item x="104"/>
        <item x="17"/>
        <item x="38"/>
        <item x="253"/>
        <item x="150"/>
        <item x="202"/>
        <item x="165"/>
        <item x="41"/>
        <item x="190"/>
        <item x="265"/>
        <item x="247"/>
        <item t="default"/>
      </items>
    </pivotField>
    <pivotField showAll="0"/>
    <pivotField showAll="0"/>
    <pivotField showAll="0">
      <items count="5">
        <item x="1"/>
        <item x="2"/>
        <item x="0"/>
        <item x="3"/>
        <item t="default"/>
      </items>
    </pivotField>
    <pivotField showAll="0"/>
    <pivotField showAll="0">
      <items count="10">
        <item x="4"/>
        <item x="8"/>
        <item x="5"/>
        <item x="7"/>
        <item x="0"/>
        <item x="6"/>
        <item x="2"/>
        <item x="3"/>
        <item x="1"/>
        <item t="default"/>
      </items>
    </pivotField>
    <pivotField numFmtId="1" showAll="0"/>
    <pivotField showAll="0"/>
    <pivotField dataField="1" numFmtId="1" showAll="0"/>
    <pivotField showAll="0"/>
    <pivotField numFmtId="1" showAll="0">
      <items count="3">
        <item x="0"/>
        <item x="1"/>
        <item t="default"/>
      </items>
    </pivotField>
    <pivotField numFmtId="1" showAll="0"/>
    <pivotField showAll="0"/>
    <pivotField showAll="0"/>
    <pivotField showAll="0"/>
    <pivotField showAll="0"/>
    <pivotField axis="axisRow" showAll="0" measureFilter="1">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2">
    <i>
      <x v="12"/>
    </i>
    <i t="grand">
      <x/>
    </i>
  </rowItems>
  <colItems count="1">
    <i/>
  </colItems>
  <dataFields count="1">
    <dataField name="Sum of Profit" fld="9" baseField="0" baseItem="0" numFmtId="1"/>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5"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E792B53-DDEC-4950-B819-BFD860BCD4A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3:E36"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showAll="0"/>
    <pivotField showAll="0"/>
    <pivotField showAll="0">
      <items count="7">
        <item x="2"/>
        <item x="4"/>
        <item x="5"/>
        <item x="3"/>
        <item x="1"/>
        <item x="0"/>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3">
    <i>
      <x v="1"/>
    </i>
    <i>
      <x v="2"/>
    </i>
    <i t="grand">
      <x/>
    </i>
  </rowItems>
  <colItems count="1">
    <i/>
  </colItems>
  <dataFields count="1">
    <dataField name="Sum of Total_Sales" fld="11" baseField="0" baseItem="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7" count="1" selected="0">
            <x v="1"/>
          </reference>
        </references>
      </pivotArea>
    </chartFormat>
    <chartFormat chart="3" format="2">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839EDFF-A91A-4869-BB27-1F1C8BA141E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6:E50"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showAll="0"/>
    <pivotField showAll="0"/>
    <pivotField showAll="0">
      <items count="7">
        <item x="2"/>
        <item x="4"/>
        <item x="5"/>
        <item x="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axis="axisRow" dataField="1" showAll="0">
      <items count="4">
        <item x="1"/>
        <item x="2"/>
        <item x="0"/>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4">
    <i>
      <x/>
    </i>
    <i>
      <x v="1"/>
    </i>
    <i>
      <x v="2"/>
    </i>
    <i t="grand">
      <x/>
    </i>
  </rowItems>
  <colItems count="1">
    <i/>
  </colItems>
  <dataFields count="1">
    <dataField name="Count of Payment_Mode" fld="14"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4471170-7396-4C5E-B4B0-1D74EB6BCCB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0:E17"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showAll="0"/>
    <pivotField showAll="0"/>
    <pivotField axis="axisRow" showAll="0" sortType="descending">
      <items count="7">
        <item x="2"/>
        <item x="4"/>
        <item x="5"/>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5"/>
    </i>
    <i>
      <x v="3"/>
    </i>
    <i>
      <x v="2"/>
    </i>
    <i>
      <x/>
    </i>
    <i>
      <x v="1"/>
    </i>
    <i t="grand">
      <x/>
    </i>
  </rowItems>
  <colItems count="1">
    <i/>
  </colItems>
  <dataFields count="1">
    <dataField name="Sum of Profit" fld="13"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27075B8-6078-49FC-83EF-31E13023FBB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7:F30" firstHeaderRow="0"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showAll="0"/>
    <pivotField showAll="0"/>
    <pivotField showAll="0">
      <items count="7">
        <item x="2"/>
        <item x="4"/>
        <item x="5"/>
        <item x="3"/>
        <item x="1"/>
        <item x="0"/>
        <item t="default"/>
      </items>
    </pivotField>
    <pivotField showAll="0">
      <items count="4">
        <item x="2"/>
        <item x="0"/>
        <item x="1"/>
        <item t="default"/>
      </items>
    </pivotField>
    <pivotField showAll="0"/>
    <pivotField axis="axisRow" showAll="0">
      <items count="3">
        <item x="1"/>
        <item x="0"/>
        <item t="default"/>
      </items>
    </pivotField>
    <pivotField showAll="0"/>
    <pivotField showAll="0"/>
    <pivotField dataField="1"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Fields count="1">
    <field x="-2"/>
  </colFields>
  <colItems count="2">
    <i>
      <x/>
    </i>
    <i i="1">
      <x v="1"/>
    </i>
  </colItems>
  <dataFields count="2">
    <dataField name="Sum of Total_Sales" fld="11" baseField="0" baseItem="0"/>
    <dataField name="Sum of Profit" fld="13"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1"/>
          </reference>
          <reference field="8" count="1" selected="0">
            <x v="1"/>
          </reference>
        </references>
      </pivotArea>
    </chartFormat>
    <chartFormat chart="2" format="4">
      <pivotArea type="data" outline="0" fieldPosition="0">
        <references count="2">
          <reference field="4294967294" count="1" selected="0">
            <x v="1"/>
          </reference>
          <reference field="8"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B89E6C5-8E24-4EBA-8A2A-0B6278CA8DC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73:E119"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showAll="0"/>
    <pivotField showAll="0"/>
    <pivotField showAll="0">
      <items count="7">
        <item x="2"/>
        <item x="4"/>
        <item x="5"/>
        <item x="3"/>
        <item x="1"/>
        <item x="0"/>
        <item t="default"/>
      </items>
    </pivotField>
    <pivotField showAll="0">
      <items count="4">
        <item x="2"/>
        <item x="0"/>
        <item x="1"/>
        <item t="default"/>
      </items>
    </pivotField>
    <pivotField axis="axisRow" showAll="0" sortType="descending">
      <items count="46">
        <item x="21"/>
        <item x="26"/>
        <item x="18"/>
        <item x="12"/>
        <item x="27"/>
        <item x="20"/>
        <item x="33"/>
        <item x="32"/>
        <item x="41"/>
        <item x="4"/>
        <item x="30"/>
        <item x="29"/>
        <item x="22"/>
        <item x="16"/>
        <item x="10"/>
        <item x="7"/>
        <item x="2"/>
        <item x="43"/>
        <item x="0"/>
        <item x="35"/>
        <item x="5"/>
        <item x="6"/>
        <item x="1"/>
        <item x="44"/>
        <item x="37"/>
        <item x="11"/>
        <item x="19"/>
        <item x="36"/>
        <item x="42"/>
        <item x="34"/>
        <item x="23"/>
        <item x="13"/>
        <item x="24"/>
        <item x="14"/>
        <item x="8"/>
        <item x="17"/>
        <item x="39"/>
        <item x="31"/>
        <item x="15"/>
        <item x="9"/>
        <item x="38"/>
        <item x="40"/>
        <item x="3"/>
        <item x="28"/>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4">
        <item x="1"/>
        <item x="2"/>
        <item x="0"/>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6">
    <i>
      <x v="18"/>
    </i>
    <i>
      <x v="39"/>
    </i>
    <i>
      <x v="33"/>
    </i>
    <i>
      <x v="10"/>
    </i>
    <i>
      <x v="4"/>
    </i>
    <i>
      <x v="7"/>
    </i>
    <i>
      <x v="34"/>
    </i>
    <i>
      <x v="25"/>
    </i>
    <i>
      <x v="26"/>
    </i>
    <i>
      <x/>
    </i>
    <i>
      <x v="32"/>
    </i>
    <i>
      <x v="8"/>
    </i>
    <i>
      <x v="20"/>
    </i>
    <i>
      <x v="44"/>
    </i>
    <i>
      <x v="27"/>
    </i>
    <i>
      <x v="19"/>
    </i>
    <i>
      <x v="23"/>
    </i>
    <i>
      <x v="29"/>
    </i>
    <i>
      <x v="6"/>
    </i>
    <i>
      <x v="36"/>
    </i>
    <i>
      <x v="12"/>
    </i>
    <i>
      <x v="35"/>
    </i>
    <i>
      <x v="14"/>
    </i>
    <i>
      <x v="38"/>
    </i>
    <i>
      <x v="43"/>
    </i>
    <i>
      <x v="11"/>
    </i>
    <i>
      <x v="2"/>
    </i>
    <i>
      <x v="24"/>
    </i>
    <i>
      <x v="3"/>
    </i>
    <i>
      <x v="31"/>
    </i>
    <i>
      <x v="28"/>
    </i>
    <i>
      <x v="22"/>
    </i>
    <i>
      <x v="40"/>
    </i>
    <i>
      <x v="30"/>
    </i>
    <i>
      <x v="9"/>
    </i>
    <i>
      <x v="17"/>
    </i>
    <i>
      <x v="41"/>
    </i>
    <i>
      <x v="1"/>
    </i>
    <i>
      <x v="37"/>
    </i>
    <i>
      <x v="13"/>
    </i>
    <i>
      <x v="42"/>
    </i>
    <i>
      <x v="15"/>
    </i>
    <i>
      <x v="5"/>
    </i>
    <i>
      <x v="16"/>
    </i>
    <i>
      <x v="21"/>
    </i>
    <i t="grand">
      <x/>
    </i>
  </rowItems>
  <colItems count="1">
    <i/>
  </colItems>
  <dataFields count="1">
    <dataField name="Sum of Total_Sales" fld="11"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06E7129-356F-484A-87AE-83E729B16E8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53:E70"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axis="axisRow" showAll="0">
      <items count="17">
        <item x="11"/>
        <item x="10"/>
        <item x="1"/>
        <item x="3"/>
        <item x="9"/>
        <item x="14"/>
        <item x="2"/>
        <item x="7"/>
        <item x="0"/>
        <item x="8"/>
        <item x="6"/>
        <item x="15"/>
        <item x="5"/>
        <item x="13"/>
        <item x="12"/>
        <item x="4"/>
        <item t="default"/>
      </items>
    </pivotField>
    <pivotField showAll="0"/>
    <pivotField showAll="0">
      <items count="7">
        <item x="2"/>
        <item x="4"/>
        <item x="5"/>
        <item x="3"/>
        <item x="1"/>
        <item x="0"/>
        <item t="default"/>
      </items>
    </pivotField>
    <pivotField showAll="0">
      <items count="4">
        <item x="2"/>
        <item x="0"/>
        <item x="1"/>
        <item t="default"/>
      </items>
    </pivotField>
    <pivotField showAll="0"/>
    <pivotField showAll="0"/>
    <pivotField showAll="0"/>
    <pivotField showAll="0"/>
    <pivotField dataField="1" showAll="0"/>
    <pivotField showAll="0"/>
    <pivotField showAll="0"/>
    <pivotField showAll="0">
      <items count="4">
        <item x="1"/>
        <item x="2"/>
        <item x="0"/>
        <item t="default"/>
      </items>
    </pivotField>
    <pivotField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Total_Sales" fld="11"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15C6349-3ED0-4E4C-879E-9844BA2DA31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E7"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2"/>
        <item x="4"/>
        <item x="5"/>
        <item x="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v="3"/>
    </i>
    <i>
      <x/>
    </i>
    <i>
      <x v="1"/>
    </i>
    <i t="grand">
      <x/>
    </i>
  </rowItems>
  <colItems count="1">
    <i/>
  </colItems>
  <dataFields count="1">
    <dataField name="Sum of Total_Sales" fld="1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4177636-F725-4704-BC38-45175F4155F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9:E43"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showAll="0"/>
    <pivotField showAll="0"/>
    <pivotField showAll="0">
      <items count="7">
        <item x="2"/>
        <item x="4"/>
        <item x="5"/>
        <item x="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4">
    <i>
      <x/>
    </i>
    <i>
      <x v="1"/>
    </i>
    <i>
      <x v="2"/>
    </i>
    <i t="grand">
      <x/>
    </i>
  </rowItems>
  <colItems count="1">
    <i/>
  </colItems>
  <dataFields count="1">
    <dataField name="Count of Delivery_Status" fld="15" subtotal="count"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CA8B63B-DB37-4464-9D52-F666E556E75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0:E24" firstHeaderRow="1" firstDataRow="1" firstDataCol="1"/>
  <pivotFields count="18">
    <pivotField showAll="0"/>
    <pivotField numFmtId="1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5">
        <item x="3"/>
        <item x="1"/>
        <item x="2"/>
        <item x="0"/>
        <item t="default"/>
      </items>
    </pivotField>
    <pivotField showAll="0"/>
    <pivotField showAll="0"/>
    <pivotField showAll="0">
      <items count="7">
        <item x="2"/>
        <item x="4"/>
        <item x="5"/>
        <item x="3"/>
        <item x="1"/>
        <item x="0"/>
        <item t="default"/>
      </items>
    </pivotField>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Profit" fld="13"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E5046B-4833-4320-B82D-1C63B22F2D78}" sourceName="Region">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1"/>
    <pivotTable tabId="2" name="PivotTable22"/>
    <pivotTable tabId="2" name="PivotTable23"/>
    <pivotTable tabId="2" name="PivotTable24"/>
    <pivotTable tabId="2" name="PivotTable25"/>
    <pivotTable tabId="2" name="PivotTable3"/>
    <pivotTable tabId="2" name="PivotTable4"/>
    <pivotTable tabId="2" name="PivotTable5"/>
    <pivotTable tabId="2" name="PivotTable6"/>
    <pivotTable tabId="2" name="PivotTable7"/>
    <pivotTable tabId="2" name="PivotTable9"/>
  </pivotTables>
  <data>
    <tabular pivotCacheId="1918164139">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060A0D-16B1-43AF-857F-76B4B2A0793E}" sourceName="Year">
  <pivotTables>
    <pivotTable tabId="2" name="PivotTable10"/>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1"/>
    <pivotTable tabId="2" name="PivotTable22"/>
    <pivotTable tabId="2" name="PivotTable23"/>
    <pivotTable tabId="2" name="PivotTable24"/>
    <pivotTable tabId="2" name="PivotTable25"/>
    <pivotTable tabId="2" name="PivotTable3"/>
    <pivotTable tabId="2" name="PivotTable4"/>
    <pivotTable tabId="2" name="PivotTable5"/>
    <pivotTable tabId="2" name="PivotTable6"/>
    <pivotTable tabId="2" name="PivotTable7"/>
    <pivotTable tabId="2" name="PivotTable9"/>
  </pivotTables>
  <data>
    <tabular pivotCacheId="191816413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78E613-D0AE-433A-9611-5D97BC198B9F}" sourceName="Product">
  <pivotTables>
    <pivotTable tabId="2" name="PivotTable17"/>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8"/>
    <pivotTable tabId="2" name="PivotTable19"/>
    <pivotTable tabId="2" name="PivotTable2"/>
    <pivotTable tabId="2" name="PivotTable21"/>
    <pivotTable tabId="2" name="PivotTable22"/>
    <pivotTable tabId="2" name="PivotTable23"/>
    <pivotTable tabId="2" name="PivotTable24"/>
    <pivotTable tabId="2" name="PivotTable25"/>
    <pivotTable tabId="2" name="PivotTable3"/>
    <pivotTable tabId="2" name="PivotTable4"/>
    <pivotTable tabId="2" name="PivotTable5"/>
    <pivotTable tabId="2" name="PivotTable6"/>
    <pivotTable tabId="2" name="PivotTable7"/>
    <pivotTable tabId="2" name="PivotTable9"/>
  </pivotTables>
  <data>
    <tabular pivotCacheId="1918164139">
      <items count="9">
        <i x="4" s="1"/>
        <i x="8" s="1"/>
        <i x="5" s="1"/>
        <i x="7" s="1"/>
        <i x="0" s="1"/>
        <i x="6"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3AC43FA-01CB-4802-80B0-EE115CEDD094}" cache="Slicer_Region" caption="Region" style="SlicerStyleLight6" rowHeight="234950"/>
  <slicer name="Year" xr10:uid="{775D7116-E8C9-4A5C-BD2B-FA790B7FDE2A}" cache="Slicer_Year" caption="Year" style="SlicerStyleLight6" rowHeight="234950"/>
  <slicer name="Product" xr10:uid="{29B81DAC-7685-4E61-94BB-86A7AEDD18E6}" cache="Slicer_Product" caption="Product"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6F2787-439B-483A-90F2-C9426ABBADAF}" name="Table43" displayName="Table43" ref="A1:Q501" totalsRowShown="0" headerRowDxfId="46" dataDxfId="44" headerRowBorderDxfId="45">
  <autoFilter ref="A1:Q501" xr:uid="{866F2787-439B-483A-90F2-C9426ABBADAF}"/>
  <tableColumns count="17">
    <tableColumn id="1" xr3:uid="{482FF3FF-179E-429A-A3CE-8C9B0CD348F0}" name="Order_ID" dataDxfId="43"/>
    <tableColumn id="2" xr3:uid="{8EBDF082-B715-48DB-B6C4-9E222E303FC6}" name="Date" dataDxfId="42"/>
    <tableColumn id="3" xr3:uid="{9D7E2EA4-98DB-42B9-94F5-B55C30EE45E8}" name="City" dataDxfId="41"/>
    <tableColumn id="4" xr3:uid="{C776084B-F5F6-48C2-969A-84AAD5922F7D}" name="State" dataDxfId="40"/>
    <tableColumn id="5" xr3:uid="{8D184C61-C6CC-4057-B51D-96C0D7C099C2}" name="Region" dataDxfId="39"/>
    <tableColumn id="6" xr3:uid="{7305E540-922B-4FEA-89AE-C5435F917480}" name="Category" dataDxfId="38"/>
    <tableColumn id="7" xr3:uid="{E2682D4A-9F17-42DF-ABC5-011934E8822E}" name="Product" dataDxfId="37"/>
    <tableColumn id="8" xr3:uid="{0F1E705B-551F-4B23-953B-6CF9C850DA82}" name="Sales" dataDxfId="36"/>
    <tableColumn id="9" xr3:uid="{578E0738-8008-4AA8-8A70-2D2689EA3B3D}" name="Quantity" dataDxfId="35"/>
    <tableColumn id="10" xr3:uid="{3EAEDAAC-6C2B-45DB-B971-E6378DABF454}" name="Profit" dataDxfId="34"/>
    <tableColumn id="11" xr3:uid="{914B9124-AB27-48BD-9769-6696AA11B859}" name="Sales Status" dataDxfId="33">
      <calculatedColumnFormula array="1">_xlfn.IFS(Table43[[#This Row],[Sales]]&gt;40000,"Best Sales",Table43[[#This Row],[Sales]]&gt;20000,"Average Sales",Table43[[#This Row],[Sales]]&gt;0,"Poor Sales")</calculatedColumnFormula>
    </tableColumn>
    <tableColumn id="12" xr3:uid="{7DFF5249-322C-4303-B7B2-39B5AF249CAB}" name="Year" dataDxfId="32">
      <calculatedColumnFormula>YEAR(Table43[[#This Row],[Date]])</calculatedColumnFormula>
    </tableColumn>
    <tableColumn id="13" xr3:uid="{BDEEBEB0-4665-4AED-A46F-4C710EC7E748}" name="Month" dataDxfId="31">
      <calculatedColumnFormula>MONTH(Table43[[#This Row],[Date]])</calculatedColumnFormula>
    </tableColumn>
    <tableColumn id="14" xr3:uid="{0ECC1555-F1A9-417E-800B-DCC440A5CCDD}" name="Day" dataDxfId="30">
      <calculatedColumnFormula>DAY(Table43[[#This Row],[Date]])</calculatedColumnFormula>
    </tableColumn>
    <tableColumn id="15" xr3:uid="{2021BC3E-0A99-416F-92F2-6ECE6DC22E4A}" name="Monthname" dataDxfId="29">
      <calculatedColumnFormula>TEXT(DATE(2023,Table43[[#This Row],[Month]],1),"mmm")</calculatedColumnFormula>
    </tableColumn>
    <tableColumn id="16" xr3:uid="{19DDA408-2572-4E44-935A-9B3773C14C1F}" name="Sparkline (Lines)" dataDxfId="28"/>
    <tableColumn id="17" xr3:uid="{5A2A1083-9BA5-4C22-B217-527C2520D5F3}" name="Sparklines (Column)" dataDxfId="2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3F8E96-27CC-4BFD-ABDC-289081B3C68E}" name="Table433" displayName="Table433" ref="A1:Q501" totalsRowShown="0" headerRowDxfId="26" dataDxfId="24" headerRowBorderDxfId="25">
  <autoFilter ref="A1:Q501" xr:uid="{B83F8E96-27CC-4BFD-ABDC-289081B3C68E}"/>
  <tableColumns count="17">
    <tableColumn id="1" xr3:uid="{4338C6E3-E454-4162-A6C7-F6A78025EE69}" name="Order_ID" dataDxfId="23"/>
    <tableColumn id="2" xr3:uid="{7C5726AF-1165-464E-B9EB-A9D9CC8EAA8D}" name="Date" dataDxfId="22"/>
    <tableColumn id="3" xr3:uid="{BD759A8E-0A87-4BF1-8168-8A9F1A8CA30C}" name="City" dataDxfId="21"/>
    <tableColumn id="4" xr3:uid="{68054EB8-1DE0-4469-A610-014E0D41D137}" name="State" dataDxfId="20"/>
    <tableColumn id="5" xr3:uid="{56EB3E68-F03B-43C5-AE9E-3CDC1ECC029B}" name="Region" dataDxfId="19"/>
    <tableColumn id="6" xr3:uid="{4F42F50D-875F-46CB-AFE6-74B1B8CAC6B7}" name="Category" dataDxfId="18"/>
    <tableColumn id="7" xr3:uid="{B1CDB2D4-B7DD-447B-ABE2-5C6B53BB33F8}" name="Product" dataDxfId="17"/>
    <tableColumn id="8" xr3:uid="{2A05866B-CE83-409A-8153-6E4DB398FE4B}" name="Sales" dataDxfId="16"/>
    <tableColumn id="9" xr3:uid="{46DAF901-9B7B-428C-A47D-F3B68320244B}" name="Quantity" dataDxfId="15"/>
    <tableColumn id="10" xr3:uid="{C5AB199E-6DFA-41C0-BAF8-CE68F1DAC54C}" name="Profit" dataDxfId="14"/>
    <tableColumn id="11" xr3:uid="{9636B51D-1756-4971-BAE7-04F15B6FCA6D}" name="Sales Status" dataDxfId="13">
      <calculatedColumnFormula array="1">_xlfn.IFS(Table433[[#This Row],[Sales]]&gt;40000,"Best Sales",Table433[[#This Row],[Sales]]&gt;20000,"Average Sales",Table433[[#This Row],[Sales]]&gt;0,"Poor Sales")</calculatedColumnFormula>
    </tableColumn>
    <tableColumn id="12" xr3:uid="{E712B94A-2FEB-4A73-A158-2A02AFB10509}" name="Year" dataDxfId="12">
      <calculatedColumnFormula>YEAR(Table433[[#This Row],[Date]])</calculatedColumnFormula>
    </tableColumn>
    <tableColumn id="13" xr3:uid="{134EED63-71BD-4A2E-9A14-E44EB06E11D0}" name="Month" dataDxfId="11">
      <calculatedColumnFormula>MONTH(Table433[[#This Row],[Date]])</calculatedColumnFormula>
    </tableColumn>
    <tableColumn id="14" xr3:uid="{FF568E0D-2BFA-460E-B27C-7F39617DBECA}" name="Day" dataDxfId="10">
      <calculatedColumnFormula>DAY(Table433[[#This Row],[Date]])</calculatedColumnFormula>
    </tableColumn>
    <tableColumn id="15" xr3:uid="{9E20334B-3375-4F53-96D1-46A5E64AD7CD}" name="Monthname" dataDxfId="9">
      <calculatedColumnFormula>TEXT(DATE(2023,Table433[[#This Row],[Month]],1),"mmm")</calculatedColumnFormula>
    </tableColumn>
    <tableColumn id="16" xr3:uid="{63C341BE-7708-4C80-BD0D-AE724F45BB1D}" name="Sparkline (Lines)" dataDxfId="8"/>
    <tableColumn id="17" xr3:uid="{80863B65-017F-462F-89D4-677EAFAA9A0E}" name="Sparklines (Column)" dataDxfId="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32D315-845F-4A8A-964D-AA56232ABF36}" name="Table4" displayName="Table4" ref="A1:P51" totalsRowShown="0">
  <autoFilter ref="A1:P51" xr:uid="{E932D315-845F-4A8A-964D-AA56232ABF36}"/>
  <tableColumns count="16">
    <tableColumn id="1" xr3:uid="{4077B58D-BA75-4254-9551-19EC35B1A7DC}" name="Order_ID"/>
    <tableColumn id="2" xr3:uid="{87DDB615-FA34-459D-8453-24A3908C11AF}" name="Order_Date" dataDxfId="6"/>
    <tableColumn id="3" xr3:uid="{99387A6E-E025-474F-8573-43A08B356164}" name="Region"/>
    <tableColumn id="4" xr3:uid="{7AF23DF9-6125-4AA5-9CD5-8D259D9C60C2}" name="State"/>
    <tableColumn id="5" xr3:uid="{1DD4D58B-B048-41F4-8D4C-50E4209F6A3E}" name="City"/>
    <tableColumn id="6" xr3:uid="{82F5A05F-F467-4573-92FD-40A0C9753027}" name="Sales_Executive"/>
    <tableColumn id="7" xr3:uid="{6DC7F903-00D3-4B7B-B70B-410A88CDBAC0}" name="Department"/>
    <tableColumn id="8" xr3:uid="{EC7FFA2A-96EB-4AB3-9F9C-6303D57E0C33}" name="Product_Name"/>
    <tableColumn id="9" xr3:uid="{90718294-53FB-4BC4-BAA6-DCB3E1349A55}" name="Customer_Type"/>
    <tableColumn id="10" xr3:uid="{5DE8C970-AE24-4B38-954A-6D320BF1B946}" name="Quantity"/>
    <tableColumn id="11" xr3:uid="{8F4EF65E-42E1-43E0-87DE-A00AB950A7A7}" name="Unit_Price"/>
    <tableColumn id="12" xr3:uid="{EF4E5C23-20B9-4F55-99B4-4243FC9B7927}" name="Total_Sales"/>
    <tableColumn id="13" xr3:uid="{CE51FA80-838B-49AA-96FA-8FD076A6674F}" name="Discount_%"/>
    <tableColumn id="14" xr3:uid="{83B24138-4030-41CA-B97E-47EE1AA1A6D1}" name="Profit"/>
    <tableColumn id="15" xr3:uid="{0231F01E-355C-4A04-9DF2-6D741ECC3319}" name="Payment_Mode"/>
    <tableColumn id="16" xr3:uid="{CB5EF4FA-4AD6-48A4-A018-2A59F2BF23C8}" name="Delivery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5" Type="http://schemas.openxmlformats.org/officeDocument/2006/relationships/pivotTable" Target="../pivotTables/pivotTable28.xml"/><Relationship Id="rId10" Type="http://schemas.openxmlformats.org/officeDocument/2006/relationships/drawing" Target="../drawings/drawing3.xml"/><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B99CF-6387-45A6-9EDA-97CB682A3A78}">
  <dimension ref="A1:S501"/>
  <sheetViews>
    <sheetView workbookViewId="0">
      <selection activeCell="G18" sqref="G18"/>
    </sheetView>
  </sheetViews>
  <sheetFormatPr defaultRowHeight="14.4" x14ac:dyDescent="0.3"/>
  <cols>
    <col min="1" max="1" width="10.77734375" bestFit="1" customWidth="1"/>
    <col min="2" max="2" width="10.5546875" bestFit="1" customWidth="1"/>
    <col min="3" max="3" width="10.6640625" bestFit="1" customWidth="1"/>
    <col min="4" max="4" width="11.44140625" bestFit="1" customWidth="1"/>
    <col min="5" max="5" width="9" bestFit="1" customWidth="1"/>
    <col min="6" max="7" width="9.88671875" bestFit="1" customWidth="1"/>
    <col min="8" max="8" width="7.44140625" bestFit="1" customWidth="1"/>
    <col min="9" max="9" width="10.5546875" bestFit="1" customWidth="1"/>
    <col min="10" max="10" width="7.88671875" bestFit="1" customWidth="1"/>
    <col min="11" max="11" width="13.109375" bestFit="1" customWidth="1"/>
    <col min="12" max="12" width="6.88671875" bestFit="1" customWidth="1"/>
    <col min="13" max="13" width="9" bestFit="1" customWidth="1"/>
    <col min="14" max="14" width="6.44140625" bestFit="1" customWidth="1"/>
    <col min="15" max="15" width="13.77734375" bestFit="1" customWidth="1"/>
    <col min="16" max="16" width="17.109375" bestFit="1" customWidth="1"/>
    <col min="17" max="17" width="20.33203125" bestFit="1" customWidth="1"/>
    <col min="19" max="19" width="12.5546875" bestFit="1" customWidth="1"/>
    <col min="20" max="20" width="11.6640625" bestFit="1" customWidth="1"/>
  </cols>
  <sheetData>
    <row r="1" spans="1:19" ht="15" thickBot="1" x14ac:dyDescent="0.35">
      <c r="A1" s="1" t="s">
        <v>0</v>
      </c>
      <c r="B1" s="2" t="s">
        <v>1</v>
      </c>
      <c r="C1" s="3" t="s">
        <v>2</v>
      </c>
      <c r="D1" s="3" t="s">
        <v>3</v>
      </c>
      <c r="E1" s="3" t="s">
        <v>4</v>
      </c>
      <c r="F1" s="3" t="s">
        <v>5</v>
      </c>
      <c r="G1" s="3" t="s">
        <v>6</v>
      </c>
      <c r="H1" s="4" t="s">
        <v>7</v>
      </c>
      <c r="I1" s="3" t="s">
        <v>8</v>
      </c>
      <c r="J1" s="5" t="s">
        <v>9</v>
      </c>
      <c r="K1" s="4" t="s">
        <v>10</v>
      </c>
      <c r="L1" s="4" t="s">
        <v>11</v>
      </c>
      <c r="M1" s="4" t="s">
        <v>12</v>
      </c>
      <c r="N1" s="3" t="s">
        <v>13</v>
      </c>
      <c r="O1" s="3" t="s">
        <v>14</v>
      </c>
      <c r="P1" s="3" t="s">
        <v>15</v>
      </c>
      <c r="Q1" s="3" t="s">
        <v>16</v>
      </c>
    </row>
    <row r="2" spans="1:19" ht="15" thickTop="1" x14ac:dyDescent="0.3">
      <c r="A2" s="6">
        <v>1</v>
      </c>
      <c r="B2" s="7">
        <v>45197</v>
      </c>
      <c r="C2" s="8" t="s">
        <v>17</v>
      </c>
      <c r="D2" s="8" t="s">
        <v>18</v>
      </c>
      <c r="E2" s="8" t="s">
        <v>19</v>
      </c>
      <c r="F2" s="8" t="s">
        <v>20</v>
      </c>
      <c r="G2" s="8" t="s">
        <v>21</v>
      </c>
      <c r="H2" s="9">
        <v>46482.46</v>
      </c>
      <c r="I2" s="8">
        <v>8</v>
      </c>
      <c r="J2" s="10">
        <v>12648.46</v>
      </c>
      <c r="K2" s="11" t="str" cm="1">
        <f t="array" ref="K2">_xlfn.IFS(Table43[[#This Row],[Sales]]&gt;40000,"Best Sales",Table43[[#This Row],[Sales]]&gt;20000,"Average Sales",Table43[[#This Row],[Sales]]&gt;0,"Poor Sales")</f>
        <v>Best Sales</v>
      </c>
      <c r="L2" s="12">
        <f>YEAR(Table43[[#This Row],[Date]])</f>
        <v>2023</v>
      </c>
      <c r="M2" s="12">
        <f>MONTH(Table43[[#This Row],[Date]])</f>
        <v>9</v>
      </c>
      <c r="N2" s="13">
        <f>DAY(Table43[[#This Row],[Date]])</f>
        <v>28</v>
      </c>
      <c r="O2" s="13" t="str">
        <f>TEXT(DATE(2023,Table43[[#This Row],[Month]],1),"mmm")</f>
        <v>Sep</v>
      </c>
      <c r="P2" s="13"/>
      <c r="Q2" s="13"/>
    </row>
    <row r="3" spans="1:19" x14ac:dyDescent="0.3">
      <c r="A3" s="14">
        <v>2</v>
      </c>
      <c r="B3" s="15">
        <v>45274</v>
      </c>
      <c r="C3" s="16" t="s">
        <v>22</v>
      </c>
      <c r="D3" s="16" t="s">
        <v>23</v>
      </c>
      <c r="E3" s="16" t="s">
        <v>24</v>
      </c>
      <c r="F3" s="16" t="s">
        <v>20</v>
      </c>
      <c r="G3" s="16" t="s">
        <v>21</v>
      </c>
      <c r="H3" s="17">
        <v>47951.42</v>
      </c>
      <c r="I3" s="16">
        <v>10</v>
      </c>
      <c r="J3" s="18">
        <v>9869.94</v>
      </c>
      <c r="K3" s="17" t="str" cm="1">
        <f t="array" ref="K3">_xlfn.IFS(Table43[[#This Row],[Sales]]&gt;40000,"Best Sales",Table43[[#This Row],[Sales]]&gt;20000,"Average Sales",Table43[[#This Row],[Sales]]&gt;0,"Poor Sales")</f>
        <v>Best Sales</v>
      </c>
      <c r="L3" s="12">
        <f>YEAR(Table43[[#This Row],[Date]])</f>
        <v>2023</v>
      </c>
      <c r="M3" s="12">
        <f>MONTH(Table43[[#This Row],[Date]])</f>
        <v>12</v>
      </c>
      <c r="N3" s="13">
        <f>DAY(Table43[[#This Row],[Date]])</f>
        <v>14</v>
      </c>
      <c r="O3" s="13" t="str">
        <f>TEXT(DATE(2023,Table43[[#This Row],[Month]],1),"mmm")</f>
        <v>Dec</v>
      </c>
      <c r="P3" s="13"/>
      <c r="Q3" s="13"/>
    </row>
    <row r="4" spans="1:19" x14ac:dyDescent="0.3">
      <c r="A4" s="6">
        <v>3</v>
      </c>
      <c r="B4" s="7">
        <v>45136</v>
      </c>
      <c r="C4" s="8" t="s">
        <v>25</v>
      </c>
      <c r="D4" s="8" t="s">
        <v>26</v>
      </c>
      <c r="E4" s="8" t="s">
        <v>27</v>
      </c>
      <c r="F4" s="8" t="s">
        <v>20</v>
      </c>
      <c r="G4" s="8" t="s">
        <v>28</v>
      </c>
      <c r="H4" s="9">
        <v>24461.75</v>
      </c>
      <c r="I4" s="8">
        <v>3</v>
      </c>
      <c r="J4" s="10">
        <v>7086.73</v>
      </c>
      <c r="K4" s="17" t="str" cm="1">
        <f t="array" ref="K4">_xlfn.IFS(Table43[[#This Row],[Sales]]&gt;40000,"Best Sales",Table43[[#This Row],[Sales]]&gt;20000,"Average Sales",Table43[[#This Row],[Sales]]&gt;0,"Poor Sales")</f>
        <v>Average Sales</v>
      </c>
      <c r="L4" s="12">
        <f>YEAR(Table43[[#This Row],[Date]])</f>
        <v>2023</v>
      </c>
      <c r="M4" s="12">
        <f>MONTH(Table43[[#This Row],[Date]])</f>
        <v>7</v>
      </c>
      <c r="N4" s="13">
        <f>DAY(Table43[[#This Row],[Date]])</f>
        <v>29</v>
      </c>
      <c r="O4" s="13" t="str">
        <f>TEXT(DATE(2023,Table43[[#This Row],[Month]],1),"mmm")</f>
        <v>Jul</v>
      </c>
      <c r="P4" s="13"/>
      <c r="Q4" s="13"/>
    </row>
    <row r="5" spans="1:19" x14ac:dyDescent="0.3">
      <c r="A5" s="14">
        <v>4</v>
      </c>
      <c r="B5" s="15">
        <v>45044</v>
      </c>
      <c r="C5" s="16" t="s">
        <v>29</v>
      </c>
      <c r="D5" s="16" t="s">
        <v>29</v>
      </c>
      <c r="E5" s="16" t="s">
        <v>30</v>
      </c>
      <c r="F5" s="16" t="s">
        <v>31</v>
      </c>
      <c r="G5" s="16" t="s">
        <v>32</v>
      </c>
      <c r="H5" s="17">
        <v>11804.18</v>
      </c>
      <c r="I5" s="16">
        <v>5</v>
      </c>
      <c r="J5" s="18">
        <v>2281.2199999999998</v>
      </c>
      <c r="K5" s="17" t="str" cm="1">
        <f t="array" ref="K5">_xlfn.IFS(Table43[[#This Row],[Sales]]&gt;40000,"Best Sales",Table43[[#This Row],[Sales]]&gt;20000,"Average Sales",Table43[[#This Row],[Sales]]&gt;0,"Poor Sales")</f>
        <v>Poor Sales</v>
      </c>
      <c r="L5" s="12">
        <f>YEAR(Table43[[#This Row],[Date]])</f>
        <v>2023</v>
      </c>
      <c r="M5" s="12">
        <f>MONTH(Table43[[#This Row],[Date]])</f>
        <v>4</v>
      </c>
      <c r="N5" s="13">
        <f>DAY(Table43[[#This Row],[Date]])</f>
        <v>28</v>
      </c>
      <c r="O5" s="13" t="str">
        <f>TEXT(DATE(2023,Table43[[#This Row],[Month]],1),"mmm")</f>
        <v>Apr</v>
      </c>
      <c r="P5" s="13"/>
      <c r="Q5" s="13"/>
    </row>
    <row r="6" spans="1:19" x14ac:dyDescent="0.3">
      <c r="A6" s="6">
        <v>5</v>
      </c>
      <c r="B6" s="7">
        <v>45175</v>
      </c>
      <c r="C6" s="8" t="s">
        <v>33</v>
      </c>
      <c r="D6" s="8" t="s">
        <v>34</v>
      </c>
      <c r="E6" s="8" t="s">
        <v>19</v>
      </c>
      <c r="F6" s="8" t="s">
        <v>31</v>
      </c>
      <c r="G6" s="8" t="s">
        <v>35</v>
      </c>
      <c r="H6" s="9">
        <v>32428.83</v>
      </c>
      <c r="I6" s="8">
        <v>7</v>
      </c>
      <c r="J6" s="10">
        <v>6931.45</v>
      </c>
      <c r="K6" s="17" t="str" cm="1">
        <f t="array" ref="K6">_xlfn.IFS(Table43[[#This Row],[Sales]]&gt;40000,"Best Sales",Table43[[#This Row],[Sales]]&gt;20000,"Average Sales",Table43[[#This Row],[Sales]]&gt;0,"Poor Sales")</f>
        <v>Average Sales</v>
      </c>
      <c r="L6" s="12">
        <f>YEAR(Table43[[#This Row],[Date]])</f>
        <v>2023</v>
      </c>
      <c r="M6" s="12">
        <f>MONTH(Table43[[#This Row],[Date]])</f>
        <v>9</v>
      </c>
      <c r="N6" s="13">
        <f>DAY(Table43[[#This Row],[Date]])</f>
        <v>6</v>
      </c>
      <c r="O6" s="13" t="str">
        <f>TEXT(DATE(2023,Table43[[#This Row],[Month]],1),"mmm")</f>
        <v>Sep</v>
      </c>
      <c r="P6" s="13"/>
      <c r="Q6" s="13"/>
    </row>
    <row r="7" spans="1:19" x14ac:dyDescent="0.3">
      <c r="A7" s="14">
        <v>6</v>
      </c>
      <c r="B7" s="15">
        <v>45004</v>
      </c>
      <c r="C7" s="16" t="s">
        <v>25</v>
      </c>
      <c r="D7" s="16" t="s">
        <v>26</v>
      </c>
      <c r="E7" s="16" t="s">
        <v>24</v>
      </c>
      <c r="F7" s="16" t="s">
        <v>31</v>
      </c>
      <c r="G7" s="16" t="s">
        <v>36</v>
      </c>
      <c r="H7" s="17">
        <v>25931.95</v>
      </c>
      <c r="I7" s="16">
        <v>4</v>
      </c>
      <c r="J7" s="18">
        <v>1541.8</v>
      </c>
      <c r="K7" s="17" t="str" cm="1">
        <f t="array" ref="K7">_xlfn.IFS(Table43[[#This Row],[Sales]]&gt;40000,"Best Sales",Table43[[#This Row],[Sales]]&gt;20000,"Average Sales",Table43[[#This Row],[Sales]]&gt;0,"Poor Sales")</f>
        <v>Average Sales</v>
      </c>
      <c r="L7" s="12">
        <f>YEAR(Table43[[#This Row],[Date]])</f>
        <v>2023</v>
      </c>
      <c r="M7" s="12">
        <f>MONTH(Table43[[#This Row],[Date]])</f>
        <v>3</v>
      </c>
      <c r="N7" s="13">
        <f>DAY(Table43[[#This Row],[Date]])</f>
        <v>19</v>
      </c>
      <c r="O7" s="13" t="str">
        <f>TEXT(DATE(2023,Table43[[#This Row],[Month]],1),"mmm")</f>
        <v>Mar</v>
      </c>
      <c r="P7" s="13"/>
      <c r="Q7" s="13"/>
    </row>
    <row r="8" spans="1:19" x14ac:dyDescent="0.3">
      <c r="A8" s="6">
        <v>7</v>
      </c>
      <c r="B8" s="7">
        <v>45258</v>
      </c>
      <c r="C8" s="8" t="s">
        <v>37</v>
      </c>
      <c r="D8" s="8" t="s">
        <v>23</v>
      </c>
      <c r="E8" s="8" t="s">
        <v>30</v>
      </c>
      <c r="F8" s="8" t="s">
        <v>31</v>
      </c>
      <c r="G8" s="8" t="s">
        <v>32</v>
      </c>
      <c r="H8" s="9">
        <v>15599.35</v>
      </c>
      <c r="I8" s="8">
        <v>4</v>
      </c>
      <c r="J8" s="10">
        <v>2837.29</v>
      </c>
      <c r="K8" s="17" t="str" cm="1">
        <f t="array" ref="K8">_xlfn.IFS(Table43[[#This Row],[Sales]]&gt;40000,"Best Sales",Table43[[#This Row],[Sales]]&gt;20000,"Average Sales",Table43[[#This Row],[Sales]]&gt;0,"Poor Sales")</f>
        <v>Poor Sales</v>
      </c>
      <c r="L8" s="12">
        <f>YEAR(Table43[[#This Row],[Date]])</f>
        <v>2023</v>
      </c>
      <c r="M8" s="12">
        <f>MONTH(Table43[[#This Row],[Date]])</f>
        <v>11</v>
      </c>
      <c r="N8" s="13">
        <f>DAY(Table43[[#This Row],[Date]])</f>
        <v>28</v>
      </c>
      <c r="O8" s="13" t="str">
        <f>TEXT(DATE(2023,Table43[[#This Row],[Month]],1),"mmm")</f>
        <v>Nov</v>
      </c>
      <c r="P8" s="13"/>
      <c r="Q8" s="13"/>
      <c r="S8" s="33"/>
    </row>
    <row r="9" spans="1:19" x14ac:dyDescent="0.3">
      <c r="A9" s="14">
        <v>8</v>
      </c>
      <c r="B9" s="15">
        <v>45165</v>
      </c>
      <c r="C9" s="16" t="s">
        <v>25</v>
      </c>
      <c r="D9" s="16" t="s">
        <v>26</v>
      </c>
      <c r="E9" s="16" t="s">
        <v>27</v>
      </c>
      <c r="F9" s="16" t="s">
        <v>38</v>
      </c>
      <c r="G9" s="16" t="s">
        <v>39</v>
      </c>
      <c r="H9" s="17">
        <v>31649</v>
      </c>
      <c r="I9" s="16">
        <v>5</v>
      </c>
      <c r="J9" s="18">
        <v>3646.09</v>
      </c>
      <c r="K9" s="17" t="str" cm="1">
        <f t="array" ref="K9">_xlfn.IFS(Table43[[#This Row],[Sales]]&gt;40000,"Best Sales",Table43[[#This Row],[Sales]]&gt;20000,"Average Sales",Table43[[#This Row],[Sales]]&gt;0,"Poor Sales")</f>
        <v>Average Sales</v>
      </c>
      <c r="L9" s="12">
        <f>YEAR(Table43[[#This Row],[Date]])</f>
        <v>2023</v>
      </c>
      <c r="M9" s="12">
        <f>MONTH(Table43[[#This Row],[Date]])</f>
        <v>8</v>
      </c>
      <c r="N9" s="13">
        <f>DAY(Table43[[#This Row],[Date]])</f>
        <v>27</v>
      </c>
      <c r="O9" s="13" t="str">
        <f>TEXT(DATE(2023,Table43[[#This Row],[Month]],1),"mmm")</f>
        <v>Aug</v>
      </c>
      <c r="P9" s="13"/>
      <c r="Q9" s="13"/>
    </row>
    <row r="10" spans="1:19" x14ac:dyDescent="0.3">
      <c r="A10" s="6">
        <v>9</v>
      </c>
      <c r="B10" s="7">
        <v>45027</v>
      </c>
      <c r="C10" s="8" t="s">
        <v>22</v>
      </c>
      <c r="D10" s="8" t="s">
        <v>23</v>
      </c>
      <c r="E10" s="8" t="s">
        <v>19</v>
      </c>
      <c r="F10" s="8" t="s">
        <v>31</v>
      </c>
      <c r="G10" s="8" t="s">
        <v>36</v>
      </c>
      <c r="H10" s="9">
        <v>555555</v>
      </c>
      <c r="I10" s="8">
        <v>7</v>
      </c>
      <c r="J10" s="10">
        <v>2025</v>
      </c>
      <c r="K10" s="17" t="str" cm="1">
        <f t="array" ref="K10">_xlfn.IFS(Table43[[#This Row],[Sales]]&gt;40000,"Best Sales",Table43[[#This Row],[Sales]]&gt;20000,"Average Sales",Table43[[#This Row],[Sales]]&gt;0,"Poor Sales")</f>
        <v>Best Sales</v>
      </c>
      <c r="L10" s="12">
        <f>YEAR(Table43[[#This Row],[Date]])</f>
        <v>2023</v>
      </c>
      <c r="M10" s="12">
        <f>MONTH(Table43[[#This Row],[Date]])</f>
        <v>4</v>
      </c>
      <c r="N10" s="13">
        <f>DAY(Table43[[#This Row],[Date]])</f>
        <v>11</v>
      </c>
      <c r="O10" s="13" t="str">
        <f>TEXT(DATE(2023,Table43[[#This Row],[Month]],1),"mmm")</f>
        <v>Apr</v>
      </c>
      <c r="P10" s="13"/>
      <c r="Q10" s="13"/>
    </row>
    <row r="11" spans="1:19" x14ac:dyDescent="0.3">
      <c r="A11" s="14">
        <v>10</v>
      </c>
      <c r="B11" s="15">
        <v>45097</v>
      </c>
      <c r="C11" s="16" t="s">
        <v>37</v>
      </c>
      <c r="D11" s="16" t="s">
        <v>23</v>
      </c>
      <c r="E11" s="16" t="s">
        <v>24</v>
      </c>
      <c r="F11" s="16" t="s">
        <v>38</v>
      </c>
      <c r="G11" s="16" t="s">
        <v>40</v>
      </c>
      <c r="H11" s="17">
        <v>31852.71</v>
      </c>
      <c r="I11" s="16">
        <v>5</v>
      </c>
      <c r="J11" s="18">
        <v>9113.66</v>
      </c>
      <c r="K11" s="17" t="str" cm="1">
        <f t="array" ref="K11">_xlfn.IFS(Table43[[#This Row],[Sales]]&gt;40000,"Best Sales",Table43[[#This Row],[Sales]]&gt;20000,"Average Sales",Table43[[#This Row],[Sales]]&gt;0,"Poor Sales")</f>
        <v>Average Sales</v>
      </c>
      <c r="L11" s="12">
        <f>YEAR(Table43[[#This Row],[Date]])</f>
        <v>2023</v>
      </c>
      <c r="M11" s="12">
        <f>MONTH(Table43[[#This Row],[Date]])</f>
        <v>6</v>
      </c>
      <c r="N11" s="13">
        <f>DAY(Table43[[#This Row],[Date]])</f>
        <v>20</v>
      </c>
      <c r="O11" s="13" t="str">
        <f>TEXT(DATE(2023,Table43[[#This Row],[Month]],1),"mmm")</f>
        <v>Jun</v>
      </c>
      <c r="P11" s="13"/>
      <c r="Q11" s="13"/>
    </row>
    <row r="12" spans="1:19" x14ac:dyDescent="0.3">
      <c r="A12" s="6">
        <v>11</v>
      </c>
      <c r="B12" s="7">
        <v>45272</v>
      </c>
      <c r="C12" s="8" t="s">
        <v>29</v>
      </c>
      <c r="D12" s="8" t="s">
        <v>29</v>
      </c>
      <c r="E12" s="8" t="s">
        <v>30</v>
      </c>
      <c r="F12" s="8" t="s">
        <v>38</v>
      </c>
      <c r="G12" s="8" t="s">
        <v>39</v>
      </c>
      <c r="H12" s="9">
        <v>46127.15</v>
      </c>
      <c r="I12" s="8">
        <v>7</v>
      </c>
      <c r="J12" s="10">
        <v>12556.39</v>
      </c>
      <c r="K12" s="17" t="str" cm="1">
        <f t="array" ref="K12">_xlfn.IFS(Table43[[#This Row],[Sales]]&gt;40000,"Best Sales",Table43[[#This Row],[Sales]]&gt;20000,"Average Sales",Table43[[#This Row],[Sales]]&gt;0,"Poor Sales")</f>
        <v>Best Sales</v>
      </c>
      <c r="L12" s="12">
        <f>YEAR(Table43[[#This Row],[Date]])</f>
        <v>2023</v>
      </c>
      <c r="M12" s="12">
        <f>MONTH(Table43[[#This Row],[Date]])</f>
        <v>12</v>
      </c>
      <c r="N12" s="13">
        <f>DAY(Table43[[#This Row],[Date]])</f>
        <v>12</v>
      </c>
      <c r="O12" s="13" t="str">
        <f>TEXT(DATE(2023,Table43[[#This Row],[Month]],1),"mmm")</f>
        <v>Dec</v>
      </c>
      <c r="P12" s="13"/>
      <c r="Q12" s="13"/>
    </row>
    <row r="13" spans="1:19" x14ac:dyDescent="0.3">
      <c r="A13" s="14">
        <v>12</v>
      </c>
      <c r="B13" s="15">
        <v>45123</v>
      </c>
      <c r="C13" s="16" t="s">
        <v>25</v>
      </c>
      <c r="D13" s="16" t="s">
        <v>26</v>
      </c>
      <c r="E13" s="16" t="s">
        <v>27</v>
      </c>
      <c r="F13" s="16" t="s">
        <v>20</v>
      </c>
      <c r="G13" s="16" t="s">
        <v>41</v>
      </c>
      <c r="H13" s="17">
        <v>16045.71</v>
      </c>
      <c r="I13" s="16">
        <v>10</v>
      </c>
      <c r="J13" s="18">
        <v>921.15</v>
      </c>
      <c r="K13" s="17" t="str" cm="1">
        <f t="array" ref="K13">_xlfn.IFS(Table43[[#This Row],[Sales]]&gt;40000,"Best Sales",Table43[[#This Row],[Sales]]&gt;20000,"Average Sales",Table43[[#This Row],[Sales]]&gt;0,"Poor Sales")</f>
        <v>Poor Sales</v>
      </c>
      <c r="L13" s="12">
        <f>YEAR(Table43[[#This Row],[Date]])</f>
        <v>2023</v>
      </c>
      <c r="M13" s="12">
        <f>MONTH(Table43[[#This Row],[Date]])</f>
        <v>7</v>
      </c>
      <c r="N13" s="13">
        <f>DAY(Table43[[#This Row],[Date]])</f>
        <v>16</v>
      </c>
      <c r="O13" s="13" t="str">
        <f>TEXT(DATE(2023,Table43[[#This Row],[Month]],1),"mmm")</f>
        <v>Jul</v>
      </c>
      <c r="P13" s="13"/>
      <c r="Q13" s="13"/>
    </row>
    <row r="14" spans="1:19" x14ac:dyDescent="0.3">
      <c r="A14" s="6">
        <v>13</v>
      </c>
      <c r="B14" s="7">
        <v>45004</v>
      </c>
      <c r="C14" s="8" t="s">
        <v>42</v>
      </c>
      <c r="D14" s="8" t="s">
        <v>43</v>
      </c>
      <c r="E14" s="8" t="s">
        <v>27</v>
      </c>
      <c r="F14" s="8" t="s">
        <v>38</v>
      </c>
      <c r="G14" s="8" t="s">
        <v>39</v>
      </c>
      <c r="H14" s="9">
        <v>17293.28</v>
      </c>
      <c r="I14" s="8">
        <v>3</v>
      </c>
      <c r="J14" s="10">
        <v>3755.05</v>
      </c>
      <c r="K14" s="17" t="str" cm="1">
        <f t="array" ref="K14">_xlfn.IFS(Table43[[#This Row],[Sales]]&gt;40000,"Best Sales",Table43[[#This Row],[Sales]]&gt;20000,"Average Sales",Table43[[#This Row],[Sales]]&gt;0,"Poor Sales")</f>
        <v>Poor Sales</v>
      </c>
      <c r="L14" s="12">
        <f>YEAR(Table43[[#This Row],[Date]])</f>
        <v>2023</v>
      </c>
      <c r="M14" s="12">
        <f>MONTH(Table43[[#This Row],[Date]])</f>
        <v>3</v>
      </c>
      <c r="N14" s="13">
        <f>DAY(Table43[[#This Row],[Date]])</f>
        <v>19</v>
      </c>
      <c r="O14" s="13" t="str">
        <f>TEXT(DATE(2023,Table43[[#This Row],[Month]],1),"mmm")</f>
        <v>Mar</v>
      </c>
      <c r="P14" s="13"/>
      <c r="Q14" s="13"/>
    </row>
    <row r="15" spans="1:19" x14ac:dyDescent="0.3">
      <c r="A15" s="14">
        <v>14</v>
      </c>
      <c r="B15" s="15">
        <v>45278</v>
      </c>
      <c r="C15" s="16" t="s">
        <v>44</v>
      </c>
      <c r="D15" s="16" t="s">
        <v>34</v>
      </c>
      <c r="E15" s="16" t="s">
        <v>19</v>
      </c>
      <c r="F15" s="16" t="s">
        <v>20</v>
      </c>
      <c r="G15" s="16" t="s">
        <v>41</v>
      </c>
      <c r="H15" s="17">
        <v>34137.550000000003</v>
      </c>
      <c r="I15" s="16">
        <v>4</v>
      </c>
      <c r="J15" s="18">
        <v>1912.63</v>
      </c>
      <c r="K15" s="17" t="str" cm="1">
        <f t="array" ref="K15">_xlfn.IFS(Table43[[#This Row],[Sales]]&gt;40000,"Best Sales",Table43[[#This Row],[Sales]]&gt;20000,"Average Sales",Table43[[#This Row],[Sales]]&gt;0,"Poor Sales")</f>
        <v>Average Sales</v>
      </c>
      <c r="L15" s="12">
        <f>YEAR(Table43[[#This Row],[Date]])</f>
        <v>2023</v>
      </c>
      <c r="M15" s="12">
        <f>MONTH(Table43[[#This Row],[Date]])</f>
        <v>12</v>
      </c>
      <c r="N15" s="13">
        <f>DAY(Table43[[#This Row],[Date]])</f>
        <v>18</v>
      </c>
      <c r="O15" s="13" t="str">
        <f>TEXT(DATE(2023,Table43[[#This Row],[Month]],1),"mmm")</f>
        <v>Dec</v>
      </c>
      <c r="P15" s="13"/>
      <c r="Q15" s="13"/>
    </row>
    <row r="16" spans="1:19" x14ac:dyDescent="0.3">
      <c r="A16" s="6">
        <v>15</v>
      </c>
      <c r="B16" s="7">
        <v>44966</v>
      </c>
      <c r="C16" s="8" t="s">
        <v>45</v>
      </c>
      <c r="D16" s="8" t="s">
        <v>34</v>
      </c>
      <c r="E16" s="8" t="s">
        <v>24</v>
      </c>
      <c r="F16" s="8" t="s">
        <v>31</v>
      </c>
      <c r="G16" s="8" t="s">
        <v>36</v>
      </c>
      <c r="H16" s="9">
        <v>37166.230000000003</v>
      </c>
      <c r="I16" s="8">
        <v>9</v>
      </c>
      <c r="J16" s="10">
        <v>4660.25</v>
      </c>
      <c r="K16" s="17" t="str" cm="1">
        <f t="array" ref="K16">_xlfn.IFS(Table43[[#This Row],[Sales]]&gt;40000,"Best Sales",Table43[[#This Row],[Sales]]&gt;20000,"Average Sales",Table43[[#This Row],[Sales]]&gt;0,"Poor Sales")</f>
        <v>Average Sales</v>
      </c>
      <c r="L16" s="12">
        <f>YEAR(Table43[[#This Row],[Date]])</f>
        <v>2023</v>
      </c>
      <c r="M16" s="12">
        <f>MONTH(Table43[[#This Row],[Date]])</f>
        <v>2</v>
      </c>
      <c r="N16" s="13">
        <f>DAY(Table43[[#This Row],[Date]])</f>
        <v>9</v>
      </c>
      <c r="O16" s="13" t="str">
        <f>TEXT(DATE(2023,Table43[[#This Row],[Month]],1),"mmm")</f>
        <v>Feb</v>
      </c>
      <c r="P16" s="13"/>
      <c r="Q16" s="13"/>
    </row>
    <row r="17" spans="1:17" x14ac:dyDescent="0.3">
      <c r="A17" s="14">
        <v>16</v>
      </c>
      <c r="B17" s="15">
        <v>45001</v>
      </c>
      <c r="C17" s="16" t="s">
        <v>45</v>
      </c>
      <c r="D17" s="16" t="s">
        <v>34</v>
      </c>
      <c r="E17" s="16" t="s">
        <v>24</v>
      </c>
      <c r="F17" s="16" t="s">
        <v>20</v>
      </c>
      <c r="G17" s="16" t="s">
        <v>28</v>
      </c>
      <c r="H17" s="17">
        <v>7067.15</v>
      </c>
      <c r="I17" s="16">
        <v>10</v>
      </c>
      <c r="J17" s="18">
        <v>959.24</v>
      </c>
      <c r="K17" s="17" t="str" cm="1">
        <f t="array" ref="K17">_xlfn.IFS(Table43[[#This Row],[Sales]]&gt;40000,"Best Sales",Table43[[#This Row],[Sales]]&gt;20000,"Average Sales",Table43[[#This Row],[Sales]]&gt;0,"Poor Sales")</f>
        <v>Poor Sales</v>
      </c>
      <c r="L17" s="12">
        <f>YEAR(Table43[[#This Row],[Date]])</f>
        <v>2023</v>
      </c>
      <c r="M17" s="12">
        <f>MONTH(Table43[[#This Row],[Date]])</f>
        <v>3</v>
      </c>
      <c r="N17" s="13">
        <f>DAY(Table43[[#This Row],[Date]])</f>
        <v>16</v>
      </c>
      <c r="O17" s="13" t="str">
        <f>TEXT(DATE(2023,Table43[[#This Row],[Month]],1),"mmm")</f>
        <v>Mar</v>
      </c>
      <c r="P17" s="13"/>
      <c r="Q17" s="13"/>
    </row>
    <row r="18" spans="1:17" x14ac:dyDescent="0.3">
      <c r="A18" s="6">
        <v>17</v>
      </c>
      <c r="B18" s="7">
        <v>45119</v>
      </c>
      <c r="C18" s="8" t="s">
        <v>22</v>
      </c>
      <c r="D18" s="8" t="s">
        <v>23</v>
      </c>
      <c r="E18" s="8" t="s">
        <v>24</v>
      </c>
      <c r="F18" s="8" t="s">
        <v>38</v>
      </c>
      <c r="G18" s="8" t="s">
        <v>40</v>
      </c>
      <c r="H18" s="9">
        <v>28440.25</v>
      </c>
      <c r="I18" s="8">
        <v>7</v>
      </c>
      <c r="J18" s="10">
        <v>8317.2999999999993</v>
      </c>
      <c r="K18" s="17" t="str" cm="1">
        <f t="array" ref="K18">_xlfn.IFS(Table43[[#This Row],[Sales]]&gt;40000,"Best Sales",Table43[[#This Row],[Sales]]&gt;20000,"Average Sales",Table43[[#This Row],[Sales]]&gt;0,"Poor Sales")</f>
        <v>Average Sales</v>
      </c>
      <c r="L18" s="12">
        <f>YEAR(Table43[[#This Row],[Date]])</f>
        <v>2023</v>
      </c>
      <c r="M18" s="12">
        <f>MONTH(Table43[[#This Row],[Date]])</f>
        <v>7</v>
      </c>
      <c r="N18" s="13">
        <f>DAY(Table43[[#This Row],[Date]])</f>
        <v>12</v>
      </c>
      <c r="O18" s="13" t="str">
        <f>TEXT(DATE(2023,Table43[[#This Row],[Month]],1),"mmm")</f>
        <v>Jul</v>
      </c>
      <c r="P18" s="13"/>
      <c r="Q18" s="13"/>
    </row>
    <row r="19" spans="1:17" x14ac:dyDescent="0.3">
      <c r="A19" s="14">
        <v>18</v>
      </c>
      <c r="B19" s="15">
        <v>45259</v>
      </c>
      <c r="C19" s="16" t="s">
        <v>29</v>
      </c>
      <c r="D19" s="16" t="s">
        <v>29</v>
      </c>
      <c r="E19" s="16" t="s">
        <v>24</v>
      </c>
      <c r="F19" s="16" t="s">
        <v>20</v>
      </c>
      <c r="G19" s="16" t="s">
        <v>41</v>
      </c>
      <c r="H19" s="17">
        <v>4336.55</v>
      </c>
      <c r="I19" s="16">
        <v>10</v>
      </c>
      <c r="J19" s="18">
        <v>883.82</v>
      </c>
      <c r="K19" s="17" t="str" cm="1">
        <f t="array" ref="K19">_xlfn.IFS(Table43[[#This Row],[Sales]]&gt;40000,"Best Sales",Table43[[#This Row],[Sales]]&gt;20000,"Average Sales",Table43[[#This Row],[Sales]]&gt;0,"Poor Sales")</f>
        <v>Poor Sales</v>
      </c>
      <c r="L19" s="12">
        <f>YEAR(Table43[[#This Row],[Date]])</f>
        <v>2023</v>
      </c>
      <c r="M19" s="12">
        <f>MONTH(Table43[[#This Row],[Date]])</f>
        <v>11</v>
      </c>
      <c r="N19" s="13">
        <f>DAY(Table43[[#This Row],[Date]])</f>
        <v>29</v>
      </c>
      <c r="O19" s="13" t="str">
        <f>TEXT(DATE(2023,Table43[[#This Row],[Month]],1),"mmm")</f>
        <v>Nov</v>
      </c>
      <c r="P19" s="13"/>
      <c r="Q19" s="13"/>
    </row>
    <row r="20" spans="1:17" x14ac:dyDescent="0.3">
      <c r="A20" s="6">
        <v>19</v>
      </c>
      <c r="B20" s="7">
        <v>45282</v>
      </c>
      <c r="C20" s="8" t="s">
        <v>29</v>
      </c>
      <c r="D20" s="8" t="s">
        <v>29</v>
      </c>
      <c r="E20" s="8" t="s">
        <v>24</v>
      </c>
      <c r="F20" s="8" t="s">
        <v>20</v>
      </c>
      <c r="G20" s="8" t="s">
        <v>21</v>
      </c>
      <c r="H20" s="9">
        <v>1239.49</v>
      </c>
      <c r="I20" s="8">
        <v>4</v>
      </c>
      <c r="J20" s="10">
        <v>278.37</v>
      </c>
      <c r="K20" s="17" t="str" cm="1">
        <f t="array" ref="K20">_xlfn.IFS(Table43[[#This Row],[Sales]]&gt;40000,"Best Sales",Table43[[#This Row],[Sales]]&gt;20000,"Average Sales",Table43[[#This Row],[Sales]]&gt;0,"Poor Sales")</f>
        <v>Poor Sales</v>
      </c>
      <c r="L20" s="12">
        <f>YEAR(Table43[[#This Row],[Date]])</f>
        <v>2023</v>
      </c>
      <c r="M20" s="12">
        <f>MONTH(Table43[[#This Row],[Date]])</f>
        <v>12</v>
      </c>
      <c r="N20" s="13">
        <f>DAY(Table43[[#This Row],[Date]])</f>
        <v>22</v>
      </c>
      <c r="O20" s="13" t="str">
        <f>TEXT(DATE(2023,Table43[[#This Row],[Month]],1),"mmm")</f>
        <v>Dec</v>
      </c>
      <c r="P20" s="13"/>
      <c r="Q20" s="13"/>
    </row>
    <row r="21" spans="1:17" x14ac:dyDescent="0.3">
      <c r="A21" s="14">
        <v>20</v>
      </c>
      <c r="B21" s="15">
        <v>45003</v>
      </c>
      <c r="C21" s="16" t="s">
        <v>33</v>
      </c>
      <c r="D21" s="16" t="s">
        <v>34</v>
      </c>
      <c r="E21" s="16" t="s">
        <v>24</v>
      </c>
      <c r="F21" s="16" t="s">
        <v>31</v>
      </c>
      <c r="G21" s="16" t="s">
        <v>32</v>
      </c>
      <c r="H21" s="17">
        <v>12013.15</v>
      </c>
      <c r="I21" s="16">
        <v>7</v>
      </c>
      <c r="J21" s="18">
        <v>968.92</v>
      </c>
      <c r="K21" s="17" t="str" cm="1">
        <f t="array" ref="K21">_xlfn.IFS(Table43[[#This Row],[Sales]]&gt;40000,"Best Sales",Table43[[#This Row],[Sales]]&gt;20000,"Average Sales",Table43[[#This Row],[Sales]]&gt;0,"Poor Sales")</f>
        <v>Poor Sales</v>
      </c>
      <c r="L21" s="12">
        <f>YEAR(Table43[[#This Row],[Date]])</f>
        <v>2023</v>
      </c>
      <c r="M21" s="12">
        <f>MONTH(Table43[[#This Row],[Date]])</f>
        <v>3</v>
      </c>
      <c r="N21" s="13">
        <f>DAY(Table43[[#This Row],[Date]])</f>
        <v>18</v>
      </c>
      <c r="O21" s="13" t="str">
        <f>TEXT(DATE(2023,Table43[[#This Row],[Month]],1),"mmm")</f>
        <v>Mar</v>
      </c>
      <c r="P21" s="13"/>
      <c r="Q21" s="13"/>
    </row>
    <row r="22" spans="1:17" x14ac:dyDescent="0.3">
      <c r="A22" s="6">
        <v>21</v>
      </c>
      <c r="B22" s="7">
        <v>44972</v>
      </c>
      <c r="C22" s="8" t="s">
        <v>17</v>
      </c>
      <c r="D22" s="8" t="s">
        <v>18</v>
      </c>
      <c r="E22" s="8" t="s">
        <v>24</v>
      </c>
      <c r="F22" s="8" t="s">
        <v>38</v>
      </c>
      <c r="G22" s="8" t="s">
        <v>46</v>
      </c>
      <c r="H22" s="9">
        <v>43252.06</v>
      </c>
      <c r="I22" s="8">
        <v>10</v>
      </c>
      <c r="J22" s="10">
        <v>8949.06</v>
      </c>
      <c r="K22" s="17" t="str" cm="1">
        <f t="array" ref="K22">_xlfn.IFS(Table43[[#This Row],[Sales]]&gt;40000,"Best Sales",Table43[[#This Row],[Sales]]&gt;20000,"Average Sales",Table43[[#This Row],[Sales]]&gt;0,"Poor Sales")</f>
        <v>Best Sales</v>
      </c>
      <c r="L22" s="12">
        <f>YEAR(Table43[[#This Row],[Date]])</f>
        <v>2023</v>
      </c>
      <c r="M22" s="12">
        <f>MONTH(Table43[[#This Row],[Date]])</f>
        <v>2</v>
      </c>
      <c r="N22" s="13">
        <f>DAY(Table43[[#This Row],[Date]])</f>
        <v>15</v>
      </c>
      <c r="O22" s="13" t="str">
        <f>TEXT(DATE(2023,Table43[[#This Row],[Month]],1),"mmm")</f>
        <v>Feb</v>
      </c>
      <c r="P22" s="13"/>
      <c r="Q22" s="13"/>
    </row>
    <row r="23" spans="1:17" x14ac:dyDescent="0.3">
      <c r="A23" s="14">
        <v>22</v>
      </c>
      <c r="B23" s="15">
        <v>45175</v>
      </c>
      <c r="C23" s="16" t="s">
        <v>33</v>
      </c>
      <c r="D23" s="16" t="s">
        <v>34</v>
      </c>
      <c r="E23" s="16" t="s">
        <v>24</v>
      </c>
      <c r="F23" s="16" t="s">
        <v>31</v>
      </c>
      <c r="G23" s="16" t="s">
        <v>36</v>
      </c>
      <c r="H23" s="17">
        <v>13136.74</v>
      </c>
      <c r="I23" s="16">
        <v>10</v>
      </c>
      <c r="J23" s="18">
        <v>2907.53</v>
      </c>
      <c r="K23" s="17" t="str" cm="1">
        <f t="array" ref="K23">_xlfn.IFS(Table43[[#This Row],[Sales]]&gt;40000,"Best Sales",Table43[[#This Row],[Sales]]&gt;20000,"Average Sales",Table43[[#This Row],[Sales]]&gt;0,"Poor Sales")</f>
        <v>Poor Sales</v>
      </c>
      <c r="L23" s="12">
        <f>YEAR(Table43[[#This Row],[Date]])</f>
        <v>2023</v>
      </c>
      <c r="M23" s="12">
        <f>MONTH(Table43[[#This Row],[Date]])</f>
        <v>9</v>
      </c>
      <c r="N23" s="13">
        <f>DAY(Table43[[#This Row],[Date]])</f>
        <v>6</v>
      </c>
      <c r="O23" s="13" t="str">
        <f>TEXT(DATE(2023,Table43[[#This Row],[Month]],1),"mmm")</f>
        <v>Sep</v>
      </c>
      <c r="P23" s="13"/>
      <c r="Q23" s="13"/>
    </row>
    <row r="24" spans="1:17" x14ac:dyDescent="0.3">
      <c r="A24" s="6">
        <v>23</v>
      </c>
      <c r="B24" s="7">
        <v>45260</v>
      </c>
      <c r="C24" s="8" t="s">
        <v>33</v>
      </c>
      <c r="D24" s="8" t="s">
        <v>34</v>
      </c>
      <c r="E24" s="8" t="s">
        <v>27</v>
      </c>
      <c r="F24" s="8" t="s">
        <v>38</v>
      </c>
      <c r="G24" s="8" t="s">
        <v>46</v>
      </c>
      <c r="H24" s="9">
        <v>35956.54</v>
      </c>
      <c r="I24" s="8">
        <v>1</v>
      </c>
      <c r="J24" s="10">
        <v>6308.41</v>
      </c>
      <c r="K24" s="17" t="str" cm="1">
        <f t="array" ref="K24">_xlfn.IFS(Table43[[#This Row],[Sales]]&gt;40000,"Best Sales",Table43[[#This Row],[Sales]]&gt;20000,"Average Sales",Table43[[#This Row],[Sales]]&gt;0,"Poor Sales")</f>
        <v>Average Sales</v>
      </c>
      <c r="L24" s="12">
        <f>YEAR(Table43[[#This Row],[Date]])</f>
        <v>2023</v>
      </c>
      <c r="M24" s="12">
        <f>MONTH(Table43[[#This Row],[Date]])</f>
        <v>11</v>
      </c>
      <c r="N24" s="13">
        <f>DAY(Table43[[#This Row],[Date]])</f>
        <v>30</v>
      </c>
      <c r="O24" s="13" t="str">
        <f>TEXT(DATE(2023,Table43[[#This Row],[Month]],1),"mmm")</f>
        <v>Nov</v>
      </c>
      <c r="P24" s="13"/>
      <c r="Q24" s="13"/>
    </row>
    <row r="25" spans="1:17" x14ac:dyDescent="0.3">
      <c r="A25" s="14">
        <v>24</v>
      </c>
      <c r="B25" s="15">
        <v>45103</v>
      </c>
      <c r="C25" s="16" t="s">
        <v>25</v>
      </c>
      <c r="D25" s="16" t="s">
        <v>26</v>
      </c>
      <c r="E25" s="16" t="s">
        <v>27</v>
      </c>
      <c r="F25" s="16" t="s">
        <v>38</v>
      </c>
      <c r="G25" s="16" t="s">
        <v>40</v>
      </c>
      <c r="H25" s="17">
        <v>36894.9</v>
      </c>
      <c r="I25" s="16">
        <v>5</v>
      </c>
      <c r="J25" s="18">
        <v>10265.879999999999</v>
      </c>
      <c r="K25" s="17" t="str" cm="1">
        <f t="array" ref="K25">_xlfn.IFS(Table43[[#This Row],[Sales]]&gt;40000,"Best Sales",Table43[[#This Row],[Sales]]&gt;20000,"Average Sales",Table43[[#This Row],[Sales]]&gt;0,"Poor Sales")</f>
        <v>Average Sales</v>
      </c>
      <c r="L25" s="12">
        <f>YEAR(Table43[[#This Row],[Date]])</f>
        <v>2023</v>
      </c>
      <c r="M25" s="12">
        <f>MONTH(Table43[[#This Row],[Date]])</f>
        <v>6</v>
      </c>
      <c r="N25" s="13">
        <f>DAY(Table43[[#This Row],[Date]])</f>
        <v>26</v>
      </c>
      <c r="O25" s="13" t="str">
        <f>TEXT(DATE(2023,Table43[[#This Row],[Month]],1),"mmm")</f>
        <v>Jun</v>
      </c>
      <c r="P25" s="13"/>
      <c r="Q25" s="13"/>
    </row>
    <row r="26" spans="1:17" x14ac:dyDescent="0.3">
      <c r="A26" s="6">
        <v>25</v>
      </c>
      <c r="B26" s="7">
        <v>45176</v>
      </c>
      <c r="C26" s="8" t="s">
        <v>42</v>
      </c>
      <c r="D26" s="8" t="s">
        <v>43</v>
      </c>
      <c r="E26" s="8" t="s">
        <v>19</v>
      </c>
      <c r="F26" s="8" t="s">
        <v>20</v>
      </c>
      <c r="G26" s="8" t="s">
        <v>41</v>
      </c>
      <c r="H26" s="9">
        <v>36393.839999999997</v>
      </c>
      <c r="I26" s="8">
        <v>2</v>
      </c>
      <c r="J26" s="10">
        <v>4029.33</v>
      </c>
      <c r="K26" s="17" t="str" cm="1">
        <f t="array" ref="K26">_xlfn.IFS(Table43[[#This Row],[Sales]]&gt;40000,"Best Sales",Table43[[#This Row],[Sales]]&gt;20000,"Average Sales",Table43[[#This Row],[Sales]]&gt;0,"Poor Sales")</f>
        <v>Average Sales</v>
      </c>
      <c r="L26" s="12">
        <f>YEAR(Table43[[#This Row],[Date]])</f>
        <v>2023</v>
      </c>
      <c r="M26" s="12">
        <f>MONTH(Table43[[#This Row],[Date]])</f>
        <v>9</v>
      </c>
      <c r="N26" s="13">
        <f>DAY(Table43[[#This Row],[Date]])</f>
        <v>7</v>
      </c>
      <c r="O26" s="13" t="str">
        <f>TEXT(DATE(2023,Table43[[#This Row],[Month]],1),"mmm")</f>
        <v>Sep</v>
      </c>
      <c r="P26" s="13"/>
      <c r="Q26" s="13"/>
    </row>
    <row r="27" spans="1:17" x14ac:dyDescent="0.3">
      <c r="A27" s="14">
        <v>26</v>
      </c>
      <c r="B27" s="15">
        <v>45153</v>
      </c>
      <c r="C27" s="16" t="s">
        <v>33</v>
      </c>
      <c r="D27" s="16" t="s">
        <v>34</v>
      </c>
      <c r="E27" s="16" t="s">
        <v>19</v>
      </c>
      <c r="F27" s="16" t="s">
        <v>31</v>
      </c>
      <c r="G27" s="16" t="s">
        <v>36</v>
      </c>
      <c r="H27" s="17">
        <v>18244.080000000002</v>
      </c>
      <c r="I27" s="16">
        <v>10</v>
      </c>
      <c r="J27" s="18">
        <v>1308.29</v>
      </c>
      <c r="K27" s="17" t="str" cm="1">
        <f t="array" ref="K27">_xlfn.IFS(Table43[[#This Row],[Sales]]&gt;40000,"Best Sales",Table43[[#This Row],[Sales]]&gt;20000,"Average Sales",Table43[[#This Row],[Sales]]&gt;0,"Poor Sales")</f>
        <v>Poor Sales</v>
      </c>
      <c r="L27" s="12">
        <f>YEAR(Table43[[#This Row],[Date]])</f>
        <v>2023</v>
      </c>
      <c r="M27" s="12">
        <f>MONTH(Table43[[#This Row],[Date]])</f>
        <v>8</v>
      </c>
      <c r="N27" s="13">
        <f>DAY(Table43[[#This Row],[Date]])</f>
        <v>15</v>
      </c>
      <c r="O27" s="13" t="str">
        <f>TEXT(DATE(2023,Table43[[#This Row],[Month]],1),"mmm")</f>
        <v>Aug</v>
      </c>
      <c r="P27" s="13"/>
      <c r="Q27" s="13"/>
    </row>
    <row r="28" spans="1:17" x14ac:dyDescent="0.3">
      <c r="A28" s="6">
        <v>27</v>
      </c>
      <c r="B28" s="7">
        <v>45050</v>
      </c>
      <c r="C28" s="8" t="s">
        <v>25</v>
      </c>
      <c r="D28" s="8" t="s">
        <v>26</v>
      </c>
      <c r="E28" s="8" t="s">
        <v>19</v>
      </c>
      <c r="F28" s="8" t="s">
        <v>31</v>
      </c>
      <c r="G28" s="8" t="s">
        <v>32</v>
      </c>
      <c r="H28" s="9">
        <v>39573.279999999999</v>
      </c>
      <c r="I28" s="8">
        <v>7</v>
      </c>
      <c r="J28" s="10">
        <v>6877.16</v>
      </c>
      <c r="K28" s="17" t="str" cm="1">
        <f t="array" ref="K28">_xlfn.IFS(Table43[[#This Row],[Sales]]&gt;40000,"Best Sales",Table43[[#This Row],[Sales]]&gt;20000,"Average Sales",Table43[[#This Row],[Sales]]&gt;0,"Poor Sales")</f>
        <v>Average Sales</v>
      </c>
      <c r="L28" s="12">
        <f>YEAR(Table43[[#This Row],[Date]])</f>
        <v>2023</v>
      </c>
      <c r="M28" s="12">
        <f>MONTH(Table43[[#This Row],[Date]])</f>
        <v>5</v>
      </c>
      <c r="N28" s="13">
        <f>DAY(Table43[[#This Row],[Date]])</f>
        <v>4</v>
      </c>
      <c r="O28" s="13" t="str">
        <f>TEXT(DATE(2023,Table43[[#This Row],[Month]],1),"mmm")</f>
        <v>May</v>
      </c>
      <c r="P28" s="13"/>
      <c r="Q28" s="13"/>
    </row>
    <row r="29" spans="1:17" x14ac:dyDescent="0.3">
      <c r="A29" s="14">
        <v>28</v>
      </c>
      <c r="B29" s="15">
        <v>44968</v>
      </c>
      <c r="C29" s="16" t="s">
        <v>44</v>
      </c>
      <c r="D29" s="16" t="s">
        <v>34</v>
      </c>
      <c r="E29" s="16" t="s">
        <v>19</v>
      </c>
      <c r="F29" s="16" t="s">
        <v>31</v>
      </c>
      <c r="G29" s="16" t="s">
        <v>32</v>
      </c>
      <c r="H29" s="17">
        <v>16112.12</v>
      </c>
      <c r="I29" s="16">
        <v>2</v>
      </c>
      <c r="J29" s="18">
        <v>2614.2399999999998</v>
      </c>
      <c r="K29" s="17" t="str" cm="1">
        <f t="array" ref="K29">_xlfn.IFS(Table43[[#This Row],[Sales]]&gt;40000,"Best Sales",Table43[[#This Row],[Sales]]&gt;20000,"Average Sales",Table43[[#This Row],[Sales]]&gt;0,"Poor Sales")</f>
        <v>Poor Sales</v>
      </c>
      <c r="L29" s="12">
        <f>YEAR(Table43[[#This Row],[Date]])</f>
        <v>2023</v>
      </c>
      <c r="M29" s="12">
        <f>MONTH(Table43[[#This Row],[Date]])</f>
        <v>2</v>
      </c>
      <c r="N29" s="13">
        <f>DAY(Table43[[#This Row],[Date]])</f>
        <v>11</v>
      </c>
      <c r="O29" s="13" t="str">
        <f>TEXT(DATE(2023,Table43[[#This Row],[Month]],1),"mmm")</f>
        <v>Feb</v>
      </c>
      <c r="P29" s="13"/>
      <c r="Q29" s="13"/>
    </row>
    <row r="30" spans="1:17" x14ac:dyDescent="0.3">
      <c r="A30" s="6">
        <v>29</v>
      </c>
      <c r="B30" s="7">
        <v>45166</v>
      </c>
      <c r="C30" s="8" t="s">
        <v>25</v>
      </c>
      <c r="D30" s="8" t="s">
        <v>26</v>
      </c>
      <c r="E30" s="8" t="s">
        <v>19</v>
      </c>
      <c r="F30" s="8" t="s">
        <v>20</v>
      </c>
      <c r="G30" s="8" t="s">
        <v>21</v>
      </c>
      <c r="H30" s="9">
        <v>17197.509999999998</v>
      </c>
      <c r="I30" s="8">
        <v>3</v>
      </c>
      <c r="J30" s="10">
        <v>1675.41</v>
      </c>
      <c r="K30" s="17" t="str" cm="1">
        <f t="array" ref="K30">_xlfn.IFS(Table43[[#This Row],[Sales]]&gt;40000,"Best Sales",Table43[[#This Row],[Sales]]&gt;20000,"Average Sales",Table43[[#This Row],[Sales]]&gt;0,"Poor Sales")</f>
        <v>Poor Sales</v>
      </c>
      <c r="L30" s="12">
        <f>YEAR(Table43[[#This Row],[Date]])</f>
        <v>2023</v>
      </c>
      <c r="M30" s="12">
        <f>MONTH(Table43[[#This Row],[Date]])</f>
        <v>8</v>
      </c>
      <c r="N30" s="13">
        <f>DAY(Table43[[#This Row],[Date]])</f>
        <v>28</v>
      </c>
      <c r="O30" s="13" t="str">
        <f>TEXT(DATE(2023,Table43[[#This Row],[Month]],1),"mmm")</f>
        <v>Aug</v>
      </c>
      <c r="P30" s="13"/>
      <c r="Q30" s="13"/>
    </row>
    <row r="31" spans="1:17" x14ac:dyDescent="0.3">
      <c r="A31" s="14">
        <v>30</v>
      </c>
      <c r="B31" s="15">
        <v>44995</v>
      </c>
      <c r="C31" s="16" t="s">
        <v>37</v>
      </c>
      <c r="D31" s="16" t="s">
        <v>23</v>
      </c>
      <c r="E31" s="16" t="s">
        <v>19</v>
      </c>
      <c r="F31" s="16" t="s">
        <v>38</v>
      </c>
      <c r="G31" s="16" t="s">
        <v>46</v>
      </c>
      <c r="H31" s="17">
        <v>40062.949999999997</v>
      </c>
      <c r="I31" s="16">
        <v>5</v>
      </c>
      <c r="J31" s="18">
        <v>11536.21</v>
      </c>
      <c r="K31" s="17" t="str" cm="1">
        <f t="array" ref="K31">_xlfn.IFS(Table43[[#This Row],[Sales]]&gt;40000,"Best Sales",Table43[[#This Row],[Sales]]&gt;20000,"Average Sales",Table43[[#This Row],[Sales]]&gt;0,"Poor Sales")</f>
        <v>Best Sales</v>
      </c>
      <c r="L31" s="12">
        <f>YEAR(Table43[[#This Row],[Date]])</f>
        <v>2023</v>
      </c>
      <c r="M31" s="12">
        <f>MONTH(Table43[[#This Row],[Date]])</f>
        <v>3</v>
      </c>
      <c r="N31" s="13">
        <f>DAY(Table43[[#This Row],[Date]])</f>
        <v>10</v>
      </c>
      <c r="O31" s="13" t="str">
        <f>TEXT(DATE(2023,Table43[[#This Row],[Month]],1),"mmm")</f>
        <v>Mar</v>
      </c>
      <c r="P31" s="13"/>
      <c r="Q31" s="13"/>
    </row>
    <row r="32" spans="1:17" x14ac:dyDescent="0.3">
      <c r="A32" s="6">
        <v>31</v>
      </c>
      <c r="B32" s="7">
        <v>45217</v>
      </c>
      <c r="C32" s="8" t="s">
        <v>22</v>
      </c>
      <c r="D32" s="8" t="s">
        <v>23</v>
      </c>
      <c r="E32" s="8" t="s">
        <v>19</v>
      </c>
      <c r="F32" s="8" t="s">
        <v>31</v>
      </c>
      <c r="G32" s="8" t="s">
        <v>32</v>
      </c>
      <c r="H32" s="9">
        <v>30699.4</v>
      </c>
      <c r="I32" s="8">
        <v>2</v>
      </c>
      <c r="J32" s="10">
        <v>5821.81</v>
      </c>
      <c r="K32" s="17" t="str" cm="1">
        <f t="array" ref="K32">_xlfn.IFS(Table43[[#This Row],[Sales]]&gt;40000,"Best Sales",Table43[[#This Row],[Sales]]&gt;20000,"Average Sales",Table43[[#This Row],[Sales]]&gt;0,"Poor Sales")</f>
        <v>Average Sales</v>
      </c>
      <c r="L32" s="12">
        <f>YEAR(Table43[[#This Row],[Date]])</f>
        <v>2023</v>
      </c>
      <c r="M32" s="12">
        <f>MONTH(Table43[[#This Row],[Date]])</f>
        <v>10</v>
      </c>
      <c r="N32" s="13">
        <f>DAY(Table43[[#This Row],[Date]])</f>
        <v>18</v>
      </c>
      <c r="O32" s="13" t="str">
        <f>TEXT(DATE(2023,Table43[[#This Row],[Month]],1),"mmm")</f>
        <v>Oct</v>
      </c>
      <c r="P32" s="13"/>
      <c r="Q32" s="13"/>
    </row>
    <row r="33" spans="1:17" x14ac:dyDescent="0.3">
      <c r="A33" s="14">
        <v>32</v>
      </c>
      <c r="B33" s="15">
        <v>45127</v>
      </c>
      <c r="C33" s="16" t="s">
        <v>29</v>
      </c>
      <c r="D33" s="16" t="s">
        <v>29</v>
      </c>
      <c r="E33" s="16" t="s">
        <v>19</v>
      </c>
      <c r="F33" s="16" t="s">
        <v>38</v>
      </c>
      <c r="G33" s="16" t="s">
        <v>39</v>
      </c>
      <c r="H33" s="17">
        <v>46798.46</v>
      </c>
      <c r="I33" s="16">
        <v>8</v>
      </c>
      <c r="J33" s="18">
        <v>12650.58</v>
      </c>
      <c r="K33" s="17" t="str" cm="1">
        <f t="array" ref="K33">_xlfn.IFS(Table43[[#This Row],[Sales]]&gt;40000,"Best Sales",Table43[[#This Row],[Sales]]&gt;20000,"Average Sales",Table43[[#This Row],[Sales]]&gt;0,"Poor Sales")</f>
        <v>Best Sales</v>
      </c>
      <c r="L33" s="12">
        <f>YEAR(Table43[[#This Row],[Date]])</f>
        <v>2023</v>
      </c>
      <c r="M33" s="12">
        <f>MONTH(Table43[[#This Row],[Date]])</f>
        <v>7</v>
      </c>
      <c r="N33" s="13">
        <f>DAY(Table43[[#This Row],[Date]])</f>
        <v>20</v>
      </c>
      <c r="O33" s="13" t="str">
        <f>TEXT(DATE(2023,Table43[[#This Row],[Month]],1),"mmm")</f>
        <v>Jul</v>
      </c>
      <c r="P33" s="13"/>
      <c r="Q33" s="13"/>
    </row>
    <row r="34" spans="1:17" x14ac:dyDescent="0.3">
      <c r="A34" s="6">
        <v>33</v>
      </c>
      <c r="B34" s="7">
        <v>45005</v>
      </c>
      <c r="C34" s="8" t="s">
        <v>37</v>
      </c>
      <c r="D34" s="8" t="s">
        <v>23</v>
      </c>
      <c r="E34" s="8" t="s">
        <v>19</v>
      </c>
      <c r="F34" s="8" t="s">
        <v>31</v>
      </c>
      <c r="G34" s="8" t="s">
        <v>35</v>
      </c>
      <c r="H34" s="9">
        <v>18545.72</v>
      </c>
      <c r="I34" s="8">
        <v>9</v>
      </c>
      <c r="J34" s="10">
        <v>3893.71</v>
      </c>
      <c r="K34" s="17" t="str" cm="1">
        <f t="array" ref="K34">_xlfn.IFS(Table43[[#This Row],[Sales]]&gt;40000,"Best Sales",Table43[[#This Row],[Sales]]&gt;20000,"Average Sales",Table43[[#This Row],[Sales]]&gt;0,"Poor Sales")</f>
        <v>Poor Sales</v>
      </c>
      <c r="L34" s="12">
        <f>YEAR(Table43[[#This Row],[Date]])</f>
        <v>2023</v>
      </c>
      <c r="M34" s="12">
        <f>MONTH(Table43[[#This Row],[Date]])</f>
        <v>3</v>
      </c>
      <c r="N34" s="13">
        <f>DAY(Table43[[#This Row],[Date]])</f>
        <v>20</v>
      </c>
      <c r="O34" s="13" t="str">
        <f>TEXT(DATE(2023,Table43[[#This Row],[Month]],1),"mmm")</f>
        <v>Mar</v>
      </c>
      <c r="P34" s="13"/>
      <c r="Q34" s="13"/>
    </row>
    <row r="35" spans="1:17" x14ac:dyDescent="0.3">
      <c r="A35" s="14">
        <v>34</v>
      </c>
      <c r="B35" s="15">
        <v>45097</v>
      </c>
      <c r="C35" s="16" t="s">
        <v>22</v>
      </c>
      <c r="D35" s="16" t="s">
        <v>23</v>
      </c>
      <c r="E35" s="16" t="s">
        <v>19</v>
      </c>
      <c r="F35" s="16" t="s">
        <v>31</v>
      </c>
      <c r="G35" s="16" t="s">
        <v>32</v>
      </c>
      <c r="H35" s="17">
        <v>47078.67</v>
      </c>
      <c r="I35" s="16">
        <v>4</v>
      </c>
      <c r="J35" s="18">
        <v>5416.29</v>
      </c>
      <c r="K35" s="17" t="str" cm="1">
        <f t="array" ref="K35">_xlfn.IFS(Table43[[#This Row],[Sales]]&gt;40000,"Best Sales",Table43[[#This Row],[Sales]]&gt;20000,"Average Sales",Table43[[#This Row],[Sales]]&gt;0,"Poor Sales")</f>
        <v>Best Sales</v>
      </c>
      <c r="L35" s="12">
        <f>YEAR(Table43[[#This Row],[Date]])</f>
        <v>2023</v>
      </c>
      <c r="M35" s="12">
        <f>MONTH(Table43[[#This Row],[Date]])</f>
        <v>6</v>
      </c>
      <c r="N35" s="13">
        <f>DAY(Table43[[#This Row],[Date]])</f>
        <v>20</v>
      </c>
      <c r="O35" s="13" t="str">
        <f>TEXT(DATE(2023,Table43[[#This Row],[Month]],1),"mmm")</f>
        <v>Jun</v>
      </c>
      <c r="P35" s="13"/>
      <c r="Q35" s="13"/>
    </row>
    <row r="36" spans="1:17" x14ac:dyDescent="0.3">
      <c r="A36" s="6">
        <v>35</v>
      </c>
      <c r="B36" s="7">
        <v>44983</v>
      </c>
      <c r="C36" s="8" t="s">
        <v>44</v>
      </c>
      <c r="D36" s="8" t="s">
        <v>34</v>
      </c>
      <c r="E36" s="8" t="s">
        <v>19</v>
      </c>
      <c r="F36" s="8" t="s">
        <v>20</v>
      </c>
      <c r="G36" s="8" t="s">
        <v>28</v>
      </c>
      <c r="H36" s="9">
        <v>45410.16</v>
      </c>
      <c r="I36" s="8">
        <v>2</v>
      </c>
      <c r="J36" s="10">
        <v>6601.61</v>
      </c>
      <c r="K36" s="17" t="str" cm="1">
        <f t="array" ref="K36">_xlfn.IFS(Table43[[#This Row],[Sales]]&gt;40000,"Best Sales",Table43[[#This Row],[Sales]]&gt;20000,"Average Sales",Table43[[#This Row],[Sales]]&gt;0,"Poor Sales")</f>
        <v>Best Sales</v>
      </c>
      <c r="L36" s="12">
        <f>YEAR(Table43[[#This Row],[Date]])</f>
        <v>2023</v>
      </c>
      <c r="M36" s="12">
        <f>MONTH(Table43[[#This Row],[Date]])</f>
        <v>2</v>
      </c>
      <c r="N36" s="13">
        <f>DAY(Table43[[#This Row],[Date]])</f>
        <v>26</v>
      </c>
      <c r="O36" s="13" t="str">
        <f>TEXT(DATE(2023,Table43[[#This Row],[Month]],1),"mmm")</f>
        <v>Feb</v>
      </c>
      <c r="P36" s="13"/>
      <c r="Q36" s="13"/>
    </row>
    <row r="37" spans="1:17" x14ac:dyDescent="0.3">
      <c r="A37" s="14">
        <v>36</v>
      </c>
      <c r="B37" s="15">
        <v>45083</v>
      </c>
      <c r="C37" s="16" t="s">
        <v>25</v>
      </c>
      <c r="D37" s="16" t="s">
        <v>26</v>
      </c>
      <c r="E37" s="16" t="s">
        <v>19</v>
      </c>
      <c r="F37" s="16" t="s">
        <v>38</v>
      </c>
      <c r="G37" s="16" t="s">
        <v>39</v>
      </c>
      <c r="H37" s="17">
        <v>8022.9</v>
      </c>
      <c r="I37" s="16">
        <v>9</v>
      </c>
      <c r="J37" s="18">
        <v>1118.83</v>
      </c>
      <c r="K37" s="17" t="str" cm="1">
        <f t="array" ref="K37">_xlfn.IFS(Table43[[#This Row],[Sales]]&gt;40000,"Best Sales",Table43[[#This Row],[Sales]]&gt;20000,"Average Sales",Table43[[#This Row],[Sales]]&gt;0,"Poor Sales")</f>
        <v>Poor Sales</v>
      </c>
      <c r="L37" s="12">
        <f>YEAR(Table43[[#This Row],[Date]])</f>
        <v>2023</v>
      </c>
      <c r="M37" s="12">
        <f>MONTH(Table43[[#This Row],[Date]])</f>
        <v>6</v>
      </c>
      <c r="N37" s="13">
        <f>DAY(Table43[[#This Row],[Date]])</f>
        <v>6</v>
      </c>
      <c r="O37" s="13" t="str">
        <f>TEXT(DATE(2023,Table43[[#This Row],[Month]],1),"mmm")</f>
        <v>Jun</v>
      </c>
      <c r="P37" s="13"/>
      <c r="Q37" s="13"/>
    </row>
    <row r="38" spans="1:17" x14ac:dyDescent="0.3">
      <c r="A38" s="6">
        <v>37</v>
      </c>
      <c r="B38" s="7">
        <v>45039</v>
      </c>
      <c r="C38" s="8" t="s">
        <v>22</v>
      </c>
      <c r="D38" s="8" t="s">
        <v>23</v>
      </c>
      <c r="E38" s="8" t="s">
        <v>19</v>
      </c>
      <c r="F38" s="8" t="s">
        <v>20</v>
      </c>
      <c r="G38" s="8" t="s">
        <v>41</v>
      </c>
      <c r="H38" s="9">
        <v>34478.959999999999</v>
      </c>
      <c r="I38" s="8">
        <v>5</v>
      </c>
      <c r="J38" s="10">
        <v>4118.41</v>
      </c>
      <c r="K38" s="17" t="str" cm="1">
        <f t="array" ref="K38">_xlfn.IFS(Table43[[#This Row],[Sales]]&gt;40000,"Best Sales",Table43[[#This Row],[Sales]]&gt;20000,"Average Sales",Table43[[#This Row],[Sales]]&gt;0,"Poor Sales")</f>
        <v>Average Sales</v>
      </c>
      <c r="L38" s="12">
        <f>YEAR(Table43[[#This Row],[Date]])</f>
        <v>2023</v>
      </c>
      <c r="M38" s="12">
        <f>MONTH(Table43[[#This Row],[Date]])</f>
        <v>4</v>
      </c>
      <c r="N38" s="13">
        <f>DAY(Table43[[#This Row],[Date]])</f>
        <v>23</v>
      </c>
      <c r="O38" s="13" t="str">
        <f>TEXT(DATE(2023,Table43[[#This Row],[Month]],1),"mmm")</f>
        <v>Apr</v>
      </c>
      <c r="P38" s="13"/>
      <c r="Q38" s="13"/>
    </row>
    <row r="39" spans="1:17" x14ac:dyDescent="0.3">
      <c r="A39" s="14">
        <v>38</v>
      </c>
      <c r="B39" s="15">
        <v>45247</v>
      </c>
      <c r="C39" s="16" t="s">
        <v>25</v>
      </c>
      <c r="D39" s="16" t="s">
        <v>26</v>
      </c>
      <c r="E39" s="16" t="s">
        <v>19</v>
      </c>
      <c r="F39" s="16" t="s">
        <v>38</v>
      </c>
      <c r="G39" s="16" t="s">
        <v>40</v>
      </c>
      <c r="H39" s="17">
        <v>34640.65</v>
      </c>
      <c r="I39" s="16">
        <v>10</v>
      </c>
      <c r="J39" s="18">
        <v>9567.4500000000007</v>
      </c>
      <c r="K39" s="17" t="str" cm="1">
        <f t="array" ref="K39">_xlfn.IFS(Table43[[#This Row],[Sales]]&gt;40000,"Best Sales",Table43[[#This Row],[Sales]]&gt;20000,"Average Sales",Table43[[#This Row],[Sales]]&gt;0,"Poor Sales")</f>
        <v>Average Sales</v>
      </c>
      <c r="L39" s="12">
        <f>YEAR(Table43[[#This Row],[Date]])</f>
        <v>2023</v>
      </c>
      <c r="M39" s="12">
        <f>MONTH(Table43[[#This Row],[Date]])</f>
        <v>11</v>
      </c>
      <c r="N39" s="13">
        <f>DAY(Table43[[#This Row],[Date]])</f>
        <v>17</v>
      </c>
      <c r="O39" s="13" t="str">
        <f>TEXT(DATE(2023,Table43[[#This Row],[Month]],1),"mmm")</f>
        <v>Nov</v>
      </c>
      <c r="P39" s="13"/>
      <c r="Q39" s="13"/>
    </row>
    <row r="40" spans="1:17" x14ac:dyDescent="0.3">
      <c r="A40" s="6">
        <v>39</v>
      </c>
      <c r="B40" s="7">
        <v>44941</v>
      </c>
      <c r="C40" s="8" t="s">
        <v>33</v>
      </c>
      <c r="D40" s="8" t="s">
        <v>34</v>
      </c>
      <c r="E40" s="8" t="s">
        <v>19</v>
      </c>
      <c r="F40" s="8" t="s">
        <v>20</v>
      </c>
      <c r="G40" s="8" t="s">
        <v>41</v>
      </c>
      <c r="H40" s="9">
        <v>3218.7</v>
      </c>
      <c r="I40" s="8">
        <v>3</v>
      </c>
      <c r="J40" s="10">
        <v>572.08000000000004</v>
      </c>
      <c r="K40" s="17" t="str" cm="1">
        <f t="array" ref="K40">_xlfn.IFS(Table43[[#This Row],[Sales]]&gt;40000,"Best Sales",Table43[[#This Row],[Sales]]&gt;20000,"Average Sales",Table43[[#This Row],[Sales]]&gt;0,"Poor Sales")</f>
        <v>Poor Sales</v>
      </c>
      <c r="L40" s="12">
        <f>YEAR(Table43[[#This Row],[Date]])</f>
        <v>2023</v>
      </c>
      <c r="M40" s="12">
        <f>MONTH(Table43[[#This Row],[Date]])</f>
        <v>1</v>
      </c>
      <c r="N40" s="13">
        <f>DAY(Table43[[#This Row],[Date]])</f>
        <v>15</v>
      </c>
      <c r="O40" s="13" t="str">
        <f>TEXT(DATE(2023,Table43[[#This Row],[Month]],1),"mmm")</f>
        <v>Jan</v>
      </c>
      <c r="P40" s="13"/>
      <c r="Q40" s="13"/>
    </row>
    <row r="41" spans="1:17" x14ac:dyDescent="0.3">
      <c r="A41" s="14">
        <v>40</v>
      </c>
      <c r="B41" s="15">
        <v>44941</v>
      </c>
      <c r="C41" s="16" t="s">
        <v>29</v>
      </c>
      <c r="D41" s="16" t="s">
        <v>29</v>
      </c>
      <c r="E41" s="16" t="s">
        <v>19</v>
      </c>
      <c r="F41" s="16" t="s">
        <v>38</v>
      </c>
      <c r="G41" s="16" t="s">
        <v>40</v>
      </c>
      <c r="H41" s="17">
        <v>28642.2</v>
      </c>
      <c r="I41" s="16">
        <v>5</v>
      </c>
      <c r="J41" s="18">
        <v>2312.54</v>
      </c>
      <c r="K41" s="17" t="str" cm="1">
        <f t="array" ref="K41">_xlfn.IFS(Table43[[#This Row],[Sales]]&gt;40000,"Best Sales",Table43[[#This Row],[Sales]]&gt;20000,"Average Sales",Table43[[#This Row],[Sales]]&gt;0,"Poor Sales")</f>
        <v>Average Sales</v>
      </c>
      <c r="L41" s="12">
        <f>YEAR(Table43[[#This Row],[Date]])</f>
        <v>2023</v>
      </c>
      <c r="M41" s="12">
        <f>MONTH(Table43[[#This Row],[Date]])</f>
        <v>1</v>
      </c>
      <c r="N41" s="13">
        <f>DAY(Table43[[#This Row],[Date]])</f>
        <v>15</v>
      </c>
      <c r="O41" s="13" t="str">
        <f>TEXT(DATE(2023,Table43[[#This Row],[Month]],1),"mmm")</f>
        <v>Jan</v>
      </c>
      <c r="P41" s="13"/>
      <c r="Q41" s="13"/>
    </row>
    <row r="42" spans="1:17" x14ac:dyDescent="0.3">
      <c r="A42" s="6">
        <v>41</v>
      </c>
      <c r="B42" s="7">
        <v>45238</v>
      </c>
      <c r="C42" s="8" t="s">
        <v>22</v>
      </c>
      <c r="D42" s="8" t="s">
        <v>23</v>
      </c>
      <c r="E42" s="8" t="s">
        <v>19</v>
      </c>
      <c r="F42" s="8" t="s">
        <v>20</v>
      </c>
      <c r="G42" s="8" t="s">
        <v>21</v>
      </c>
      <c r="H42" s="9">
        <v>30927.86</v>
      </c>
      <c r="I42" s="8">
        <v>10</v>
      </c>
      <c r="J42" s="10">
        <v>8460.2199999999993</v>
      </c>
      <c r="K42" s="17" t="str" cm="1">
        <f t="array" ref="K42">_xlfn.IFS(Table43[[#This Row],[Sales]]&gt;40000,"Best Sales",Table43[[#This Row],[Sales]]&gt;20000,"Average Sales",Table43[[#This Row],[Sales]]&gt;0,"Poor Sales")</f>
        <v>Average Sales</v>
      </c>
      <c r="L42" s="12">
        <f>YEAR(Table43[[#This Row],[Date]])</f>
        <v>2023</v>
      </c>
      <c r="M42" s="12">
        <f>MONTH(Table43[[#This Row],[Date]])</f>
        <v>11</v>
      </c>
      <c r="N42" s="13">
        <f>DAY(Table43[[#This Row],[Date]])</f>
        <v>8</v>
      </c>
      <c r="O42" s="13" t="str">
        <f>TEXT(DATE(2023,Table43[[#This Row],[Month]],1),"mmm")</f>
        <v>Nov</v>
      </c>
      <c r="P42" s="13"/>
      <c r="Q42" s="13"/>
    </row>
    <row r="43" spans="1:17" x14ac:dyDescent="0.3">
      <c r="A43" s="14">
        <v>42</v>
      </c>
      <c r="B43" s="15">
        <v>45143</v>
      </c>
      <c r="C43" s="16" t="s">
        <v>17</v>
      </c>
      <c r="D43" s="16" t="s">
        <v>18</v>
      </c>
      <c r="E43" s="16" t="s">
        <v>19</v>
      </c>
      <c r="F43" s="16" t="s">
        <v>38</v>
      </c>
      <c r="G43" s="16" t="s">
        <v>39</v>
      </c>
      <c r="H43" s="17">
        <v>32426.75</v>
      </c>
      <c r="I43" s="16">
        <v>7</v>
      </c>
      <c r="J43" s="18">
        <v>8518.11</v>
      </c>
      <c r="K43" s="17" t="str" cm="1">
        <f t="array" ref="K43">_xlfn.IFS(Table43[[#This Row],[Sales]]&gt;40000,"Best Sales",Table43[[#This Row],[Sales]]&gt;20000,"Average Sales",Table43[[#This Row],[Sales]]&gt;0,"Poor Sales")</f>
        <v>Average Sales</v>
      </c>
      <c r="L43" s="12">
        <f>YEAR(Table43[[#This Row],[Date]])</f>
        <v>2023</v>
      </c>
      <c r="M43" s="12">
        <f>MONTH(Table43[[#This Row],[Date]])</f>
        <v>8</v>
      </c>
      <c r="N43" s="13">
        <f>DAY(Table43[[#This Row],[Date]])</f>
        <v>5</v>
      </c>
      <c r="O43" s="13" t="str">
        <f>TEXT(DATE(2023,Table43[[#This Row],[Month]],1),"mmm")</f>
        <v>Aug</v>
      </c>
      <c r="P43" s="13"/>
      <c r="Q43" s="13"/>
    </row>
    <row r="44" spans="1:17" x14ac:dyDescent="0.3">
      <c r="A44" s="6">
        <v>43</v>
      </c>
      <c r="B44" s="7">
        <v>45283</v>
      </c>
      <c r="C44" s="8" t="s">
        <v>45</v>
      </c>
      <c r="D44" s="8" t="s">
        <v>34</v>
      </c>
      <c r="E44" s="8" t="s">
        <v>27</v>
      </c>
      <c r="F44" s="8" t="s">
        <v>38</v>
      </c>
      <c r="G44" s="8" t="s">
        <v>46</v>
      </c>
      <c r="H44" s="9">
        <v>19643.03</v>
      </c>
      <c r="I44" s="8">
        <v>5</v>
      </c>
      <c r="J44" s="10">
        <v>2911.87</v>
      </c>
      <c r="K44" s="17" t="str" cm="1">
        <f t="array" ref="K44">_xlfn.IFS(Table43[[#This Row],[Sales]]&gt;40000,"Best Sales",Table43[[#This Row],[Sales]]&gt;20000,"Average Sales",Table43[[#This Row],[Sales]]&gt;0,"Poor Sales")</f>
        <v>Poor Sales</v>
      </c>
      <c r="L44" s="12">
        <f>YEAR(Table43[[#This Row],[Date]])</f>
        <v>2023</v>
      </c>
      <c r="M44" s="12">
        <f>MONTH(Table43[[#This Row],[Date]])</f>
        <v>12</v>
      </c>
      <c r="N44" s="13">
        <f>DAY(Table43[[#This Row],[Date]])</f>
        <v>23</v>
      </c>
      <c r="O44" s="13" t="str">
        <f>TEXT(DATE(2023,Table43[[#This Row],[Month]],1),"mmm")</f>
        <v>Dec</v>
      </c>
      <c r="P44" s="13"/>
      <c r="Q44" s="13"/>
    </row>
    <row r="45" spans="1:17" x14ac:dyDescent="0.3">
      <c r="A45" s="14">
        <v>44</v>
      </c>
      <c r="B45" s="15">
        <v>44981</v>
      </c>
      <c r="C45" s="16" t="s">
        <v>33</v>
      </c>
      <c r="D45" s="16" t="s">
        <v>34</v>
      </c>
      <c r="E45" s="16" t="s">
        <v>27</v>
      </c>
      <c r="F45" s="16" t="s">
        <v>20</v>
      </c>
      <c r="G45" s="16" t="s">
        <v>41</v>
      </c>
      <c r="H45" s="17">
        <v>46031.41</v>
      </c>
      <c r="I45" s="16">
        <v>10</v>
      </c>
      <c r="J45" s="18">
        <v>12190.44</v>
      </c>
      <c r="K45" s="17" t="str" cm="1">
        <f t="array" ref="K45">_xlfn.IFS(Table43[[#This Row],[Sales]]&gt;40000,"Best Sales",Table43[[#This Row],[Sales]]&gt;20000,"Average Sales",Table43[[#This Row],[Sales]]&gt;0,"Poor Sales")</f>
        <v>Best Sales</v>
      </c>
      <c r="L45" s="12">
        <f>YEAR(Table43[[#This Row],[Date]])</f>
        <v>2023</v>
      </c>
      <c r="M45" s="12">
        <f>MONTH(Table43[[#This Row],[Date]])</f>
        <v>2</v>
      </c>
      <c r="N45" s="13">
        <f>DAY(Table43[[#This Row],[Date]])</f>
        <v>24</v>
      </c>
      <c r="O45" s="13" t="str">
        <f>TEXT(DATE(2023,Table43[[#This Row],[Month]],1),"mmm")</f>
        <v>Feb</v>
      </c>
      <c r="P45" s="13"/>
      <c r="Q45" s="13"/>
    </row>
    <row r="46" spans="1:17" x14ac:dyDescent="0.3">
      <c r="A46" s="6">
        <v>45</v>
      </c>
      <c r="B46" s="7">
        <v>44967</v>
      </c>
      <c r="C46" s="8" t="s">
        <v>29</v>
      </c>
      <c r="D46" s="8" t="s">
        <v>29</v>
      </c>
      <c r="E46" s="8" t="s">
        <v>27</v>
      </c>
      <c r="F46" s="8" t="s">
        <v>20</v>
      </c>
      <c r="G46" s="8" t="s">
        <v>28</v>
      </c>
      <c r="H46" s="9">
        <v>10312.469999999999</v>
      </c>
      <c r="I46" s="8">
        <v>3</v>
      </c>
      <c r="J46" s="10">
        <v>917.6</v>
      </c>
      <c r="K46" s="17" t="str" cm="1">
        <f t="array" ref="K46">_xlfn.IFS(Table43[[#This Row],[Sales]]&gt;40000,"Best Sales",Table43[[#This Row],[Sales]]&gt;20000,"Average Sales",Table43[[#This Row],[Sales]]&gt;0,"Poor Sales")</f>
        <v>Poor Sales</v>
      </c>
      <c r="L46" s="12">
        <f>YEAR(Table43[[#This Row],[Date]])</f>
        <v>2023</v>
      </c>
      <c r="M46" s="12">
        <f>MONTH(Table43[[#This Row],[Date]])</f>
        <v>2</v>
      </c>
      <c r="N46" s="13">
        <f>DAY(Table43[[#This Row],[Date]])</f>
        <v>10</v>
      </c>
      <c r="O46" s="13" t="str">
        <f>TEXT(DATE(2023,Table43[[#This Row],[Month]],1),"mmm")</f>
        <v>Feb</v>
      </c>
      <c r="P46" s="13"/>
      <c r="Q46" s="13"/>
    </row>
    <row r="47" spans="1:17" x14ac:dyDescent="0.3">
      <c r="A47" s="14">
        <v>46</v>
      </c>
      <c r="B47" s="15">
        <v>45288</v>
      </c>
      <c r="C47" s="16" t="s">
        <v>44</v>
      </c>
      <c r="D47" s="16" t="s">
        <v>34</v>
      </c>
      <c r="E47" s="16" t="s">
        <v>27</v>
      </c>
      <c r="F47" s="16" t="s">
        <v>31</v>
      </c>
      <c r="G47" s="16" t="s">
        <v>35</v>
      </c>
      <c r="H47" s="17">
        <v>6582.1</v>
      </c>
      <c r="I47" s="16">
        <v>1</v>
      </c>
      <c r="J47" s="18">
        <v>1867.37</v>
      </c>
      <c r="K47" s="17" t="str" cm="1">
        <f t="array" ref="K47">_xlfn.IFS(Table43[[#This Row],[Sales]]&gt;40000,"Best Sales",Table43[[#This Row],[Sales]]&gt;20000,"Average Sales",Table43[[#This Row],[Sales]]&gt;0,"Poor Sales")</f>
        <v>Poor Sales</v>
      </c>
      <c r="L47" s="12">
        <f>YEAR(Table43[[#This Row],[Date]])</f>
        <v>2023</v>
      </c>
      <c r="M47" s="12">
        <f>MONTH(Table43[[#This Row],[Date]])</f>
        <v>12</v>
      </c>
      <c r="N47" s="13">
        <f>DAY(Table43[[#This Row],[Date]])</f>
        <v>28</v>
      </c>
      <c r="O47" s="13" t="str">
        <f>TEXT(DATE(2023,Table43[[#This Row],[Month]],1),"mmm")</f>
        <v>Dec</v>
      </c>
      <c r="P47" s="13"/>
      <c r="Q47" s="13"/>
    </row>
    <row r="48" spans="1:17" x14ac:dyDescent="0.3">
      <c r="A48" s="6">
        <v>47</v>
      </c>
      <c r="B48" s="7">
        <v>45155</v>
      </c>
      <c r="C48" s="8" t="s">
        <v>22</v>
      </c>
      <c r="D48" s="8" t="s">
        <v>23</v>
      </c>
      <c r="E48" s="8" t="s">
        <v>27</v>
      </c>
      <c r="F48" s="8" t="s">
        <v>38</v>
      </c>
      <c r="G48" s="8" t="s">
        <v>46</v>
      </c>
      <c r="H48" s="9">
        <v>3134.95</v>
      </c>
      <c r="I48" s="8">
        <v>8</v>
      </c>
      <c r="J48" s="10">
        <v>371.46</v>
      </c>
      <c r="K48" s="17" t="str" cm="1">
        <f t="array" ref="K48">_xlfn.IFS(Table43[[#This Row],[Sales]]&gt;40000,"Best Sales",Table43[[#This Row],[Sales]]&gt;20000,"Average Sales",Table43[[#This Row],[Sales]]&gt;0,"Poor Sales")</f>
        <v>Poor Sales</v>
      </c>
      <c r="L48" s="12">
        <f>YEAR(Table43[[#This Row],[Date]])</f>
        <v>2023</v>
      </c>
      <c r="M48" s="12">
        <f>MONTH(Table43[[#This Row],[Date]])</f>
        <v>8</v>
      </c>
      <c r="N48" s="13">
        <f>DAY(Table43[[#This Row],[Date]])</f>
        <v>17</v>
      </c>
      <c r="O48" s="13" t="str">
        <f>TEXT(DATE(2023,Table43[[#This Row],[Month]],1),"mmm")</f>
        <v>Aug</v>
      </c>
      <c r="P48" s="13"/>
      <c r="Q48" s="13"/>
    </row>
    <row r="49" spans="1:17" x14ac:dyDescent="0.3">
      <c r="A49" s="14">
        <v>48</v>
      </c>
      <c r="B49" s="15">
        <v>45252</v>
      </c>
      <c r="C49" s="16" t="s">
        <v>25</v>
      </c>
      <c r="D49" s="16" t="s">
        <v>26</v>
      </c>
      <c r="E49" s="16" t="s">
        <v>27</v>
      </c>
      <c r="F49" s="16" t="s">
        <v>38</v>
      </c>
      <c r="G49" s="16" t="s">
        <v>46</v>
      </c>
      <c r="H49" s="17">
        <v>43738.86</v>
      </c>
      <c r="I49" s="16">
        <v>4</v>
      </c>
      <c r="J49" s="18">
        <v>5140.59</v>
      </c>
      <c r="K49" s="17" t="str" cm="1">
        <f t="array" ref="K49">_xlfn.IFS(Table43[[#This Row],[Sales]]&gt;40000,"Best Sales",Table43[[#This Row],[Sales]]&gt;20000,"Average Sales",Table43[[#This Row],[Sales]]&gt;0,"Poor Sales")</f>
        <v>Best Sales</v>
      </c>
      <c r="L49" s="12">
        <f>YEAR(Table43[[#This Row],[Date]])</f>
        <v>2023</v>
      </c>
      <c r="M49" s="12">
        <f>MONTH(Table43[[#This Row],[Date]])</f>
        <v>11</v>
      </c>
      <c r="N49" s="13">
        <f>DAY(Table43[[#This Row],[Date]])</f>
        <v>22</v>
      </c>
      <c r="O49" s="13" t="str">
        <f>TEXT(DATE(2023,Table43[[#This Row],[Month]],1),"mmm")</f>
        <v>Nov</v>
      </c>
      <c r="P49" s="13"/>
      <c r="Q49" s="13"/>
    </row>
    <row r="50" spans="1:17" x14ac:dyDescent="0.3">
      <c r="A50" s="6">
        <v>49</v>
      </c>
      <c r="B50" s="7">
        <v>45229</v>
      </c>
      <c r="C50" s="8" t="s">
        <v>45</v>
      </c>
      <c r="D50" s="8" t="s">
        <v>34</v>
      </c>
      <c r="E50" s="8" t="s">
        <v>27</v>
      </c>
      <c r="F50" s="8" t="s">
        <v>31</v>
      </c>
      <c r="G50" s="8" t="s">
        <v>36</v>
      </c>
      <c r="H50" s="9">
        <v>17707.400000000001</v>
      </c>
      <c r="I50" s="8">
        <v>10</v>
      </c>
      <c r="J50" s="10">
        <v>2970.2</v>
      </c>
      <c r="K50" s="17" t="str" cm="1">
        <f t="array" ref="K50">_xlfn.IFS(Table43[[#This Row],[Sales]]&gt;40000,"Best Sales",Table43[[#This Row],[Sales]]&gt;20000,"Average Sales",Table43[[#This Row],[Sales]]&gt;0,"Poor Sales")</f>
        <v>Poor Sales</v>
      </c>
      <c r="L50" s="12">
        <f>YEAR(Table43[[#This Row],[Date]])</f>
        <v>2023</v>
      </c>
      <c r="M50" s="12">
        <f>MONTH(Table43[[#This Row],[Date]])</f>
        <v>10</v>
      </c>
      <c r="N50" s="13">
        <f>DAY(Table43[[#This Row],[Date]])</f>
        <v>30</v>
      </c>
      <c r="O50" s="13" t="str">
        <f>TEXT(DATE(2023,Table43[[#This Row],[Month]],1),"mmm")</f>
        <v>Oct</v>
      </c>
      <c r="P50" s="13"/>
      <c r="Q50" s="13"/>
    </row>
    <row r="51" spans="1:17" x14ac:dyDescent="0.3">
      <c r="A51" s="14">
        <v>50</v>
      </c>
      <c r="B51" s="15">
        <v>45222</v>
      </c>
      <c r="C51" s="16" t="s">
        <v>22</v>
      </c>
      <c r="D51" s="16" t="s">
        <v>23</v>
      </c>
      <c r="E51" s="16" t="s">
        <v>27</v>
      </c>
      <c r="F51" s="16" t="s">
        <v>38</v>
      </c>
      <c r="G51" s="16" t="s">
        <v>46</v>
      </c>
      <c r="H51" s="17">
        <v>7789.2</v>
      </c>
      <c r="I51" s="16">
        <v>1</v>
      </c>
      <c r="J51" s="18">
        <v>1011.85</v>
      </c>
      <c r="K51" s="17" t="str" cm="1">
        <f t="array" ref="K51">_xlfn.IFS(Table43[[#This Row],[Sales]]&gt;40000,"Best Sales",Table43[[#This Row],[Sales]]&gt;20000,"Average Sales",Table43[[#This Row],[Sales]]&gt;0,"Poor Sales")</f>
        <v>Poor Sales</v>
      </c>
      <c r="L51" s="12">
        <f>YEAR(Table43[[#This Row],[Date]])</f>
        <v>2023</v>
      </c>
      <c r="M51" s="12">
        <f>MONTH(Table43[[#This Row],[Date]])</f>
        <v>10</v>
      </c>
      <c r="N51" s="13">
        <f>DAY(Table43[[#This Row],[Date]])</f>
        <v>23</v>
      </c>
      <c r="O51" s="13" t="str">
        <f>TEXT(DATE(2023,Table43[[#This Row],[Month]],1),"mmm")</f>
        <v>Oct</v>
      </c>
      <c r="P51" s="13"/>
      <c r="Q51" s="13"/>
    </row>
    <row r="52" spans="1:17" x14ac:dyDescent="0.3">
      <c r="A52" s="6">
        <v>51</v>
      </c>
      <c r="B52" s="7">
        <v>45270</v>
      </c>
      <c r="C52" s="8" t="s">
        <v>25</v>
      </c>
      <c r="D52" s="8" t="s">
        <v>26</v>
      </c>
      <c r="E52" s="8" t="s">
        <v>27</v>
      </c>
      <c r="F52" s="8" t="s">
        <v>38</v>
      </c>
      <c r="G52" s="8" t="s">
        <v>40</v>
      </c>
      <c r="H52" s="9">
        <v>18333.759999999998</v>
      </c>
      <c r="I52" s="8">
        <v>7</v>
      </c>
      <c r="J52" s="10">
        <v>4255.3900000000003</v>
      </c>
      <c r="K52" s="17" t="str" cm="1">
        <f t="array" ref="K52">_xlfn.IFS(Table43[[#This Row],[Sales]]&gt;40000,"Best Sales",Table43[[#This Row],[Sales]]&gt;20000,"Average Sales",Table43[[#This Row],[Sales]]&gt;0,"Poor Sales")</f>
        <v>Poor Sales</v>
      </c>
      <c r="L52" s="12">
        <f>YEAR(Table43[[#This Row],[Date]])</f>
        <v>2023</v>
      </c>
      <c r="M52" s="12">
        <f>MONTH(Table43[[#This Row],[Date]])</f>
        <v>12</v>
      </c>
      <c r="N52" s="13">
        <f>DAY(Table43[[#This Row],[Date]])</f>
        <v>10</v>
      </c>
      <c r="O52" s="13" t="str">
        <f>TEXT(DATE(2023,Table43[[#This Row],[Month]],1),"mmm")</f>
        <v>Dec</v>
      </c>
      <c r="P52" s="13"/>
      <c r="Q52" s="13"/>
    </row>
    <row r="53" spans="1:17" x14ac:dyDescent="0.3">
      <c r="A53" s="14">
        <v>52</v>
      </c>
      <c r="B53" s="15">
        <v>45041</v>
      </c>
      <c r="C53" s="16" t="s">
        <v>22</v>
      </c>
      <c r="D53" s="16" t="s">
        <v>23</v>
      </c>
      <c r="E53" s="16" t="s">
        <v>27</v>
      </c>
      <c r="F53" s="16" t="s">
        <v>38</v>
      </c>
      <c r="G53" s="16" t="s">
        <v>46</v>
      </c>
      <c r="H53" s="17">
        <v>29916.02</v>
      </c>
      <c r="I53" s="16">
        <v>1</v>
      </c>
      <c r="J53" s="18">
        <v>6067.18</v>
      </c>
      <c r="K53" s="17" t="str" cm="1">
        <f t="array" ref="K53">_xlfn.IFS(Table43[[#This Row],[Sales]]&gt;40000,"Best Sales",Table43[[#This Row],[Sales]]&gt;20000,"Average Sales",Table43[[#This Row],[Sales]]&gt;0,"Poor Sales")</f>
        <v>Average Sales</v>
      </c>
      <c r="L53" s="12">
        <f>YEAR(Table43[[#This Row],[Date]])</f>
        <v>2023</v>
      </c>
      <c r="M53" s="12">
        <f>MONTH(Table43[[#This Row],[Date]])</f>
        <v>4</v>
      </c>
      <c r="N53" s="13">
        <f>DAY(Table43[[#This Row],[Date]])</f>
        <v>25</v>
      </c>
      <c r="O53" s="13" t="str">
        <f>TEXT(DATE(2023,Table43[[#This Row],[Month]],1),"mmm")</f>
        <v>Apr</v>
      </c>
      <c r="P53" s="13"/>
      <c r="Q53" s="13"/>
    </row>
    <row r="54" spans="1:17" x14ac:dyDescent="0.3">
      <c r="A54" s="6">
        <v>53</v>
      </c>
      <c r="B54" s="7">
        <v>45143</v>
      </c>
      <c r="C54" s="8" t="s">
        <v>22</v>
      </c>
      <c r="D54" s="8" t="s">
        <v>23</v>
      </c>
      <c r="E54" s="8" t="s">
        <v>27</v>
      </c>
      <c r="F54" s="8" t="s">
        <v>20</v>
      </c>
      <c r="G54" s="8" t="s">
        <v>21</v>
      </c>
      <c r="H54" s="9">
        <v>40222.480000000003</v>
      </c>
      <c r="I54" s="8">
        <v>5</v>
      </c>
      <c r="J54" s="10">
        <v>8031.61</v>
      </c>
      <c r="K54" s="17" t="str" cm="1">
        <f t="array" ref="K54">_xlfn.IFS(Table43[[#This Row],[Sales]]&gt;40000,"Best Sales",Table43[[#This Row],[Sales]]&gt;20000,"Average Sales",Table43[[#This Row],[Sales]]&gt;0,"Poor Sales")</f>
        <v>Best Sales</v>
      </c>
      <c r="L54" s="12">
        <f>YEAR(Table43[[#This Row],[Date]])</f>
        <v>2023</v>
      </c>
      <c r="M54" s="12">
        <f>MONTH(Table43[[#This Row],[Date]])</f>
        <v>8</v>
      </c>
      <c r="N54" s="13">
        <f>DAY(Table43[[#This Row],[Date]])</f>
        <v>5</v>
      </c>
      <c r="O54" s="13" t="str">
        <f>TEXT(DATE(2023,Table43[[#This Row],[Month]],1),"mmm")</f>
        <v>Aug</v>
      </c>
      <c r="P54" s="13"/>
      <c r="Q54" s="13"/>
    </row>
    <row r="55" spans="1:17" x14ac:dyDescent="0.3">
      <c r="A55" s="14">
        <v>54</v>
      </c>
      <c r="B55" s="15">
        <v>45148</v>
      </c>
      <c r="C55" s="16" t="s">
        <v>42</v>
      </c>
      <c r="D55" s="16" t="s">
        <v>43</v>
      </c>
      <c r="E55" s="16" t="s">
        <v>30</v>
      </c>
      <c r="F55" s="16" t="s">
        <v>20</v>
      </c>
      <c r="G55" s="16" t="s">
        <v>21</v>
      </c>
      <c r="H55" s="17">
        <v>28351.119999999999</v>
      </c>
      <c r="I55" s="16">
        <v>2</v>
      </c>
      <c r="J55" s="18">
        <v>7580.92</v>
      </c>
      <c r="K55" s="17" t="str" cm="1">
        <f t="array" ref="K55">_xlfn.IFS(Table43[[#This Row],[Sales]]&gt;40000,"Best Sales",Table43[[#This Row],[Sales]]&gt;20000,"Average Sales",Table43[[#This Row],[Sales]]&gt;0,"Poor Sales")</f>
        <v>Average Sales</v>
      </c>
      <c r="L55" s="12">
        <f>YEAR(Table43[[#This Row],[Date]])</f>
        <v>2023</v>
      </c>
      <c r="M55" s="12">
        <f>MONTH(Table43[[#This Row],[Date]])</f>
        <v>8</v>
      </c>
      <c r="N55" s="13">
        <f>DAY(Table43[[#This Row],[Date]])</f>
        <v>10</v>
      </c>
      <c r="O55" s="13" t="str">
        <f>TEXT(DATE(2023,Table43[[#This Row],[Month]],1),"mmm")</f>
        <v>Aug</v>
      </c>
      <c r="P55" s="13"/>
      <c r="Q55" s="13"/>
    </row>
    <row r="56" spans="1:17" x14ac:dyDescent="0.3">
      <c r="A56" s="6">
        <v>55</v>
      </c>
      <c r="B56" s="7">
        <v>44980</v>
      </c>
      <c r="C56" s="8" t="s">
        <v>37</v>
      </c>
      <c r="D56" s="8" t="s">
        <v>23</v>
      </c>
      <c r="E56" s="8" t="s">
        <v>30</v>
      </c>
      <c r="F56" s="8" t="s">
        <v>38</v>
      </c>
      <c r="G56" s="8" t="s">
        <v>39</v>
      </c>
      <c r="H56" s="9">
        <v>26706.3</v>
      </c>
      <c r="I56" s="8">
        <v>5</v>
      </c>
      <c r="J56" s="10">
        <v>3028.14</v>
      </c>
      <c r="K56" s="17" t="str" cm="1">
        <f t="array" ref="K56">_xlfn.IFS(Table43[[#This Row],[Sales]]&gt;40000,"Best Sales",Table43[[#This Row],[Sales]]&gt;20000,"Average Sales",Table43[[#This Row],[Sales]]&gt;0,"Poor Sales")</f>
        <v>Average Sales</v>
      </c>
      <c r="L56" s="12">
        <f>YEAR(Table43[[#This Row],[Date]])</f>
        <v>2023</v>
      </c>
      <c r="M56" s="12">
        <f>MONTH(Table43[[#This Row],[Date]])</f>
        <v>2</v>
      </c>
      <c r="N56" s="13">
        <f>DAY(Table43[[#This Row],[Date]])</f>
        <v>23</v>
      </c>
      <c r="O56" s="13" t="str">
        <f>TEXT(DATE(2023,Table43[[#This Row],[Month]],1),"mmm")</f>
        <v>Feb</v>
      </c>
      <c r="P56" s="13"/>
      <c r="Q56" s="13"/>
    </row>
    <row r="57" spans="1:17" x14ac:dyDescent="0.3">
      <c r="A57" s="14">
        <v>56</v>
      </c>
      <c r="B57" s="15">
        <v>45068</v>
      </c>
      <c r="C57" s="16" t="s">
        <v>17</v>
      </c>
      <c r="D57" s="16" t="s">
        <v>18</v>
      </c>
      <c r="E57" s="16" t="s">
        <v>30</v>
      </c>
      <c r="F57" s="16" t="s">
        <v>20</v>
      </c>
      <c r="G57" s="16" t="s">
        <v>41</v>
      </c>
      <c r="H57" s="17">
        <v>5030.05</v>
      </c>
      <c r="I57" s="16">
        <v>3</v>
      </c>
      <c r="J57" s="18">
        <v>1411.28</v>
      </c>
      <c r="K57" s="17" t="str" cm="1">
        <f t="array" ref="K57">_xlfn.IFS(Table43[[#This Row],[Sales]]&gt;40000,"Best Sales",Table43[[#This Row],[Sales]]&gt;20000,"Average Sales",Table43[[#This Row],[Sales]]&gt;0,"Poor Sales")</f>
        <v>Poor Sales</v>
      </c>
      <c r="L57" s="12">
        <f>YEAR(Table43[[#This Row],[Date]])</f>
        <v>2023</v>
      </c>
      <c r="M57" s="12">
        <f>MONTH(Table43[[#This Row],[Date]])</f>
        <v>5</v>
      </c>
      <c r="N57" s="13">
        <f>DAY(Table43[[#This Row],[Date]])</f>
        <v>22</v>
      </c>
      <c r="O57" s="13" t="str">
        <f>TEXT(DATE(2023,Table43[[#This Row],[Month]],1),"mmm")</f>
        <v>May</v>
      </c>
      <c r="P57" s="13"/>
      <c r="Q57" s="13"/>
    </row>
    <row r="58" spans="1:17" x14ac:dyDescent="0.3">
      <c r="A58" s="6">
        <v>57</v>
      </c>
      <c r="B58" s="7">
        <v>45006</v>
      </c>
      <c r="C58" s="8" t="s">
        <v>37</v>
      </c>
      <c r="D58" s="8" t="s">
        <v>23</v>
      </c>
      <c r="E58" s="8" t="s">
        <v>30</v>
      </c>
      <c r="F58" s="8" t="s">
        <v>20</v>
      </c>
      <c r="G58" s="8" t="s">
        <v>28</v>
      </c>
      <c r="H58" s="9">
        <v>36606.480000000003</v>
      </c>
      <c r="I58" s="8">
        <v>1</v>
      </c>
      <c r="J58" s="10">
        <v>5249.58</v>
      </c>
      <c r="K58" s="17" t="str" cm="1">
        <f t="array" ref="K58">_xlfn.IFS(Table43[[#This Row],[Sales]]&gt;40000,"Best Sales",Table43[[#This Row],[Sales]]&gt;20000,"Average Sales",Table43[[#This Row],[Sales]]&gt;0,"Poor Sales")</f>
        <v>Average Sales</v>
      </c>
      <c r="L58" s="12">
        <f>YEAR(Table43[[#This Row],[Date]])</f>
        <v>2023</v>
      </c>
      <c r="M58" s="12">
        <f>MONTH(Table43[[#This Row],[Date]])</f>
        <v>3</v>
      </c>
      <c r="N58" s="13">
        <f>DAY(Table43[[#This Row],[Date]])</f>
        <v>21</v>
      </c>
      <c r="O58" s="13" t="str">
        <f>TEXT(DATE(2023,Table43[[#This Row],[Month]],1),"mmm")</f>
        <v>Mar</v>
      </c>
      <c r="P58" s="13"/>
      <c r="Q58" s="13"/>
    </row>
    <row r="59" spans="1:17" x14ac:dyDescent="0.3">
      <c r="A59" s="14">
        <v>58</v>
      </c>
      <c r="B59" s="15">
        <v>44946</v>
      </c>
      <c r="C59" s="16" t="s">
        <v>22</v>
      </c>
      <c r="D59" s="16" t="s">
        <v>23</v>
      </c>
      <c r="E59" s="16" t="s">
        <v>30</v>
      </c>
      <c r="F59" s="16" t="s">
        <v>20</v>
      </c>
      <c r="G59" s="16" t="s">
        <v>21</v>
      </c>
      <c r="H59" s="17">
        <v>30254.94</v>
      </c>
      <c r="I59" s="16">
        <v>3</v>
      </c>
      <c r="J59" s="18">
        <v>5950.99</v>
      </c>
      <c r="K59" s="17" t="str" cm="1">
        <f t="array" ref="K59">_xlfn.IFS(Table43[[#This Row],[Sales]]&gt;40000,"Best Sales",Table43[[#This Row],[Sales]]&gt;20000,"Average Sales",Table43[[#This Row],[Sales]]&gt;0,"Poor Sales")</f>
        <v>Average Sales</v>
      </c>
      <c r="L59" s="12">
        <f>YEAR(Table43[[#This Row],[Date]])</f>
        <v>2023</v>
      </c>
      <c r="M59" s="12">
        <f>MONTH(Table43[[#This Row],[Date]])</f>
        <v>1</v>
      </c>
      <c r="N59" s="13">
        <f>DAY(Table43[[#This Row],[Date]])</f>
        <v>20</v>
      </c>
      <c r="O59" s="13" t="str">
        <f>TEXT(DATE(2023,Table43[[#This Row],[Month]],1),"mmm")</f>
        <v>Jan</v>
      </c>
      <c r="P59" s="13"/>
      <c r="Q59" s="13"/>
    </row>
    <row r="60" spans="1:17" x14ac:dyDescent="0.3">
      <c r="A60" s="6">
        <v>59</v>
      </c>
      <c r="B60" s="7">
        <v>45065</v>
      </c>
      <c r="C60" s="8" t="s">
        <v>37</v>
      </c>
      <c r="D60" s="8" t="s">
        <v>23</v>
      </c>
      <c r="E60" s="8" t="s">
        <v>30</v>
      </c>
      <c r="F60" s="8" t="s">
        <v>38</v>
      </c>
      <c r="G60" s="8" t="s">
        <v>46</v>
      </c>
      <c r="H60" s="9">
        <v>43019.7</v>
      </c>
      <c r="I60" s="8">
        <v>4</v>
      </c>
      <c r="J60" s="10">
        <v>9540.3799999999992</v>
      </c>
      <c r="K60" s="17" t="str" cm="1">
        <f t="array" ref="K60">_xlfn.IFS(Table43[[#This Row],[Sales]]&gt;40000,"Best Sales",Table43[[#This Row],[Sales]]&gt;20000,"Average Sales",Table43[[#This Row],[Sales]]&gt;0,"Poor Sales")</f>
        <v>Best Sales</v>
      </c>
      <c r="L60" s="12">
        <f>YEAR(Table43[[#This Row],[Date]])</f>
        <v>2023</v>
      </c>
      <c r="M60" s="12">
        <f>MONTH(Table43[[#This Row],[Date]])</f>
        <v>5</v>
      </c>
      <c r="N60" s="13">
        <f>DAY(Table43[[#This Row],[Date]])</f>
        <v>19</v>
      </c>
      <c r="O60" s="13" t="str">
        <f>TEXT(DATE(2023,Table43[[#This Row],[Month]],1),"mmm")</f>
        <v>May</v>
      </c>
      <c r="P60" s="13"/>
      <c r="Q60" s="13"/>
    </row>
    <row r="61" spans="1:17" x14ac:dyDescent="0.3">
      <c r="A61" s="14">
        <v>60</v>
      </c>
      <c r="B61" s="15">
        <v>44977</v>
      </c>
      <c r="C61" s="16" t="s">
        <v>45</v>
      </c>
      <c r="D61" s="16" t="s">
        <v>34</v>
      </c>
      <c r="E61" s="16" t="s">
        <v>30</v>
      </c>
      <c r="F61" s="16" t="s">
        <v>20</v>
      </c>
      <c r="G61" s="16" t="s">
        <v>28</v>
      </c>
      <c r="H61" s="17">
        <v>3020.57</v>
      </c>
      <c r="I61" s="16">
        <v>7</v>
      </c>
      <c r="J61" s="18">
        <v>762.12</v>
      </c>
      <c r="K61" s="17" t="str" cm="1">
        <f t="array" ref="K61">_xlfn.IFS(Table43[[#This Row],[Sales]]&gt;40000,"Best Sales",Table43[[#This Row],[Sales]]&gt;20000,"Average Sales",Table43[[#This Row],[Sales]]&gt;0,"Poor Sales")</f>
        <v>Poor Sales</v>
      </c>
      <c r="L61" s="12">
        <f>YEAR(Table43[[#This Row],[Date]])</f>
        <v>2023</v>
      </c>
      <c r="M61" s="12">
        <f>MONTH(Table43[[#This Row],[Date]])</f>
        <v>2</v>
      </c>
      <c r="N61" s="13">
        <f>DAY(Table43[[#This Row],[Date]])</f>
        <v>20</v>
      </c>
      <c r="O61" s="13" t="str">
        <f>TEXT(DATE(2023,Table43[[#This Row],[Month]],1),"mmm")</f>
        <v>Feb</v>
      </c>
      <c r="P61" s="13"/>
      <c r="Q61" s="13"/>
    </row>
    <row r="62" spans="1:17" x14ac:dyDescent="0.3">
      <c r="A62" s="6">
        <v>61</v>
      </c>
      <c r="B62" s="7">
        <v>44992</v>
      </c>
      <c r="C62" s="8" t="s">
        <v>29</v>
      </c>
      <c r="D62" s="8" t="s">
        <v>29</v>
      </c>
      <c r="E62" s="8" t="s">
        <v>30</v>
      </c>
      <c r="F62" s="8" t="s">
        <v>20</v>
      </c>
      <c r="G62" s="8" t="s">
        <v>21</v>
      </c>
      <c r="H62" s="9">
        <v>29105.97</v>
      </c>
      <c r="I62" s="8">
        <v>7</v>
      </c>
      <c r="J62" s="10">
        <v>7986.26</v>
      </c>
      <c r="K62" s="17" t="str" cm="1">
        <f t="array" ref="K62">_xlfn.IFS(Table43[[#This Row],[Sales]]&gt;40000,"Best Sales",Table43[[#This Row],[Sales]]&gt;20000,"Average Sales",Table43[[#This Row],[Sales]]&gt;0,"Poor Sales")</f>
        <v>Average Sales</v>
      </c>
      <c r="L62" s="12">
        <f>YEAR(Table43[[#This Row],[Date]])</f>
        <v>2023</v>
      </c>
      <c r="M62" s="12">
        <f>MONTH(Table43[[#This Row],[Date]])</f>
        <v>3</v>
      </c>
      <c r="N62" s="13">
        <f>DAY(Table43[[#This Row],[Date]])</f>
        <v>7</v>
      </c>
      <c r="O62" s="13" t="str">
        <f>TEXT(DATE(2023,Table43[[#This Row],[Month]],1),"mmm")</f>
        <v>Mar</v>
      </c>
      <c r="P62" s="13"/>
      <c r="Q62" s="13"/>
    </row>
    <row r="63" spans="1:17" x14ac:dyDescent="0.3">
      <c r="A63" s="14">
        <v>62</v>
      </c>
      <c r="B63" s="15">
        <v>44987</v>
      </c>
      <c r="C63" s="16" t="s">
        <v>25</v>
      </c>
      <c r="D63" s="16" t="s">
        <v>26</v>
      </c>
      <c r="E63" s="16" t="s">
        <v>30</v>
      </c>
      <c r="F63" s="16" t="s">
        <v>20</v>
      </c>
      <c r="G63" s="16" t="s">
        <v>28</v>
      </c>
      <c r="H63" s="17">
        <v>42202.76</v>
      </c>
      <c r="I63" s="16">
        <v>10</v>
      </c>
      <c r="J63" s="18">
        <v>5345.77</v>
      </c>
      <c r="K63" s="17" t="str" cm="1">
        <f t="array" ref="K63">_xlfn.IFS(Table43[[#This Row],[Sales]]&gt;40000,"Best Sales",Table43[[#This Row],[Sales]]&gt;20000,"Average Sales",Table43[[#This Row],[Sales]]&gt;0,"Poor Sales")</f>
        <v>Best Sales</v>
      </c>
      <c r="L63" s="12">
        <f>YEAR(Table43[[#This Row],[Date]])</f>
        <v>2023</v>
      </c>
      <c r="M63" s="12">
        <f>MONTH(Table43[[#This Row],[Date]])</f>
        <v>3</v>
      </c>
      <c r="N63" s="13">
        <f>DAY(Table43[[#This Row],[Date]])</f>
        <v>2</v>
      </c>
      <c r="O63" s="13" t="str">
        <f>TEXT(DATE(2023,Table43[[#This Row],[Month]],1),"mmm")</f>
        <v>Mar</v>
      </c>
      <c r="P63" s="13"/>
      <c r="Q63" s="13"/>
    </row>
    <row r="64" spans="1:17" x14ac:dyDescent="0.3">
      <c r="A64" s="6">
        <v>63</v>
      </c>
      <c r="B64" s="7">
        <v>45126</v>
      </c>
      <c r="C64" s="8" t="s">
        <v>22</v>
      </c>
      <c r="D64" s="8" t="s">
        <v>23</v>
      </c>
      <c r="E64" s="8" t="s">
        <v>30</v>
      </c>
      <c r="F64" s="8" t="s">
        <v>38</v>
      </c>
      <c r="G64" s="8" t="s">
        <v>40</v>
      </c>
      <c r="H64" s="9">
        <v>16484.55</v>
      </c>
      <c r="I64" s="8">
        <v>9</v>
      </c>
      <c r="J64" s="10">
        <v>1351</v>
      </c>
      <c r="K64" s="17" t="str" cm="1">
        <f t="array" ref="K64">_xlfn.IFS(Table43[[#This Row],[Sales]]&gt;40000,"Best Sales",Table43[[#This Row],[Sales]]&gt;20000,"Average Sales",Table43[[#This Row],[Sales]]&gt;0,"Poor Sales")</f>
        <v>Poor Sales</v>
      </c>
      <c r="L64" s="12">
        <f>YEAR(Table43[[#This Row],[Date]])</f>
        <v>2023</v>
      </c>
      <c r="M64" s="12">
        <f>MONTH(Table43[[#This Row],[Date]])</f>
        <v>7</v>
      </c>
      <c r="N64" s="13">
        <f>DAY(Table43[[#This Row],[Date]])</f>
        <v>19</v>
      </c>
      <c r="O64" s="13" t="str">
        <f>TEXT(DATE(2023,Table43[[#This Row],[Month]],1),"mmm")</f>
        <v>Jul</v>
      </c>
      <c r="P64" s="13"/>
      <c r="Q64" s="13"/>
    </row>
    <row r="65" spans="1:17" x14ac:dyDescent="0.3">
      <c r="A65" s="14">
        <v>64</v>
      </c>
      <c r="B65" s="15">
        <v>45216</v>
      </c>
      <c r="C65" s="16" t="s">
        <v>22</v>
      </c>
      <c r="D65" s="16" t="s">
        <v>23</v>
      </c>
      <c r="E65" s="16" t="s">
        <v>30</v>
      </c>
      <c r="F65" s="16" t="s">
        <v>31</v>
      </c>
      <c r="G65" s="16" t="s">
        <v>35</v>
      </c>
      <c r="H65" s="17">
        <v>48949.84</v>
      </c>
      <c r="I65" s="16">
        <v>9</v>
      </c>
      <c r="J65" s="18">
        <v>10667.27</v>
      </c>
      <c r="K65" s="17" t="str" cm="1">
        <f t="array" ref="K65">_xlfn.IFS(Table43[[#This Row],[Sales]]&gt;40000,"Best Sales",Table43[[#This Row],[Sales]]&gt;20000,"Average Sales",Table43[[#This Row],[Sales]]&gt;0,"Poor Sales")</f>
        <v>Best Sales</v>
      </c>
      <c r="L65" s="12">
        <f>YEAR(Table43[[#This Row],[Date]])</f>
        <v>2023</v>
      </c>
      <c r="M65" s="12">
        <f>MONTH(Table43[[#This Row],[Date]])</f>
        <v>10</v>
      </c>
      <c r="N65" s="13">
        <f>DAY(Table43[[#This Row],[Date]])</f>
        <v>17</v>
      </c>
      <c r="O65" s="13" t="str">
        <f>TEXT(DATE(2023,Table43[[#This Row],[Month]],1),"mmm")</f>
        <v>Oct</v>
      </c>
      <c r="P65" s="13"/>
      <c r="Q65" s="13"/>
    </row>
    <row r="66" spans="1:17" x14ac:dyDescent="0.3">
      <c r="A66" s="6">
        <v>65</v>
      </c>
      <c r="B66" s="7">
        <v>45173</v>
      </c>
      <c r="C66" s="8" t="s">
        <v>37</v>
      </c>
      <c r="D66" s="8" t="s">
        <v>23</v>
      </c>
      <c r="E66" s="8" t="s">
        <v>30</v>
      </c>
      <c r="F66" s="8" t="s">
        <v>31</v>
      </c>
      <c r="G66" s="8" t="s">
        <v>35</v>
      </c>
      <c r="H66" s="9">
        <v>19183.52</v>
      </c>
      <c r="I66" s="8">
        <v>5</v>
      </c>
      <c r="J66" s="10">
        <v>2804.51</v>
      </c>
      <c r="K66" s="17" t="str" cm="1">
        <f t="array" ref="K66">_xlfn.IFS(Table43[[#This Row],[Sales]]&gt;40000,"Best Sales",Table43[[#This Row],[Sales]]&gt;20000,"Average Sales",Table43[[#This Row],[Sales]]&gt;0,"Poor Sales")</f>
        <v>Poor Sales</v>
      </c>
      <c r="L66" s="12">
        <f>YEAR(Table43[[#This Row],[Date]])</f>
        <v>2023</v>
      </c>
      <c r="M66" s="12">
        <f>MONTH(Table43[[#This Row],[Date]])</f>
        <v>9</v>
      </c>
      <c r="N66" s="13">
        <f>DAY(Table43[[#This Row],[Date]])</f>
        <v>4</v>
      </c>
      <c r="O66" s="13" t="str">
        <f>TEXT(DATE(2023,Table43[[#This Row],[Month]],1),"mmm")</f>
        <v>Sep</v>
      </c>
      <c r="P66" s="13"/>
      <c r="Q66" s="13"/>
    </row>
    <row r="67" spans="1:17" x14ac:dyDescent="0.3">
      <c r="A67" s="14">
        <v>66</v>
      </c>
      <c r="B67" s="15">
        <v>45163</v>
      </c>
      <c r="C67" s="16" t="s">
        <v>29</v>
      </c>
      <c r="D67" s="16" t="s">
        <v>29</v>
      </c>
      <c r="E67" s="16" t="s">
        <v>30</v>
      </c>
      <c r="F67" s="16" t="s">
        <v>20</v>
      </c>
      <c r="G67" s="16" t="s">
        <v>41</v>
      </c>
      <c r="H67" s="17">
        <v>25834.9</v>
      </c>
      <c r="I67" s="16">
        <v>2</v>
      </c>
      <c r="J67" s="18">
        <v>6880.51</v>
      </c>
      <c r="K67" s="17" t="str" cm="1">
        <f t="array" ref="K67">_xlfn.IFS(Table43[[#This Row],[Sales]]&gt;40000,"Best Sales",Table43[[#This Row],[Sales]]&gt;20000,"Average Sales",Table43[[#This Row],[Sales]]&gt;0,"Poor Sales")</f>
        <v>Average Sales</v>
      </c>
      <c r="L67" s="12">
        <f>YEAR(Table43[[#This Row],[Date]])</f>
        <v>2023</v>
      </c>
      <c r="M67" s="12">
        <f>MONTH(Table43[[#This Row],[Date]])</f>
        <v>8</v>
      </c>
      <c r="N67" s="13">
        <f>DAY(Table43[[#This Row],[Date]])</f>
        <v>25</v>
      </c>
      <c r="O67" s="13" t="str">
        <f>TEXT(DATE(2023,Table43[[#This Row],[Month]],1),"mmm")</f>
        <v>Aug</v>
      </c>
      <c r="P67" s="13"/>
      <c r="Q67" s="13"/>
    </row>
    <row r="68" spans="1:17" x14ac:dyDescent="0.3">
      <c r="A68" s="6">
        <v>67</v>
      </c>
      <c r="B68" s="7">
        <v>44930</v>
      </c>
      <c r="C68" s="8" t="s">
        <v>29</v>
      </c>
      <c r="D68" s="8" t="s">
        <v>29</v>
      </c>
      <c r="E68" s="8" t="s">
        <v>19</v>
      </c>
      <c r="F68" s="8" t="s">
        <v>20</v>
      </c>
      <c r="G68" s="8" t="s">
        <v>41</v>
      </c>
      <c r="H68" s="9">
        <v>37162.660000000003</v>
      </c>
      <c r="I68" s="8">
        <v>8</v>
      </c>
      <c r="J68" s="10">
        <v>5652.71</v>
      </c>
      <c r="K68" s="17" t="str" cm="1">
        <f t="array" ref="K68">_xlfn.IFS(Table43[[#This Row],[Sales]]&gt;40000,"Best Sales",Table43[[#This Row],[Sales]]&gt;20000,"Average Sales",Table43[[#This Row],[Sales]]&gt;0,"Poor Sales")</f>
        <v>Average Sales</v>
      </c>
      <c r="L68" s="12">
        <f>YEAR(Table43[[#This Row],[Date]])</f>
        <v>2023</v>
      </c>
      <c r="M68" s="12">
        <f>MONTH(Table43[[#This Row],[Date]])</f>
        <v>1</v>
      </c>
      <c r="N68" s="13">
        <f>DAY(Table43[[#This Row],[Date]])</f>
        <v>4</v>
      </c>
      <c r="O68" s="13" t="str">
        <f>TEXT(DATE(2023,Table43[[#This Row],[Month]],1),"mmm")</f>
        <v>Jan</v>
      </c>
      <c r="P68" s="13"/>
      <c r="Q68" s="13"/>
    </row>
    <row r="69" spans="1:17" x14ac:dyDescent="0.3">
      <c r="A69" s="14">
        <v>68</v>
      </c>
      <c r="B69" s="15">
        <v>45098</v>
      </c>
      <c r="C69" s="16" t="s">
        <v>37</v>
      </c>
      <c r="D69" s="16" t="s">
        <v>23</v>
      </c>
      <c r="E69" s="16" t="s">
        <v>24</v>
      </c>
      <c r="F69" s="16" t="s">
        <v>31</v>
      </c>
      <c r="G69" s="16" t="s">
        <v>32</v>
      </c>
      <c r="H69" s="17">
        <v>28938.6</v>
      </c>
      <c r="I69" s="16">
        <v>10</v>
      </c>
      <c r="J69" s="18">
        <v>7700.06</v>
      </c>
      <c r="K69" s="17" t="str" cm="1">
        <f t="array" ref="K69">_xlfn.IFS(Table43[[#This Row],[Sales]]&gt;40000,"Best Sales",Table43[[#This Row],[Sales]]&gt;20000,"Average Sales",Table43[[#This Row],[Sales]]&gt;0,"Poor Sales")</f>
        <v>Average Sales</v>
      </c>
      <c r="L69" s="12">
        <f>YEAR(Table43[[#This Row],[Date]])</f>
        <v>2023</v>
      </c>
      <c r="M69" s="12">
        <f>MONTH(Table43[[#This Row],[Date]])</f>
        <v>6</v>
      </c>
      <c r="N69" s="13">
        <f>DAY(Table43[[#This Row],[Date]])</f>
        <v>21</v>
      </c>
      <c r="O69" s="13" t="str">
        <f>TEXT(DATE(2023,Table43[[#This Row],[Month]],1),"mmm")</f>
        <v>Jun</v>
      </c>
      <c r="P69" s="13"/>
      <c r="Q69" s="13"/>
    </row>
    <row r="70" spans="1:17" x14ac:dyDescent="0.3">
      <c r="A70" s="6">
        <v>69</v>
      </c>
      <c r="B70" s="7">
        <v>45268</v>
      </c>
      <c r="C70" s="8" t="s">
        <v>45</v>
      </c>
      <c r="D70" s="8" t="s">
        <v>34</v>
      </c>
      <c r="E70" s="8" t="s">
        <v>24</v>
      </c>
      <c r="F70" s="8" t="s">
        <v>31</v>
      </c>
      <c r="G70" s="8" t="s">
        <v>32</v>
      </c>
      <c r="H70" s="9">
        <v>10690.45</v>
      </c>
      <c r="I70" s="8">
        <v>5</v>
      </c>
      <c r="J70" s="10">
        <v>2992.24</v>
      </c>
      <c r="K70" s="17" t="str" cm="1">
        <f t="array" ref="K70">_xlfn.IFS(Table43[[#This Row],[Sales]]&gt;40000,"Best Sales",Table43[[#This Row],[Sales]]&gt;20000,"Average Sales",Table43[[#This Row],[Sales]]&gt;0,"Poor Sales")</f>
        <v>Poor Sales</v>
      </c>
      <c r="L70" s="12">
        <f>YEAR(Table43[[#This Row],[Date]])</f>
        <v>2023</v>
      </c>
      <c r="M70" s="12">
        <f>MONTH(Table43[[#This Row],[Date]])</f>
        <v>12</v>
      </c>
      <c r="N70" s="13">
        <f>DAY(Table43[[#This Row],[Date]])</f>
        <v>8</v>
      </c>
      <c r="O70" s="13" t="str">
        <f>TEXT(DATE(2023,Table43[[#This Row],[Month]],1),"mmm")</f>
        <v>Dec</v>
      </c>
      <c r="P70" s="13"/>
      <c r="Q70" s="13"/>
    </row>
    <row r="71" spans="1:17" x14ac:dyDescent="0.3">
      <c r="A71" s="14">
        <v>70</v>
      </c>
      <c r="B71" s="15">
        <v>45137</v>
      </c>
      <c r="C71" s="16" t="s">
        <v>29</v>
      </c>
      <c r="D71" s="16" t="s">
        <v>29</v>
      </c>
      <c r="E71" s="16" t="s">
        <v>19</v>
      </c>
      <c r="F71" s="16" t="s">
        <v>38</v>
      </c>
      <c r="G71" s="16" t="s">
        <v>46</v>
      </c>
      <c r="H71" s="17">
        <v>4383.75</v>
      </c>
      <c r="I71" s="16">
        <v>1</v>
      </c>
      <c r="J71" s="18">
        <v>918.46</v>
      </c>
      <c r="K71" s="17" t="str" cm="1">
        <f t="array" ref="K71">_xlfn.IFS(Table43[[#This Row],[Sales]]&gt;40000,"Best Sales",Table43[[#This Row],[Sales]]&gt;20000,"Average Sales",Table43[[#This Row],[Sales]]&gt;0,"Poor Sales")</f>
        <v>Poor Sales</v>
      </c>
      <c r="L71" s="12">
        <f>YEAR(Table43[[#This Row],[Date]])</f>
        <v>2023</v>
      </c>
      <c r="M71" s="12">
        <f>MONTH(Table43[[#This Row],[Date]])</f>
        <v>7</v>
      </c>
      <c r="N71" s="13">
        <f>DAY(Table43[[#This Row],[Date]])</f>
        <v>30</v>
      </c>
      <c r="O71" s="13" t="str">
        <f>TEXT(DATE(2023,Table43[[#This Row],[Month]],1),"mmm")</f>
        <v>Jul</v>
      </c>
      <c r="P71" s="13"/>
      <c r="Q71" s="13"/>
    </row>
    <row r="72" spans="1:17" x14ac:dyDescent="0.3">
      <c r="A72" s="6">
        <v>71</v>
      </c>
      <c r="B72" s="7">
        <v>45257</v>
      </c>
      <c r="C72" s="8" t="s">
        <v>37</v>
      </c>
      <c r="D72" s="8" t="s">
        <v>23</v>
      </c>
      <c r="E72" s="8" t="s">
        <v>19</v>
      </c>
      <c r="F72" s="8" t="s">
        <v>20</v>
      </c>
      <c r="G72" s="8" t="s">
        <v>28</v>
      </c>
      <c r="H72" s="9">
        <v>23844.99</v>
      </c>
      <c r="I72" s="8">
        <v>5</v>
      </c>
      <c r="J72" s="10">
        <v>2367.61</v>
      </c>
      <c r="K72" s="17" t="str" cm="1">
        <f t="array" ref="K72">_xlfn.IFS(Table43[[#This Row],[Sales]]&gt;40000,"Best Sales",Table43[[#This Row],[Sales]]&gt;20000,"Average Sales",Table43[[#This Row],[Sales]]&gt;0,"Poor Sales")</f>
        <v>Average Sales</v>
      </c>
      <c r="L72" s="12">
        <f>YEAR(Table43[[#This Row],[Date]])</f>
        <v>2023</v>
      </c>
      <c r="M72" s="12">
        <f>MONTH(Table43[[#This Row],[Date]])</f>
        <v>11</v>
      </c>
      <c r="N72" s="13">
        <f>DAY(Table43[[#This Row],[Date]])</f>
        <v>27</v>
      </c>
      <c r="O72" s="13" t="str">
        <f>TEXT(DATE(2023,Table43[[#This Row],[Month]],1),"mmm")</f>
        <v>Nov</v>
      </c>
      <c r="P72" s="13"/>
      <c r="Q72" s="13"/>
    </row>
    <row r="73" spans="1:17" x14ac:dyDescent="0.3">
      <c r="A73" s="14">
        <v>72</v>
      </c>
      <c r="B73" s="15">
        <v>45214</v>
      </c>
      <c r="C73" s="16" t="s">
        <v>22</v>
      </c>
      <c r="D73" s="16" t="s">
        <v>23</v>
      </c>
      <c r="E73" s="16" t="s">
        <v>24</v>
      </c>
      <c r="F73" s="16" t="s">
        <v>31</v>
      </c>
      <c r="G73" s="16" t="s">
        <v>36</v>
      </c>
      <c r="H73" s="17">
        <v>48504.77</v>
      </c>
      <c r="I73" s="16">
        <v>10</v>
      </c>
      <c r="J73" s="18">
        <v>8679.41</v>
      </c>
      <c r="K73" s="17" t="str" cm="1">
        <f t="array" ref="K73">_xlfn.IFS(Table43[[#This Row],[Sales]]&gt;40000,"Best Sales",Table43[[#This Row],[Sales]]&gt;20000,"Average Sales",Table43[[#This Row],[Sales]]&gt;0,"Poor Sales")</f>
        <v>Best Sales</v>
      </c>
      <c r="L73" s="12">
        <f>YEAR(Table43[[#This Row],[Date]])</f>
        <v>2023</v>
      </c>
      <c r="M73" s="12">
        <f>MONTH(Table43[[#This Row],[Date]])</f>
        <v>10</v>
      </c>
      <c r="N73" s="13">
        <f>DAY(Table43[[#This Row],[Date]])</f>
        <v>15</v>
      </c>
      <c r="O73" s="13" t="str">
        <f>TEXT(DATE(2023,Table43[[#This Row],[Month]],1),"mmm")</f>
        <v>Oct</v>
      </c>
      <c r="P73" s="13"/>
      <c r="Q73" s="13"/>
    </row>
    <row r="74" spans="1:17" x14ac:dyDescent="0.3">
      <c r="A74" s="6">
        <v>73</v>
      </c>
      <c r="B74" s="7">
        <v>45053</v>
      </c>
      <c r="C74" s="8" t="s">
        <v>44</v>
      </c>
      <c r="D74" s="8" t="s">
        <v>34</v>
      </c>
      <c r="E74" s="8" t="s">
        <v>19</v>
      </c>
      <c r="F74" s="8" t="s">
        <v>38</v>
      </c>
      <c r="G74" s="8" t="s">
        <v>39</v>
      </c>
      <c r="H74" s="9">
        <v>10052.780000000001</v>
      </c>
      <c r="I74" s="8">
        <v>8</v>
      </c>
      <c r="J74" s="10">
        <v>2293.2600000000002</v>
      </c>
      <c r="K74" s="17" t="str" cm="1">
        <f t="array" ref="K74">_xlfn.IFS(Table43[[#This Row],[Sales]]&gt;40000,"Best Sales",Table43[[#This Row],[Sales]]&gt;20000,"Average Sales",Table43[[#This Row],[Sales]]&gt;0,"Poor Sales")</f>
        <v>Poor Sales</v>
      </c>
      <c r="L74" s="12">
        <f>YEAR(Table43[[#This Row],[Date]])</f>
        <v>2023</v>
      </c>
      <c r="M74" s="12">
        <f>MONTH(Table43[[#This Row],[Date]])</f>
        <v>5</v>
      </c>
      <c r="N74" s="13">
        <f>DAY(Table43[[#This Row],[Date]])</f>
        <v>7</v>
      </c>
      <c r="O74" s="13" t="str">
        <f>TEXT(DATE(2023,Table43[[#This Row],[Month]],1),"mmm")</f>
        <v>May</v>
      </c>
      <c r="P74" s="13"/>
      <c r="Q74" s="13"/>
    </row>
    <row r="75" spans="1:17" x14ac:dyDescent="0.3">
      <c r="A75" s="14">
        <v>74</v>
      </c>
      <c r="B75" s="15">
        <v>44964</v>
      </c>
      <c r="C75" s="16" t="s">
        <v>44</v>
      </c>
      <c r="D75" s="16" t="s">
        <v>34</v>
      </c>
      <c r="E75" s="16" t="s">
        <v>24</v>
      </c>
      <c r="F75" s="16" t="s">
        <v>20</v>
      </c>
      <c r="G75" s="16" t="s">
        <v>41</v>
      </c>
      <c r="H75" s="17">
        <v>47147.42</v>
      </c>
      <c r="I75" s="16">
        <v>6</v>
      </c>
      <c r="J75" s="18">
        <v>9546.64</v>
      </c>
      <c r="K75" s="17" t="str" cm="1">
        <f t="array" ref="K75">_xlfn.IFS(Table43[[#This Row],[Sales]]&gt;40000,"Best Sales",Table43[[#This Row],[Sales]]&gt;20000,"Average Sales",Table43[[#This Row],[Sales]]&gt;0,"Poor Sales")</f>
        <v>Best Sales</v>
      </c>
      <c r="L75" s="12">
        <f>YEAR(Table43[[#This Row],[Date]])</f>
        <v>2023</v>
      </c>
      <c r="M75" s="12">
        <f>MONTH(Table43[[#This Row],[Date]])</f>
        <v>2</v>
      </c>
      <c r="N75" s="13">
        <f>DAY(Table43[[#This Row],[Date]])</f>
        <v>7</v>
      </c>
      <c r="O75" s="13" t="str">
        <f>TEXT(DATE(2023,Table43[[#This Row],[Month]],1),"mmm")</f>
        <v>Feb</v>
      </c>
      <c r="P75" s="13"/>
      <c r="Q75" s="13"/>
    </row>
    <row r="76" spans="1:17" x14ac:dyDescent="0.3">
      <c r="A76" s="6">
        <v>75</v>
      </c>
      <c r="B76" s="7">
        <v>45109</v>
      </c>
      <c r="C76" s="8" t="s">
        <v>44</v>
      </c>
      <c r="D76" s="8" t="s">
        <v>34</v>
      </c>
      <c r="E76" s="8" t="s">
        <v>27</v>
      </c>
      <c r="F76" s="8" t="s">
        <v>20</v>
      </c>
      <c r="G76" s="8" t="s">
        <v>21</v>
      </c>
      <c r="H76" s="9">
        <v>35496.660000000003</v>
      </c>
      <c r="I76" s="8">
        <v>8</v>
      </c>
      <c r="J76" s="10">
        <v>8170.12</v>
      </c>
      <c r="K76" s="17" t="str" cm="1">
        <f t="array" ref="K76">_xlfn.IFS(Table43[[#This Row],[Sales]]&gt;40000,"Best Sales",Table43[[#This Row],[Sales]]&gt;20000,"Average Sales",Table43[[#This Row],[Sales]]&gt;0,"Poor Sales")</f>
        <v>Average Sales</v>
      </c>
      <c r="L76" s="12">
        <f>YEAR(Table43[[#This Row],[Date]])</f>
        <v>2023</v>
      </c>
      <c r="M76" s="12">
        <f>MONTH(Table43[[#This Row],[Date]])</f>
        <v>7</v>
      </c>
      <c r="N76" s="13">
        <f>DAY(Table43[[#This Row],[Date]])</f>
        <v>2</v>
      </c>
      <c r="O76" s="13" t="str">
        <f>TEXT(DATE(2023,Table43[[#This Row],[Month]],1),"mmm")</f>
        <v>Jul</v>
      </c>
      <c r="P76" s="13"/>
      <c r="Q76" s="13"/>
    </row>
    <row r="77" spans="1:17" x14ac:dyDescent="0.3">
      <c r="A77" s="14">
        <v>76</v>
      </c>
      <c r="B77" s="15">
        <v>45274</v>
      </c>
      <c r="C77" s="16" t="s">
        <v>42</v>
      </c>
      <c r="D77" s="16" t="s">
        <v>43</v>
      </c>
      <c r="E77" s="16" t="s">
        <v>27</v>
      </c>
      <c r="F77" s="16" t="s">
        <v>20</v>
      </c>
      <c r="G77" s="16" t="s">
        <v>41</v>
      </c>
      <c r="H77" s="17">
        <v>33753.199999999997</v>
      </c>
      <c r="I77" s="16">
        <v>9</v>
      </c>
      <c r="J77" s="18">
        <v>4284.71</v>
      </c>
      <c r="K77" s="17" t="str" cm="1">
        <f t="array" ref="K77">_xlfn.IFS(Table43[[#This Row],[Sales]]&gt;40000,"Best Sales",Table43[[#This Row],[Sales]]&gt;20000,"Average Sales",Table43[[#This Row],[Sales]]&gt;0,"Poor Sales")</f>
        <v>Average Sales</v>
      </c>
      <c r="L77" s="12">
        <f>YEAR(Table43[[#This Row],[Date]])</f>
        <v>2023</v>
      </c>
      <c r="M77" s="12">
        <f>MONTH(Table43[[#This Row],[Date]])</f>
        <v>12</v>
      </c>
      <c r="N77" s="13">
        <f>DAY(Table43[[#This Row],[Date]])</f>
        <v>14</v>
      </c>
      <c r="O77" s="13" t="str">
        <f>TEXT(DATE(2023,Table43[[#This Row],[Month]],1),"mmm")</f>
        <v>Dec</v>
      </c>
      <c r="P77" s="13"/>
      <c r="Q77" s="13"/>
    </row>
    <row r="78" spans="1:17" x14ac:dyDescent="0.3">
      <c r="A78" s="6">
        <v>77</v>
      </c>
      <c r="B78" s="7">
        <v>45228</v>
      </c>
      <c r="C78" s="8" t="s">
        <v>42</v>
      </c>
      <c r="D78" s="8" t="s">
        <v>43</v>
      </c>
      <c r="E78" s="8" t="s">
        <v>27</v>
      </c>
      <c r="F78" s="8" t="s">
        <v>38</v>
      </c>
      <c r="G78" s="8" t="s">
        <v>46</v>
      </c>
      <c r="H78" s="9">
        <v>7488.8</v>
      </c>
      <c r="I78" s="8">
        <v>5</v>
      </c>
      <c r="J78" s="10">
        <v>2208.5100000000002</v>
      </c>
      <c r="K78" s="17" t="str" cm="1">
        <f t="array" ref="K78">_xlfn.IFS(Table43[[#This Row],[Sales]]&gt;40000,"Best Sales",Table43[[#This Row],[Sales]]&gt;20000,"Average Sales",Table43[[#This Row],[Sales]]&gt;0,"Poor Sales")</f>
        <v>Poor Sales</v>
      </c>
      <c r="L78" s="12">
        <f>YEAR(Table43[[#This Row],[Date]])</f>
        <v>2023</v>
      </c>
      <c r="M78" s="12">
        <f>MONTH(Table43[[#This Row],[Date]])</f>
        <v>10</v>
      </c>
      <c r="N78" s="13">
        <f>DAY(Table43[[#This Row],[Date]])</f>
        <v>29</v>
      </c>
      <c r="O78" s="13" t="str">
        <f>TEXT(DATE(2023,Table43[[#This Row],[Month]],1),"mmm")</f>
        <v>Oct</v>
      </c>
      <c r="P78" s="13"/>
      <c r="Q78" s="13"/>
    </row>
    <row r="79" spans="1:17" x14ac:dyDescent="0.3">
      <c r="A79" s="14">
        <v>78</v>
      </c>
      <c r="B79" s="15">
        <v>45135</v>
      </c>
      <c r="C79" s="16" t="s">
        <v>29</v>
      </c>
      <c r="D79" s="16" t="s">
        <v>29</v>
      </c>
      <c r="E79" s="16" t="s">
        <v>27</v>
      </c>
      <c r="F79" s="16" t="s">
        <v>20</v>
      </c>
      <c r="G79" s="16" t="s">
        <v>41</v>
      </c>
      <c r="H79" s="17">
        <v>41949.599999999999</v>
      </c>
      <c r="I79" s="16">
        <v>1</v>
      </c>
      <c r="J79" s="18">
        <v>2775.01</v>
      </c>
      <c r="K79" s="17" t="str" cm="1">
        <f t="array" ref="K79">_xlfn.IFS(Table43[[#This Row],[Sales]]&gt;40000,"Best Sales",Table43[[#This Row],[Sales]]&gt;20000,"Average Sales",Table43[[#This Row],[Sales]]&gt;0,"Poor Sales")</f>
        <v>Best Sales</v>
      </c>
      <c r="L79" s="12">
        <f>YEAR(Table43[[#This Row],[Date]])</f>
        <v>2023</v>
      </c>
      <c r="M79" s="12">
        <f>MONTH(Table43[[#This Row],[Date]])</f>
        <v>7</v>
      </c>
      <c r="N79" s="13">
        <f>DAY(Table43[[#This Row],[Date]])</f>
        <v>28</v>
      </c>
      <c r="O79" s="13" t="str">
        <f>TEXT(DATE(2023,Table43[[#This Row],[Month]],1),"mmm")</f>
        <v>Jul</v>
      </c>
      <c r="P79" s="13"/>
      <c r="Q79" s="13"/>
    </row>
    <row r="80" spans="1:17" x14ac:dyDescent="0.3">
      <c r="A80" s="6">
        <v>79</v>
      </c>
      <c r="B80" s="7">
        <v>45008</v>
      </c>
      <c r="C80" s="8" t="s">
        <v>33</v>
      </c>
      <c r="D80" s="8" t="s">
        <v>34</v>
      </c>
      <c r="E80" s="8" t="s">
        <v>27</v>
      </c>
      <c r="F80" s="8" t="s">
        <v>31</v>
      </c>
      <c r="G80" s="8" t="s">
        <v>36</v>
      </c>
      <c r="H80" s="9">
        <v>34219.17</v>
      </c>
      <c r="I80" s="8">
        <v>5</v>
      </c>
      <c r="J80" s="10">
        <v>6904.79</v>
      </c>
      <c r="K80" s="17" t="str" cm="1">
        <f t="array" ref="K80">_xlfn.IFS(Table43[[#This Row],[Sales]]&gt;40000,"Best Sales",Table43[[#This Row],[Sales]]&gt;20000,"Average Sales",Table43[[#This Row],[Sales]]&gt;0,"Poor Sales")</f>
        <v>Average Sales</v>
      </c>
      <c r="L80" s="12">
        <f>YEAR(Table43[[#This Row],[Date]])</f>
        <v>2023</v>
      </c>
      <c r="M80" s="12">
        <f>MONTH(Table43[[#This Row],[Date]])</f>
        <v>3</v>
      </c>
      <c r="N80" s="13">
        <f>DAY(Table43[[#This Row],[Date]])</f>
        <v>23</v>
      </c>
      <c r="O80" s="13" t="str">
        <f>TEXT(DATE(2023,Table43[[#This Row],[Month]],1),"mmm")</f>
        <v>Mar</v>
      </c>
      <c r="P80" s="13"/>
      <c r="Q80" s="13"/>
    </row>
    <row r="81" spans="1:17" x14ac:dyDescent="0.3">
      <c r="A81" s="14">
        <v>80</v>
      </c>
      <c r="B81" s="15">
        <v>45057</v>
      </c>
      <c r="C81" s="16" t="s">
        <v>37</v>
      </c>
      <c r="D81" s="16" t="s">
        <v>23</v>
      </c>
      <c r="E81" s="16" t="s">
        <v>27</v>
      </c>
      <c r="F81" s="16" t="s">
        <v>20</v>
      </c>
      <c r="G81" s="16" t="s">
        <v>28</v>
      </c>
      <c r="H81" s="17">
        <v>18981.490000000002</v>
      </c>
      <c r="I81" s="16">
        <v>2</v>
      </c>
      <c r="J81" s="18">
        <v>4601.25</v>
      </c>
      <c r="K81" s="17" t="str" cm="1">
        <f t="array" ref="K81">_xlfn.IFS(Table43[[#This Row],[Sales]]&gt;40000,"Best Sales",Table43[[#This Row],[Sales]]&gt;20000,"Average Sales",Table43[[#This Row],[Sales]]&gt;0,"Poor Sales")</f>
        <v>Poor Sales</v>
      </c>
      <c r="L81" s="12">
        <f>YEAR(Table43[[#This Row],[Date]])</f>
        <v>2023</v>
      </c>
      <c r="M81" s="12">
        <f>MONTH(Table43[[#This Row],[Date]])</f>
        <v>5</v>
      </c>
      <c r="N81" s="13">
        <f>DAY(Table43[[#This Row],[Date]])</f>
        <v>11</v>
      </c>
      <c r="O81" s="13" t="str">
        <f>TEXT(DATE(2023,Table43[[#This Row],[Month]],1),"mmm")</f>
        <v>May</v>
      </c>
      <c r="P81" s="13"/>
      <c r="Q81" s="13"/>
    </row>
    <row r="82" spans="1:17" x14ac:dyDescent="0.3">
      <c r="A82" s="6">
        <v>81</v>
      </c>
      <c r="B82" s="7">
        <v>45074</v>
      </c>
      <c r="C82" s="8" t="s">
        <v>45</v>
      </c>
      <c r="D82" s="8" t="s">
        <v>34</v>
      </c>
      <c r="E82" s="8" t="s">
        <v>27</v>
      </c>
      <c r="F82" s="8" t="s">
        <v>20</v>
      </c>
      <c r="G82" s="8" t="s">
        <v>41</v>
      </c>
      <c r="H82" s="9">
        <v>13262.03</v>
      </c>
      <c r="I82" s="8">
        <v>3</v>
      </c>
      <c r="J82" s="10">
        <v>1704.76</v>
      </c>
      <c r="K82" s="17" t="str" cm="1">
        <f t="array" ref="K82">_xlfn.IFS(Table43[[#This Row],[Sales]]&gt;40000,"Best Sales",Table43[[#This Row],[Sales]]&gt;20000,"Average Sales",Table43[[#This Row],[Sales]]&gt;0,"Poor Sales")</f>
        <v>Poor Sales</v>
      </c>
      <c r="L82" s="12">
        <f>YEAR(Table43[[#This Row],[Date]])</f>
        <v>2023</v>
      </c>
      <c r="M82" s="12">
        <f>MONTH(Table43[[#This Row],[Date]])</f>
        <v>5</v>
      </c>
      <c r="N82" s="13">
        <f>DAY(Table43[[#This Row],[Date]])</f>
        <v>28</v>
      </c>
      <c r="O82" s="13" t="str">
        <f>TEXT(DATE(2023,Table43[[#This Row],[Month]],1),"mmm")</f>
        <v>May</v>
      </c>
      <c r="P82" s="13"/>
      <c r="Q82" s="13"/>
    </row>
    <row r="83" spans="1:17" x14ac:dyDescent="0.3">
      <c r="A83" s="14">
        <v>82</v>
      </c>
      <c r="B83" s="15">
        <v>45007</v>
      </c>
      <c r="C83" s="16" t="s">
        <v>37</v>
      </c>
      <c r="D83" s="16" t="s">
        <v>23</v>
      </c>
      <c r="E83" s="16" t="s">
        <v>27</v>
      </c>
      <c r="F83" s="16" t="s">
        <v>38</v>
      </c>
      <c r="G83" s="16" t="s">
        <v>40</v>
      </c>
      <c r="H83" s="17">
        <v>28533.71</v>
      </c>
      <c r="I83" s="16">
        <v>7</v>
      </c>
      <c r="J83" s="18">
        <v>5376.75</v>
      </c>
      <c r="K83" s="17" t="str" cm="1">
        <f t="array" ref="K83">_xlfn.IFS(Table43[[#This Row],[Sales]]&gt;40000,"Best Sales",Table43[[#This Row],[Sales]]&gt;20000,"Average Sales",Table43[[#This Row],[Sales]]&gt;0,"Poor Sales")</f>
        <v>Average Sales</v>
      </c>
      <c r="L83" s="12">
        <f>YEAR(Table43[[#This Row],[Date]])</f>
        <v>2023</v>
      </c>
      <c r="M83" s="12">
        <f>MONTH(Table43[[#This Row],[Date]])</f>
        <v>3</v>
      </c>
      <c r="N83" s="13">
        <f>DAY(Table43[[#This Row],[Date]])</f>
        <v>22</v>
      </c>
      <c r="O83" s="13" t="str">
        <f>TEXT(DATE(2023,Table43[[#This Row],[Month]],1),"mmm")</f>
        <v>Mar</v>
      </c>
      <c r="P83" s="13"/>
      <c r="Q83" s="13"/>
    </row>
    <row r="84" spans="1:17" x14ac:dyDescent="0.3">
      <c r="A84" s="6">
        <v>83</v>
      </c>
      <c r="B84" s="7">
        <v>45065</v>
      </c>
      <c r="C84" s="8" t="s">
        <v>45</v>
      </c>
      <c r="D84" s="8" t="s">
        <v>34</v>
      </c>
      <c r="E84" s="8" t="s">
        <v>27</v>
      </c>
      <c r="F84" s="8" t="s">
        <v>38</v>
      </c>
      <c r="G84" s="8" t="s">
        <v>39</v>
      </c>
      <c r="H84" s="9">
        <v>23050.22</v>
      </c>
      <c r="I84" s="8">
        <v>9</v>
      </c>
      <c r="J84" s="10">
        <v>3097.82</v>
      </c>
      <c r="K84" s="17" t="str" cm="1">
        <f t="array" ref="K84">_xlfn.IFS(Table43[[#This Row],[Sales]]&gt;40000,"Best Sales",Table43[[#This Row],[Sales]]&gt;20000,"Average Sales",Table43[[#This Row],[Sales]]&gt;0,"Poor Sales")</f>
        <v>Average Sales</v>
      </c>
      <c r="L84" s="12">
        <f>YEAR(Table43[[#This Row],[Date]])</f>
        <v>2023</v>
      </c>
      <c r="M84" s="12">
        <f>MONTH(Table43[[#This Row],[Date]])</f>
        <v>5</v>
      </c>
      <c r="N84" s="13">
        <f>DAY(Table43[[#This Row],[Date]])</f>
        <v>19</v>
      </c>
      <c r="O84" s="13" t="str">
        <f>TEXT(DATE(2023,Table43[[#This Row],[Month]],1),"mmm")</f>
        <v>May</v>
      </c>
      <c r="P84" s="13"/>
      <c r="Q84" s="13"/>
    </row>
    <row r="85" spans="1:17" x14ac:dyDescent="0.3">
      <c r="A85" s="14">
        <v>84</v>
      </c>
      <c r="B85" s="15">
        <v>45083</v>
      </c>
      <c r="C85" s="16" t="s">
        <v>29</v>
      </c>
      <c r="D85" s="16" t="s">
        <v>29</v>
      </c>
      <c r="E85" s="16" t="s">
        <v>27</v>
      </c>
      <c r="F85" s="16" t="s">
        <v>20</v>
      </c>
      <c r="G85" s="16" t="s">
        <v>41</v>
      </c>
      <c r="H85" s="17">
        <v>5628.94</v>
      </c>
      <c r="I85" s="16">
        <v>10</v>
      </c>
      <c r="J85" s="18">
        <v>502.11</v>
      </c>
      <c r="K85" s="17" t="str" cm="1">
        <f t="array" ref="K85">_xlfn.IFS(Table43[[#This Row],[Sales]]&gt;40000,"Best Sales",Table43[[#This Row],[Sales]]&gt;20000,"Average Sales",Table43[[#This Row],[Sales]]&gt;0,"Poor Sales")</f>
        <v>Poor Sales</v>
      </c>
      <c r="L85" s="12">
        <f>YEAR(Table43[[#This Row],[Date]])</f>
        <v>2023</v>
      </c>
      <c r="M85" s="12">
        <f>MONTH(Table43[[#This Row],[Date]])</f>
        <v>6</v>
      </c>
      <c r="N85" s="13">
        <f>DAY(Table43[[#This Row],[Date]])</f>
        <v>6</v>
      </c>
      <c r="O85" s="13" t="str">
        <f>TEXT(DATE(2023,Table43[[#This Row],[Month]],1),"mmm")</f>
        <v>Jun</v>
      </c>
      <c r="P85" s="13"/>
      <c r="Q85" s="13"/>
    </row>
    <row r="86" spans="1:17" x14ac:dyDescent="0.3">
      <c r="A86" s="6">
        <v>85</v>
      </c>
      <c r="B86" s="7">
        <v>45094</v>
      </c>
      <c r="C86" s="8" t="s">
        <v>33</v>
      </c>
      <c r="D86" s="8" t="s">
        <v>34</v>
      </c>
      <c r="E86" s="8" t="s">
        <v>27</v>
      </c>
      <c r="F86" s="8" t="s">
        <v>20</v>
      </c>
      <c r="G86" s="8" t="s">
        <v>41</v>
      </c>
      <c r="H86" s="9">
        <v>24580.28</v>
      </c>
      <c r="I86" s="8">
        <v>4</v>
      </c>
      <c r="J86" s="10">
        <v>4569.32</v>
      </c>
      <c r="K86" s="17" t="str" cm="1">
        <f t="array" ref="K86">_xlfn.IFS(Table43[[#This Row],[Sales]]&gt;40000,"Best Sales",Table43[[#This Row],[Sales]]&gt;20000,"Average Sales",Table43[[#This Row],[Sales]]&gt;0,"Poor Sales")</f>
        <v>Average Sales</v>
      </c>
      <c r="L86" s="12">
        <f>YEAR(Table43[[#This Row],[Date]])</f>
        <v>2023</v>
      </c>
      <c r="M86" s="12">
        <f>MONTH(Table43[[#This Row],[Date]])</f>
        <v>6</v>
      </c>
      <c r="N86" s="13">
        <f>DAY(Table43[[#This Row],[Date]])</f>
        <v>17</v>
      </c>
      <c r="O86" s="13" t="str">
        <f>TEXT(DATE(2023,Table43[[#This Row],[Month]],1),"mmm")</f>
        <v>Jun</v>
      </c>
      <c r="P86" s="13"/>
      <c r="Q86" s="13"/>
    </row>
    <row r="87" spans="1:17" x14ac:dyDescent="0.3">
      <c r="A87" s="14">
        <v>86</v>
      </c>
      <c r="B87" s="15">
        <v>45167</v>
      </c>
      <c r="C87" s="16" t="s">
        <v>22</v>
      </c>
      <c r="D87" s="16" t="s">
        <v>23</v>
      </c>
      <c r="E87" s="16" t="s">
        <v>27</v>
      </c>
      <c r="F87" s="16" t="s">
        <v>38</v>
      </c>
      <c r="G87" s="16" t="s">
        <v>40</v>
      </c>
      <c r="H87" s="17">
        <v>5581.58</v>
      </c>
      <c r="I87" s="16">
        <v>4</v>
      </c>
      <c r="J87" s="18">
        <v>1382.81</v>
      </c>
      <c r="K87" s="17" t="str" cm="1">
        <f t="array" ref="K87">_xlfn.IFS(Table43[[#This Row],[Sales]]&gt;40000,"Best Sales",Table43[[#This Row],[Sales]]&gt;20000,"Average Sales",Table43[[#This Row],[Sales]]&gt;0,"Poor Sales")</f>
        <v>Poor Sales</v>
      </c>
      <c r="L87" s="12">
        <f>YEAR(Table43[[#This Row],[Date]])</f>
        <v>2023</v>
      </c>
      <c r="M87" s="12">
        <f>MONTH(Table43[[#This Row],[Date]])</f>
        <v>8</v>
      </c>
      <c r="N87" s="13">
        <f>DAY(Table43[[#This Row],[Date]])</f>
        <v>29</v>
      </c>
      <c r="O87" s="13" t="str">
        <f>TEXT(DATE(2023,Table43[[#This Row],[Month]],1),"mmm")</f>
        <v>Aug</v>
      </c>
      <c r="P87" s="13"/>
      <c r="Q87" s="13"/>
    </row>
    <row r="88" spans="1:17" x14ac:dyDescent="0.3">
      <c r="A88" s="6">
        <v>87</v>
      </c>
      <c r="B88" s="7">
        <v>45180</v>
      </c>
      <c r="C88" s="8" t="s">
        <v>45</v>
      </c>
      <c r="D88" s="8" t="s">
        <v>34</v>
      </c>
      <c r="E88" s="8" t="s">
        <v>27</v>
      </c>
      <c r="F88" s="8" t="s">
        <v>31</v>
      </c>
      <c r="G88" s="8" t="s">
        <v>35</v>
      </c>
      <c r="H88" s="9">
        <v>42628.71</v>
      </c>
      <c r="I88" s="8">
        <v>2</v>
      </c>
      <c r="J88" s="10">
        <v>12647.05</v>
      </c>
      <c r="K88" s="17" t="str" cm="1">
        <f t="array" ref="K88">_xlfn.IFS(Table43[[#This Row],[Sales]]&gt;40000,"Best Sales",Table43[[#This Row],[Sales]]&gt;20000,"Average Sales",Table43[[#This Row],[Sales]]&gt;0,"Poor Sales")</f>
        <v>Best Sales</v>
      </c>
      <c r="L88" s="12">
        <f>YEAR(Table43[[#This Row],[Date]])</f>
        <v>2023</v>
      </c>
      <c r="M88" s="12">
        <f>MONTH(Table43[[#This Row],[Date]])</f>
        <v>9</v>
      </c>
      <c r="N88" s="13">
        <f>DAY(Table43[[#This Row],[Date]])</f>
        <v>11</v>
      </c>
      <c r="O88" s="13" t="str">
        <f>TEXT(DATE(2023,Table43[[#This Row],[Month]],1),"mmm")</f>
        <v>Sep</v>
      </c>
      <c r="P88" s="13"/>
      <c r="Q88" s="13"/>
    </row>
    <row r="89" spans="1:17" x14ac:dyDescent="0.3">
      <c r="A89" s="14">
        <v>88</v>
      </c>
      <c r="B89" s="15">
        <v>45026</v>
      </c>
      <c r="C89" s="16" t="s">
        <v>33</v>
      </c>
      <c r="D89" s="16" t="s">
        <v>34</v>
      </c>
      <c r="E89" s="16" t="s">
        <v>27</v>
      </c>
      <c r="F89" s="16" t="s">
        <v>31</v>
      </c>
      <c r="G89" s="16" t="s">
        <v>32</v>
      </c>
      <c r="H89" s="17">
        <v>36936.449999999997</v>
      </c>
      <c r="I89" s="16">
        <v>1</v>
      </c>
      <c r="J89" s="18">
        <v>1871.1</v>
      </c>
      <c r="K89" s="17" t="str" cm="1">
        <f t="array" ref="K89">_xlfn.IFS(Table43[[#This Row],[Sales]]&gt;40000,"Best Sales",Table43[[#This Row],[Sales]]&gt;20000,"Average Sales",Table43[[#This Row],[Sales]]&gt;0,"Poor Sales")</f>
        <v>Average Sales</v>
      </c>
      <c r="L89" s="12">
        <f>YEAR(Table43[[#This Row],[Date]])</f>
        <v>2023</v>
      </c>
      <c r="M89" s="12">
        <f>MONTH(Table43[[#This Row],[Date]])</f>
        <v>4</v>
      </c>
      <c r="N89" s="13">
        <f>DAY(Table43[[#This Row],[Date]])</f>
        <v>10</v>
      </c>
      <c r="O89" s="13" t="str">
        <f>TEXT(DATE(2023,Table43[[#This Row],[Month]],1),"mmm")</f>
        <v>Apr</v>
      </c>
      <c r="P89" s="13"/>
      <c r="Q89" s="13"/>
    </row>
    <row r="90" spans="1:17" x14ac:dyDescent="0.3">
      <c r="A90" s="6">
        <v>89</v>
      </c>
      <c r="B90" s="7">
        <v>45154</v>
      </c>
      <c r="C90" s="8" t="s">
        <v>17</v>
      </c>
      <c r="D90" s="8" t="s">
        <v>18</v>
      </c>
      <c r="E90" s="8" t="s">
        <v>27</v>
      </c>
      <c r="F90" s="8" t="s">
        <v>20</v>
      </c>
      <c r="G90" s="8" t="s">
        <v>41</v>
      </c>
      <c r="H90" s="9">
        <v>49161.73</v>
      </c>
      <c r="I90" s="8">
        <v>4</v>
      </c>
      <c r="J90" s="10">
        <v>11453.36</v>
      </c>
      <c r="K90" s="17" t="str" cm="1">
        <f t="array" ref="K90">_xlfn.IFS(Table43[[#This Row],[Sales]]&gt;40000,"Best Sales",Table43[[#This Row],[Sales]]&gt;20000,"Average Sales",Table43[[#This Row],[Sales]]&gt;0,"Poor Sales")</f>
        <v>Best Sales</v>
      </c>
      <c r="L90" s="12">
        <f>YEAR(Table43[[#This Row],[Date]])</f>
        <v>2023</v>
      </c>
      <c r="M90" s="12">
        <f>MONTH(Table43[[#This Row],[Date]])</f>
        <v>8</v>
      </c>
      <c r="N90" s="13">
        <f>DAY(Table43[[#This Row],[Date]])</f>
        <v>16</v>
      </c>
      <c r="O90" s="13" t="str">
        <f>TEXT(DATE(2023,Table43[[#This Row],[Month]],1),"mmm")</f>
        <v>Aug</v>
      </c>
      <c r="P90" s="13"/>
      <c r="Q90" s="13"/>
    </row>
    <row r="91" spans="1:17" x14ac:dyDescent="0.3">
      <c r="A91" s="14">
        <v>90</v>
      </c>
      <c r="B91" s="15">
        <v>45256</v>
      </c>
      <c r="C91" s="16" t="s">
        <v>25</v>
      </c>
      <c r="D91" s="16" t="s">
        <v>26</v>
      </c>
      <c r="E91" s="16" t="s">
        <v>27</v>
      </c>
      <c r="F91" s="16" t="s">
        <v>31</v>
      </c>
      <c r="G91" s="16" t="s">
        <v>35</v>
      </c>
      <c r="H91" s="17">
        <v>2971.97</v>
      </c>
      <c r="I91" s="16">
        <v>4</v>
      </c>
      <c r="J91" s="18">
        <v>387.64</v>
      </c>
      <c r="K91" s="17" t="str" cm="1">
        <f t="array" ref="K91">_xlfn.IFS(Table43[[#This Row],[Sales]]&gt;40000,"Best Sales",Table43[[#This Row],[Sales]]&gt;20000,"Average Sales",Table43[[#This Row],[Sales]]&gt;0,"Poor Sales")</f>
        <v>Poor Sales</v>
      </c>
      <c r="L91" s="12">
        <f>YEAR(Table43[[#This Row],[Date]])</f>
        <v>2023</v>
      </c>
      <c r="M91" s="12">
        <f>MONTH(Table43[[#This Row],[Date]])</f>
        <v>11</v>
      </c>
      <c r="N91" s="13">
        <f>DAY(Table43[[#This Row],[Date]])</f>
        <v>26</v>
      </c>
      <c r="O91" s="13" t="str">
        <f>TEXT(DATE(2023,Table43[[#This Row],[Month]],1),"mmm")</f>
        <v>Nov</v>
      </c>
      <c r="P91" s="13"/>
      <c r="Q91" s="13"/>
    </row>
    <row r="92" spans="1:17" x14ac:dyDescent="0.3">
      <c r="A92" s="6">
        <v>91</v>
      </c>
      <c r="B92" s="7">
        <v>45221</v>
      </c>
      <c r="C92" s="8" t="s">
        <v>33</v>
      </c>
      <c r="D92" s="8" t="s">
        <v>34</v>
      </c>
      <c r="E92" s="8" t="s">
        <v>27</v>
      </c>
      <c r="F92" s="8" t="s">
        <v>38</v>
      </c>
      <c r="G92" s="8" t="s">
        <v>40</v>
      </c>
      <c r="H92" s="9">
        <v>45280.43</v>
      </c>
      <c r="I92" s="8">
        <v>8</v>
      </c>
      <c r="J92" s="10">
        <v>5426.84</v>
      </c>
      <c r="K92" s="17" t="str" cm="1">
        <f t="array" ref="K92">_xlfn.IFS(Table43[[#This Row],[Sales]]&gt;40000,"Best Sales",Table43[[#This Row],[Sales]]&gt;20000,"Average Sales",Table43[[#This Row],[Sales]]&gt;0,"Poor Sales")</f>
        <v>Best Sales</v>
      </c>
      <c r="L92" s="12">
        <f>YEAR(Table43[[#This Row],[Date]])</f>
        <v>2023</v>
      </c>
      <c r="M92" s="12">
        <f>MONTH(Table43[[#This Row],[Date]])</f>
        <v>10</v>
      </c>
      <c r="N92" s="13">
        <f>DAY(Table43[[#This Row],[Date]])</f>
        <v>22</v>
      </c>
      <c r="O92" s="13" t="str">
        <f>TEXT(DATE(2023,Table43[[#This Row],[Month]],1),"mmm")</f>
        <v>Oct</v>
      </c>
      <c r="P92" s="13"/>
      <c r="Q92" s="13"/>
    </row>
    <row r="93" spans="1:17" x14ac:dyDescent="0.3">
      <c r="A93" s="14">
        <v>92</v>
      </c>
      <c r="B93" s="15">
        <v>44956</v>
      </c>
      <c r="C93" s="16" t="s">
        <v>29</v>
      </c>
      <c r="D93" s="16" t="s">
        <v>29</v>
      </c>
      <c r="E93" s="16" t="s">
        <v>27</v>
      </c>
      <c r="F93" s="16" t="s">
        <v>20</v>
      </c>
      <c r="G93" s="16" t="s">
        <v>21</v>
      </c>
      <c r="H93" s="17">
        <v>15117.73</v>
      </c>
      <c r="I93" s="16">
        <v>1</v>
      </c>
      <c r="J93" s="18">
        <v>3245</v>
      </c>
      <c r="K93" s="17" t="str" cm="1">
        <f t="array" ref="K93">_xlfn.IFS(Table43[[#This Row],[Sales]]&gt;40000,"Best Sales",Table43[[#This Row],[Sales]]&gt;20000,"Average Sales",Table43[[#This Row],[Sales]]&gt;0,"Poor Sales")</f>
        <v>Poor Sales</v>
      </c>
      <c r="L93" s="12">
        <f>YEAR(Table43[[#This Row],[Date]])</f>
        <v>2023</v>
      </c>
      <c r="M93" s="12">
        <f>MONTH(Table43[[#This Row],[Date]])</f>
        <v>1</v>
      </c>
      <c r="N93" s="13">
        <f>DAY(Table43[[#This Row],[Date]])</f>
        <v>30</v>
      </c>
      <c r="O93" s="13" t="str">
        <f>TEXT(DATE(2023,Table43[[#This Row],[Month]],1),"mmm")</f>
        <v>Jan</v>
      </c>
      <c r="P93" s="13"/>
      <c r="Q93" s="13"/>
    </row>
    <row r="94" spans="1:17" x14ac:dyDescent="0.3">
      <c r="A94" s="6">
        <v>93</v>
      </c>
      <c r="B94" s="7">
        <v>45211</v>
      </c>
      <c r="C94" s="8" t="s">
        <v>22</v>
      </c>
      <c r="D94" s="8" t="s">
        <v>23</v>
      </c>
      <c r="E94" s="8" t="s">
        <v>27</v>
      </c>
      <c r="F94" s="8" t="s">
        <v>38</v>
      </c>
      <c r="G94" s="8" t="s">
        <v>46</v>
      </c>
      <c r="H94" s="9">
        <v>17343.349999999999</v>
      </c>
      <c r="I94" s="8">
        <v>4</v>
      </c>
      <c r="J94" s="10">
        <v>3930.83</v>
      </c>
      <c r="K94" s="17" t="str" cm="1">
        <f t="array" ref="K94">_xlfn.IFS(Table43[[#This Row],[Sales]]&gt;40000,"Best Sales",Table43[[#This Row],[Sales]]&gt;20000,"Average Sales",Table43[[#This Row],[Sales]]&gt;0,"Poor Sales")</f>
        <v>Poor Sales</v>
      </c>
      <c r="L94" s="12">
        <f>YEAR(Table43[[#This Row],[Date]])</f>
        <v>2023</v>
      </c>
      <c r="M94" s="12">
        <f>MONTH(Table43[[#This Row],[Date]])</f>
        <v>10</v>
      </c>
      <c r="N94" s="13">
        <f>DAY(Table43[[#This Row],[Date]])</f>
        <v>12</v>
      </c>
      <c r="O94" s="13" t="str">
        <f>TEXT(DATE(2023,Table43[[#This Row],[Month]],1),"mmm")</f>
        <v>Oct</v>
      </c>
      <c r="P94" s="13"/>
      <c r="Q94" s="13"/>
    </row>
    <row r="95" spans="1:17" x14ac:dyDescent="0.3">
      <c r="A95" s="14">
        <v>94</v>
      </c>
      <c r="B95" s="15">
        <v>45080</v>
      </c>
      <c r="C95" s="16" t="s">
        <v>45</v>
      </c>
      <c r="D95" s="16" t="s">
        <v>34</v>
      </c>
      <c r="E95" s="16" t="s">
        <v>27</v>
      </c>
      <c r="F95" s="16" t="s">
        <v>20</v>
      </c>
      <c r="G95" s="16" t="s">
        <v>41</v>
      </c>
      <c r="H95" s="17">
        <v>20412.259999999998</v>
      </c>
      <c r="I95" s="16">
        <v>9</v>
      </c>
      <c r="J95" s="18">
        <v>4042.76</v>
      </c>
      <c r="K95" s="17" t="str" cm="1">
        <f t="array" ref="K95">_xlfn.IFS(Table43[[#This Row],[Sales]]&gt;40000,"Best Sales",Table43[[#This Row],[Sales]]&gt;20000,"Average Sales",Table43[[#This Row],[Sales]]&gt;0,"Poor Sales")</f>
        <v>Average Sales</v>
      </c>
      <c r="L95" s="12">
        <f>YEAR(Table43[[#This Row],[Date]])</f>
        <v>2023</v>
      </c>
      <c r="M95" s="12">
        <f>MONTH(Table43[[#This Row],[Date]])</f>
        <v>6</v>
      </c>
      <c r="N95" s="13">
        <f>DAY(Table43[[#This Row],[Date]])</f>
        <v>3</v>
      </c>
      <c r="O95" s="13" t="str">
        <f>TEXT(DATE(2023,Table43[[#This Row],[Month]],1),"mmm")</f>
        <v>Jun</v>
      </c>
      <c r="P95" s="13"/>
      <c r="Q95" s="13"/>
    </row>
    <row r="96" spans="1:17" x14ac:dyDescent="0.3">
      <c r="A96" s="6">
        <v>95</v>
      </c>
      <c r="B96" s="7">
        <v>45237</v>
      </c>
      <c r="C96" s="8" t="s">
        <v>17</v>
      </c>
      <c r="D96" s="8" t="s">
        <v>18</v>
      </c>
      <c r="E96" s="8" t="s">
        <v>27</v>
      </c>
      <c r="F96" s="8" t="s">
        <v>38</v>
      </c>
      <c r="G96" s="8" t="s">
        <v>40</v>
      </c>
      <c r="H96" s="9">
        <v>43100.75</v>
      </c>
      <c r="I96" s="8">
        <v>3</v>
      </c>
      <c r="J96" s="10">
        <v>7277.93</v>
      </c>
      <c r="K96" s="17" t="str" cm="1">
        <f t="array" ref="K96">_xlfn.IFS(Table43[[#This Row],[Sales]]&gt;40000,"Best Sales",Table43[[#This Row],[Sales]]&gt;20000,"Average Sales",Table43[[#This Row],[Sales]]&gt;0,"Poor Sales")</f>
        <v>Best Sales</v>
      </c>
      <c r="L96" s="12">
        <f>YEAR(Table43[[#This Row],[Date]])</f>
        <v>2023</v>
      </c>
      <c r="M96" s="12">
        <f>MONTH(Table43[[#This Row],[Date]])</f>
        <v>11</v>
      </c>
      <c r="N96" s="13">
        <f>DAY(Table43[[#This Row],[Date]])</f>
        <v>7</v>
      </c>
      <c r="O96" s="13" t="str">
        <f>TEXT(DATE(2023,Table43[[#This Row],[Month]],1),"mmm")</f>
        <v>Nov</v>
      </c>
      <c r="P96" s="13"/>
      <c r="Q96" s="13"/>
    </row>
    <row r="97" spans="1:17" x14ac:dyDescent="0.3">
      <c r="A97" s="14">
        <v>96</v>
      </c>
      <c r="B97" s="15">
        <v>45167</v>
      </c>
      <c r="C97" s="16" t="s">
        <v>29</v>
      </c>
      <c r="D97" s="16" t="s">
        <v>29</v>
      </c>
      <c r="E97" s="16" t="s">
        <v>27</v>
      </c>
      <c r="F97" s="16" t="s">
        <v>31</v>
      </c>
      <c r="G97" s="16" t="s">
        <v>32</v>
      </c>
      <c r="H97" s="17">
        <v>33221.47</v>
      </c>
      <c r="I97" s="16">
        <v>2</v>
      </c>
      <c r="J97" s="18">
        <v>8139.07</v>
      </c>
      <c r="K97" s="17" t="str" cm="1">
        <f t="array" ref="K97">_xlfn.IFS(Table43[[#This Row],[Sales]]&gt;40000,"Best Sales",Table43[[#This Row],[Sales]]&gt;20000,"Average Sales",Table43[[#This Row],[Sales]]&gt;0,"Poor Sales")</f>
        <v>Average Sales</v>
      </c>
      <c r="L97" s="12">
        <f>YEAR(Table43[[#This Row],[Date]])</f>
        <v>2023</v>
      </c>
      <c r="M97" s="12">
        <f>MONTH(Table43[[#This Row],[Date]])</f>
        <v>8</v>
      </c>
      <c r="N97" s="13">
        <f>DAY(Table43[[#This Row],[Date]])</f>
        <v>29</v>
      </c>
      <c r="O97" s="13" t="str">
        <f>TEXT(DATE(2023,Table43[[#This Row],[Month]],1),"mmm")</f>
        <v>Aug</v>
      </c>
      <c r="P97" s="13"/>
      <c r="Q97" s="13"/>
    </row>
    <row r="98" spans="1:17" x14ac:dyDescent="0.3">
      <c r="A98" s="6">
        <v>97</v>
      </c>
      <c r="B98" s="7">
        <v>45145</v>
      </c>
      <c r="C98" s="8" t="s">
        <v>22</v>
      </c>
      <c r="D98" s="8" t="s">
        <v>23</v>
      </c>
      <c r="E98" s="8" t="s">
        <v>27</v>
      </c>
      <c r="F98" s="8" t="s">
        <v>38</v>
      </c>
      <c r="G98" s="8" t="s">
        <v>40</v>
      </c>
      <c r="H98" s="9">
        <v>27420.6</v>
      </c>
      <c r="I98" s="8">
        <v>1</v>
      </c>
      <c r="J98" s="10">
        <v>3380.25</v>
      </c>
      <c r="K98" s="17" t="str" cm="1">
        <f t="array" ref="K98">_xlfn.IFS(Table43[[#This Row],[Sales]]&gt;40000,"Best Sales",Table43[[#This Row],[Sales]]&gt;20000,"Average Sales",Table43[[#This Row],[Sales]]&gt;0,"Poor Sales")</f>
        <v>Average Sales</v>
      </c>
      <c r="L98" s="12">
        <f>YEAR(Table43[[#This Row],[Date]])</f>
        <v>2023</v>
      </c>
      <c r="M98" s="12">
        <f>MONTH(Table43[[#This Row],[Date]])</f>
        <v>8</v>
      </c>
      <c r="N98" s="13">
        <f>DAY(Table43[[#This Row],[Date]])</f>
        <v>7</v>
      </c>
      <c r="O98" s="13" t="str">
        <f>TEXT(DATE(2023,Table43[[#This Row],[Month]],1),"mmm")</f>
        <v>Aug</v>
      </c>
      <c r="P98" s="13"/>
      <c r="Q98" s="13"/>
    </row>
    <row r="99" spans="1:17" x14ac:dyDescent="0.3">
      <c r="A99" s="14">
        <v>98</v>
      </c>
      <c r="B99" s="15">
        <v>45151</v>
      </c>
      <c r="C99" s="16" t="s">
        <v>25</v>
      </c>
      <c r="D99" s="16" t="s">
        <v>26</v>
      </c>
      <c r="E99" s="16" t="s">
        <v>27</v>
      </c>
      <c r="F99" s="16" t="s">
        <v>20</v>
      </c>
      <c r="G99" s="16" t="s">
        <v>28</v>
      </c>
      <c r="H99" s="17">
        <v>41720.79</v>
      </c>
      <c r="I99" s="16">
        <v>9</v>
      </c>
      <c r="J99" s="18">
        <v>7269.45</v>
      </c>
      <c r="K99" s="17" t="str" cm="1">
        <f t="array" ref="K99">_xlfn.IFS(Table43[[#This Row],[Sales]]&gt;40000,"Best Sales",Table43[[#This Row],[Sales]]&gt;20000,"Average Sales",Table43[[#This Row],[Sales]]&gt;0,"Poor Sales")</f>
        <v>Best Sales</v>
      </c>
      <c r="L99" s="12">
        <f>YEAR(Table43[[#This Row],[Date]])</f>
        <v>2023</v>
      </c>
      <c r="M99" s="12">
        <f>MONTH(Table43[[#This Row],[Date]])</f>
        <v>8</v>
      </c>
      <c r="N99" s="13">
        <f>DAY(Table43[[#This Row],[Date]])</f>
        <v>13</v>
      </c>
      <c r="O99" s="13" t="str">
        <f>TEXT(DATE(2023,Table43[[#This Row],[Month]],1),"mmm")</f>
        <v>Aug</v>
      </c>
      <c r="P99" s="13"/>
      <c r="Q99" s="13"/>
    </row>
    <row r="100" spans="1:17" x14ac:dyDescent="0.3">
      <c r="A100" s="6">
        <v>99</v>
      </c>
      <c r="B100" s="7">
        <v>45008</v>
      </c>
      <c r="C100" s="8" t="s">
        <v>29</v>
      </c>
      <c r="D100" s="8" t="s">
        <v>29</v>
      </c>
      <c r="E100" s="8" t="s">
        <v>27</v>
      </c>
      <c r="F100" s="8" t="s">
        <v>20</v>
      </c>
      <c r="G100" s="8" t="s">
        <v>21</v>
      </c>
      <c r="H100" s="9">
        <v>43520.98</v>
      </c>
      <c r="I100" s="8">
        <v>8</v>
      </c>
      <c r="J100" s="10">
        <v>6580.87</v>
      </c>
      <c r="K100" s="17" t="str" cm="1">
        <f t="array" ref="K100">_xlfn.IFS(Table43[[#This Row],[Sales]]&gt;40000,"Best Sales",Table43[[#This Row],[Sales]]&gt;20000,"Average Sales",Table43[[#This Row],[Sales]]&gt;0,"Poor Sales")</f>
        <v>Best Sales</v>
      </c>
      <c r="L100" s="12">
        <f>YEAR(Table43[[#This Row],[Date]])</f>
        <v>2023</v>
      </c>
      <c r="M100" s="12">
        <f>MONTH(Table43[[#This Row],[Date]])</f>
        <v>3</v>
      </c>
      <c r="N100" s="13">
        <f>DAY(Table43[[#This Row],[Date]])</f>
        <v>23</v>
      </c>
      <c r="O100" s="13" t="str">
        <f>TEXT(DATE(2023,Table43[[#This Row],[Month]],1),"mmm")</f>
        <v>Mar</v>
      </c>
      <c r="P100" s="13"/>
      <c r="Q100" s="13"/>
    </row>
    <row r="101" spans="1:17" x14ac:dyDescent="0.3">
      <c r="A101" s="14">
        <v>100</v>
      </c>
      <c r="B101" s="15">
        <v>45104</v>
      </c>
      <c r="C101" s="16" t="s">
        <v>25</v>
      </c>
      <c r="D101" s="16" t="s">
        <v>26</v>
      </c>
      <c r="E101" s="16" t="s">
        <v>19</v>
      </c>
      <c r="F101" s="16" t="s">
        <v>38</v>
      </c>
      <c r="G101" s="16" t="s">
        <v>46</v>
      </c>
      <c r="H101" s="17">
        <v>43256.76</v>
      </c>
      <c r="I101" s="16">
        <v>9</v>
      </c>
      <c r="J101" s="18">
        <v>12801</v>
      </c>
      <c r="K101" s="17" t="str" cm="1">
        <f t="array" ref="K101">_xlfn.IFS(Table43[[#This Row],[Sales]]&gt;40000,"Best Sales",Table43[[#This Row],[Sales]]&gt;20000,"Average Sales",Table43[[#This Row],[Sales]]&gt;0,"Poor Sales")</f>
        <v>Best Sales</v>
      </c>
      <c r="L101" s="12">
        <f>YEAR(Table43[[#This Row],[Date]])</f>
        <v>2023</v>
      </c>
      <c r="M101" s="12">
        <f>MONTH(Table43[[#This Row],[Date]])</f>
        <v>6</v>
      </c>
      <c r="N101" s="13">
        <f>DAY(Table43[[#This Row],[Date]])</f>
        <v>27</v>
      </c>
      <c r="O101" s="13" t="str">
        <f>TEXT(DATE(2023,Table43[[#This Row],[Month]],1),"mmm")</f>
        <v>Jun</v>
      </c>
      <c r="P101" s="13"/>
      <c r="Q101" s="13"/>
    </row>
    <row r="102" spans="1:17" x14ac:dyDescent="0.3">
      <c r="A102" s="6">
        <v>101</v>
      </c>
      <c r="B102" s="7">
        <v>45016</v>
      </c>
      <c r="C102" s="8" t="s">
        <v>45</v>
      </c>
      <c r="D102" s="8" t="s">
        <v>34</v>
      </c>
      <c r="E102" s="8" t="s">
        <v>19</v>
      </c>
      <c r="F102" s="8" t="s">
        <v>38</v>
      </c>
      <c r="G102" s="8" t="s">
        <v>40</v>
      </c>
      <c r="H102" s="9">
        <v>28432</v>
      </c>
      <c r="I102" s="8">
        <v>1</v>
      </c>
      <c r="J102" s="10">
        <v>4326.1000000000004</v>
      </c>
      <c r="K102" s="17" t="str" cm="1">
        <f t="array" ref="K102">_xlfn.IFS(Table43[[#This Row],[Sales]]&gt;40000,"Best Sales",Table43[[#This Row],[Sales]]&gt;20000,"Average Sales",Table43[[#This Row],[Sales]]&gt;0,"Poor Sales")</f>
        <v>Average Sales</v>
      </c>
      <c r="L102" s="12">
        <f>YEAR(Table43[[#This Row],[Date]])</f>
        <v>2023</v>
      </c>
      <c r="M102" s="12">
        <f>MONTH(Table43[[#This Row],[Date]])</f>
        <v>3</v>
      </c>
      <c r="N102" s="13">
        <f>DAY(Table43[[#This Row],[Date]])</f>
        <v>31</v>
      </c>
      <c r="O102" s="13" t="str">
        <f>TEXT(DATE(2023,Table43[[#This Row],[Month]],1),"mmm")</f>
        <v>Mar</v>
      </c>
      <c r="P102" s="13"/>
      <c r="Q102" s="13"/>
    </row>
    <row r="103" spans="1:17" x14ac:dyDescent="0.3">
      <c r="A103" s="14">
        <v>102</v>
      </c>
      <c r="B103" s="15">
        <v>45043</v>
      </c>
      <c r="C103" s="16" t="s">
        <v>33</v>
      </c>
      <c r="D103" s="16" t="s">
        <v>34</v>
      </c>
      <c r="E103" s="16" t="s">
        <v>19</v>
      </c>
      <c r="F103" s="16" t="s">
        <v>31</v>
      </c>
      <c r="G103" s="16" t="s">
        <v>36</v>
      </c>
      <c r="H103" s="17">
        <v>45607.68</v>
      </c>
      <c r="I103" s="16">
        <v>9</v>
      </c>
      <c r="J103" s="18">
        <v>10061.65</v>
      </c>
      <c r="K103" s="17" t="str" cm="1">
        <f t="array" ref="K103">_xlfn.IFS(Table43[[#This Row],[Sales]]&gt;40000,"Best Sales",Table43[[#This Row],[Sales]]&gt;20000,"Average Sales",Table43[[#This Row],[Sales]]&gt;0,"Poor Sales")</f>
        <v>Best Sales</v>
      </c>
      <c r="L103" s="12">
        <f>YEAR(Table43[[#This Row],[Date]])</f>
        <v>2023</v>
      </c>
      <c r="M103" s="12">
        <f>MONTH(Table43[[#This Row],[Date]])</f>
        <v>4</v>
      </c>
      <c r="N103" s="13">
        <f>DAY(Table43[[#This Row],[Date]])</f>
        <v>27</v>
      </c>
      <c r="O103" s="13" t="str">
        <f>TEXT(DATE(2023,Table43[[#This Row],[Month]],1),"mmm")</f>
        <v>Apr</v>
      </c>
      <c r="P103" s="13"/>
      <c r="Q103" s="13"/>
    </row>
    <row r="104" spans="1:17" x14ac:dyDescent="0.3">
      <c r="A104" s="6">
        <v>103</v>
      </c>
      <c r="B104" s="7">
        <v>45249</v>
      </c>
      <c r="C104" s="8" t="s">
        <v>22</v>
      </c>
      <c r="D104" s="8" t="s">
        <v>23</v>
      </c>
      <c r="E104" s="8" t="s">
        <v>19</v>
      </c>
      <c r="F104" s="8" t="s">
        <v>31</v>
      </c>
      <c r="G104" s="8" t="s">
        <v>35</v>
      </c>
      <c r="H104" s="9">
        <v>45100.31</v>
      </c>
      <c r="I104" s="8">
        <v>5</v>
      </c>
      <c r="J104" s="10">
        <v>5435.3</v>
      </c>
      <c r="K104" s="17" t="str" cm="1">
        <f t="array" ref="K104">_xlfn.IFS(Table43[[#This Row],[Sales]]&gt;40000,"Best Sales",Table43[[#This Row],[Sales]]&gt;20000,"Average Sales",Table43[[#This Row],[Sales]]&gt;0,"Poor Sales")</f>
        <v>Best Sales</v>
      </c>
      <c r="L104" s="12">
        <f>YEAR(Table43[[#This Row],[Date]])</f>
        <v>2023</v>
      </c>
      <c r="M104" s="12">
        <f>MONTH(Table43[[#This Row],[Date]])</f>
        <v>11</v>
      </c>
      <c r="N104" s="13">
        <f>DAY(Table43[[#This Row],[Date]])</f>
        <v>19</v>
      </c>
      <c r="O104" s="13" t="str">
        <f>TEXT(DATE(2023,Table43[[#This Row],[Month]],1),"mmm")</f>
        <v>Nov</v>
      </c>
      <c r="P104" s="13"/>
      <c r="Q104" s="13"/>
    </row>
    <row r="105" spans="1:17" x14ac:dyDescent="0.3">
      <c r="A105" s="14">
        <v>104</v>
      </c>
      <c r="B105" s="15">
        <v>45258</v>
      </c>
      <c r="C105" s="16" t="s">
        <v>42</v>
      </c>
      <c r="D105" s="16" t="s">
        <v>43</v>
      </c>
      <c r="E105" s="16" t="s">
        <v>19</v>
      </c>
      <c r="F105" s="16" t="s">
        <v>20</v>
      </c>
      <c r="G105" s="16" t="s">
        <v>28</v>
      </c>
      <c r="H105" s="17">
        <v>31680.26</v>
      </c>
      <c r="I105" s="16">
        <v>6</v>
      </c>
      <c r="J105" s="18">
        <v>7130.43</v>
      </c>
      <c r="K105" s="17" t="str" cm="1">
        <f t="array" ref="K105">_xlfn.IFS(Table43[[#This Row],[Sales]]&gt;40000,"Best Sales",Table43[[#This Row],[Sales]]&gt;20000,"Average Sales",Table43[[#This Row],[Sales]]&gt;0,"Poor Sales")</f>
        <v>Average Sales</v>
      </c>
      <c r="L105" s="12">
        <f>YEAR(Table43[[#This Row],[Date]])</f>
        <v>2023</v>
      </c>
      <c r="M105" s="12">
        <f>MONTH(Table43[[#This Row],[Date]])</f>
        <v>11</v>
      </c>
      <c r="N105" s="13">
        <f>DAY(Table43[[#This Row],[Date]])</f>
        <v>28</v>
      </c>
      <c r="O105" s="13" t="str">
        <f>TEXT(DATE(2023,Table43[[#This Row],[Month]],1),"mmm")</f>
        <v>Nov</v>
      </c>
      <c r="P105" s="13"/>
      <c r="Q105" s="13"/>
    </row>
    <row r="106" spans="1:17" x14ac:dyDescent="0.3">
      <c r="A106" s="6">
        <v>105</v>
      </c>
      <c r="B106" s="7">
        <v>45178</v>
      </c>
      <c r="C106" s="8" t="s">
        <v>17</v>
      </c>
      <c r="D106" s="8" t="s">
        <v>18</v>
      </c>
      <c r="E106" s="8" t="s">
        <v>19</v>
      </c>
      <c r="F106" s="8" t="s">
        <v>31</v>
      </c>
      <c r="G106" s="8" t="s">
        <v>36</v>
      </c>
      <c r="H106" s="9">
        <v>17942.34</v>
      </c>
      <c r="I106" s="8">
        <v>4</v>
      </c>
      <c r="J106" s="10">
        <v>4800.71</v>
      </c>
      <c r="K106" s="17" t="str" cm="1">
        <f t="array" ref="K106">_xlfn.IFS(Table43[[#This Row],[Sales]]&gt;40000,"Best Sales",Table43[[#This Row],[Sales]]&gt;20000,"Average Sales",Table43[[#This Row],[Sales]]&gt;0,"Poor Sales")</f>
        <v>Poor Sales</v>
      </c>
      <c r="L106" s="12">
        <f>YEAR(Table43[[#This Row],[Date]])</f>
        <v>2023</v>
      </c>
      <c r="M106" s="12">
        <f>MONTH(Table43[[#This Row],[Date]])</f>
        <v>9</v>
      </c>
      <c r="N106" s="13">
        <f>DAY(Table43[[#This Row],[Date]])</f>
        <v>9</v>
      </c>
      <c r="O106" s="13" t="str">
        <f>TEXT(DATE(2023,Table43[[#This Row],[Month]],1),"mmm")</f>
        <v>Sep</v>
      </c>
      <c r="P106" s="13"/>
      <c r="Q106" s="13"/>
    </row>
    <row r="107" spans="1:17" x14ac:dyDescent="0.3">
      <c r="A107" s="14">
        <v>106</v>
      </c>
      <c r="B107" s="15">
        <v>44943</v>
      </c>
      <c r="C107" s="16" t="s">
        <v>45</v>
      </c>
      <c r="D107" s="16" t="s">
        <v>34</v>
      </c>
      <c r="E107" s="16" t="s">
        <v>19</v>
      </c>
      <c r="F107" s="16" t="s">
        <v>38</v>
      </c>
      <c r="G107" s="16" t="s">
        <v>40</v>
      </c>
      <c r="H107" s="17">
        <v>46409.88</v>
      </c>
      <c r="I107" s="16">
        <v>7</v>
      </c>
      <c r="J107" s="18">
        <v>12657.84</v>
      </c>
      <c r="K107" s="17" t="str" cm="1">
        <f t="array" ref="K107">_xlfn.IFS(Table43[[#This Row],[Sales]]&gt;40000,"Best Sales",Table43[[#This Row],[Sales]]&gt;20000,"Average Sales",Table43[[#This Row],[Sales]]&gt;0,"Poor Sales")</f>
        <v>Best Sales</v>
      </c>
      <c r="L107" s="12">
        <f>YEAR(Table43[[#This Row],[Date]])</f>
        <v>2023</v>
      </c>
      <c r="M107" s="12">
        <f>MONTH(Table43[[#This Row],[Date]])</f>
        <v>1</v>
      </c>
      <c r="N107" s="13">
        <f>DAY(Table43[[#This Row],[Date]])</f>
        <v>17</v>
      </c>
      <c r="O107" s="13" t="str">
        <f>TEXT(DATE(2023,Table43[[#This Row],[Month]],1),"mmm")</f>
        <v>Jan</v>
      </c>
      <c r="P107" s="13"/>
      <c r="Q107" s="13"/>
    </row>
    <row r="108" spans="1:17" x14ac:dyDescent="0.3">
      <c r="A108" s="6">
        <v>107</v>
      </c>
      <c r="B108" s="7">
        <v>45270</v>
      </c>
      <c r="C108" s="8" t="s">
        <v>42</v>
      </c>
      <c r="D108" s="8" t="s">
        <v>43</v>
      </c>
      <c r="E108" s="8" t="s">
        <v>19</v>
      </c>
      <c r="F108" s="8" t="s">
        <v>38</v>
      </c>
      <c r="G108" s="8" t="s">
        <v>40</v>
      </c>
      <c r="H108" s="9">
        <v>20904.05</v>
      </c>
      <c r="I108" s="8">
        <v>9</v>
      </c>
      <c r="J108" s="10">
        <v>2758.95</v>
      </c>
      <c r="K108" s="17" t="str" cm="1">
        <f t="array" ref="K108">_xlfn.IFS(Table43[[#This Row],[Sales]]&gt;40000,"Best Sales",Table43[[#This Row],[Sales]]&gt;20000,"Average Sales",Table43[[#This Row],[Sales]]&gt;0,"Poor Sales")</f>
        <v>Average Sales</v>
      </c>
      <c r="L108" s="12">
        <f>YEAR(Table43[[#This Row],[Date]])</f>
        <v>2023</v>
      </c>
      <c r="M108" s="12">
        <f>MONTH(Table43[[#This Row],[Date]])</f>
        <v>12</v>
      </c>
      <c r="N108" s="13">
        <f>DAY(Table43[[#This Row],[Date]])</f>
        <v>10</v>
      </c>
      <c r="O108" s="13" t="str">
        <f>TEXT(DATE(2023,Table43[[#This Row],[Month]],1),"mmm")</f>
        <v>Dec</v>
      </c>
      <c r="P108" s="13"/>
      <c r="Q108" s="13"/>
    </row>
    <row r="109" spans="1:17" x14ac:dyDescent="0.3">
      <c r="A109" s="14">
        <v>108</v>
      </c>
      <c r="B109" s="15">
        <v>45143</v>
      </c>
      <c r="C109" s="16" t="s">
        <v>25</v>
      </c>
      <c r="D109" s="16" t="s">
        <v>26</v>
      </c>
      <c r="E109" s="16" t="s">
        <v>19</v>
      </c>
      <c r="F109" s="16" t="s">
        <v>38</v>
      </c>
      <c r="G109" s="16" t="s">
        <v>46</v>
      </c>
      <c r="H109" s="17">
        <v>9106.1</v>
      </c>
      <c r="I109" s="16">
        <v>3</v>
      </c>
      <c r="J109" s="18">
        <v>519.4</v>
      </c>
      <c r="K109" s="17" t="str" cm="1">
        <f t="array" ref="K109">_xlfn.IFS(Table43[[#This Row],[Sales]]&gt;40000,"Best Sales",Table43[[#This Row],[Sales]]&gt;20000,"Average Sales",Table43[[#This Row],[Sales]]&gt;0,"Poor Sales")</f>
        <v>Poor Sales</v>
      </c>
      <c r="L109" s="12">
        <f>YEAR(Table43[[#This Row],[Date]])</f>
        <v>2023</v>
      </c>
      <c r="M109" s="12">
        <f>MONTH(Table43[[#This Row],[Date]])</f>
        <v>8</v>
      </c>
      <c r="N109" s="13">
        <f>DAY(Table43[[#This Row],[Date]])</f>
        <v>5</v>
      </c>
      <c r="O109" s="13" t="str">
        <f>TEXT(DATE(2023,Table43[[#This Row],[Month]],1),"mmm")</f>
        <v>Aug</v>
      </c>
      <c r="P109" s="13"/>
      <c r="Q109" s="13"/>
    </row>
    <row r="110" spans="1:17" x14ac:dyDescent="0.3">
      <c r="A110" s="6">
        <v>109</v>
      </c>
      <c r="B110" s="7">
        <v>45214</v>
      </c>
      <c r="C110" s="8" t="s">
        <v>17</v>
      </c>
      <c r="D110" s="8" t="s">
        <v>18</v>
      </c>
      <c r="E110" s="8" t="s">
        <v>19</v>
      </c>
      <c r="F110" s="8" t="s">
        <v>31</v>
      </c>
      <c r="G110" s="8" t="s">
        <v>32</v>
      </c>
      <c r="H110" s="9">
        <v>7629.97</v>
      </c>
      <c r="I110" s="8">
        <v>9</v>
      </c>
      <c r="J110" s="10">
        <v>1489.6</v>
      </c>
      <c r="K110" s="17" t="str" cm="1">
        <f t="array" ref="K110">_xlfn.IFS(Table43[[#This Row],[Sales]]&gt;40000,"Best Sales",Table43[[#This Row],[Sales]]&gt;20000,"Average Sales",Table43[[#This Row],[Sales]]&gt;0,"Poor Sales")</f>
        <v>Poor Sales</v>
      </c>
      <c r="L110" s="12">
        <f>YEAR(Table43[[#This Row],[Date]])</f>
        <v>2023</v>
      </c>
      <c r="M110" s="12">
        <f>MONTH(Table43[[#This Row],[Date]])</f>
        <v>10</v>
      </c>
      <c r="N110" s="13">
        <f>DAY(Table43[[#This Row],[Date]])</f>
        <v>15</v>
      </c>
      <c r="O110" s="13" t="str">
        <f>TEXT(DATE(2023,Table43[[#This Row],[Month]],1),"mmm")</f>
        <v>Oct</v>
      </c>
      <c r="P110" s="13"/>
      <c r="Q110" s="13"/>
    </row>
    <row r="111" spans="1:17" x14ac:dyDescent="0.3">
      <c r="A111" s="14">
        <v>110</v>
      </c>
      <c r="B111" s="15">
        <v>45008</v>
      </c>
      <c r="C111" s="16" t="s">
        <v>33</v>
      </c>
      <c r="D111" s="16" t="s">
        <v>34</v>
      </c>
      <c r="E111" s="16" t="s">
        <v>19</v>
      </c>
      <c r="F111" s="16" t="s">
        <v>20</v>
      </c>
      <c r="G111" s="16" t="s">
        <v>21</v>
      </c>
      <c r="H111" s="17">
        <v>23310.71</v>
      </c>
      <c r="I111" s="16">
        <v>1</v>
      </c>
      <c r="J111" s="18">
        <v>3512.57</v>
      </c>
      <c r="K111" s="17" t="str" cm="1">
        <f t="array" ref="K111">_xlfn.IFS(Table43[[#This Row],[Sales]]&gt;40000,"Best Sales",Table43[[#This Row],[Sales]]&gt;20000,"Average Sales",Table43[[#This Row],[Sales]]&gt;0,"Poor Sales")</f>
        <v>Average Sales</v>
      </c>
      <c r="L111" s="12">
        <f>YEAR(Table43[[#This Row],[Date]])</f>
        <v>2023</v>
      </c>
      <c r="M111" s="12">
        <f>MONTH(Table43[[#This Row],[Date]])</f>
        <v>3</v>
      </c>
      <c r="N111" s="13">
        <f>DAY(Table43[[#This Row],[Date]])</f>
        <v>23</v>
      </c>
      <c r="O111" s="13" t="str">
        <f>TEXT(DATE(2023,Table43[[#This Row],[Month]],1),"mmm")</f>
        <v>Mar</v>
      </c>
      <c r="P111" s="13"/>
      <c r="Q111" s="13"/>
    </row>
    <row r="112" spans="1:17" x14ac:dyDescent="0.3">
      <c r="A112" s="6">
        <v>111</v>
      </c>
      <c r="B112" s="7">
        <v>45085</v>
      </c>
      <c r="C112" s="8" t="s">
        <v>37</v>
      </c>
      <c r="D112" s="8" t="s">
        <v>23</v>
      </c>
      <c r="E112" s="8" t="s">
        <v>19</v>
      </c>
      <c r="F112" s="8" t="s">
        <v>20</v>
      </c>
      <c r="G112" s="8" t="s">
        <v>41</v>
      </c>
      <c r="H112" s="9">
        <v>27994.05</v>
      </c>
      <c r="I112" s="8">
        <v>4</v>
      </c>
      <c r="J112" s="10">
        <v>5449.63</v>
      </c>
      <c r="K112" s="17" t="str" cm="1">
        <f t="array" ref="K112">_xlfn.IFS(Table43[[#This Row],[Sales]]&gt;40000,"Best Sales",Table43[[#This Row],[Sales]]&gt;20000,"Average Sales",Table43[[#This Row],[Sales]]&gt;0,"Poor Sales")</f>
        <v>Average Sales</v>
      </c>
      <c r="L112" s="12">
        <f>YEAR(Table43[[#This Row],[Date]])</f>
        <v>2023</v>
      </c>
      <c r="M112" s="12">
        <f>MONTH(Table43[[#This Row],[Date]])</f>
        <v>6</v>
      </c>
      <c r="N112" s="13">
        <f>DAY(Table43[[#This Row],[Date]])</f>
        <v>8</v>
      </c>
      <c r="O112" s="13" t="str">
        <f>TEXT(DATE(2023,Table43[[#This Row],[Month]],1),"mmm")</f>
        <v>Jun</v>
      </c>
      <c r="P112" s="13"/>
      <c r="Q112" s="13"/>
    </row>
    <row r="113" spans="1:17" x14ac:dyDescent="0.3">
      <c r="A113" s="14">
        <v>112</v>
      </c>
      <c r="B113" s="15">
        <v>44963</v>
      </c>
      <c r="C113" s="16" t="s">
        <v>25</v>
      </c>
      <c r="D113" s="16" t="s">
        <v>26</v>
      </c>
      <c r="E113" s="16" t="s">
        <v>19</v>
      </c>
      <c r="F113" s="16" t="s">
        <v>20</v>
      </c>
      <c r="G113" s="16" t="s">
        <v>41</v>
      </c>
      <c r="H113" s="17">
        <v>32440.06</v>
      </c>
      <c r="I113" s="16">
        <v>3</v>
      </c>
      <c r="J113" s="18">
        <v>7193.85</v>
      </c>
      <c r="K113" s="17" t="str" cm="1">
        <f t="array" ref="K113">_xlfn.IFS(Table43[[#This Row],[Sales]]&gt;40000,"Best Sales",Table43[[#This Row],[Sales]]&gt;20000,"Average Sales",Table43[[#This Row],[Sales]]&gt;0,"Poor Sales")</f>
        <v>Average Sales</v>
      </c>
      <c r="L113" s="12">
        <f>YEAR(Table43[[#This Row],[Date]])</f>
        <v>2023</v>
      </c>
      <c r="M113" s="12">
        <f>MONTH(Table43[[#This Row],[Date]])</f>
        <v>2</v>
      </c>
      <c r="N113" s="13">
        <f>DAY(Table43[[#This Row],[Date]])</f>
        <v>6</v>
      </c>
      <c r="O113" s="13" t="str">
        <f>TEXT(DATE(2023,Table43[[#This Row],[Month]],1),"mmm")</f>
        <v>Feb</v>
      </c>
      <c r="P113" s="13"/>
      <c r="Q113" s="13"/>
    </row>
    <row r="114" spans="1:17" x14ac:dyDescent="0.3">
      <c r="A114" s="6">
        <v>113</v>
      </c>
      <c r="B114" s="7">
        <v>45103</v>
      </c>
      <c r="C114" s="8" t="s">
        <v>37</v>
      </c>
      <c r="D114" s="8" t="s">
        <v>23</v>
      </c>
      <c r="E114" s="8" t="s">
        <v>19</v>
      </c>
      <c r="F114" s="8" t="s">
        <v>20</v>
      </c>
      <c r="G114" s="8" t="s">
        <v>41</v>
      </c>
      <c r="H114" s="9">
        <v>40462.19</v>
      </c>
      <c r="I114" s="8">
        <v>3</v>
      </c>
      <c r="J114" s="10">
        <v>9068.9</v>
      </c>
      <c r="K114" s="17" t="str" cm="1">
        <f t="array" ref="K114">_xlfn.IFS(Table43[[#This Row],[Sales]]&gt;40000,"Best Sales",Table43[[#This Row],[Sales]]&gt;20000,"Average Sales",Table43[[#This Row],[Sales]]&gt;0,"Poor Sales")</f>
        <v>Best Sales</v>
      </c>
      <c r="L114" s="12">
        <f>YEAR(Table43[[#This Row],[Date]])</f>
        <v>2023</v>
      </c>
      <c r="M114" s="12">
        <f>MONTH(Table43[[#This Row],[Date]])</f>
        <v>6</v>
      </c>
      <c r="N114" s="13">
        <f>DAY(Table43[[#This Row],[Date]])</f>
        <v>26</v>
      </c>
      <c r="O114" s="13" t="str">
        <f>TEXT(DATE(2023,Table43[[#This Row],[Month]],1),"mmm")</f>
        <v>Jun</v>
      </c>
      <c r="P114" s="13"/>
      <c r="Q114" s="13"/>
    </row>
    <row r="115" spans="1:17" x14ac:dyDescent="0.3">
      <c r="A115" s="14">
        <v>114</v>
      </c>
      <c r="B115" s="15">
        <v>45086</v>
      </c>
      <c r="C115" s="16" t="s">
        <v>44</v>
      </c>
      <c r="D115" s="16" t="s">
        <v>34</v>
      </c>
      <c r="E115" s="16" t="s">
        <v>19</v>
      </c>
      <c r="F115" s="16" t="s">
        <v>38</v>
      </c>
      <c r="G115" s="16" t="s">
        <v>39</v>
      </c>
      <c r="H115" s="17">
        <v>4946.33</v>
      </c>
      <c r="I115" s="16">
        <v>9</v>
      </c>
      <c r="J115" s="18">
        <v>1157.56</v>
      </c>
      <c r="K115" s="17" t="str" cm="1">
        <f t="array" ref="K115">_xlfn.IFS(Table43[[#This Row],[Sales]]&gt;40000,"Best Sales",Table43[[#This Row],[Sales]]&gt;20000,"Average Sales",Table43[[#This Row],[Sales]]&gt;0,"Poor Sales")</f>
        <v>Poor Sales</v>
      </c>
      <c r="L115" s="12">
        <f>YEAR(Table43[[#This Row],[Date]])</f>
        <v>2023</v>
      </c>
      <c r="M115" s="12">
        <f>MONTH(Table43[[#This Row],[Date]])</f>
        <v>6</v>
      </c>
      <c r="N115" s="13">
        <f>DAY(Table43[[#This Row],[Date]])</f>
        <v>9</v>
      </c>
      <c r="O115" s="13" t="str">
        <f>TEXT(DATE(2023,Table43[[#This Row],[Month]],1),"mmm")</f>
        <v>Jun</v>
      </c>
      <c r="P115" s="13"/>
      <c r="Q115" s="13"/>
    </row>
    <row r="116" spans="1:17" x14ac:dyDescent="0.3">
      <c r="A116" s="6">
        <v>115</v>
      </c>
      <c r="B116" s="7">
        <v>45067</v>
      </c>
      <c r="C116" s="8" t="s">
        <v>25</v>
      </c>
      <c r="D116" s="8" t="s">
        <v>26</v>
      </c>
      <c r="E116" s="8" t="s">
        <v>19</v>
      </c>
      <c r="F116" s="8" t="s">
        <v>31</v>
      </c>
      <c r="G116" s="8" t="s">
        <v>32</v>
      </c>
      <c r="H116" s="9">
        <v>41523.230000000003</v>
      </c>
      <c r="I116" s="8">
        <v>7</v>
      </c>
      <c r="J116" s="10">
        <v>9474.06</v>
      </c>
      <c r="K116" s="17" t="str" cm="1">
        <f t="array" ref="K116">_xlfn.IFS(Table43[[#This Row],[Sales]]&gt;40000,"Best Sales",Table43[[#This Row],[Sales]]&gt;20000,"Average Sales",Table43[[#This Row],[Sales]]&gt;0,"Poor Sales")</f>
        <v>Best Sales</v>
      </c>
      <c r="L116" s="12">
        <f>YEAR(Table43[[#This Row],[Date]])</f>
        <v>2023</v>
      </c>
      <c r="M116" s="12">
        <f>MONTH(Table43[[#This Row],[Date]])</f>
        <v>5</v>
      </c>
      <c r="N116" s="13">
        <f>DAY(Table43[[#This Row],[Date]])</f>
        <v>21</v>
      </c>
      <c r="O116" s="13" t="str">
        <f>TEXT(DATE(2023,Table43[[#This Row],[Month]],1),"mmm")</f>
        <v>May</v>
      </c>
      <c r="P116" s="13"/>
      <c r="Q116" s="13"/>
    </row>
    <row r="117" spans="1:17" x14ac:dyDescent="0.3">
      <c r="A117" s="14">
        <v>116</v>
      </c>
      <c r="B117" s="15">
        <v>45091</v>
      </c>
      <c r="C117" s="16" t="s">
        <v>44</v>
      </c>
      <c r="D117" s="16" t="s">
        <v>34</v>
      </c>
      <c r="E117" s="16" t="s">
        <v>19</v>
      </c>
      <c r="F117" s="16" t="s">
        <v>38</v>
      </c>
      <c r="G117" s="16" t="s">
        <v>40</v>
      </c>
      <c r="H117" s="17">
        <v>41692.239999999998</v>
      </c>
      <c r="I117" s="16">
        <v>1</v>
      </c>
      <c r="J117" s="18">
        <v>11454.59</v>
      </c>
      <c r="K117" s="17" t="str" cm="1">
        <f t="array" ref="K117">_xlfn.IFS(Table43[[#This Row],[Sales]]&gt;40000,"Best Sales",Table43[[#This Row],[Sales]]&gt;20000,"Average Sales",Table43[[#This Row],[Sales]]&gt;0,"Poor Sales")</f>
        <v>Best Sales</v>
      </c>
      <c r="L117" s="12">
        <f>YEAR(Table43[[#This Row],[Date]])</f>
        <v>2023</v>
      </c>
      <c r="M117" s="12">
        <f>MONTH(Table43[[#This Row],[Date]])</f>
        <v>6</v>
      </c>
      <c r="N117" s="13">
        <f>DAY(Table43[[#This Row],[Date]])</f>
        <v>14</v>
      </c>
      <c r="O117" s="13" t="str">
        <f>TEXT(DATE(2023,Table43[[#This Row],[Month]],1),"mmm")</f>
        <v>Jun</v>
      </c>
      <c r="P117" s="13"/>
      <c r="Q117" s="13"/>
    </row>
    <row r="118" spans="1:17" x14ac:dyDescent="0.3">
      <c r="A118" s="6">
        <v>117</v>
      </c>
      <c r="B118" s="7">
        <v>45275</v>
      </c>
      <c r="C118" s="8" t="s">
        <v>25</v>
      </c>
      <c r="D118" s="8" t="s">
        <v>26</v>
      </c>
      <c r="E118" s="8" t="s">
        <v>19</v>
      </c>
      <c r="F118" s="8" t="s">
        <v>31</v>
      </c>
      <c r="G118" s="8" t="s">
        <v>32</v>
      </c>
      <c r="H118" s="9">
        <v>37435.72</v>
      </c>
      <c r="I118" s="8">
        <v>10</v>
      </c>
      <c r="J118" s="10">
        <v>7225.3</v>
      </c>
      <c r="K118" s="17" t="str" cm="1">
        <f t="array" ref="K118">_xlfn.IFS(Table43[[#This Row],[Sales]]&gt;40000,"Best Sales",Table43[[#This Row],[Sales]]&gt;20000,"Average Sales",Table43[[#This Row],[Sales]]&gt;0,"Poor Sales")</f>
        <v>Average Sales</v>
      </c>
      <c r="L118" s="12">
        <f>YEAR(Table43[[#This Row],[Date]])</f>
        <v>2023</v>
      </c>
      <c r="M118" s="12">
        <f>MONTH(Table43[[#This Row],[Date]])</f>
        <v>12</v>
      </c>
      <c r="N118" s="13">
        <f>DAY(Table43[[#This Row],[Date]])</f>
        <v>15</v>
      </c>
      <c r="O118" s="13" t="str">
        <f>TEXT(DATE(2023,Table43[[#This Row],[Month]],1),"mmm")</f>
        <v>Dec</v>
      </c>
      <c r="P118" s="13"/>
      <c r="Q118" s="13"/>
    </row>
    <row r="119" spans="1:17" x14ac:dyDescent="0.3">
      <c r="A119" s="14">
        <v>118</v>
      </c>
      <c r="B119" s="15">
        <v>44993</v>
      </c>
      <c r="C119" s="16" t="s">
        <v>29</v>
      </c>
      <c r="D119" s="16" t="s">
        <v>29</v>
      </c>
      <c r="E119" s="16" t="s">
        <v>19</v>
      </c>
      <c r="F119" s="16" t="s">
        <v>38</v>
      </c>
      <c r="G119" s="16" t="s">
        <v>46</v>
      </c>
      <c r="H119" s="17">
        <v>24188.17</v>
      </c>
      <c r="I119" s="16">
        <v>4</v>
      </c>
      <c r="J119" s="18">
        <v>1398.98</v>
      </c>
      <c r="K119" s="17" t="str" cm="1">
        <f t="array" ref="K119">_xlfn.IFS(Table43[[#This Row],[Sales]]&gt;40000,"Best Sales",Table43[[#This Row],[Sales]]&gt;20000,"Average Sales",Table43[[#This Row],[Sales]]&gt;0,"Poor Sales")</f>
        <v>Average Sales</v>
      </c>
      <c r="L119" s="12">
        <f>YEAR(Table43[[#This Row],[Date]])</f>
        <v>2023</v>
      </c>
      <c r="M119" s="12">
        <f>MONTH(Table43[[#This Row],[Date]])</f>
        <v>3</v>
      </c>
      <c r="N119" s="13">
        <f>DAY(Table43[[#This Row],[Date]])</f>
        <v>8</v>
      </c>
      <c r="O119" s="13" t="str">
        <f>TEXT(DATE(2023,Table43[[#This Row],[Month]],1),"mmm")</f>
        <v>Mar</v>
      </c>
      <c r="P119" s="13"/>
      <c r="Q119" s="13"/>
    </row>
    <row r="120" spans="1:17" x14ac:dyDescent="0.3">
      <c r="A120" s="6">
        <v>119</v>
      </c>
      <c r="B120" s="7">
        <v>44978</v>
      </c>
      <c r="C120" s="8" t="s">
        <v>17</v>
      </c>
      <c r="D120" s="8" t="s">
        <v>18</v>
      </c>
      <c r="E120" s="8" t="s">
        <v>19</v>
      </c>
      <c r="F120" s="8" t="s">
        <v>20</v>
      </c>
      <c r="G120" s="8" t="s">
        <v>21</v>
      </c>
      <c r="H120" s="9">
        <v>7636.41</v>
      </c>
      <c r="I120" s="8">
        <v>5</v>
      </c>
      <c r="J120" s="10">
        <v>1440.24</v>
      </c>
      <c r="K120" s="17" t="str" cm="1">
        <f t="array" ref="K120">_xlfn.IFS(Table43[[#This Row],[Sales]]&gt;40000,"Best Sales",Table43[[#This Row],[Sales]]&gt;20000,"Average Sales",Table43[[#This Row],[Sales]]&gt;0,"Poor Sales")</f>
        <v>Poor Sales</v>
      </c>
      <c r="L120" s="12">
        <f>YEAR(Table43[[#This Row],[Date]])</f>
        <v>2023</v>
      </c>
      <c r="M120" s="12">
        <f>MONTH(Table43[[#This Row],[Date]])</f>
        <v>2</v>
      </c>
      <c r="N120" s="13">
        <f>DAY(Table43[[#This Row],[Date]])</f>
        <v>21</v>
      </c>
      <c r="O120" s="13" t="str">
        <f>TEXT(DATE(2023,Table43[[#This Row],[Month]],1),"mmm")</f>
        <v>Feb</v>
      </c>
      <c r="P120" s="13"/>
      <c r="Q120" s="13"/>
    </row>
    <row r="121" spans="1:17" x14ac:dyDescent="0.3">
      <c r="A121" s="14">
        <v>120</v>
      </c>
      <c r="B121" s="15">
        <v>44930</v>
      </c>
      <c r="C121" s="16" t="s">
        <v>37</v>
      </c>
      <c r="D121" s="16" t="s">
        <v>23</v>
      </c>
      <c r="E121" s="16" t="s">
        <v>19</v>
      </c>
      <c r="F121" s="16" t="s">
        <v>31</v>
      </c>
      <c r="G121" s="16" t="s">
        <v>36</v>
      </c>
      <c r="H121" s="17">
        <v>46770.74</v>
      </c>
      <c r="I121" s="16">
        <v>9</v>
      </c>
      <c r="J121" s="18">
        <v>10311.32</v>
      </c>
      <c r="K121" s="17" t="str" cm="1">
        <f t="array" ref="K121">_xlfn.IFS(Table43[[#This Row],[Sales]]&gt;40000,"Best Sales",Table43[[#This Row],[Sales]]&gt;20000,"Average Sales",Table43[[#This Row],[Sales]]&gt;0,"Poor Sales")</f>
        <v>Best Sales</v>
      </c>
      <c r="L121" s="12">
        <f>YEAR(Table43[[#This Row],[Date]])</f>
        <v>2023</v>
      </c>
      <c r="M121" s="12">
        <f>MONTH(Table43[[#This Row],[Date]])</f>
        <v>1</v>
      </c>
      <c r="N121" s="13">
        <f>DAY(Table43[[#This Row],[Date]])</f>
        <v>4</v>
      </c>
      <c r="O121" s="13" t="str">
        <f>TEXT(DATE(2023,Table43[[#This Row],[Month]],1),"mmm")</f>
        <v>Jan</v>
      </c>
      <c r="P121" s="13"/>
      <c r="Q121" s="13"/>
    </row>
    <row r="122" spans="1:17" x14ac:dyDescent="0.3">
      <c r="A122" s="6">
        <v>121</v>
      </c>
      <c r="B122" s="7">
        <v>45269</v>
      </c>
      <c r="C122" s="8" t="s">
        <v>37</v>
      </c>
      <c r="D122" s="8" t="s">
        <v>23</v>
      </c>
      <c r="E122" s="8" t="s">
        <v>19</v>
      </c>
      <c r="F122" s="8" t="s">
        <v>31</v>
      </c>
      <c r="G122" s="8" t="s">
        <v>36</v>
      </c>
      <c r="H122" s="9">
        <v>25666.98</v>
      </c>
      <c r="I122" s="8">
        <v>6</v>
      </c>
      <c r="J122" s="10">
        <v>5659.2</v>
      </c>
      <c r="K122" s="17" t="str" cm="1">
        <f t="array" ref="K122">_xlfn.IFS(Table43[[#This Row],[Sales]]&gt;40000,"Best Sales",Table43[[#This Row],[Sales]]&gt;20000,"Average Sales",Table43[[#This Row],[Sales]]&gt;0,"Poor Sales")</f>
        <v>Average Sales</v>
      </c>
      <c r="L122" s="12">
        <f>YEAR(Table43[[#This Row],[Date]])</f>
        <v>2023</v>
      </c>
      <c r="M122" s="12">
        <f>MONTH(Table43[[#This Row],[Date]])</f>
        <v>12</v>
      </c>
      <c r="N122" s="13">
        <f>DAY(Table43[[#This Row],[Date]])</f>
        <v>9</v>
      </c>
      <c r="O122" s="13" t="str">
        <f>TEXT(DATE(2023,Table43[[#This Row],[Month]],1),"mmm")</f>
        <v>Dec</v>
      </c>
      <c r="P122" s="13"/>
      <c r="Q122" s="13"/>
    </row>
    <row r="123" spans="1:17" x14ac:dyDescent="0.3">
      <c r="A123" s="14">
        <v>122</v>
      </c>
      <c r="B123" s="15">
        <v>45281</v>
      </c>
      <c r="C123" s="16" t="s">
        <v>44</v>
      </c>
      <c r="D123" s="16" t="s">
        <v>34</v>
      </c>
      <c r="E123" s="16" t="s">
        <v>19</v>
      </c>
      <c r="F123" s="16" t="s">
        <v>20</v>
      </c>
      <c r="G123" s="16" t="s">
        <v>21</v>
      </c>
      <c r="H123" s="17">
        <v>23082.5</v>
      </c>
      <c r="I123" s="16">
        <v>5</v>
      </c>
      <c r="J123" s="18">
        <v>6692.32</v>
      </c>
      <c r="K123" s="17" t="str" cm="1">
        <f t="array" ref="K123">_xlfn.IFS(Table43[[#This Row],[Sales]]&gt;40000,"Best Sales",Table43[[#This Row],[Sales]]&gt;20000,"Average Sales",Table43[[#This Row],[Sales]]&gt;0,"Poor Sales")</f>
        <v>Average Sales</v>
      </c>
      <c r="L123" s="12">
        <f>YEAR(Table43[[#This Row],[Date]])</f>
        <v>2023</v>
      </c>
      <c r="M123" s="12">
        <f>MONTH(Table43[[#This Row],[Date]])</f>
        <v>12</v>
      </c>
      <c r="N123" s="13">
        <f>DAY(Table43[[#This Row],[Date]])</f>
        <v>21</v>
      </c>
      <c r="O123" s="13" t="str">
        <f>TEXT(DATE(2023,Table43[[#This Row],[Month]],1),"mmm")</f>
        <v>Dec</v>
      </c>
      <c r="P123" s="13"/>
      <c r="Q123" s="13"/>
    </row>
    <row r="124" spans="1:17" x14ac:dyDescent="0.3">
      <c r="A124" s="6">
        <v>123</v>
      </c>
      <c r="B124" s="7">
        <v>45087</v>
      </c>
      <c r="C124" s="8" t="s">
        <v>44</v>
      </c>
      <c r="D124" s="8" t="s">
        <v>34</v>
      </c>
      <c r="E124" s="8" t="s">
        <v>19</v>
      </c>
      <c r="F124" s="8" t="s">
        <v>38</v>
      </c>
      <c r="G124" s="8" t="s">
        <v>40</v>
      </c>
      <c r="H124" s="9">
        <v>38476.03</v>
      </c>
      <c r="I124" s="8">
        <v>5</v>
      </c>
      <c r="J124" s="10">
        <v>4209.84</v>
      </c>
      <c r="K124" s="17" t="str" cm="1">
        <f t="array" ref="K124">_xlfn.IFS(Table43[[#This Row],[Sales]]&gt;40000,"Best Sales",Table43[[#This Row],[Sales]]&gt;20000,"Average Sales",Table43[[#This Row],[Sales]]&gt;0,"Poor Sales")</f>
        <v>Average Sales</v>
      </c>
      <c r="L124" s="12">
        <f>YEAR(Table43[[#This Row],[Date]])</f>
        <v>2023</v>
      </c>
      <c r="M124" s="12">
        <f>MONTH(Table43[[#This Row],[Date]])</f>
        <v>6</v>
      </c>
      <c r="N124" s="13">
        <f>DAY(Table43[[#This Row],[Date]])</f>
        <v>10</v>
      </c>
      <c r="O124" s="13" t="str">
        <f>TEXT(DATE(2023,Table43[[#This Row],[Month]],1),"mmm")</f>
        <v>Jun</v>
      </c>
      <c r="P124" s="13"/>
      <c r="Q124" s="13"/>
    </row>
    <row r="125" spans="1:17" x14ac:dyDescent="0.3">
      <c r="A125" s="14">
        <v>124</v>
      </c>
      <c r="B125" s="15">
        <v>44997</v>
      </c>
      <c r="C125" s="16" t="s">
        <v>44</v>
      </c>
      <c r="D125" s="16" t="s">
        <v>34</v>
      </c>
      <c r="E125" s="16" t="s">
        <v>19</v>
      </c>
      <c r="F125" s="16" t="s">
        <v>38</v>
      </c>
      <c r="G125" s="16" t="s">
        <v>39</v>
      </c>
      <c r="H125" s="17">
        <v>18610.04</v>
      </c>
      <c r="I125" s="16">
        <v>9</v>
      </c>
      <c r="J125" s="18">
        <v>2849.41</v>
      </c>
      <c r="K125" s="17" t="str" cm="1">
        <f t="array" ref="K125">_xlfn.IFS(Table43[[#This Row],[Sales]]&gt;40000,"Best Sales",Table43[[#This Row],[Sales]]&gt;20000,"Average Sales",Table43[[#This Row],[Sales]]&gt;0,"Poor Sales")</f>
        <v>Poor Sales</v>
      </c>
      <c r="L125" s="12">
        <f>YEAR(Table43[[#This Row],[Date]])</f>
        <v>2023</v>
      </c>
      <c r="M125" s="12">
        <f>MONTH(Table43[[#This Row],[Date]])</f>
        <v>3</v>
      </c>
      <c r="N125" s="13">
        <f>DAY(Table43[[#This Row],[Date]])</f>
        <v>12</v>
      </c>
      <c r="O125" s="13" t="str">
        <f>TEXT(DATE(2023,Table43[[#This Row],[Month]],1),"mmm")</f>
        <v>Mar</v>
      </c>
      <c r="P125" s="13"/>
      <c r="Q125" s="13"/>
    </row>
    <row r="126" spans="1:17" x14ac:dyDescent="0.3">
      <c r="A126" s="6">
        <v>125</v>
      </c>
      <c r="B126" s="7">
        <v>44996</v>
      </c>
      <c r="C126" s="8" t="s">
        <v>37</v>
      </c>
      <c r="D126" s="8" t="s">
        <v>23</v>
      </c>
      <c r="E126" s="8" t="s">
        <v>19</v>
      </c>
      <c r="F126" s="8" t="s">
        <v>20</v>
      </c>
      <c r="G126" s="8" t="s">
        <v>21</v>
      </c>
      <c r="H126" s="9">
        <v>9386.76</v>
      </c>
      <c r="I126" s="8">
        <v>5</v>
      </c>
      <c r="J126" s="10">
        <v>1362.58</v>
      </c>
      <c r="K126" s="17" t="str" cm="1">
        <f t="array" ref="K126">_xlfn.IFS(Table43[[#This Row],[Sales]]&gt;40000,"Best Sales",Table43[[#This Row],[Sales]]&gt;20000,"Average Sales",Table43[[#This Row],[Sales]]&gt;0,"Poor Sales")</f>
        <v>Poor Sales</v>
      </c>
      <c r="L126" s="12">
        <f>YEAR(Table43[[#This Row],[Date]])</f>
        <v>2023</v>
      </c>
      <c r="M126" s="12">
        <f>MONTH(Table43[[#This Row],[Date]])</f>
        <v>3</v>
      </c>
      <c r="N126" s="13">
        <f>DAY(Table43[[#This Row],[Date]])</f>
        <v>11</v>
      </c>
      <c r="O126" s="13" t="str">
        <f>TEXT(DATE(2023,Table43[[#This Row],[Month]],1),"mmm")</f>
        <v>Mar</v>
      </c>
      <c r="P126" s="13"/>
      <c r="Q126" s="13"/>
    </row>
    <row r="127" spans="1:17" x14ac:dyDescent="0.3">
      <c r="A127" s="14">
        <v>126</v>
      </c>
      <c r="B127" s="15">
        <v>45288</v>
      </c>
      <c r="C127" s="16" t="s">
        <v>33</v>
      </c>
      <c r="D127" s="16" t="s">
        <v>34</v>
      </c>
      <c r="E127" s="16" t="s">
        <v>19</v>
      </c>
      <c r="F127" s="16" t="s">
        <v>20</v>
      </c>
      <c r="G127" s="16" t="s">
        <v>21</v>
      </c>
      <c r="H127" s="17">
        <v>28617.52</v>
      </c>
      <c r="I127" s="16">
        <v>6</v>
      </c>
      <c r="J127" s="18">
        <v>2807.32</v>
      </c>
      <c r="K127" s="17" t="str" cm="1">
        <f t="array" ref="K127">_xlfn.IFS(Table43[[#This Row],[Sales]]&gt;40000,"Best Sales",Table43[[#This Row],[Sales]]&gt;20000,"Average Sales",Table43[[#This Row],[Sales]]&gt;0,"Poor Sales")</f>
        <v>Average Sales</v>
      </c>
      <c r="L127" s="12">
        <f>YEAR(Table43[[#This Row],[Date]])</f>
        <v>2023</v>
      </c>
      <c r="M127" s="12">
        <f>MONTH(Table43[[#This Row],[Date]])</f>
        <v>12</v>
      </c>
      <c r="N127" s="13">
        <f>DAY(Table43[[#This Row],[Date]])</f>
        <v>28</v>
      </c>
      <c r="O127" s="13" t="str">
        <f>TEXT(DATE(2023,Table43[[#This Row],[Month]],1),"mmm")</f>
        <v>Dec</v>
      </c>
      <c r="P127" s="13"/>
      <c r="Q127" s="13"/>
    </row>
    <row r="128" spans="1:17" x14ac:dyDescent="0.3">
      <c r="A128" s="6">
        <v>127</v>
      </c>
      <c r="B128" s="7">
        <v>45268</v>
      </c>
      <c r="C128" s="8" t="s">
        <v>22</v>
      </c>
      <c r="D128" s="8" t="s">
        <v>23</v>
      </c>
      <c r="E128" s="8" t="s">
        <v>19</v>
      </c>
      <c r="F128" s="8" t="s">
        <v>38</v>
      </c>
      <c r="G128" s="8" t="s">
        <v>39</v>
      </c>
      <c r="H128" s="9">
        <v>23321.11</v>
      </c>
      <c r="I128" s="8">
        <v>6</v>
      </c>
      <c r="J128" s="10">
        <v>6516.94</v>
      </c>
      <c r="K128" s="17" t="str" cm="1">
        <f t="array" ref="K128">_xlfn.IFS(Table43[[#This Row],[Sales]]&gt;40000,"Best Sales",Table43[[#This Row],[Sales]]&gt;20000,"Average Sales",Table43[[#This Row],[Sales]]&gt;0,"Poor Sales")</f>
        <v>Average Sales</v>
      </c>
      <c r="L128" s="12">
        <f>YEAR(Table43[[#This Row],[Date]])</f>
        <v>2023</v>
      </c>
      <c r="M128" s="12">
        <f>MONTH(Table43[[#This Row],[Date]])</f>
        <v>12</v>
      </c>
      <c r="N128" s="13">
        <f>DAY(Table43[[#This Row],[Date]])</f>
        <v>8</v>
      </c>
      <c r="O128" s="13" t="str">
        <f>TEXT(DATE(2023,Table43[[#This Row],[Month]],1),"mmm")</f>
        <v>Dec</v>
      </c>
      <c r="P128" s="13"/>
      <c r="Q128" s="13"/>
    </row>
    <row r="129" spans="1:17" x14ac:dyDescent="0.3">
      <c r="A129" s="14">
        <v>128</v>
      </c>
      <c r="B129" s="15">
        <v>45195</v>
      </c>
      <c r="C129" s="16" t="s">
        <v>33</v>
      </c>
      <c r="D129" s="16" t="s">
        <v>34</v>
      </c>
      <c r="E129" s="16" t="s">
        <v>19</v>
      </c>
      <c r="F129" s="16" t="s">
        <v>20</v>
      </c>
      <c r="G129" s="16" t="s">
        <v>21</v>
      </c>
      <c r="H129" s="17">
        <v>30886.63</v>
      </c>
      <c r="I129" s="16">
        <v>3</v>
      </c>
      <c r="J129" s="18">
        <v>7845.04</v>
      </c>
      <c r="K129" s="17" t="str" cm="1">
        <f t="array" ref="K129">_xlfn.IFS(Table43[[#This Row],[Sales]]&gt;40000,"Best Sales",Table43[[#This Row],[Sales]]&gt;20000,"Average Sales",Table43[[#This Row],[Sales]]&gt;0,"Poor Sales")</f>
        <v>Average Sales</v>
      </c>
      <c r="L129" s="12">
        <f>YEAR(Table43[[#This Row],[Date]])</f>
        <v>2023</v>
      </c>
      <c r="M129" s="12">
        <f>MONTH(Table43[[#This Row],[Date]])</f>
        <v>9</v>
      </c>
      <c r="N129" s="13">
        <f>DAY(Table43[[#This Row],[Date]])</f>
        <v>26</v>
      </c>
      <c r="O129" s="13" t="str">
        <f>TEXT(DATE(2023,Table43[[#This Row],[Month]],1),"mmm")</f>
        <v>Sep</v>
      </c>
      <c r="P129" s="13"/>
      <c r="Q129" s="13"/>
    </row>
    <row r="130" spans="1:17" x14ac:dyDescent="0.3">
      <c r="A130" s="6">
        <v>129</v>
      </c>
      <c r="B130" s="7">
        <v>45236</v>
      </c>
      <c r="C130" s="8" t="s">
        <v>17</v>
      </c>
      <c r="D130" s="8" t="s">
        <v>18</v>
      </c>
      <c r="E130" s="8" t="s">
        <v>19</v>
      </c>
      <c r="F130" s="8" t="s">
        <v>38</v>
      </c>
      <c r="G130" s="8" t="s">
        <v>46</v>
      </c>
      <c r="H130" s="9">
        <v>33355.910000000003</v>
      </c>
      <c r="I130" s="8">
        <v>5</v>
      </c>
      <c r="J130" s="10">
        <v>2731.47</v>
      </c>
      <c r="K130" s="17" t="str" cm="1">
        <f t="array" ref="K130">_xlfn.IFS(Table43[[#This Row],[Sales]]&gt;40000,"Best Sales",Table43[[#This Row],[Sales]]&gt;20000,"Average Sales",Table43[[#This Row],[Sales]]&gt;0,"Poor Sales")</f>
        <v>Average Sales</v>
      </c>
      <c r="L130" s="12">
        <f>YEAR(Table43[[#This Row],[Date]])</f>
        <v>2023</v>
      </c>
      <c r="M130" s="12">
        <f>MONTH(Table43[[#This Row],[Date]])</f>
        <v>11</v>
      </c>
      <c r="N130" s="13">
        <f>DAY(Table43[[#This Row],[Date]])</f>
        <v>6</v>
      </c>
      <c r="O130" s="13" t="str">
        <f>TEXT(DATE(2023,Table43[[#This Row],[Month]],1),"mmm")</f>
        <v>Nov</v>
      </c>
      <c r="P130" s="13"/>
      <c r="Q130" s="13"/>
    </row>
    <row r="131" spans="1:17" x14ac:dyDescent="0.3">
      <c r="A131" s="14">
        <v>130</v>
      </c>
      <c r="B131" s="15">
        <v>45109</v>
      </c>
      <c r="C131" s="16" t="s">
        <v>17</v>
      </c>
      <c r="D131" s="16" t="s">
        <v>18</v>
      </c>
      <c r="E131" s="16" t="s">
        <v>19</v>
      </c>
      <c r="F131" s="16" t="s">
        <v>31</v>
      </c>
      <c r="G131" s="16" t="s">
        <v>35</v>
      </c>
      <c r="H131" s="17">
        <v>23925.26</v>
      </c>
      <c r="I131" s="16">
        <v>3</v>
      </c>
      <c r="J131" s="18">
        <v>4614.3999999999996</v>
      </c>
      <c r="K131" s="17" t="str" cm="1">
        <f t="array" ref="K131">_xlfn.IFS(Table43[[#This Row],[Sales]]&gt;40000,"Best Sales",Table43[[#This Row],[Sales]]&gt;20000,"Average Sales",Table43[[#This Row],[Sales]]&gt;0,"Poor Sales")</f>
        <v>Average Sales</v>
      </c>
      <c r="L131" s="12">
        <f>YEAR(Table43[[#This Row],[Date]])</f>
        <v>2023</v>
      </c>
      <c r="M131" s="12">
        <f>MONTH(Table43[[#This Row],[Date]])</f>
        <v>7</v>
      </c>
      <c r="N131" s="13">
        <f>DAY(Table43[[#This Row],[Date]])</f>
        <v>2</v>
      </c>
      <c r="O131" s="13" t="str">
        <f>TEXT(DATE(2023,Table43[[#This Row],[Month]],1),"mmm")</f>
        <v>Jul</v>
      </c>
      <c r="P131" s="13"/>
      <c r="Q131" s="13"/>
    </row>
    <row r="132" spans="1:17" x14ac:dyDescent="0.3">
      <c r="A132" s="6">
        <v>131</v>
      </c>
      <c r="B132" s="7">
        <v>44930</v>
      </c>
      <c r="C132" s="8" t="s">
        <v>17</v>
      </c>
      <c r="D132" s="8" t="s">
        <v>18</v>
      </c>
      <c r="E132" s="8" t="s">
        <v>19</v>
      </c>
      <c r="F132" s="8" t="s">
        <v>20</v>
      </c>
      <c r="G132" s="8" t="s">
        <v>41</v>
      </c>
      <c r="H132" s="9">
        <v>46208.11</v>
      </c>
      <c r="I132" s="8">
        <v>1</v>
      </c>
      <c r="J132" s="10">
        <v>4640.21</v>
      </c>
      <c r="K132" s="17" t="str" cm="1">
        <f t="array" ref="K132">_xlfn.IFS(Table43[[#This Row],[Sales]]&gt;40000,"Best Sales",Table43[[#This Row],[Sales]]&gt;20000,"Average Sales",Table43[[#This Row],[Sales]]&gt;0,"Poor Sales")</f>
        <v>Best Sales</v>
      </c>
      <c r="L132" s="12">
        <f>YEAR(Table43[[#This Row],[Date]])</f>
        <v>2023</v>
      </c>
      <c r="M132" s="12">
        <f>MONTH(Table43[[#This Row],[Date]])</f>
        <v>1</v>
      </c>
      <c r="N132" s="13">
        <f>DAY(Table43[[#This Row],[Date]])</f>
        <v>4</v>
      </c>
      <c r="O132" s="13" t="str">
        <f>TEXT(DATE(2023,Table43[[#This Row],[Month]],1),"mmm")</f>
        <v>Jan</v>
      </c>
      <c r="P132" s="13"/>
      <c r="Q132" s="13"/>
    </row>
    <row r="133" spans="1:17" x14ac:dyDescent="0.3">
      <c r="A133" s="14">
        <v>132</v>
      </c>
      <c r="B133" s="15">
        <v>44967</v>
      </c>
      <c r="C133" s="16" t="s">
        <v>17</v>
      </c>
      <c r="D133" s="16" t="s">
        <v>18</v>
      </c>
      <c r="E133" s="16" t="s">
        <v>19</v>
      </c>
      <c r="F133" s="16" t="s">
        <v>38</v>
      </c>
      <c r="G133" s="16" t="s">
        <v>46</v>
      </c>
      <c r="H133" s="17">
        <v>7965.54</v>
      </c>
      <c r="I133" s="16">
        <v>3</v>
      </c>
      <c r="J133" s="18">
        <v>2341.5300000000002</v>
      </c>
      <c r="K133" s="17" t="str" cm="1">
        <f t="array" ref="K133">_xlfn.IFS(Table43[[#This Row],[Sales]]&gt;40000,"Best Sales",Table43[[#This Row],[Sales]]&gt;20000,"Average Sales",Table43[[#This Row],[Sales]]&gt;0,"Poor Sales")</f>
        <v>Poor Sales</v>
      </c>
      <c r="L133" s="12">
        <f>YEAR(Table43[[#This Row],[Date]])</f>
        <v>2023</v>
      </c>
      <c r="M133" s="12">
        <f>MONTH(Table43[[#This Row],[Date]])</f>
        <v>2</v>
      </c>
      <c r="N133" s="13">
        <f>DAY(Table43[[#This Row],[Date]])</f>
        <v>10</v>
      </c>
      <c r="O133" s="13" t="str">
        <f>TEXT(DATE(2023,Table43[[#This Row],[Month]],1),"mmm")</f>
        <v>Feb</v>
      </c>
      <c r="P133" s="13"/>
      <c r="Q133" s="13"/>
    </row>
    <row r="134" spans="1:17" x14ac:dyDescent="0.3">
      <c r="A134" s="6">
        <v>133</v>
      </c>
      <c r="B134" s="7">
        <v>45265</v>
      </c>
      <c r="C134" s="8" t="s">
        <v>22</v>
      </c>
      <c r="D134" s="8" t="s">
        <v>23</v>
      </c>
      <c r="E134" s="8" t="s">
        <v>19</v>
      </c>
      <c r="F134" s="8" t="s">
        <v>20</v>
      </c>
      <c r="G134" s="8" t="s">
        <v>41</v>
      </c>
      <c r="H134" s="9">
        <v>47622.58</v>
      </c>
      <c r="I134" s="8">
        <v>8</v>
      </c>
      <c r="J134" s="10">
        <v>13847.81</v>
      </c>
      <c r="K134" s="17" t="str" cm="1">
        <f t="array" ref="K134">_xlfn.IFS(Table43[[#This Row],[Sales]]&gt;40000,"Best Sales",Table43[[#This Row],[Sales]]&gt;20000,"Average Sales",Table43[[#This Row],[Sales]]&gt;0,"Poor Sales")</f>
        <v>Best Sales</v>
      </c>
      <c r="L134" s="12">
        <f>YEAR(Table43[[#This Row],[Date]])</f>
        <v>2023</v>
      </c>
      <c r="M134" s="12">
        <f>MONTH(Table43[[#This Row],[Date]])</f>
        <v>12</v>
      </c>
      <c r="N134" s="13">
        <f>DAY(Table43[[#This Row],[Date]])</f>
        <v>5</v>
      </c>
      <c r="O134" s="13" t="str">
        <f>TEXT(DATE(2023,Table43[[#This Row],[Month]],1),"mmm")</f>
        <v>Dec</v>
      </c>
      <c r="P134" s="13"/>
      <c r="Q134" s="13"/>
    </row>
    <row r="135" spans="1:17" x14ac:dyDescent="0.3">
      <c r="A135" s="14">
        <v>134</v>
      </c>
      <c r="B135" s="15">
        <v>45204</v>
      </c>
      <c r="C135" s="16" t="s">
        <v>29</v>
      </c>
      <c r="D135" s="16" t="s">
        <v>29</v>
      </c>
      <c r="E135" s="16" t="s">
        <v>19</v>
      </c>
      <c r="F135" s="16" t="s">
        <v>38</v>
      </c>
      <c r="G135" s="16" t="s">
        <v>40</v>
      </c>
      <c r="H135" s="17">
        <v>2192.81</v>
      </c>
      <c r="I135" s="16">
        <v>2</v>
      </c>
      <c r="J135" s="18">
        <v>448.06</v>
      </c>
      <c r="K135" s="17" t="str" cm="1">
        <f t="array" ref="K135">_xlfn.IFS(Table43[[#This Row],[Sales]]&gt;40000,"Best Sales",Table43[[#This Row],[Sales]]&gt;20000,"Average Sales",Table43[[#This Row],[Sales]]&gt;0,"Poor Sales")</f>
        <v>Poor Sales</v>
      </c>
      <c r="L135" s="12">
        <f>YEAR(Table43[[#This Row],[Date]])</f>
        <v>2023</v>
      </c>
      <c r="M135" s="12">
        <f>MONTH(Table43[[#This Row],[Date]])</f>
        <v>10</v>
      </c>
      <c r="N135" s="13">
        <f>DAY(Table43[[#This Row],[Date]])</f>
        <v>5</v>
      </c>
      <c r="O135" s="13" t="str">
        <f>TEXT(DATE(2023,Table43[[#This Row],[Month]],1),"mmm")</f>
        <v>Oct</v>
      </c>
      <c r="P135" s="13"/>
      <c r="Q135" s="13"/>
    </row>
    <row r="136" spans="1:17" x14ac:dyDescent="0.3">
      <c r="A136" s="6">
        <v>135</v>
      </c>
      <c r="B136" s="7">
        <v>45182</v>
      </c>
      <c r="C136" s="8" t="s">
        <v>42</v>
      </c>
      <c r="D136" s="8" t="s">
        <v>43</v>
      </c>
      <c r="E136" s="8" t="s">
        <v>19</v>
      </c>
      <c r="F136" s="8" t="s">
        <v>20</v>
      </c>
      <c r="G136" s="8" t="s">
        <v>41</v>
      </c>
      <c r="H136" s="9">
        <v>39455.26</v>
      </c>
      <c r="I136" s="8">
        <v>6</v>
      </c>
      <c r="J136" s="10">
        <v>7254.89</v>
      </c>
      <c r="K136" s="17" t="str" cm="1">
        <f t="array" ref="K136">_xlfn.IFS(Table43[[#This Row],[Sales]]&gt;40000,"Best Sales",Table43[[#This Row],[Sales]]&gt;20000,"Average Sales",Table43[[#This Row],[Sales]]&gt;0,"Poor Sales")</f>
        <v>Average Sales</v>
      </c>
      <c r="L136" s="12">
        <f>YEAR(Table43[[#This Row],[Date]])</f>
        <v>2023</v>
      </c>
      <c r="M136" s="12">
        <f>MONTH(Table43[[#This Row],[Date]])</f>
        <v>9</v>
      </c>
      <c r="N136" s="13">
        <f>DAY(Table43[[#This Row],[Date]])</f>
        <v>13</v>
      </c>
      <c r="O136" s="13" t="str">
        <f>TEXT(DATE(2023,Table43[[#This Row],[Month]],1),"mmm")</f>
        <v>Sep</v>
      </c>
      <c r="P136" s="13"/>
      <c r="Q136" s="13"/>
    </row>
    <row r="137" spans="1:17" x14ac:dyDescent="0.3">
      <c r="A137" s="14">
        <v>136</v>
      </c>
      <c r="B137" s="15">
        <v>45066</v>
      </c>
      <c r="C137" s="16" t="s">
        <v>37</v>
      </c>
      <c r="D137" s="16" t="s">
        <v>23</v>
      </c>
      <c r="E137" s="16" t="s">
        <v>19</v>
      </c>
      <c r="F137" s="16" t="s">
        <v>38</v>
      </c>
      <c r="G137" s="16" t="s">
        <v>40</v>
      </c>
      <c r="H137" s="17">
        <v>33615.199999999997</v>
      </c>
      <c r="I137" s="16">
        <v>10</v>
      </c>
      <c r="J137" s="18">
        <v>9400.1200000000008</v>
      </c>
      <c r="K137" s="17" t="str" cm="1">
        <f t="array" ref="K137">_xlfn.IFS(Table43[[#This Row],[Sales]]&gt;40000,"Best Sales",Table43[[#This Row],[Sales]]&gt;20000,"Average Sales",Table43[[#This Row],[Sales]]&gt;0,"Poor Sales")</f>
        <v>Average Sales</v>
      </c>
      <c r="L137" s="12">
        <f>YEAR(Table43[[#This Row],[Date]])</f>
        <v>2023</v>
      </c>
      <c r="M137" s="12">
        <f>MONTH(Table43[[#This Row],[Date]])</f>
        <v>5</v>
      </c>
      <c r="N137" s="13">
        <f>DAY(Table43[[#This Row],[Date]])</f>
        <v>20</v>
      </c>
      <c r="O137" s="13" t="str">
        <f>TEXT(DATE(2023,Table43[[#This Row],[Month]],1),"mmm")</f>
        <v>May</v>
      </c>
      <c r="P137" s="13"/>
      <c r="Q137" s="13"/>
    </row>
    <row r="138" spans="1:17" x14ac:dyDescent="0.3">
      <c r="A138" s="6">
        <v>137</v>
      </c>
      <c r="B138" s="7">
        <v>45112</v>
      </c>
      <c r="C138" s="8" t="s">
        <v>17</v>
      </c>
      <c r="D138" s="8" t="s">
        <v>18</v>
      </c>
      <c r="E138" s="8" t="s">
        <v>19</v>
      </c>
      <c r="F138" s="8" t="s">
        <v>20</v>
      </c>
      <c r="G138" s="8" t="s">
        <v>28</v>
      </c>
      <c r="H138" s="9">
        <v>43630.27</v>
      </c>
      <c r="I138" s="8">
        <v>1</v>
      </c>
      <c r="J138" s="10">
        <v>5720.89</v>
      </c>
      <c r="K138" s="17" t="str" cm="1">
        <f t="array" ref="K138">_xlfn.IFS(Table43[[#This Row],[Sales]]&gt;40000,"Best Sales",Table43[[#This Row],[Sales]]&gt;20000,"Average Sales",Table43[[#This Row],[Sales]]&gt;0,"Poor Sales")</f>
        <v>Best Sales</v>
      </c>
      <c r="L138" s="12">
        <f>YEAR(Table43[[#This Row],[Date]])</f>
        <v>2023</v>
      </c>
      <c r="M138" s="12">
        <f>MONTH(Table43[[#This Row],[Date]])</f>
        <v>7</v>
      </c>
      <c r="N138" s="13">
        <f>DAY(Table43[[#This Row],[Date]])</f>
        <v>5</v>
      </c>
      <c r="O138" s="13" t="str">
        <f>TEXT(DATE(2023,Table43[[#This Row],[Month]],1),"mmm")</f>
        <v>Jul</v>
      </c>
      <c r="P138" s="13"/>
      <c r="Q138" s="13"/>
    </row>
    <row r="139" spans="1:17" x14ac:dyDescent="0.3">
      <c r="A139" s="14">
        <v>138</v>
      </c>
      <c r="B139" s="15">
        <v>45222</v>
      </c>
      <c r="C139" s="16" t="s">
        <v>37</v>
      </c>
      <c r="D139" s="16" t="s">
        <v>23</v>
      </c>
      <c r="E139" s="16" t="s">
        <v>19</v>
      </c>
      <c r="F139" s="16" t="s">
        <v>38</v>
      </c>
      <c r="G139" s="16" t="s">
        <v>46</v>
      </c>
      <c r="H139" s="17">
        <v>45089.98</v>
      </c>
      <c r="I139" s="16">
        <v>5</v>
      </c>
      <c r="J139" s="18">
        <v>4787.6899999999996</v>
      </c>
      <c r="K139" s="17" t="str" cm="1">
        <f t="array" ref="K139">_xlfn.IFS(Table43[[#This Row],[Sales]]&gt;40000,"Best Sales",Table43[[#This Row],[Sales]]&gt;20000,"Average Sales",Table43[[#This Row],[Sales]]&gt;0,"Poor Sales")</f>
        <v>Best Sales</v>
      </c>
      <c r="L139" s="12">
        <f>YEAR(Table43[[#This Row],[Date]])</f>
        <v>2023</v>
      </c>
      <c r="M139" s="12">
        <f>MONTH(Table43[[#This Row],[Date]])</f>
        <v>10</v>
      </c>
      <c r="N139" s="13">
        <f>DAY(Table43[[#This Row],[Date]])</f>
        <v>23</v>
      </c>
      <c r="O139" s="13" t="str">
        <f>TEXT(DATE(2023,Table43[[#This Row],[Month]],1),"mmm")</f>
        <v>Oct</v>
      </c>
      <c r="P139" s="13"/>
      <c r="Q139" s="13"/>
    </row>
    <row r="140" spans="1:17" x14ac:dyDescent="0.3">
      <c r="A140" s="6">
        <v>139</v>
      </c>
      <c r="B140" s="7">
        <v>45193</v>
      </c>
      <c r="C140" s="8" t="s">
        <v>37</v>
      </c>
      <c r="D140" s="8" t="s">
        <v>23</v>
      </c>
      <c r="E140" s="8" t="s">
        <v>19</v>
      </c>
      <c r="F140" s="8" t="s">
        <v>31</v>
      </c>
      <c r="G140" s="8" t="s">
        <v>36</v>
      </c>
      <c r="H140" s="9">
        <v>41314.769999999997</v>
      </c>
      <c r="I140" s="8">
        <v>7</v>
      </c>
      <c r="J140" s="10">
        <v>9847.14</v>
      </c>
      <c r="K140" s="17" t="str" cm="1">
        <f t="array" ref="K140">_xlfn.IFS(Table43[[#This Row],[Sales]]&gt;40000,"Best Sales",Table43[[#This Row],[Sales]]&gt;20000,"Average Sales",Table43[[#This Row],[Sales]]&gt;0,"Poor Sales")</f>
        <v>Best Sales</v>
      </c>
      <c r="L140" s="12">
        <f>YEAR(Table43[[#This Row],[Date]])</f>
        <v>2023</v>
      </c>
      <c r="M140" s="12">
        <f>MONTH(Table43[[#This Row],[Date]])</f>
        <v>9</v>
      </c>
      <c r="N140" s="13">
        <f>DAY(Table43[[#This Row],[Date]])</f>
        <v>24</v>
      </c>
      <c r="O140" s="13" t="str">
        <f>TEXT(DATE(2023,Table43[[#This Row],[Month]],1),"mmm")</f>
        <v>Sep</v>
      </c>
      <c r="P140" s="13"/>
      <c r="Q140" s="13"/>
    </row>
    <row r="141" spans="1:17" x14ac:dyDescent="0.3">
      <c r="A141" s="14">
        <v>140</v>
      </c>
      <c r="B141" s="15">
        <v>44981</v>
      </c>
      <c r="C141" s="16" t="s">
        <v>37</v>
      </c>
      <c r="D141" s="16" t="s">
        <v>23</v>
      </c>
      <c r="E141" s="16" t="s">
        <v>19</v>
      </c>
      <c r="F141" s="16" t="s">
        <v>31</v>
      </c>
      <c r="G141" s="16" t="s">
        <v>35</v>
      </c>
      <c r="H141" s="17">
        <v>33348.76</v>
      </c>
      <c r="I141" s="16">
        <v>2</v>
      </c>
      <c r="J141" s="18">
        <v>3732.78</v>
      </c>
      <c r="K141" s="17" t="str" cm="1">
        <f t="array" ref="K141">_xlfn.IFS(Table43[[#This Row],[Sales]]&gt;40000,"Best Sales",Table43[[#This Row],[Sales]]&gt;20000,"Average Sales",Table43[[#This Row],[Sales]]&gt;0,"Poor Sales")</f>
        <v>Average Sales</v>
      </c>
      <c r="L141" s="12">
        <f>YEAR(Table43[[#This Row],[Date]])</f>
        <v>2023</v>
      </c>
      <c r="M141" s="12">
        <f>MONTH(Table43[[#This Row],[Date]])</f>
        <v>2</v>
      </c>
      <c r="N141" s="13">
        <f>DAY(Table43[[#This Row],[Date]])</f>
        <v>24</v>
      </c>
      <c r="O141" s="13" t="str">
        <f>TEXT(DATE(2023,Table43[[#This Row],[Month]],1),"mmm")</f>
        <v>Feb</v>
      </c>
      <c r="P141" s="13"/>
      <c r="Q141" s="13"/>
    </row>
    <row r="142" spans="1:17" x14ac:dyDescent="0.3">
      <c r="A142" s="6">
        <v>141</v>
      </c>
      <c r="B142" s="7">
        <v>44944</v>
      </c>
      <c r="C142" s="8" t="s">
        <v>25</v>
      </c>
      <c r="D142" s="8" t="s">
        <v>26</v>
      </c>
      <c r="E142" s="8" t="s">
        <v>19</v>
      </c>
      <c r="F142" s="8" t="s">
        <v>20</v>
      </c>
      <c r="G142" s="8" t="s">
        <v>21</v>
      </c>
      <c r="H142" s="9">
        <v>36059.56</v>
      </c>
      <c r="I142" s="8">
        <v>8</v>
      </c>
      <c r="J142" s="10">
        <v>6777.54</v>
      </c>
      <c r="K142" s="17" t="str" cm="1">
        <f t="array" ref="K142">_xlfn.IFS(Table43[[#This Row],[Sales]]&gt;40000,"Best Sales",Table43[[#This Row],[Sales]]&gt;20000,"Average Sales",Table43[[#This Row],[Sales]]&gt;0,"Poor Sales")</f>
        <v>Average Sales</v>
      </c>
      <c r="L142" s="12">
        <f>YEAR(Table43[[#This Row],[Date]])</f>
        <v>2023</v>
      </c>
      <c r="M142" s="12">
        <f>MONTH(Table43[[#This Row],[Date]])</f>
        <v>1</v>
      </c>
      <c r="N142" s="13">
        <f>DAY(Table43[[#This Row],[Date]])</f>
        <v>18</v>
      </c>
      <c r="O142" s="13" t="str">
        <f>TEXT(DATE(2023,Table43[[#This Row],[Month]],1),"mmm")</f>
        <v>Jan</v>
      </c>
      <c r="P142" s="13"/>
      <c r="Q142" s="13"/>
    </row>
    <row r="143" spans="1:17" x14ac:dyDescent="0.3">
      <c r="A143" s="14">
        <v>142</v>
      </c>
      <c r="B143" s="15">
        <v>45063</v>
      </c>
      <c r="C143" s="16" t="s">
        <v>44</v>
      </c>
      <c r="D143" s="16" t="s">
        <v>34</v>
      </c>
      <c r="E143" s="16" t="s">
        <v>19</v>
      </c>
      <c r="F143" s="16" t="s">
        <v>31</v>
      </c>
      <c r="G143" s="16" t="s">
        <v>36</v>
      </c>
      <c r="H143" s="17">
        <v>21431.96</v>
      </c>
      <c r="I143" s="16">
        <v>6</v>
      </c>
      <c r="J143" s="18">
        <v>2214.5500000000002</v>
      </c>
      <c r="K143" s="17" t="str" cm="1">
        <f t="array" ref="K143">_xlfn.IFS(Table43[[#This Row],[Sales]]&gt;40000,"Best Sales",Table43[[#This Row],[Sales]]&gt;20000,"Average Sales",Table43[[#This Row],[Sales]]&gt;0,"Poor Sales")</f>
        <v>Average Sales</v>
      </c>
      <c r="L143" s="12">
        <f>YEAR(Table43[[#This Row],[Date]])</f>
        <v>2023</v>
      </c>
      <c r="M143" s="12">
        <f>MONTH(Table43[[#This Row],[Date]])</f>
        <v>5</v>
      </c>
      <c r="N143" s="13">
        <f>DAY(Table43[[#This Row],[Date]])</f>
        <v>17</v>
      </c>
      <c r="O143" s="13" t="str">
        <f>TEXT(DATE(2023,Table43[[#This Row],[Month]],1),"mmm")</f>
        <v>May</v>
      </c>
      <c r="P143" s="13"/>
      <c r="Q143" s="13"/>
    </row>
    <row r="144" spans="1:17" x14ac:dyDescent="0.3">
      <c r="A144" s="6">
        <v>143</v>
      </c>
      <c r="B144" s="7">
        <v>45177</v>
      </c>
      <c r="C144" s="8" t="s">
        <v>33</v>
      </c>
      <c r="D144" s="8" t="s">
        <v>34</v>
      </c>
      <c r="E144" s="8" t="s">
        <v>19</v>
      </c>
      <c r="F144" s="8" t="s">
        <v>20</v>
      </c>
      <c r="G144" s="8" t="s">
        <v>21</v>
      </c>
      <c r="H144" s="9">
        <v>29187.79</v>
      </c>
      <c r="I144" s="8">
        <v>2</v>
      </c>
      <c r="J144" s="10">
        <v>1532.13</v>
      </c>
      <c r="K144" s="17" t="str" cm="1">
        <f t="array" ref="K144">_xlfn.IFS(Table43[[#This Row],[Sales]]&gt;40000,"Best Sales",Table43[[#This Row],[Sales]]&gt;20000,"Average Sales",Table43[[#This Row],[Sales]]&gt;0,"Poor Sales")</f>
        <v>Average Sales</v>
      </c>
      <c r="L144" s="12">
        <f>YEAR(Table43[[#This Row],[Date]])</f>
        <v>2023</v>
      </c>
      <c r="M144" s="12">
        <f>MONTH(Table43[[#This Row],[Date]])</f>
        <v>9</v>
      </c>
      <c r="N144" s="13">
        <f>DAY(Table43[[#This Row],[Date]])</f>
        <v>8</v>
      </c>
      <c r="O144" s="13" t="str">
        <f>TEXT(DATE(2023,Table43[[#This Row],[Month]],1),"mmm")</f>
        <v>Sep</v>
      </c>
      <c r="P144" s="13"/>
      <c r="Q144" s="13"/>
    </row>
    <row r="145" spans="1:17" x14ac:dyDescent="0.3">
      <c r="A145" s="14">
        <v>144</v>
      </c>
      <c r="B145" s="15">
        <v>44930</v>
      </c>
      <c r="C145" s="16" t="s">
        <v>37</v>
      </c>
      <c r="D145" s="16" t="s">
        <v>23</v>
      </c>
      <c r="E145" s="16" t="s">
        <v>24</v>
      </c>
      <c r="F145" s="16" t="s">
        <v>38</v>
      </c>
      <c r="G145" s="16" t="s">
        <v>39</v>
      </c>
      <c r="H145" s="17">
        <v>45025.54</v>
      </c>
      <c r="I145" s="16">
        <v>2</v>
      </c>
      <c r="J145" s="18">
        <v>12720.22</v>
      </c>
      <c r="K145" s="17" t="str" cm="1">
        <f t="array" ref="K145">_xlfn.IFS(Table43[[#This Row],[Sales]]&gt;40000,"Best Sales",Table43[[#This Row],[Sales]]&gt;20000,"Average Sales",Table43[[#This Row],[Sales]]&gt;0,"Poor Sales")</f>
        <v>Best Sales</v>
      </c>
      <c r="L145" s="12">
        <f>YEAR(Table43[[#This Row],[Date]])</f>
        <v>2023</v>
      </c>
      <c r="M145" s="12">
        <f>MONTH(Table43[[#This Row],[Date]])</f>
        <v>1</v>
      </c>
      <c r="N145" s="13">
        <f>DAY(Table43[[#This Row],[Date]])</f>
        <v>4</v>
      </c>
      <c r="O145" s="13" t="str">
        <f>TEXT(DATE(2023,Table43[[#This Row],[Month]],1),"mmm")</f>
        <v>Jan</v>
      </c>
      <c r="P145" s="13"/>
      <c r="Q145" s="13"/>
    </row>
    <row r="146" spans="1:17" x14ac:dyDescent="0.3">
      <c r="A146" s="6">
        <v>145</v>
      </c>
      <c r="B146" s="7">
        <v>45118</v>
      </c>
      <c r="C146" s="8" t="s">
        <v>22</v>
      </c>
      <c r="D146" s="8" t="s">
        <v>23</v>
      </c>
      <c r="E146" s="8" t="s">
        <v>24</v>
      </c>
      <c r="F146" s="8" t="s">
        <v>20</v>
      </c>
      <c r="G146" s="8" t="s">
        <v>21</v>
      </c>
      <c r="H146" s="9">
        <v>29484.35</v>
      </c>
      <c r="I146" s="8">
        <v>4</v>
      </c>
      <c r="J146" s="10">
        <v>2052.4299999999998</v>
      </c>
      <c r="K146" s="17" t="str" cm="1">
        <f t="array" ref="K146">_xlfn.IFS(Table43[[#This Row],[Sales]]&gt;40000,"Best Sales",Table43[[#This Row],[Sales]]&gt;20000,"Average Sales",Table43[[#This Row],[Sales]]&gt;0,"Poor Sales")</f>
        <v>Average Sales</v>
      </c>
      <c r="L146" s="12">
        <f>YEAR(Table43[[#This Row],[Date]])</f>
        <v>2023</v>
      </c>
      <c r="M146" s="12">
        <f>MONTH(Table43[[#This Row],[Date]])</f>
        <v>7</v>
      </c>
      <c r="N146" s="13">
        <f>DAY(Table43[[#This Row],[Date]])</f>
        <v>11</v>
      </c>
      <c r="O146" s="13" t="str">
        <f>TEXT(DATE(2023,Table43[[#This Row],[Month]],1),"mmm")</f>
        <v>Jul</v>
      </c>
      <c r="P146" s="13"/>
      <c r="Q146" s="13"/>
    </row>
    <row r="147" spans="1:17" x14ac:dyDescent="0.3">
      <c r="A147" s="14">
        <v>146</v>
      </c>
      <c r="B147" s="15">
        <v>45067</v>
      </c>
      <c r="C147" s="16" t="s">
        <v>33</v>
      </c>
      <c r="D147" s="16" t="s">
        <v>34</v>
      </c>
      <c r="E147" s="16" t="s">
        <v>24</v>
      </c>
      <c r="F147" s="16" t="s">
        <v>20</v>
      </c>
      <c r="G147" s="16" t="s">
        <v>41</v>
      </c>
      <c r="H147" s="17">
        <v>16959.68</v>
      </c>
      <c r="I147" s="16">
        <v>4</v>
      </c>
      <c r="J147" s="18">
        <v>1943.65</v>
      </c>
      <c r="K147" s="17" t="str" cm="1">
        <f t="array" ref="K147">_xlfn.IFS(Table43[[#This Row],[Sales]]&gt;40000,"Best Sales",Table43[[#This Row],[Sales]]&gt;20000,"Average Sales",Table43[[#This Row],[Sales]]&gt;0,"Poor Sales")</f>
        <v>Poor Sales</v>
      </c>
      <c r="L147" s="12">
        <f>YEAR(Table43[[#This Row],[Date]])</f>
        <v>2023</v>
      </c>
      <c r="M147" s="12">
        <f>MONTH(Table43[[#This Row],[Date]])</f>
        <v>5</v>
      </c>
      <c r="N147" s="13">
        <f>DAY(Table43[[#This Row],[Date]])</f>
        <v>21</v>
      </c>
      <c r="O147" s="13" t="str">
        <f>TEXT(DATE(2023,Table43[[#This Row],[Month]],1),"mmm")</f>
        <v>May</v>
      </c>
      <c r="P147" s="13"/>
      <c r="Q147" s="13"/>
    </row>
    <row r="148" spans="1:17" x14ac:dyDescent="0.3">
      <c r="A148" s="6">
        <v>147</v>
      </c>
      <c r="B148" s="7">
        <v>45022</v>
      </c>
      <c r="C148" s="8" t="s">
        <v>45</v>
      </c>
      <c r="D148" s="8" t="s">
        <v>34</v>
      </c>
      <c r="E148" s="8" t="s">
        <v>24</v>
      </c>
      <c r="F148" s="8" t="s">
        <v>20</v>
      </c>
      <c r="G148" s="8" t="s">
        <v>41</v>
      </c>
      <c r="H148" s="9">
        <v>31987.86</v>
      </c>
      <c r="I148" s="8">
        <v>8</v>
      </c>
      <c r="J148" s="10">
        <v>9445.74</v>
      </c>
      <c r="K148" s="17" t="str" cm="1">
        <f t="array" ref="K148">_xlfn.IFS(Table43[[#This Row],[Sales]]&gt;40000,"Best Sales",Table43[[#This Row],[Sales]]&gt;20000,"Average Sales",Table43[[#This Row],[Sales]]&gt;0,"Poor Sales")</f>
        <v>Average Sales</v>
      </c>
      <c r="L148" s="12">
        <f>YEAR(Table43[[#This Row],[Date]])</f>
        <v>2023</v>
      </c>
      <c r="M148" s="12">
        <f>MONTH(Table43[[#This Row],[Date]])</f>
        <v>4</v>
      </c>
      <c r="N148" s="13">
        <f>DAY(Table43[[#This Row],[Date]])</f>
        <v>6</v>
      </c>
      <c r="O148" s="13" t="str">
        <f>TEXT(DATE(2023,Table43[[#This Row],[Month]],1),"mmm")</f>
        <v>Apr</v>
      </c>
      <c r="P148" s="13"/>
      <c r="Q148" s="13"/>
    </row>
    <row r="149" spans="1:17" x14ac:dyDescent="0.3">
      <c r="A149" s="14">
        <v>148</v>
      </c>
      <c r="B149" s="15">
        <v>44953</v>
      </c>
      <c r="C149" s="16" t="s">
        <v>45</v>
      </c>
      <c r="D149" s="16" t="s">
        <v>34</v>
      </c>
      <c r="E149" s="16" t="s">
        <v>24</v>
      </c>
      <c r="F149" s="16" t="s">
        <v>38</v>
      </c>
      <c r="G149" s="16" t="s">
        <v>39</v>
      </c>
      <c r="H149" s="17">
        <v>24644.97</v>
      </c>
      <c r="I149" s="16">
        <v>5</v>
      </c>
      <c r="J149" s="18">
        <v>2363.06</v>
      </c>
      <c r="K149" s="17" t="str" cm="1">
        <f t="array" ref="K149">_xlfn.IFS(Table43[[#This Row],[Sales]]&gt;40000,"Best Sales",Table43[[#This Row],[Sales]]&gt;20000,"Average Sales",Table43[[#This Row],[Sales]]&gt;0,"Poor Sales")</f>
        <v>Average Sales</v>
      </c>
      <c r="L149" s="12">
        <f>YEAR(Table43[[#This Row],[Date]])</f>
        <v>2023</v>
      </c>
      <c r="M149" s="12">
        <f>MONTH(Table43[[#This Row],[Date]])</f>
        <v>1</v>
      </c>
      <c r="N149" s="13">
        <f>DAY(Table43[[#This Row],[Date]])</f>
        <v>27</v>
      </c>
      <c r="O149" s="13" t="str">
        <f>TEXT(DATE(2023,Table43[[#This Row],[Month]],1),"mmm")</f>
        <v>Jan</v>
      </c>
      <c r="P149" s="13"/>
      <c r="Q149" s="13"/>
    </row>
    <row r="150" spans="1:17" x14ac:dyDescent="0.3">
      <c r="A150" s="6">
        <v>149</v>
      </c>
      <c r="B150" s="7">
        <v>45241</v>
      </c>
      <c r="C150" s="8" t="s">
        <v>44</v>
      </c>
      <c r="D150" s="8" t="s">
        <v>34</v>
      </c>
      <c r="E150" s="8" t="s">
        <v>24</v>
      </c>
      <c r="F150" s="8" t="s">
        <v>20</v>
      </c>
      <c r="G150" s="8" t="s">
        <v>21</v>
      </c>
      <c r="H150" s="9">
        <v>28554.67</v>
      </c>
      <c r="I150" s="8">
        <v>9</v>
      </c>
      <c r="J150" s="10">
        <v>7750.57</v>
      </c>
      <c r="K150" s="17" t="str" cm="1">
        <f t="array" ref="K150">_xlfn.IFS(Table43[[#This Row],[Sales]]&gt;40000,"Best Sales",Table43[[#This Row],[Sales]]&gt;20000,"Average Sales",Table43[[#This Row],[Sales]]&gt;0,"Poor Sales")</f>
        <v>Average Sales</v>
      </c>
      <c r="L150" s="12">
        <f>YEAR(Table43[[#This Row],[Date]])</f>
        <v>2023</v>
      </c>
      <c r="M150" s="12">
        <f>MONTH(Table43[[#This Row],[Date]])</f>
        <v>11</v>
      </c>
      <c r="N150" s="13">
        <f>DAY(Table43[[#This Row],[Date]])</f>
        <v>11</v>
      </c>
      <c r="O150" s="13" t="str">
        <f>TEXT(DATE(2023,Table43[[#This Row],[Month]],1),"mmm")</f>
        <v>Nov</v>
      </c>
      <c r="P150" s="13"/>
      <c r="Q150" s="13"/>
    </row>
    <row r="151" spans="1:17" x14ac:dyDescent="0.3">
      <c r="A151" s="14">
        <v>150</v>
      </c>
      <c r="B151" s="15">
        <v>44960</v>
      </c>
      <c r="C151" s="16" t="s">
        <v>25</v>
      </c>
      <c r="D151" s="16" t="s">
        <v>26</v>
      </c>
      <c r="E151" s="16" t="s">
        <v>24</v>
      </c>
      <c r="F151" s="16" t="s">
        <v>20</v>
      </c>
      <c r="G151" s="16" t="s">
        <v>41</v>
      </c>
      <c r="H151" s="17">
        <v>8418.6</v>
      </c>
      <c r="I151" s="16">
        <v>7</v>
      </c>
      <c r="J151" s="18">
        <v>1523.75</v>
      </c>
      <c r="K151" s="17" t="str" cm="1">
        <f t="array" ref="K151">_xlfn.IFS(Table43[[#This Row],[Sales]]&gt;40000,"Best Sales",Table43[[#This Row],[Sales]]&gt;20000,"Average Sales",Table43[[#This Row],[Sales]]&gt;0,"Poor Sales")</f>
        <v>Poor Sales</v>
      </c>
      <c r="L151" s="12">
        <f>YEAR(Table43[[#This Row],[Date]])</f>
        <v>2023</v>
      </c>
      <c r="M151" s="12">
        <f>MONTH(Table43[[#This Row],[Date]])</f>
        <v>2</v>
      </c>
      <c r="N151" s="13">
        <f>DAY(Table43[[#This Row],[Date]])</f>
        <v>3</v>
      </c>
      <c r="O151" s="13" t="str">
        <f>TEXT(DATE(2023,Table43[[#This Row],[Month]],1),"mmm")</f>
        <v>Feb</v>
      </c>
      <c r="P151" s="13"/>
      <c r="Q151" s="13"/>
    </row>
    <row r="152" spans="1:17" x14ac:dyDescent="0.3">
      <c r="A152" s="6">
        <v>151</v>
      </c>
      <c r="B152" s="7">
        <v>45257</v>
      </c>
      <c r="C152" s="8" t="s">
        <v>25</v>
      </c>
      <c r="D152" s="8" t="s">
        <v>26</v>
      </c>
      <c r="E152" s="8" t="s">
        <v>24</v>
      </c>
      <c r="F152" s="8" t="s">
        <v>31</v>
      </c>
      <c r="G152" s="8" t="s">
        <v>35</v>
      </c>
      <c r="H152" s="9">
        <v>27560.07</v>
      </c>
      <c r="I152" s="8">
        <v>8</v>
      </c>
      <c r="J152" s="10">
        <v>2515.9699999999998</v>
      </c>
      <c r="K152" s="17" t="str" cm="1">
        <f t="array" ref="K152">_xlfn.IFS(Table43[[#This Row],[Sales]]&gt;40000,"Best Sales",Table43[[#This Row],[Sales]]&gt;20000,"Average Sales",Table43[[#This Row],[Sales]]&gt;0,"Poor Sales")</f>
        <v>Average Sales</v>
      </c>
      <c r="L152" s="12">
        <f>YEAR(Table43[[#This Row],[Date]])</f>
        <v>2023</v>
      </c>
      <c r="M152" s="12">
        <f>MONTH(Table43[[#This Row],[Date]])</f>
        <v>11</v>
      </c>
      <c r="N152" s="13">
        <f>DAY(Table43[[#This Row],[Date]])</f>
        <v>27</v>
      </c>
      <c r="O152" s="13" t="str">
        <f>TEXT(DATE(2023,Table43[[#This Row],[Month]],1),"mmm")</f>
        <v>Nov</v>
      </c>
      <c r="P152" s="13"/>
      <c r="Q152" s="13"/>
    </row>
    <row r="153" spans="1:17" x14ac:dyDescent="0.3">
      <c r="A153" s="14">
        <v>152</v>
      </c>
      <c r="B153" s="15">
        <v>45201</v>
      </c>
      <c r="C153" s="16" t="s">
        <v>42</v>
      </c>
      <c r="D153" s="16" t="s">
        <v>43</v>
      </c>
      <c r="E153" s="16" t="s">
        <v>24</v>
      </c>
      <c r="F153" s="16" t="s">
        <v>31</v>
      </c>
      <c r="G153" s="16" t="s">
        <v>32</v>
      </c>
      <c r="H153" s="17">
        <v>13616.19</v>
      </c>
      <c r="I153" s="16">
        <v>10</v>
      </c>
      <c r="J153" s="18">
        <v>4009.3</v>
      </c>
      <c r="K153" s="17" t="str" cm="1">
        <f t="array" ref="K153">_xlfn.IFS(Table43[[#This Row],[Sales]]&gt;40000,"Best Sales",Table43[[#This Row],[Sales]]&gt;20000,"Average Sales",Table43[[#This Row],[Sales]]&gt;0,"Poor Sales")</f>
        <v>Poor Sales</v>
      </c>
      <c r="L153" s="12">
        <f>YEAR(Table43[[#This Row],[Date]])</f>
        <v>2023</v>
      </c>
      <c r="M153" s="12">
        <f>MONTH(Table43[[#This Row],[Date]])</f>
        <v>10</v>
      </c>
      <c r="N153" s="13">
        <f>DAY(Table43[[#This Row],[Date]])</f>
        <v>2</v>
      </c>
      <c r="O153" s="13" t="str">
        <f>TEXT(DATE(2023,Table43[[#This Row],[Month]],1),"mmm")</f>
        <v>Oct</v>
      </c>
      <c r="P153" s="13"/>
      <c r="Q153" s="13"/>
    </row>
    <row r="154" spans="1:17" x14ac:dyDescent="0.3">
      <c r="A154" s="6">
        <v>153</v>
      </c>
      <c r="B154" s="7">
        <v>45139</v>
      </c>
      <c r="C154" s="8" t="s">
        <v>42</v>
      </c>
      <c r="D154" s="8" t="s">
        <v>43</v>
      </c>
      <c r="E154" s="8" t="s">
        <v>24</v>
      </c>
      <c r="F154" s="8" t="s">
        <v>20</v>
      </c>
      <c r="G154" s="8" t="s">
        <v>28</v>
      </c>
      <c r="H154" s="9">
        <v>25212.93</v>
      </c>
      <c r="I154" s="8">
        <v>8</v>
      </c>
      <c r="J154" s="10">
        <v>3535.68</v>
      </c>
      <c r="K154" s="17" t="str" cm="1">
        <f t="array" ref="K154">_xlfn.IFS(Table43[[#This Row],[Sales]]&gt;40000,"Best Sales",Table43[[#This Row],[Sales]]&gt;20000,"Average Sales",Table43[[#This Row],[Sales]]&gt;0,"Poor Sales")</f>
        <v>Average Sales</v>
      </c>
      <c r="L154" s="12">
        <f>YEAR(Table43[[#This Row],[Date]])</f>
        <v>2023</v>
      </c>
      <c r="M154" s="12">
        <f>MONTH(Table43[[#This Row],[Date]])</f>
        <v>8</v>
      </c>
      <c r="N154" s="13">
        <f>DAY(Table43[[#This Row],[Date]])</f>
        <v>1</v>
      </c>
      <c r="O154" s="13" t="str">
        <f>TEXT(DATE(2023,Table43[[#This Row],[Month]],1),"mmm")</f>
        <v>Aug</v>
      </c>
      <c r="P154" s="13"/>
      <c r="Q154" s="13"/>
    </row>
    <row r="155" spans="1:17" x14ac:dyDescent="0.3">
      <c r="A155" s="14">
        <v>154</v>
      </c>
      <c r="B155" s="15">
        <v>44977</v>
      </c>
      <c r="C155" s="16" t="s">
        <v>22</v>
      </c>
      <c r="D155" s="16" t="s">
        <v>23</v>
      </c>
      <c r="E155" s="16" t="s">
        <v>24</v>
      </c>
      <c r="F155" s="16" t="s">
        <v>38</v>
      </c>
      <c r="G155" s="16" t="s">
        <v>46</v>
      </c>
      <c r="H155" s="17">
        <v>43825.39</v>
      </c>
      <c r="I155" s="16">
        <v>6</v>
      </c>
      <c r="J155" s="18">
        <v>10611</v>
      </c>
      <c r="K155" s="17" t="str" cm="1">
        <f t="array" ref="K155">_xlfn.IFS(Table43[[#This Row],[Sales]]&gt;40000,"Best Sales",Table43[[#This Row],[Sales]]&gt;20000,"Average Sales",Table43[[#This Row],[Sales]]&gt;0,"Poor Sales")</f>
        <v>Best Sales</v>
      </c>
      <c r="L155" s="12">
        <f>YEAR(Table43[[#This Row],[Date]])</f>
        <v>2023</v>
      </c>
      <c r="M155" s="12">
        <f>MONTH(Table43[[#This Row],[Date]])</f>
        <v>2</v>
      </c>
      <c r="N155" s="13">
        <f>DAY(Table43[[#This Row],[Date]])</f>
        <v>20</v>
      </c>
      <c r="O155" s="13" t="str">
        <f>TEXT(DATE(2023,Table43[[#This Row],[Month]],1),"mmm")</f>
        <v>Feb</v>
      </c>
      <c r="P155" s="13"/>
      <c r="Q155" s="13"/>
    </row>
    <row r="156" spans="1:17" x14ac:dyDescent="0.3">
      <c r="A156" s="6">
        <v>155</v>
      </c>
      <c r="B156" s="7">
        <v>45011</v>
      </c>
      <c r="C156" s="8" t="s">
        <v>29</v>
      </c>
      <c r="D156" s="8" t="s">
        <v>29</v>
      </c>
      <c r="E156" s="8" t="s">
        <v>24</v>
      </c>
      <c r="F156" s="8" t="s">
        <v>31</v>
      </c>
      <c r="G156" s="8" t="s">
        <v>36</v>
      </c>
      <c r="H156" s="9">
        <v>40738.550000000003</v>
      </c>
      <c r="I156" s="8">
        <v>10</v>
      </c>
      <c r="J156" s="10">
        <v>3969.18</v>
      </c>
      <c r="K156" s="17" t="str" cm="1">
        <f t="array" ref="K156">_xlfn.IFS(Table43[[#This Row],[Sales]]&gt;40000,"Best Sales",Table43[[#This Row],[Sales]]&gt;20000,"Average Sales",Table43[[#This Row],[Sales]]&gt;0,"Poor Sales")</f>
        <v>Best Sales</v>
      </c>
      <c r="L156" s="12">
        <f>YEAR(Table43[[#This Row],[Date]])</f>
        <v>2023</v>
      </c>
      <c r="M156" s="12">
        <f>MONTH(Table43[[#This Row],[Date]])</f>
        <v>3</v>
      </c>
      <c r="N156" s="13">
        <f>DAY(Table43[[#This Row],[Date]])</f>
        <v>26</v>
      </c>
      <c r="O156" s="13" t="str">
        <f>TEXT(DATE(2023,Table43[[#This Row],[Month]],1),"mmm")</f>
        <v>Mar</v>
      </c>
      <c r="P156" s="13"/>
      <c r="Q156" s="13"/>
    </row>
    <row r="157" spans="1:17" x14ac:dyDescent="0.3">
      <c r="A157" s="14">
        <v>156</v>
      </c>
      <c r="B157" s="15">
        <v>45007</v>
      </c>
      <c r="C157" s="16" t="s">
        <v>17</v>
      </c>
      <c r="D157" s="16" t="s">
        <v>18</v>
      </c>
      <c r="E157" s="16" t="s">
        <v>24</v>
      </c>
      <c r="F157" s="16" t="s">
        <v>31</v>
      </c>
      <c r="G157" s="16" t="s">
        <v>35</v>
      </c>
      <c r="H157" s="17">
        <v>8460.74</v>
      </c>
      <c r="I157" s="16">
        <v>4</v>
      </c>
      <c r="J157" s="18">
        <v>1472.42</v>
      </c>
      <c r="K157" s="17" t="str" cm="1">
        <f t="array" ref="K157">_xlfn.IFS(Table43[[#This Row],[Sales]]&gt;40000,"Best Sales",Table43[[#This Row],[Sales]]&gt;20000,"Average Sales",Table43[[#This Row],[Sales]]&gt;0,"Poor Sales")</f>
        <v>Poor Sales</v>
      </c>
      <c r="L157" s="12">
        <f>YEAR(Table43[[#This Row],[Date]])</f>
        <v>2023</v>
      </c>
      <c r="M157" s="12">
        <f>MONTH(Table43[[#This Row],[Date]])</f>
        <v>3</v>
      </c>
      <c r="N157" s="13">
        <f>DAY(Table43[[#This Row],[Date]])</f>
        <v>22</v>
      </c>
      <c r="O157" s="13" t="str">
        <f>TEXT(DATE(2023,Table43[[#This Row],[Month]],1),"mmm")</f>
        <v>Mar</v>
      </c>
      <c r="P157" s="13"/>
      <c r="Q157" s="13"/>
    </row>
    <row r="158" spans="1:17" x14ac:dyDescent="0.3">
      <c r="A158" s="6">
        <v>157</v>
      </c>
      <c r="B158" s="7">
        <v>45002</v>
      </c>
      <c r="C158" s="8" t="s">
        <v>44</v>
      </c>
      <c r="D158" s="8" t="s">
        <v>34</v>
      </c>
      <c r="E158" s="8" t="s">
        <v>24</v>
      </c>
      <c r="F158" s="8" t="s">
        <v>20</v>
      </c>
      <c r="G158" s="8" t="s">
        <v>41</v>
      </c>
      <c r="H158" s="9">
        <v>41629.51</v>
      </c>
      <c r="I158" s="8">
        <v>9</v>
      </c>
      <c r="J158" s="10">
        <v>11605.29</v>
      </c>
      <c r="K158" s="17" t="str" cm="1">
        <f t="array" ref="K158">_xlfn.IFS(Table43[[#This Row],[Sales]]&gt;40000,"Best Sales",Table43[[#This Row],[Sales]]&gt;20000,"Average Sales",Table43[[#This Row],[Sales]]&gt;0,"Poor Sales")</f>
        <v>Best Sales</v>
      </c>
      <c r="L158" s="12">
        <f>YEAR(Table43[[#This Row],[Date]])</f>
        <v>2023</v>
      </c>
      <c r="M158" s="12">
        <f>MONTH(Table43[[#This Row],[Date]])</f>
        <v>3</v>
      </c>
      <c r="N158" s="13">
        <f>DAY(Table43[[#This Row],[Date]])</f>
        <v>17</v>
      </c>
      <c r="O158" s="13" t="str">
        <f>TEXT(DATE(2023,Table43[[#This Row],[Month]],1),"mmm")</f>
        <v>Mar</v>
      </c>
      <c r="P158" s="13"/>
      <c r="Q158" s="13"/>
    </row>
    <row r="159" spans="1:17" x14ac:dyDescent="0.3">
      <c r="A159" s="14">
        <v>158</v>
      </c>
      <c r="B159" s="15">
        <v>45166</v>
      </c>
      <c r="C159" s="16" t="s">
        <v>22</v>
      </c>
      <c r="D159" s="16" t="s">
        <v>23</v>
      </c>
      <c r="E159" s="16" t="s">
        <v>24</v>
      </c>
      <c r="F159" s="16" t="s">
        <v>31</v>
      </c>
      <c r="G159" s="16" t="s">
        <v>35</v>
      </c>
      <c r="H159" s="17">
        <v>26680.82</v>
      </c>
      <c r="I159" s="16">
        <v>2</v>
      </c>
      <c r="J159" s="18">
        <v>5004.5</v>
      </c>
      <c r="K159" s="17" t="str" cm="1">
        <f t="array" ref="K159">_xlfn.IFS(Table43[[#This Row],[Sales]]&gt;40000,"Best Sales",Table43[[#This Row],[Sales]]&gt;20000,"Average Sales",Table43[[#This Row],[Sales]]&gt;0,"Poor Sales")</f>
        <v>Average Sales</v>
      </c>
      <c r="L159" s="12">
        <f>YEAR(Table43[[#This Row],[Date]])</f>
        <v>2023</v>
      </c>
      <c r="M159" s="12">
        <f>MONTH(Table43[[#This Row],[Date]])</f>
        <v>8</v>
      </c>
      <c r="N159" s="13">
        <f>DAY(Table43[[#This Row],[Date]])</f>
        <v>28</v>
      </c>
      <c r="O159" s="13" t="str">
        <f>TEXT(DATE(2023,Table43[[#This Row],[Month]],1),"mmm")</f>
        <v>Aug</v>
      </c>
      <c r="P159" s="13"/>
      <c r="Q159" s="13"/>
    </row>
    <row r="160" spans="1:17" x14ac:dyDescent="0.3">
      <c r="A160" s="6">
        <v>159</v>
      </c>
      <c r="B160" s="7">
        <v>45085</v>
      </c>
      <c r="C160" s="8" t="s">
        <v>22</v>
      </c>
      <c r="D160" s="8" t="s">
        <v>23</v>
      </c>
      <c r="E160" s="8" t="s">
        <v>24</v>
      </c>
      <c r="F160" s="8" t="s">
        <v>31</v>
      </c>
      <c r="G160" s="8" t="s">
        <v>35</v>
      </c>
      <c r="H160" s="9">
        <v>31459.86</v>
      </c>
      <c r="I160" s="8">
        <v>7</v>
      </c>
      <c r="J160" s="10">
        <v>2921.88</v>
      </c>
      <c r="K160" s="17" t="str" cm="1">
        <f t="array" ref="K160">_xlfn.IFS(Table43[[#This Row],[Sales]]&gt;40000,"Best Sales",Table43[[#This Row],[Sales]]&gt;20000,"Average Sales",Table43[[#This Row],[Sales]]&gt;0,"Poor Sales")</f>
        <v>Average Sales</v>
      </c>
      <c r="L160" s="12">
        <f>YEAR(Table43[[#This Row],[Date]])</f>
        <v>2023</v>
      </c>
      <c r="M160" s="12">
        <f>MONTH(Table43[[#This Row],[Date]])</f>
        <v>6</v>
      </c>
      <c r="N160" s="13">
        <f>DAY(Table43[[#This Row],[Date]])</f>
        <v>8</v>
      </c>
      <c r="O160" s="13" t="str">
        <f>TEXT(DATE(2023,Table43[[#This Row],[Month]],1),"mmm")</f>
        <v>Jun</v>
      </c>
      <c r="P160" s="13"/>
      <c r="Q160" s="13"/>
    </row>
    <row r="161" spans="1:17" x14ac:dyDescent="0.3">
      <c r="A161" s="14">
        <v>160</v>
      </c>
      <c r="B161" s="15">
        <v>45122</v>
      </c>
      <c r="C161" s="16" t="s">
        <v>33</v>
      </c>
      <c r="D161" s="16" t="s">
        <v>34</v>
      </c>
      <c r="E161" s="16" t="s">
        <v>24</v>
      </c>
      <c r="F161" s="16" t="s">
        <v>31</v>
      </c>
      <c r="G161" s="16" t="s">
        <v>32</v>
      </c>
      <c r="H161" s="17">
        <v>2532.71</v>
      </c>
      <c r="I161" s="16">
        <v>8</v>
      </c>
      <c r="J161" s="18">
        <v>324.74</v>
      </c>
      <c r="K161" s="17" t="str" cm="1">
        <f t="array" ref="K161">_xlfn.IFS(Table43[[#This Row],[Sales]]&gt;40000,"Best Sales",Table43[[#This Row],[Sales]]&gt;20000,"Average Sales",Table43[[#This Row],[Sales]]&gt;0,"Poor Sales")</f>
        <v>Poor Sales</v>
      </c>
      <c r="L161" s="12">
        <f>YEAR(Table43[[#This Row],[Date]])</f>
        <v>2023</v>
      </c>
      <c r="M161" s="12">
        <f>MONTH(Table43[[#This Row],[Date]])</f>
        <v>7</v>
      </c>
      <c r="N161" s="13">
        <f>DAY(Table43[[#This Row],[Date]])</f>
        <v>15</v>
      </c>
      <c r="O161" s="13" t="str">
        <f>TEXT(DATE(2023,Table43[[#This Row],[Month]],1),"mmm")</f>
        <v>Jul</v>
      </c>
      <c r="P161" s="13"/>
      <c r="Q161" s="13"/>
    </row>
    <row r="162" spans="1:17" x14ac:dyDescent="0.3">
      <c r="A162" s="6">
        <v>161</v>
      </c>
      <c r="B162" s="7">
        <v>45062</v>
      </c>
      <c r="C162" s="8" t="s">
        <v>45</v>
      </c>
      <c r="D162" s="8" t="s">
        <v>34</v>
      </c>
      <c r="E162" s="8" t="s">
        <v>24</v>
      </c>
      <c r="F162" s="8" t="s">
        <v>38</v>
      </c>
      <c r="G162" s="8" t="s">
        <v>40</v>
      </c>
      <c r="H162" s="9">
        <v>26794.54</v>
      </c>
      <c r="I162" s="8">
        <v>8</v>
      </c>
      <c r="J162" s="10">
        <v>5027.8900000000003</v>
      </c>
      <c r="K162" s="17" t="str" cm="1">
        <f t="array" ref="K162">_xlfn.IFS(Table43[[#This Row],[Sales]]&gt;40000,"Best Sales",Table43[[#This Row],[Sales]]&gt;20000,"Average Sales",Table43[[#This Row],[Sales]]&gt;0,"Poor Sales")</f>
        <v>Average Sales</v>
      </c>
      <c r="L162" s="12">
        <f>YEAR(Table43[[#This Row],[Date]])</f>
        <v>2023</v>
      </c>
      <c r="M162" s="12">
        <f>MONTH(Table43[[#This Row],[Date]])</f>
        <v>5</v>
      </c>
      <c r="N162" s="13">
        <f>DAY(Table43[[#This Row],[Date]])</f>
        <v>16</v>
      </c>
      <c r="O162" s="13" t="str">
        <f>TEXT(DATE(2023,Table43[[#This Row],[Month]],1),"mmm")</f>
        <v>May</v>
      </c>
      <c r="P162" s="13"/>
      <c r="Q162" s="13"/>
    </row>
    <row r="163" spans="1:17" x14ac:dyDescent="0.3">
      <c r="A163" s="14">
        <v>162</v>
      </c>
      <c r="B163" s="15">
        <v>45069</v>
      </c>
      <c r="C163" s="16" t="s">
        <v>17</v>
      </c>
      <c r="D163" s="16" t="s">
        <v>18</v>
      </c>
      <c r="E163" s="16" t="s">
        <v>24</v>
      </c>
      <c r="F163" s="16" t="s">
        <v>38</v>
      </c>
      <c r="G163" s="16" t="s">
        <v>40</v>
      </c>
      <c r="H163" s="17">
        <v>36838.78</v>
      </c>
      <c r="I163" s="16">
        <v>6</v>
      </c>
      <c r="J163" s="18">
        <v>4092.23</v>
      </c>
      <c r="K163" s="17" t="str" cm="1">
        <f t="array" ref="K163">_xlfn.IFS(Table43[[#This Row],[Sales]]&gt;40000,"Best Sales",Table43[[#This Row],[Sales]]&gt;20000,"Average Sales",Table43[[#This Row],[Sales]]&gt;0,"Poor Sales")</f>
        <v>Average Sales</v>
      </c>
      <c r="L163" s="12">
        <f>YEAR(Table43[[#This Row],[Date]])</f>
        <v>2023</v>
      </c>
      <c r="M163" s="12">
        <f>MONTH(Table43[[#This Row],[Date]])</f>
        <v>5</v>
      </c>
      <c r="N163" s="13">
        <f>DAY(Table43[[#This Row],[Date]])</f>
        <v>23</v>
      </c>
      <c r="O163" s="13" t="str">
        <f>TEXT(DATE(2023,Table43[[#This Row],[Month]],1),"mmm")</f>
        <v>May</v>
      </c>
      <c r="P163" s="13"/>
      <c r="Q163" s="13"/>
    </row>
    <row r="164" spans="1:17" x14ac:dyDescent="0.3">
      <c r="A164" s="6">
        <v>163</v>
      </c>
      <c r="B164" s="7">
        <v>45233</v>
      </c>
      <c r="C164" s="8" t="s">
        <v>29</v>
      </c>
      <c r="D164" s="8" t="s">
        <v>29</v>
      </c>
      <c r="E164" s="8" t="s">
        <v>24</v>
      </c>
      <c r="F164" s="8" t="s">
        <v>38</v>
      </c>
      <c r="G164" s="8" t="s">
        <v>46</v>
      </c>
      <c r="H164" s="9">
        <v>13801.62</v>
      </c>
      <c r="I164" s="8">
        <v>1</v>
      </c>
      <c r="J164" s="10">
        <v>1863.69</v>
      </c>
      <c r="K164" s="17" t="str" cm="1">
        <f t="array" ref="K164">_xlfn.IFS(Table43[[#This Row],[Sales]]&gt;40000,"Best Sales",Table43[[#This Row],[Sales]]&gt;20000,"Average Sales",Table43[[#This Row],[Sales]]&gt;0,"Poor Sales")</f>
        <v>Poor Sales</v>
      </c>
      <c r="L164" s="12">
        <f>YEAR(Table43[[#This Row],[Date]])</f>
        <v>2023</v>
      </c>
      <c r="M164" s="12">
        <f>MONTH(Table43[[#This Row],[Date]])</f>
        <v>11</v>
      </c>
      <c r="N164" s="13">
        <f>DAY(Table43[[#This Row],[Date]])</f>
        <v>3</v>
      </c>
      <c r="O164" s="13" t="str">
        <f>TEXT(DATE(2023,Table43[[#This Row],[Month]],1),"mmm")</f>
        <v>Nov</v>
      </c>
      <c r="P164" s="13"/>
      <c r="Q164" s="13"/>
    </row>
    <row r="165" spans="1:17" x14ac:dyDescent="0.3">
      <c r="A165" s="14">
        <v>164</v>
      </c>
      <c r="B165" s="15">
        <v>45018</v>
      </c>
      <c r="C165" s="16" t="s">
        <v>44</v>
      </c>
      <c r="D165" s="16" t="s">
        <v>34</v>
      </c>
      <c r="E165" s="16" t="s">
        <v>24</v>
      </c>
      <c r="F165" s="16" t="s">
        <v>38</v>
      </c>
      <c r="G165" s="16" t="s">
        <v>39</v>
      </c>
      <c r="H165" s="17">
        <v>26884.04</v>
      </c>
      <c r="I165" s="16">
        <v>9</v>
      </c>
      <c r="J165" s="18">
        <v>4634.18</v>
      </c>
      <c r="K165" s="17" t="str" cm="1">
        <f t="array" ref="K165">_xlfn.IFS(Table43[[#This Row],[Sales]]&gt;40000,"Best Sales",Table43[[#This Row],[Sales]]&gt;20000,"Average Sales",Table43[[#This Row],[Sales]]&gt;0,"Poor Sales")</f>
        <v>Average Sales</v>
      </c>
      <c r="L165" s="12">
        <f>YEAR(Table43[[#This Row],[Date]])</f>
        <v>2023</v>
      </c>
      <c r="M165" s="12">
        <f>MONTH(Table43[[#This Row],[Date]])</f>
        <v>4</v>
      </c>
      <c r="N165" s="13">
        <f>DAY(Table43[[#This Row],[Date]])</f>
        <v>2</v>
      </c>
      <c r="O165" s="13" t="str">
        <f>TEXT(DATE(2023,Table43[[#This Row],[Month]],1),"mmm")</f>
        <v>Apr</v>
      </c>
      <c r="P165" s="13"/>
      <c r="Q165" s="13"/>
    </row>
    <row r="166" spans="1:17" x14ac:dyDescent="0.3">
      <c r="A166" s="6">
        <v>165</v>
      </c>
      <c r="B166" s="7">
        <v>45280</v>
      </c>
      <c r="C166" s="8" t="s">
        <v>29</v>
      </c>
      <c r="D166" s="8" t="s">
        <v>29</v>
      </c>
      <c r="E166" s="8" t="s">
        <v>24</v>
      </c>
      <c r="F166" s="8" t="s">
        <v>38</v>
      </c>
      <c r="G166" s="8" t="s">
        <v>46</v>
      </c>
      <c r="H166" s="9">
        <v>24536.3</v>
      </c>
      <c r="I166" s="8">
        <v>4</v>
      </c>
      <c r="J166" s="10">
        <v>4883.58</v>
      </c>
      <c r="K166" s="17" t="str" cm="1">
        <f t="array" ref="K166">_xlfn.IFS(Table43[[#This Row],[Sales]]&gt;40000,"Best Sales",Table43[[#This Row],[Sales]]&gt;20000,"Average Sales",Table43[[#This Row],[Sales]]&gt;0,"Poor Sales")</f>
        <v>Average Sales</v>
      </c>
      <c r="L166" s="12">
        <f>YEAR(Table43[[#This Row],[Date]])</f>
        <v>2023</v>
      </c>
      <c r="M166" s="12">
        <f>MONTH(Table43[[#This Row],[Date]])</f>
        <v>12</v>
      </c>
      <c r="N166" s="13">
        <f>DAY(Table43[[#This Row],[Date]])</f>
        <v>20</v>
      </c>
      <c r="O166" s="13" t="str">
        <f>TEXT(DATE(2023,Table43[[#This Row],[Month]],1),"mmm")</f>
        <v>Dec</v>
      </c>
      <c r="P166" s="13"/>
      <c r="Q166" s="13"/>
    </row>
    <row r="167" spans="1:17" x14ac:dyDescent="0.3">
      <c r="A167" s="14">
        <v>166</v>
      </c>
      <c r="B167" s="15">
        <v>45092</v>
      </c>
      <c r="C167" s="16" t="s">
        <v>33</v>
      </c>
      <c r="D167" s="16" t="s">
        <v>34</v>
      </c>
      <c r="E167" s="16" t="s">
        <v>24</v>
      </c>
      <c r="F167" s="16" t="s">
        <v>20</v>
      </c>
      <c r="G167" s="16" t="s">
        <v>21</v>
      </c>
      <c r="H167" s="17">
        <v>38091.9</v>
      </c>
      <c r="I167" s="16">
        <v>3</v>
      </c>
      <c r="J167" s="18">
        <v>2162.17</v>
      </c>
      <c r="K167" s="17" t="str" cm="1">
        <f t="array" ref="K167">_xlfn.IFS(Table43[[#This Row],[Sales]]&gt;40000,"Best Sales",Table43[[#This Row],[Sales]]&gt;20000,"Average Sales",Table43[[#This Row],[Sales]]&gt;0,"Poor Sales")</f>
        <v>Average Sales</v>
      </c>
      <c r="L167" s="12">
        <f>YEAR(Table43[[#This Row],[Date]])</f>
        <v>2023</v>
      </c>
      <c r="M167" s="12">
        <f>MONTH(Table43[[#This Row],[Date]])</f>
        <v>6</v>
      </c>
      <c r="N167" s="13">
        <f>DAY(Table43[[#This Row],[Date]])</f>
        <v>15</v>
      </c>
      <c r="O167" s="13" t="str">
        <f>TEXT(DATE(2023,Table43[[#This Row],[Month]],1),"mmm")</f>
        <v>Jun</v>
      </c>
      <c r="P167" s="13"/>
      <c r="Q167" s="13"/>
    </row>
    <row r="168" spans="1:17" x14ac:dyDescent="0.3">
      <c r="A168" s="6">
        <v>167</v>
      </c>
      <c r="B168" s="7">
        <v>45066</v>
      </c>
      <c r="C168" s="8" t="s">
        <v>45</v>
      </c>
      <c r="D168" s="8" t="s">
        <v>34</v>
      </c>
      <c r="E168" s="8" t="s">
        <v>24</v>
      </c>
      <c r="F168" s="8" t="s">
        <v>31</v>
      </c>
      <c r="G168" s="8" t="s">
        <v>35</v>
      </c>
      <c r="H168" s="9">
        <v>39598.29</v>
      </c>
      <c r="I168" s="8">
        <v>5</v>
      </c>
      <c r="J168" s="10">
        <v>6403.75</v>
      </c>
      <c r="K168" s="17" t="str" cm="1">
        <f t="array" ref="K168">_xlfn.IFS(Table43[[#This Row],[Sales]]&gt;40000,"Best Sales",Table43[[#This Row],[Sales]]&gt;20000,"Average Sales",Table43[[#This Row],[Sales]]&gt;0,"Poor Sales")</f>
        <v>Average Sales</v>
      </c>
      <c r="L168" s="12">
        <f>YEAR(Table43[[#This Row],[Date]])</f>
        <v>2023</v>
      </c>
      <c r="M168" s="12">
        <f>MONTH(Table43[[#This Row],[Date]])</f>
        <v>5</v>
      </c>
      <c r="N168" s="13">
        <f>DAY(Table43[[#This Row],[Date]])</f>
        <v>20</v>
      </c>
      <c r="O168" s="13" t="str">
        <f>TEXT(DATE(2023,Table43[[#This Row],[Month]],1),"mmm")</f>
        <v>May</v>
      </c>
      <c r="P168" s="13"/>
      <c r="Q168" s="13"/>
    </row>
    <row r="169" spans="1:17" x14ac:dyDescent="0.3">
      <c r="A169" s="14">
        <v>168</v>
      </c>
      <c r="B169" s="15">
        <v>44968</v>
      </c>
      <c r="C169" s="16" t="s">
        <v>45</v>
      </c>
      <c r="D169" s="16" t="s">
        <v>34</v>
      </c>
      <c r="E169" s="16" t="s">
        <v>24</v>
      </c>
      <c r="F169" s="16" t="s">
        <v>20</v>
      </c>
      <c r="G169" s="16" t="s">
        <v>41</v>
      </c>
      <c r="H169" s="17">
        <v>4814.78</v>
      </c>
      <c r="I169" s="16">
        <v>6</v>
      </c>
      <c r="J169" s="18">
        <v>378.7</v>
      </c>
      <c r="K169" s="17" t="str" cm="1">
        <f t="array" ref="K169">_xlfn.IFS(Table43[[#This Row],[Sales]]&gt;40000,"Best Sales",Table43[[#This Row],[Sales]]&gt;20000,"Average Sales",Table43[[#This Row],[Sales]]&gt;0,"Poor Sales")</f>
        <v>Poor Sales</v>
      </c>
      <c r="L169" s="12">
        <f>YEAR(Table43[[#This Row],[Date]])</f>
        <v>2023</v>
      </c>
      <c r="M169" s="12">
        <f>MONTH(Table43[[#This Row],[Date]])</f>
        <v>2</v>
      </c>
      <c r="N169" s="13">
        <f>DAY(Table43[[#This Row],[Date]])</f>
        <v>11</v>
      </c>
      <c r="O169" s="13" t="str">
        <f>TEXT(DATE(2023,Table43[[#This Row],[Month]],1),"mmm")</f>
        <v>Feb</v>
      </c>
      <c r="P169" s="13"/>
      <c r="Q169" s="13"/>
    </row>
    <row r="170" spans="1:17" x14ac:dyDescent="0.3">
      <c r="A170" s="6">
        <v>169</v>
      </c>
      <c r="B170" s="7">
        <v>45237</v>
      </c>
      <c r="C170" s="8" t="s">
        <v>25</v>
      </c>
      <c r="D170" s="8" t="s">
        <v>26</v>
      </c>
      <c r="E170" s="8" t="s">
        <v>24</v>
      </c>
      <c r="F170" s="8" t="s">
        <v>38</v>
      </c>
      <c r="G170" s="8" t="s">
        <v>39</v>
      </c>
      <c r="H170" s="9">
        <v>20072.27</v>
      </c>
      <c r="I170" s="8">
        <v>1</v>
      </c>
      <c r="J170" s="10">
        <v>4794.18</v>
      </c>
      <c r="K170" s="17" t="str" cm="1">
        <f t="array" ref="K170">_xlfn.IFS(Table43[[#This Row],[Sales]]&gt;40000,"Best Sales",Table43[[#This Row],[Sales]]&gt;20000,"Average Sales",Table43[[#This Row],[Sales]]&gt;0,"Poor Sales")</f>
        <v>Average Sales</v>
      </c>
      <c r="L170" s="12">
        <f>YEAR(Table43[[#This Row],[Date]])</f>
        <v>2023</v>
      </c>
      <c r="M170" s="12">
        <f>MONTH(Table43[[#This Row],[Date]])</f>
        <v>11</v>
      </c>
      <c r="N170" s="13">
        <f>DAY(Table43[[#This Row],[Date]])</f>
        <v>7</v>
      </c>
      <c r="O170" s="13" t="str">
        <f>TEXT(DATE(2023,Table43[[#This Row],[Month]],1),"mmm")</f>
        <v>Nov</v>
      </c>
      <c r="P170" s="13"/>
      <c r="Q170" s="13"/>
    </row>
    <row r="171" spans="1:17" x14ac:dyDescent="0.3">
      <c r="A171" s="14">
        <v>170</v>
      </c>
      <c r="B171" s="15">
        <v>45175</v>
      </c>
      <c r="C171" s="16" t="s">
        <v>17</v>
      </c>
      <c r="D171" s="16" t="s">
        <v>18</v>
      </c>
      <c r="E171" s="16" t="s">
        <v>24</v>
      </c>
      <c r="F171" s="16" t="s">
        <v>38</v>
      </c>
      <c r="G171" s="16" t="s">
        <v>39</v>
      </c>
      <c r="H171" s="17">
        <v>23725.51</v>
      </c>
      <c r="I171" s="16">
        <v>1</v>
      </c>
      <c r="J171" s="18">
        <v>1324.6</v>
      </c>
      <c r="K171" s="17" t="str" cm="1">
        <f t="array" ref="K171">_xlfn.IFS(Table43[[#This Row],[Sales]]&gt;40000,"Best Sales",Table43[[#This Row],[Sales]]&gt;20000,"Average Sales",Table43[[#This Row],[Sales]]&gt;0,"Poor Sales")</f>
        <v>Average Sales</v>
      </c>
      <c r="L171" s="12">
        <f>YEAR(Table43[[#This Row],[Date]])</f>
        <v>2023</v>
      </c>
      <c r="M171" s="12">
        <f>MONTH(Table43[[#This Row],[Date]])</f>
        <v>9</v>
      </c>
      <c r="N171" s="13">
        <f>DAY(Table43[[#This Row],[Date]])</f>
        <v>6</v>
      </c>
      <c r="O171" s="13" t="str">
        <f>TEXT(DATE(2023,Table43[[#This Row],[Month]],1),"mmm")</f>
        <v>Sep</v>
      </c>
      <c r="P171" s="13"/>
      <c r="Q171" s="13"/>
    </row>
    <row r="172" spans="1:17" x14ac:dyDescent="0.3">
      <c r="A172" s="6">
        <v>171</v>
      </c>
      <c r="B172" s="7">
        <v>45192</v>
      </c>
      <c r="C172" s="8" t="s">
        <v>25</v>
      </c>
      <c r="D172" s="8" t="s">
        <v>26</v>
      </c>
      <c r="E172" s="8" t="s">
        <v>24</v>
      </c>
      <c r="F172" s="8" t="s">
        <v>20</v>
      </c>
      <c r="G172" s="8" t="s">
        <v>21</v>
      </c>
      <c r="H172" s="9">
        <v>6338.6</v>
      </c>
      <c r="I172" s="8">
        <v>10</v>
      </c>
      <c r="J172" s="10">
        <v>850.83</v>
      </c>
      <c r="K172" s="17" t="str" cm="1">
        <f t="array" ref="K172">_xlfn.IFS(Table43[[#This Row],[Sales]]&gt;40000,"Best Sales",Table43[[#This Row],[Sales]]&gt;20000,"Average Sales",Table43[[#This Row],[Sales]]&gt;0,"Poor Sales")</f>
        <v>Poor Sales</v>
      </c>
      <c r="L172" s="12">
        <f>YEAR(Table43[[#This Row],[Date]])</f>
        <v>2023</v>
      </c>
      <c r="M172" s="12">
        <f>MONTH(Table43[[#This Row],[Date]])</f>
        <v>9</v>
      </c>
      <c r="N172" s="13">
        <f>DAY(Table43[[#This Row],[Date]])</f>
        <v>23</v>
      </c>
      <c r="O172" s="13" t="str">
        <f>TEXT(DATE(2023,Table43[[#This Row],[Month]],1),"mmm")</f>
        <v>Sep</v>
      </c>
      <c r="P172" s="13"/>
      <c r="Q172" s="13"/>
    </row>
    <row r="173" spans="1:17" x14ac:dyDescent="0.3">
      <c r="A173" s="14">
        <v>172</v>
      </c>
      <c r="B173" s="15">
        <v>44934</v>
      </c>
      <c r="C173" s="16" t="s">
        <v>33</v>
      </c>
      <c r="D173" s="16" t="s">
        <v>34</v>
      </c>
      <c r="E173" s="16" t="s">
        <v>24</v>
      </c>
      <c r="F173" s="16" t="s">
        <v>38</v>
      </c>
      <c r="G173" s="16" t="s">
        <v>40</v>
      </c>
      <c r="H173" s="17">
        <v>43340.91</v>
      </c>
      <c r="I173" s="16">
        <v>3</v>
      </c>
      <c r="J173" s="18">
        <v>3409.31</v>
      </c>
      <c r="K173" s="17" t="str" cm="1">
        <f t="array" ref="K173">_xlfn.IFS(Table43[[#This Row],[Sales]]&gt;40000,"Best Sales",Table43[[#This Row],[Sales]]&gt;20000,"Average Sales",Table43[[#This Row],[Sales]]&gt;0,"Poor Sales")</f>
        <v>Best Sales</v>
      </c>
      <c r="L173" s="12">
        <f>YEAR(Table43[[#This Row],[Date]])</f>
        <v>2023</v>
      </c>
      <c r="M173" s="12">
        <f>MONTH(Table43[[#This Row],[Date]])</f>
        <v>1</v>
      </c>
      <c r="N173" s="13">
        <f>DAY(Table43[[#This Row],[Date]])</f>
        <v>8</v>
      </c>
      <c r="O173" s="13" t="str">
        <f>TEXT(DATE(2023,Table43[[#This Row],[Month]],1),"mmm")</f>
        <v>Jan</v>
      </c>
      <c r="P173" s="13"/>
      <c r="Q173" s="13"/>
    </row>
    <row r="174" spans="1:17" x14ac:dyDescent="0.3">
      <c r="A174" s="6">
        <v>173</v>
      </c>
      <c r="B174" s="7">
        <v>45014</v>
      </c>
      <c r="C174" s="8" t="s">
        <v>44</v>
      </c>
      <c r="D174" s="8" t="s">
        <v>34</v>
      </c>
      <c r="E174" s="8" t="s">
        <v>24</v>
      </c>
      <c r="F174" s="8" t="s">
        <v>38</v>
      </c>
      <c r="G174" s="8" t="s">
        <v>46</v>
      </c>
      <c r="H174" s="9">
        <v>5774.71</v>
      </c>
      <c r="I174" s="8">
        <v>6</v>
      </c>
      <c r="J174" s="10">
        <v>1350.62</v>
      </c>
      <c r="K174" s="17" t="str" cm="1">
        <f t="array" ref="K174">_xlfn.IFS(Table43[[#This Row],[Sales]]&gt;40000,"Best Sales",Table43[[#This Row],[Sales]]&gt;20000,"Average Sales",Table43[[#This Row],[Sales]]&gt;0,"Poor Sales")</f>
        <v>Poor Sales</v>
      </c>
      <c r="L174" s="12">
        <f>YEAR(Table43[[#This Row],[Date]])</f>
        <v>2023</v>
      </c>
      <c r="M174" s="12">
        <f>MONTH(Table43[[#This Row],[Date]])</f>
        <v>3</v>
      </c>
      <c r="N174" s="13">
        <f>DAY(Table43[[#This Row],[Date]])</f>
        <v>29</v>
      </c>
      <c r="O174" s="13" t="str">
        <f>TEXT(DATE(2023,Table43[[#This Row],[Month]],1),"mmm")</f>
        <v>Mar</v>
      </c>
      <c r="P174" s="13"/>
      <c r="Q174" s="13"/>
    </row>
    <row r="175" spans="1:17" x14ac:dyDescent="0.3">
      <c r="A175" s="14">
        <v>174</v>
      </c>
      <c r="B175" s="15">
        <v>45178</v>
      </c>
      <c r="C175" s="16" t="s">
        <v>17</v>
      </c>
      <c r="D175" s="16" t="s">
        <v>18</v>
      </c>
      <c r="E175" s="16" t="s">
        <v>24</v>
      </c>
      <c r="F175" s="16" t="s">
        <v>20</v>
      </c>
      <c r="G175" s="16" t="s">
        <v>21</v>
      </c>
      <c r="H175" s="17">
        <v>31543.41</v>
      </c>
      <c r="I175" s="16">
        <v>7</v>
      </c>
      <c r="J175" s="18">
        <v>7095.9</v>
      </c>
      <c r="K175" s="17" t="str" cm="1">
        <f t="array" ref="K175">_xlfn.IFS(Table43[[#This Row],[Sales]]&gt;40000,"Best Sales",Table43[[#This Row],[Sales]]&gt;20000,"Average Sales",Table43[[#This Row],[Sales]]&gt;0,"Poor Sales")</f>
        <v>Average Sales</v>
      </c>
      <c r="L175" s="12">
        <f>YEAR(Table43[[#This Row],[Date]])</f>
        <v>2023</v>
      </c>
      <c r="M175" s="12">
        <f>MONTH(Table43[[#This Row],[Date]])</f>
        <v>9</v>
      </c>
      <c r="N175" s="13">
        <f>DAY(Table43[[#This Row],[Date]])</f>
        <v>9</v>
      </c>
      <c r="O175" s="13" t="str">
        <f>TEXT(DATE(2023,Table43[[#This Row],[Month]],1),"mmm")</f>
        <v>Sep</v>
      </c>
      <c r="P175" s="13"/>
      <c r="Q175" s="13"/>
    </row>
    <row r="176" spans="1:17" x14ac:dyDescent="0.3">
      <c r="A176" s="6">
        <v>175</v>
      </c>
      <c r="B176" s="7">
        <v>45127</v>
      </c>
      <c r="C176" s="8" t="s">
        <v>44</v>
      </c>
      <c r="D176" s="8" t="s">
        <v>34</v>
      </c>
      <c r="E176" s="8" t="s">
        <v>24</v>
      </c>
      <c r="F176" s="8" t="s">
        <v>31</v>
      </c>
      <c r="G176" s="8" t="s">
        <v>35</v>
      </c>
      <c r="H176" s="9">
        <v>48726.25</v>
      </c>
      <c r="I176" s="8">
        <v>6</v>
      </c>
      <c r="J176" s="10">
        <v>9754.02</v>
      </c>
      <c r="K176" s="17" t="str" cm="1">
        <f t="array" ref="K176">_xlfn.IFS(Table43[[#This Row],[Sales]]&gt;40000,"Best Sales",Table43[[#This Row],[Sales]]&gt;20000,"Average Sales",Table43[[#This Row],[Sales]]&gt;0,"Poor Sales")</f>
        <v>Best Sales</v>
      </c>
      <c r="L176" s="12">
        <f>YEAR(Table43[[#This Row],[Date]])</f>
        <v>2023</v>
      </c>
      <c r="M176" s="12">
        <f>MONTH(Table43[[#This Row],[Date]])</f>
        <v>7</v>
      </c>
      <c r="N176" s="13">
        <f>DAY(Table43[[#This Row],[Date]])</f>
        <v>20</v>
      </c>
      <c r="O176" s="13" t="str">
        <f>TEXT(DATE(2023,Table43[[#This Row],[Month]],1),"mmm")</f>
        <v>Jul</v>
      </c>
      <c r="P176" s="13"/>
      <c r="Q176" s="13"/>
    </row>
    <row r="177" spans="1:17" x14ac:dyDescent="0.3">
      <c r="A177" s="14">
        <v>176</v>
      </c>
      <c r="B177" s="15">
        <v>45082</v>
      </c>
      <c r="C177" s="16" t="s">
        <v>29</v>
      </c>
      <c r="D177" s="16" t="s">
        <v>29</v>
      </c>
      <c r="E177" s="16" t="s">
        <v>24</v>
      </c>
      <c r="F177" s="16" t="s">
        <v>20</v>
      </c>
      <c r="G177" s="16" t="s">
        <v>28</v>
      </c>
      <c r="H177" s="17">
        <v>4877.32</v>
      </c>
      <c r="I177" s="16">
        <v>2</v>
      </c>
      <c r="J177" s="18">
        <v>678.04</v>
      </c>
      <c r="K177" s="17" t="str" cm="1">
        <f t="array" ref="K177">_xlfn.IFS(Table43[[#This Row],[Sales]]&gt;40000,"Best Sales",Table43[[#This Row],[Sales]]&gt;20000,"Average Sales",Table43[[#This Row],[Sales]]&gt;0,"Poor Sales")</f>
        <v>Poor Sales</v>
      </c>
      <c r="L177" s="12">
        <f>YEAR(Table43[[#This Row],[Date]])</f>
        <v>2023</v>
      </c>
      <c r="M177" s="12">
        <f>MONTH(Table43[[#This Row],[Date]])</f>
        <v>6</v>
      </c>
      <c r="N177" s="13">
        <f>DAY(Table43[[#This Row],[Date]])</f>
        <v>5</v>
      </c>
      <c r="O177" s="13" t="str">
        <f>TEXT(DATE(2023,Table43[[#This Row],[Month]],1),"mmm")</f>
        <v>Jun</v>
      </c>
      <c r="P177" s="13"/>
      <c r="Q177" s="13"/>
    </row>
    <row r="178" spans="1:17" x14ac:dyDescent="0.3">
      <c r="A178" s="6">
        <v>177</v>
      </c>
      <c r="B178" s="7">
        <v>45227</v>
      </c>
      <c r="C178" s="8" t="s">
        <v>37</v>
      </c>
      <c r="D178" s="8" t="s">
        <v>23</v>
      </c>
      <c r="E178" s="8" t="s">
        <v>24</v>
      </c>
      <c r="F178" s="8" t="s">
        <v>31</v>
      </c>
      <c r="G178" s="8" t="s">
        <v>35</v>
      </c>
      <c r="H178" s="9">
        <v>36632.480000000003</v>
      </c>
      <c r="I178" s="8">
        <v>5</v>
      </c>
      <c r="J178" s="10">
        <v>4419.68</v>
      </c>
      <c r="K178" s="17" t="str" cm="1">
        <f t="array" ref="K178">_xlfn.IFS(Table43[[#This Row],[Sales]]&gt;40000,"Best Sales",Table43[[#This Row],[Sales]]&gt;20000,"Average Sales",Table43[[#This Row],[Sales]]&gt;0,"Poor Sales")</f>
        <v>Average Sales</v>
      </c>
      <c r="L178" s="12">
        <f>YEAR(Table43[[#This Row],[Date]])</f>
        <v>2023</v>
      </c>
      <c r="M178" s="12">
        <f>MONTH(Table43[[#This Row],[Date]])</f>
        <v>10</v>
      </c>
      <c r="N178" s="13">
        <f>DAY(Table43[[#This Row],[Date]])</f>
        <v>28</v>
      </c>
      <c r="O178" s="13" t="str">
        <f>TEXT(DATE(2023,Table43[[#This Row],[Month]],1),"mmm")</f>
        <v>Oct</v>
      </c>
      <c r="P178" s="13"/>
      <c r="Q178" s="13"/>
    </row>
    <row r="179" spans="1:17" x14ac:dyDescent="0.3">
      <c r="A179" s="14">
        <v>178</v>
      </c>
      <c r="B179" s="15">
        <v>44978</v>
      </c>
      <c r="C179" s="16" t="s">
        <v>33</v>
      </c>
      <c r="D179" s="16" t="s">
        <v>34</v>
      </c>
      <c r="E179" s="16" t="s">
        <v>24</v>
      </c>
      <c r="F179" s="16" t="s">
        <v>38</v>
      </c>
      <c r="G179" s="16" t="s">
        <v>39</v>
      </c>
      <c r="H179" s="17">
        <v>7302.34</v>
      </c>
      <c r="I179" s="16">
        <v>10</v>
      </c>
      <c r="J179" s="18">
        <v>909.18</v>
      </c>
      <c r="K179" s="17" t="str" cm="1">
        <f t="array" ref="K179">_xlfn.IFS(Table43[[#This Row],[Sales]]&gt;40000,"Best Sales",Table43[[#This Row],[Sales]]&gt;20000,"Average Sales",Table43[[#This Row],[Sales]]&gt;0,"Poor Sales")</f>
        <v>Poor Sales</v>
      </c>
      <c r="L179" s="12">
        <f>YEAR(Table43[[#This Row],[Date]])</f>
        <v>2023</v>
      </c>
      <c r="M179" s="12">
        <f>MONTH(Table43[[#This Row],[Date]])</f>
        <v>2</v>
      </c>
      <c r="N179" s="13">
        <f>DAY(Table43[[#This Row],[Date]])</f>
        <v>21</v>
      </c>
      <c r="O179" s="13" t="str">
        <f>TEXT(DATE(2023,Table43[[#This Row],[Month]],1),"mmm")</f>
        <v>Feb</v>
      </c>
      <c r="P179" s="13"/>
      <c r="Q179" s="13"/>
    </row>
    <row r="180" spans="1:17" x14ac:dyDescent="0.3">
      <c r="A180" s="6">
        <v>179</v>
      </c>
      <c r="B180" s="7">
        <v>44993</v>
      </c>
      <c r="C180" s="8" t="s">
        <v>22</v>
      </c>
      <c r="D180" s="8" t="s">
        <v>23</v>
      </c>
      <c r="E180" s="8" t="s">
        <v>24</v>
      </c>
      <c r="F180" s="8" t="s">
        <v>38</v>
      </c>
      <c r="G180" s="8" t="s">
        <v>46</v>
      </c>
      <c r="H180" s="9">
        <v>17646.86</v>
      </c>
      <c r="I180" s="8">
        <v>9</v>
      </c>
      <c r="J180" s="10">
        <v>3145.05</v>
      </c>
      <c r="K180" s="17" t="str" cm="1">
        <f t="array" ref="K180">_xlfn.IFS(Table43[[#This Row],[Sales]]&gt;40000,"Best Sales",Table43[[#This Row],[Sales]]&gt;20000,"Average Sales",Table43[[#This Row],[Sales]]&gt;0,"Poor Sales")</f>
        <v>Poor Sales</v>
      </c>
      <c r="L180" s="12">
        <f>YEAR(Table43[[#This Row],[Date]])</f>
        <v>2023</v>
      </c>
      <c r="M180" s="12">
        <f>MONTH(Table43[[#This Row],[Date]])</f>
        <v>3</v>
      </c>
      <c r="N180" s="13">
        <f>DAY(Table43[[#This Row],[Date]])</f>
        <v>8</v>
      </c>
      <c r="O180" s="13" t="str">
        <f>TEXT(DATE(2023,Table43[[#This Row],[Month]],1),"mmm")</f>
        <v>Mar</v>
      </c>
      <c r="P180" s="13"/>
      <c r="Q180" s="13"/>
    </row>
    <row r="181" spans="1:17" x14ac:dyDescent="0.3">
      <c r="A181" s="14">
        <v>180</v>
      </c>
      <c r="B181" s="15">
        <v>45230</v>
      </c>
      <c r="C181" s="16" t="s">
        <v>44</v>
      </c>
      <c r="D181" s="16" t="s">
        <v>34</v>
      </c>
      <c r="E181" s="16" t="s">
        <v>24</v>
      </c>
      <c r="F181" s="16" t="s">
        <v>20</v>
      </c>
      <c r="G181" s="16" t="s">
        <v>21</v>
      </c>
      <c r="H181" s="17">
        <v>18272.21</v>
      </c>
      <c r="I181" s="16">
        <v>9</v>
      </c>
      <c r="J181" s="18">
        <v>4352.6099999999997</v>
      </c>
      <c r="K181" s="17" t="str" cm="1">
        <f t="array" ref="K181">_xlfn.IFS(Table43[[#This Row],[Sales]]&gt;40000,"Best Sales",Table43[[#This Row],[Sales]]&gt;20000,"Average Sales",Table43[[#This Row],[Sales]]&gt;0,"Poor Sales")</f>
        <v>Poor Sales</v>
      </c>
      <c r="L181" s="12">
        <f>YEAR(Table43[[#This Row],[Date]])</f>
        <v>2023</v>
      </c>
      <c r="M181" s="12">
        <f>MONTH(Table43[[#This Row],[Date]])</f>
        <v>10</v>
      </c>
      <c r="N181" s="13">
        <f>DAY(Table43[[#This Row],[Date]])</f>
        <v>31</v>
      </c>
      <c r="O181" s="13" t="str">
        <f>TEXT(DATE(2023,Table43[[#This Row],[Month]],1),"mmm")</f>
        <v>Oct</v>
      </c>
      <c r="P181" s="13"/>
      <c r="Q181" s="13"/>
    </row>
    <row r="182" spans="1:17" x14ac:dyDescent="0.3">
      <c r="A182" s="6">
        <v>181</v>
      </c>
      <c r="B182" s="7">
        <v>45151</v>
      </c>
      <c r="C182" s="8" t="s">
        <v>29</v>
      </c>
      <c r="D182" s="8" t="s">
        <v>29</v>
      </c>
      <c r="E182" s="8" t="s">
        <v>24</v>
      </c>
      <c r="F182" s="8" t="s">
        <v>31</v>
      </c>
      <c r="G182" s="8" t="s">
        <v>36</v>
      </c>
      <c r="H182" s="9">
        <v>30968.38</v>
      </c>
      <c r="I182" s="8">
        <v>7</v>
      </c>
      <c r="J182" s="10">
        <v>4688.1000000000004</v>
      </c>
      <c r="K182" s="17" t="str" cm="1">
        <f t="array" ref="K182">_xlfn.IFS(Table43[[#This Row],[Sales]]&gt;40000,"Best Sales",Table43[[#This Row],[Sales]]&gt;20000,"Average Sales",Table43[[#This Row],[Sales]]&gt;0,"Poor Sales")</f>
        <v>Average Sales</v>
      </c>
      <c r="L182" s="12">
        <f>YEAR(Table43[[#This Row],[Date]])</f>
        <v>2023</v>
      </c>
      <c r="M182" s="12">
        <f>MONTH(Table43[[#This Row],[Date]])</f>
        <v>8</v>
      </c>
      <c r="N182" s="13">
        <f>DAY(Table43[[#This Row],[Date]])</f>
        <v>13</v>
      </c>
      <c r="O182" s="13" t="str">
        <f>TEXT(DATE(2023,Table43[[#This Row],[Month]],1),"mmm")</f>
        <v>Aug</v>
      </c>
      <c r="P182" s="13"/>
      <c r="Q182" s="13"/>
    </row>
    <row r="183" spans="1:17" x14ac:dyDescent="0.3">
      <c r="A183" s="14">
        <v>182</v>
      </c>
      <c r="B183" s="15">
        <v>45080</v>
      </c>
      <c r="C183" s="16" t="s">
        <v>33</v>
      </c>
      <c r="D183" s="16" t="s">
        <v>34</v>
      </c>
      <c r="E183" s="16" t="s">
        <v>24</v>
      </c>
      <c r="F183" s="16" t="s">
        <v>38</v>
      </c>
      <c r="G183" s="16" t="s">
        <v>40</v>
      </c>
      <c r="H183" s="17">
        <v>17745.36</v>
      </c>
      <c r="I183" s="16">
        <v>2</v>
      </c>
      <c r="J183" s="18">
        <v>1736.15</v>
      </c>
      <c r="K183" s="17" t="str" cm="1">
        <f t="array" ref="K183">_xlfn.IFS(Table43[[#This Row],[Sales]]&gt;40000,"Best Sales",Table43[[#This Row],[Sales]]&gt;20000,"Average Sales",Table43[[#This Row],[Sales]]&gt;0,"Poor Sales")</f>
        <v>Poor Sales</v>
      </c>
      <c r="L183" s="12">
        <f>YEAR(Table43[[#This Row],[Date]])</f>
        <v>2023</v>
      </c>
      <c r="M183" s="12">
        <f>MONTH(Table43[[#This Row],[Date]])</f>
        <v>6</v>
      </c>
      <c r="N183" s="13">
        <f>DAY(Table43[[#This Row],[Date]])</f>
        <v>3</v>
      </c>
      <c r="O183" s="13" t="str">
        <f>TEXT(DATE(2023,Table43[[#This Row],[Month]],1),"mmm")</f>
        <v>Jun</v>
      </c>
      <c r="P183" s="13"/>
      <c r="Q183" s="13"/>
    </row>
    <row r="184" spans="1:17" x14ac:dyDescent="0.3">
      <c r="A184" s="6">
        <v>183</v>
      </c>
      <c r="B184" s="7">
        <v>44984</v>
      </c>
      <c r="C184" s="8" t="s">
        <v>33</v>
      </c>
      <c r="D184" s="8" t="s">
        <v>34</v>
      </c>
      <c r="E184" s="8" t="s">
        <v>24</v>
      </c>
      <c r="F184" s="8" t="s">
        <v>20</v>
      </c>
      <c r="G184" s="8" t="s">
        <v>28</v>
      </c>
      <c r="H184" s="9">
        <v>30601.31</v>
      </c>
      <c r="I184" s="8">
        <v>9</v>
      </c>
      <c r="J184" s="10">
        <v>4632.5600000000004</v>
      </c>
      <c r="K184" s="17" t="str" cm="1">
        <f t="array" ref="K184">_xlfn.IFS(Table43[[#This Row],[Sales]]&gt;40000,"Best Sales",Table43[[#This Row],[Sales]]&gt;20000,"Average Sales",Table43[[#This Row],[Sales]]&gt;0,"Poor Sales")</f>
        <v>Average Sales</v>
      </c>
      <c r="L184" s="12">
        <f>YEAR(Table43[[#This Row],[Date]])</f>
        <v>2023</v>
      </c>
      <c r="M184" s="12">
        <f>MONTH(Table43[[#This Row],[Date]])</f>
        <v>2</v>
      </c>
      <c r="N184" s="13">
        <f>DAY(Table43[[#This Row],[Date]])</f>
        <v>27</v>
      </c>
      <c r="O184" s="13" t="str">
        <f>TEXT(DATE(2023,Table43[[#This Row],[Month]],1),"mmm")</f>
        <v>Feb</v>
      </c>
      <c r="P184" s="13"/>
      <c r="Q184" s="13"/>
    </row>
    <row r="185" spans="1:17" x14ac:dyDescent="0.3">
      <c r="A185" s="14">
        <v>184</v>
      </c>
      <c r="B185" s="15">
        <v>45256</v>
      </c>
      <c r="C185" s="16" t="s">
        <v>29</v>
      </c>
      <c r="D185" s="16" t="s">
        <v>29</v>
      </c>
      <c r="E185" s="16" t="s">
        <v>24</v>
      </c>
      <c r="F185" s="16" t="s">
        <v>31</v>
      </c>
      <c r="G185" s="16" t="s">
        <v>32</v>
      </c>
      <c r="H185" s="17">
        <v>27508.720000000001</v>
      </c>
      <c r="I185" s="16">
        <v>4</v>
      </c>
      <c r="J185" s="18">
        <v>2649.16</v>
      </c>
      <c r="K185" s="17" t="str" cm="1">
        <f t="array" ref="K185">_xlfn.IFS(Table43[[#This Row],[Sales]]&gt;40000,"Best Sales",Table43[[#This Row],[Sales]]&gt;20000,"Average Sales",Table43[[#This Row],[Sales]]&gt;0,"Poor Sales")</f>
        <v>Average Sales</v>
      </c>
      <c r="L185" s="12">
        <f>YEAR(Table43[[#This Row],[Date]])</f>
        <v>2023</v>
      </c>
      <c r="M185" s="12">
        <f>MONTH(Table43[[#This Row],[Date]])</f>
        <v>11</v>
      </c>
      <c r="N185" s="13">
        <f>DAY(Table43[[#This Row],[Date]])</f>
        <v>26</v>
      </c>
      <c r="O185" s="13" t="str">
        <f>TEXT(DATE(2023,Table43[[#This Row],[Month]],1),"mmm")</f>
        <v>Nov</v>
      </c>
      <c r="P185" s="13"/>
      <c r="Q185" s="13"/>
    </row>
    <row r="186" spans="1:17" x14ac:dyDescent="0.3">
      <c r="A186" s="6">
        <v>185</v>
      </c>
      <c r="B186" s="7">
        <v>44959</v>
      </c>
      <c r="C186" s="8" t="s">
        <v>42</v>
      </c>
      <c r="D186" s="8" t="s">
        <v>43</v>
      </c>
      <c r="E186" s="8" t="s">
        <v>24</v>
      </c>
      <c r="F186" s="8" t="s">
        <v>31</v>
      </c>
      <c r="G186" s="8" t="s">
        <v>36</v>
      </c>
      <c r="H186" s="9">
        <v>20818.54</v>
      </c>
      <c r="I186" s="8">
        <v>10</v>
      </c>
      <c r="J186" s="10">
        <v>2457.2199999999998</v>
      </c>
      <c r="K186" s="17" t="str" cm="1">
        <f t="array" ref="K186">_xlfn.IFS(Table43[[#This Row],[Sales]]&gt;40000,"Best Sales",Table43[[#This Row],[Sales]]&gt;20000,"Average Sales",Table43[[#This Row],[Sales]]&gt;0,"Poor Sales")</f>
        <v>Average Sales</v>
      </c>
      <c r="L186" s="12">
        <f>YEAR(Table43[[#This Row],[Date]])</f>
        <v>2023</v>
      </c>
      <c r="M186" s="12">
        <f>MONTH(Table43[[#This Row],[Date]])</f>
        <v>2</v>
      </c>
      <c r="N186" s="13">
        <f>DAY(Table43[[#This Row],[Date]])</f>
        <v>2</v>
      </c>
      <c r="O186" s="13" t="str">
        <f>TEXT(DATE(2023,Table43[[#This Row],[Month]],1),"mmm")</f>
        <v>Feb</v>
      </c>
      <c r="P186" s="13"/>
      <c r="Q186" s="13"/>
    </row>
    <row r="187" spans="1:17" x14ac:dyDescent="0.3">
      <c r="A187" s="14">
        <v>186</v>
      </c>
      <c r="B187" s="15">
        <v>44990</v>
      </c>
      <c r="C187" s="16" t="s">
        <v>25</v>
      </c>
      <c r="D187" s="16" t="s">
        <v>26</v>
      </c>
      <c r="E187" s="16" t="s">
        <v>24</v>
      </c>
      <c r="F187" s="16" t="s">
        <v>31</v>
      </c>
      <c r="G187" s="16" t="s">
        <v>36</v>
      </c>
      <c r="H187" s="17">
        <v>49951.15</v>
      </c>
      <c r="I187" s="16">
        <v>8</v>
      </c>
      <c r="J187" s="18">
        <v>9925.48</v>
      </c>
      <c r="K187" s="17" t="str" cm="1">
        <f t="array" ref="K187">_xlfn.IFS(Table43[[#This Row],[Sales]]&gt;40000,"Best Sales",Table43[[#This Row],[Sales]]&gt;20000,"Average Sales",Table43[[#This Row],[Sales]]&gt;0,"Poor Sales")</f>
        <v>Best Sales</v>
      </c>
      <c r="L187" s="12">
        <f>YEAR(Table43[[#This Row],[Date]])</f>
        <v>2023</v>
      </c>
      <c r="M187" s="12">
        <f>MONTH(Table43[[#This Row],[Date]])</f>
        <v>3</v>
      </c>
      <c r="N187" s="13">
        <f>DAY(Table43[[#This Row],[Date]])</f>
        <v>5</v>
      </c>
      <c r="O187" s="13" t="str">
        <f>TEXT(DATE(2023,Table43[[#This Row],[Month]],1),"mmm")</f>
        <v>Mar</v>
      </c>
      <c r="P187" s="13"/>
      <c r="Q187" s="13"/>
    </row>
    <row r="188" spans="1:17" x14ac:dyDescent="0.3">
      <c r="A188" s="6">
        <v>187</v>
      </c>
      <c r="B188" s="7">
        <v>45184</v>
      </c>
      <c r="C188" s="8" t="s">
        <v>33</v>
      </c>
      <c r="D188" s="8" t="s">
        <v>34</v>
      </c>
      <c r="E188" s="8" t="s">
        <v>24</v>
      </c>
      <c r="F188" s="8" t="s">
        <v>38</v>
      </c>
      <c r="G188" s="8" t="s">
        <v>40</v>
      </c>
      <c r="H188" s="9">
        <v>14099.59</v>
      </c>
      <c r="I188" s="8">
        <v>7</v>
      </c>
      <c r="J188" s="10">
        <v>1349.86</v>
      </c>
      <c r="K188" s="17" t="str" cm="1">
        <f t="array" ref="K188">_xlfn.IFS(Table43[[#This Row],[Sales]]&gt;40000,"Best Sales",Table43[[#This Row],[Sales]]&gt;20000,"Average Sales",Table43[[#This Row],[Sales]]&gt;0,"Poor Sales")</f>
        <v>Poor Sales</v>
      </c>
      <c r="L188" s="12">
        <f>YEAR(Table43[[#This Row],[Date]])</f>
        <v>2023</v>
      </c>
      <c r="M188" s="12">
        <f>MONTH(Table43[[#This Row],[Date]])</f>
        <v>9</v>
      </c>
      <c r="N188" s="13">
        <f>DAY(Table43[[#This Row],[Date]])</f>
        <v>15</v>
      </c>
      <c r="O188" s="13" t="str">
        <f>TEXT(DATE(2023,Table43[[#This Row],[Month]],1),"mmm")</f>
        <v>Sep</v>
      </c>
      <c r="P188" s="13"/>
      <c r="Q188" s="13"/>
    </row>
    <row r="189" spans="1:17" x14ac:dyDescent="0.3">
      <c r="A189" s="14">
        <v>188</v>
      </c>
      <c r="B189" s="15">
        <v>45210</v>
      </c>
      <c r="C189" s="16" t="s">
        <v>22</v>
      </c>
      <c r="D189" s="16" t="s">
        <v>23</v>
      </c>
      <c r="E189" s="16" t="s">
        <v>19</v>
      </c>
      <c r="F189" s="16" t="s">
        <v>38</v>
      </c>
      <c r="G189" s="16" t="s">
        <v>40</v>
      </c>
      <c r="H189" s="17">
        <v>30464.74</v>
      </c>
      <c r="I189" s="16">
        <v>6</v>
      </c>
      <c r="J189" s="18">
        <v>7362.23</v>
      </c>
      <c r="K189" s="17" t="str" cm="1">
        <f t="array" ref="K189">_xlfn.IFS(Table43[[#This Row],[Sales]]&gt;40000,"Best Sales",Table43[[#This Row],[Sales]]&gt;20000,"Average Sales",Table43[[#This Row],[Sales]]&gt;0,"Poor Sales")</f>
        <v>Average Sales</v>
      </c>
      <c r="L189" s="12">
        <f>YEAR(Table43[[#This Row],[Date]])</f>
        <v>2023</v>
      </c>
      <c r="M189" s="12">
        <f>MONTH(Table43[[#This Row],[Date]])</f>
        <v>10</v>
      </c>
      <c r="N189" s="13">
        <f>DAY(Table43[[#This Row],[Date]])</f>
        <v>11</v>
      </c>
      <c r="O189" s="13" t="str">
        <f>TEXT(DATE(2023,Table43[[#This Row],[Month]],1),"mmm")</f>
        <v>Oct</v>
      </c>
      <c r="P189" s="13"/>
      <c r="Q189" s="13"/>
    </row>
    <row r="190" spans="1:17" x14ac:dyDescent="0.3">
      <c r="A190" s="6">
        <v>189</v>
      </c>
      <c r="B190" s="7">
        <v>45041</v>
      </c>
      <c r="C190" s="8" t="s">
        <v>25</v>
      </c>
      <c r="D190" s="8" t="s">
        <v>26</v>
      </c>
      <c r="E190" s="8" t="s">
        <v>24</v>
      </c>
      <c r="F190" s="8" t="s">
        <v>20</v>
      </c>
      <c r="G190" s="8" t="s">
        <v>28</v>
      </c>
      <c r="H190" s="9">
        <v>45371.4</v>
      </c>
      <c r="I190" s="8">
        <v>9</v>
      </c>
      <c r="J190" s="10">
        <v>10014.870000000001</v>
      </c>
      <c r="K190" s="17" t="str" cm="1">
        <f t="array" ref="K190">_xlfn.IFS(Table43[[#This Row],[Sales]]&gt;40000,"Best Sales",Table43[[#This Row],[Sales]]&gt;20000,"Average Sales",Table43[[#This Row],[Sales]]&gt;0,"Poor Sales")</f>
        <v>Best Sales</v>
      </c>
      <c r="L190" s="12">
        <f>YEAR(Table43[[#This Row],[Date]])</f>
        <v>2023</v>
      </c>
      <c r="M190" s="12">
        <f>MONTH(Table43[[#This Row],[Date]])</f>
        <v>4</v>
      </c>
      <c r="N190" s="13">
        <f>DAY(Table43[[#This Row],[Date]])</f>
        <v>25</v>
      </c>
      <c r="O190" s="13" t="str">
        <f>TEXT(DATE(2023,Table43[[#This Row],[Month]],1),"mmm")</f>
        <v>Apr</v>
      </c>
      <c r="P190" s="13"/>
      <c r="Q190" s="13"/>
    </row>
    <row r="191" spans="1:17" x14ac:dyDescent="0.3">
      <c r="A191" s="14">
        <v>190</v>
      </c>
      <c r="B191" s="15">
        <v>45082</v>
      </c>
      <c r="C191" s="16" t="s">
        <v>45</v>
      </c>
      <c r="D191" s="16" t="s">
        <v>34</v>
      </c>
      <c r="E191" s="16" t="s">
        <v>19</v>
      </c>
      <c r="F191" s="16" t="s">
        <v>38</v>
      </c>
      <c r="G191" s="16" t="s">
        <v>39</v>
      </c>
      <c r="H191" s="17">
        <v>22118.26</v>
      </c>
      <c r="I191" s="16">
        <v>4</v>
      </c>
      <c r="J191" s="18">
        <v>2171.89</v>
      </c>
      <c r="K191" s="17" t="str" cm="1">
        <f t="array" ref="K191">_xlfn.IFS(Table43[[#This Row],[Sales]]&gt;40000,"Best Sales",Table43[[#This Row],[Sales]]&gt;20000,"Average Sales",Table43[[#This Row],[Sales]]&gt;0,"Poor Sales")</f>
        <v>Average Sales</v>
      </c>
      <c r="L191" s="12">
        <f>YEAR(Table43[[#This Row],[Date]])</f>
        <v>2023</v>
      </c>
      <c r="M191" s="12">
        <f>MONTH(Table43[[#This Row],[Date]])</f>
        <v>6</v>
      </c>
      <c r="N191" s="13">
        <f>DAY(Table43[[#This Row],[Date]])</f>
        <v>5</v>
      </c>
      <c r="O191" s="13" t="str">
        <f>TEXT(DATE(2023,Table43[[#This Row],[Month]],1),"mmm")</f>
        <v>Jun</v>
      </c>
      <c r="P191" s="13"/>
      <c r="Q191" s="13"/>
    </row>
    <row r="192" spans="1:17" x14ac:dyDescent="0.3">
      <c r="A192" s="6">
        <v>191</v>
      </c>
      <c r="B192" s="7">
        <v>45248</v>
      </c>
      <c r="C192" s="8" t="s">
        <v>17</v>
      </c>
      <c r="D192" s="8" t="s">
        <v>18</v>
      </c>
      <c r="E192" s="8" t="s">
        <v>24</v>
      </c>
      <c r="F192" s="8" t="s">
        <v>20</v>
      </c>
      <c r="G192" s="8" t="s">
        <v>28</v>
      </c>
      <c r="H192" s="9">
        <v>37631.99</v>
      </c>
      <c r="I192" s="8">
        <v>10</v>
      </c>
      <c r="J192" s="10">
        <v>2815.66</v>
      </c>
      <c r="K192" s="17" t="str" cm="1">
        <f t="array" ref="K192">_xlfn.IFS(Table43[[#This Row],[Sales]]&gt;40000,"Best Sales",Table43[[#This Row],[Sales]]&gt;20000,"Average Sales",Table43[[#This Row],[Sales]]&gt;0,"Poor Sales")</f>
        <v>Average Sales</v>
      </c>
      <c r="L192" s="12">
        <f>YEAR(Table43[[#This Row],[Date]])</f>
        <v>2023</v>
      </c>
      <c r="M192" s="12">
        <f>MONTH(Table43[[#This Row],[Date]])</f>
        <v>11</v>
      </c>
      <c r="N192" s="13">
        <f>DAY(Table43[[#This Row],[Date]])</f>
        <v>18</v>
      </c>
      <c r="O192" s="13" t="str">
        <f>TEXT(DATE(2023,Table43[[#This Row],[Month]],1),"mmm")</f>
        <v>Nov</v>
      </c>
      <c r="P192" s="13"/>
      <c r="Q192" s="13"/>
    </row>
    <row r="193" spans="1:17" x14ac:dyDescent="0.3">
      <c r="A193" s="14">
        <v>192</v>
      </c>
      <c r="B193" s="15">
        <v>45279</v>
      </c>
      <c r="C193" s="16" t="s">
        <v>22</v>
      </c>
      <c r="D193" s="16" t="s">
        <v>23</v>
      </c>
      <c r="E193" s="16" t="s">
        <v>27</v>
      </c>
      <c r="F193" s="16" t="s">
        <v>20</v>
      </c>
      <c r="G193" s="16" t="s">
        <v>41</v>
      </c>
      <c r="H193" s="17">
        <v>32613.74</v>
      </c>
      <c r="I193" s="16">
        <v>3</v>
      </c>
      <c r="J193" s="18">
        <v>2329.77</v>
      </c>
      <c r="K193" s="17" t="str" cm="1">
        <f t="array" ref="K193">_xlfn.IFS(Table43[[#This Row],[Sales]]&gt;40000,"Best Sales",Table43[[#This Row],[Sales]]&gt;20000,"Average Sales",Table43[[#This Row],[Sales]]&gt;0,"Poor Sales")</f>
        <v>Average Sales</v>
      </c>
      <c r="L193" s="12">
        <f>YEAR(Table43[[#This Row],[Date]])</f>
        <v>2023</v>
      </c>
      <c r="M193" s="12">
        <f>MONTH(Table43[[#This Row],[Date]])</f>
        <v>12</v>
      </c>
      <c r="N193" s="13">
        <f>DAY(Table43[[#This Row],[Date]])</f>
        <v>19</v>
      </c>
      <c r="O193" s="13" t="str">
        <f>TEXT(DATE(2023,Table43[[#This Row],[Month]],1),"mmm")</f>
        <v>Dec</v>
      </c>
      <c r="P193" s="13"/>
      <c r="Q193" s="13"/>
    </row>
    <row r="194" spans="1:17" x14ac:dyDescent="0.3">
      <c r="A194" s="6">
        <v>193</v>
      </c>
      <c r="B194" s="7">
        <v>45031</v>
      </c>
      <c r="C194" s="8" t="s">
        <v>45</v>
      </c>
      <c r="D194" s="8" t="s">
        <v>34</v>
      </c>
      <c r="E194" s="8" t="s">
        <v>27</v>
      </c>
      <c r="F194" s="8" t="s">
        <v>38</v>
      </c>
      <c r="G194" s="8" t="s">
        <v>46</v>
      </c>
      <c r="H194" s="9">
        <v>19402.79</v>
      </c>
      <c r="I194" s="8">
        <v>5</v>
      </c>
      <c r="J194" s="10">
        <v>4070.53</v>
      </c>
      <c r="K194" s="17" t="str" cm="1">
        <f t="array" ref="K194">_xlfn.IFS(Table43[[#This Row],[Sales]]&gt;40000,"Best Sales",Table43[[#This Row],[Sales]]&gt;20000,"Average Sales",Table43[[#This Row],[Sales]]&gt;0,"Poor Sales")</f>
        <v>Poor Sales</v>
      </c>
      <c r="L194" s="12">
        <f>YEAR(Table43[[#This Row],[Date]])</f>
        <v>2023</v>
      </c>
      <c r="M194" s="12">
        <f>MONTH(Table43[[#This Row],[Date]])</f>
        <v>4</v>
      </c>
      <c r="N194" s="13">
        <f>DAY(Table43[[#This Row],[Date]])</f>
        <v>15</v>
      </c>
      <c r="O194" s="13" t="str">
        <f>TEXT(DATE(2023,Table43[[#This Row],[Month]],1),"mmm")</f>
        <v>Apr</v>
      </c>
      <c r="P194" s="13"/>
      <c r="Q194" s="13"/>
    </row>
    <row r="195" spans="1:17" x14ac:dyDescent="0.3">
      <c r="A195" s="14">
        <v>194</v>
      </c>
      <c r="B195" s="15">
        <v>45226</v>
      </c>
      <c r="C195" s="16" t="s">
        <v>44</v>
      </c>
      <c r="D195" s="16" t="s">
        <v>34</v>
      </c>
      <c r="E195" s="16" t="s">
        <v>19</v>
      </c>
      <c r="F195" s="16" t="s">
        <v>20</v>
      </c>
      <c r="G195" s="16" t="s">
        <v>28</v>
      </c>
      <c r="H195" s="17">
        <v>38828.89</v>
      </c>
      <c r="I195" s="16">
        <v>1</v>
      </c>
      <c r="J195" s="18">
        <v>3558.41</v>
      </c>
      <c r="K195" s="17" t="str" cm="1">
        <f t="array" ref="K195">_xlfn.IFS(Table43[[#This Row],[Sales]]&gt;40000,"Best Sales",Table43[[#This Row],[Sales]]&gt;20000,"Average Sales",Table43[[#This Row],[Sales]]&gt;0,"Poor Sales")</f>
        <v>Average Sales</v>
      </c>
      <c r="L195" s="12">
        <f>YEAR(Table43[[#This Row],[Date]])</f>
        <v>2023</v>
      </c>
      <c r="M195" s="12">
        <f>MONTH(Table43[[#This Row],[Date]])</f>
        <v>10</v>
      </c>
      <c r="N195" s="13">
        <f>DAY(Table43[[#This Row],[Date]])</f>
        <v>27</v>
      </c>
      <c r="O195" s="13" t="str">
        <f>TEXT(DATE(2023,Table43[[#This Row],[Month]],1),"mmm")</f>
        <v>Oct</v>
      </c>
      <c r="P195" s="13"/>
      <c r="Q195" s="13"/>
    </row>
    <row r="196" spans="1:17" x14ac:dyDescent="0.3">
      <c r="A196" s="6">
        <v>195</v>
      </c>
      <c r="B196" s="7">
        <v>45285</v>
      </c>
      <c r="C196" s="8" t="s">
        <v>17</v>
      </c>
      <c r="D196" s="8" t="s">
        <v>18</v>
      </c>
      <c r="E196" s="8" t="s">
        <v>24</v>
      </c>
      <c r="F196" s="8" t="s">
        <v>20</v>
      </c>
      <c r="G196" s="8" t="s">
        <v>41</v>
      </c>
      <c r="H196" s="9">
        <v>40947.69</v>
      </c>
      <c r="I196" s="8">
        <v>10</v>
      </c>
      <c r="J196" s="10">
        <v>3402.46</v>
      </c>
      <c r="K196" s="17" t="str" cm="1">
        <f t="array" ref="K196">_xlfn.IFS(Table43[[#This Row],[Sales]]&gt;40000,"Best Sales",Table43[[#This Row],[Sales]]&gt;20000,"Average Sales",Table43[[#This Row],[Sales]]&gt;0,"Poor Sales")</f>
        <v>Best Sales</v>
      </c>
      <c r="L196" s="12">
        <f>YEAR(Table43[[#This Row],[Date]])</f>
        <v>2023</v>
      </c>
      <c r="M196" s="12">
        <f>MONTH(Table43[[#This Row],[Date]])</f>
        <v>12</v>
      </c>
      <c r="N196" s="13">
        <f>DAY(Table43[[#This Row],[Date]])</f>
        <v>25</v>
      </c>
      <c r="O196" s="13" t="str">
        <f>TEXT(DATE(2023,Table43[[#This Row],[Month]],1),"mmm")</f>
        <v>Dec</v>
      </c>
      <c r="P196" s="13"/>
      <c r="Q196" s="13"/>
    </row>
    <row r="197" spans="1:17" x14ac:dyDescent="0.3">
      <c r="A197" s="14">
        <v>196</v>
      </c>
      <c r="B197" s="15">
        <v>45132</v>
      </c>
      <c r="C197" s="16" t="s">
        <v>45</v>
      </c>
      <c r="D197" s="16" t="s">
        <v>34</v>
      </c>
      <c r="E197" s="16" t="s">
        <v>19</v>
      </c>
      <c r="F197" s="16" t="s">
        <v>20</v>
      </c>
      <c r="G197" s="16" t="s">
        <v>41</v>
      </c>
      <c r="H197" s="17">
        <v>42010.67</v>
      </c>
      <c r="I197" s="16">
        <v>2</v>
      </c>
      <c r="J197" s="18">
        <v>11879.89</v>
      </c>
      <c r="K197" s="17" t="str" cm="1">
        <f t="array" ref="K197">_xlfn.IFS(Table43[[#This Row],[Sales]]&gt;40000,"Best Sales",Table43[[#This Row],[Sales]]&gt;20000,"Average Sales",Table43[[#This Row],[Sales]]&gt;0,"Poor Sales")</f>
        <v>Best Sales</v>
      </c>
      <c r="L197" s="12">
        <f>YEAR(Table43[[#This Row],[Date]])</f>
        <v>2023</v>
      </c>
      <c r="M197" s="12">
        <f>MONTH(Table43[[#This Row],[Date]])</f>
        <v>7</v>
      </c>
      <c r="N197" s="13">
        <f>DAY(Table43[[#This Row],[Date]])</f>
        <v>25</v>
      </c>
      <c r="O197" s="13" t="str">
        <f>TEXT(DATE(2023,Table43[[#This Row],[Month]],1),"mmm")</f>
        <v>Jul</v>
      </c>
      <c r="P197" s="13"/>
      <c r="Q197" s="13"/>
    </row>
    <row r="198" spans="1:17" x14ac:dyDescent="0.3">
      <c r="A198" s="6">
        <v>197</v>
      </c>
      <c r="B198" s="7">
        <v>44951</v>
      </c>
      <c r="C198" s="8" t="s">
        <v>17</v>
      </c>
      <c r="D198" s="8" t="s">
        <v>18</v>
      </c>
      <c r="E198" s="8" t="s">
        <v>24</v>
      </c>
      <c r="F198" s="8" t="s">
        <v>38</v>
      </c>
      <c r="G198" s="8" t="s">
        <v>40</v>
      </c>
      <c r="H198" s="9">
        <v>15486.53</v>
      </c>
      <c r="I198" s="8">
        <v>3</v>
      </c>
      <c r="J198" s="10">
        <v>3644.96</v>
      </c>
      <c r="K198" s="17" t="str" cm="1">
        <f t="array" ref="K198">_xlfn.IFS(Table43[[#This Row],[Sales]]&gt;40000,"Best Sales",Table43[[#This Row],[Sales]]&gt;20000,"Average Sales",Table43[[#This Row],[Sales]]&gt;0,"Poor Sales")</f>
        <v>Poor Sales</v>
      </c>
      <c r="L198" s="12">
        <f>YEAR(Table43[[#This Row],[Date]])</f>
        <v>2023</v>
      </c>
      <c r="M198" s="12">
        <f>MONTH(Table43[[#This Row],[Date]])</f>
        <v>1</v>
      </c>
      <c r="N198" s="13">
        <f>DAY(Table43[[#This Row],[Date]])</f>
        <v>25</v>
      </c>
      <c r="O198" s="13" t="str">
        <f>TEXT(DATE(2023,Table43[[#This Row],[Month]],1),"mmm")</f>
        <v>Jan</v>
      </c>
      <c r="P198" s="13"/>
      <c r="Q198" s="13"/>
    </row>
    <row r="199" spans="1:17" x14ac:dyDescent="0.3">
      <c r="A199" s="14">
        <v>198</v>
      </c>
      <c r="B199" s="15">
        <v>44962</v>
      </c>
      <c r="C199" s="16" t="s">
        <v>42</v>
      </c>
      <c r="D199" s="16" t="s">
        <v>43</v>
      </c>
      <c r="E199" s="16" t="s">
        <v>27</v>
      </c>
      <c r="F199" s="16" t="s">
        <v>20</v>
      </c>
      <c r="G199" s="16" t="s">
        <v>41</v>
      </c>
      <c r="H199" s="17">
        <v>30608.400000000001</v>
      </c>
      <c r="I199" s="16">
        <v>1</v>
      </c>
      <c r="J199" s="18">
        <v>2635.57</v>
      </c>
      <c r="K199" s="17" t="str" cm="1">
        <f t="array" ref="K199">_xlfn.IFS(Table43[[#This Row],[Sales]]&gt;40000,"Best Sales",Table43[[#This Row],[Sales]]&gt;20000,"Average Sales",Table43[[#This Row],[Sales]]&gt;0,"Poor Sales")</f>
        <v>Average Sales</v>
      </c>
      <c r="L199" s="12">
        <f>YEAR(Table43[[#This Row],[Date]])</f>
        <v>2023</v>
      </c>
      <c r="M199" s="12">
        <f>MONTH(Table43[[#This Row],[Date]])</f>
        <v>2</v>
      </c>
      <c r="N199" s="13">
        <f>DAY(Table43[[#This Row],[Date]])</f>
        <v>5</v>
      </c>
      <c r="O199" s="13" t="str">
        <f>TEXT(DATE(2023,Table43[[#This Row],[Month]],1),"mmm")</f>
        <v>Feb</v>
      </c>
      <c r="P199" s="13"/>
      <c r="Q199" s="13"/>
    </row>
    <row r="200" spans="1:17" x14ac:dyDescent="0.3">
      <c r="A200" s="6">
        <v>199</v>
      </c>
      <c r="B200" s="7">
        <v>45181</v>
      </c>
      <c r="C200" s="8" t="s">
        <v>25</v>
      </c>
      <c r="D200" s="8" t="s">
        <v>26</v>
      </c>
      <c r="E200" s="8" t="s">
        <v>27</v>
      </c>
      <c r="F200" s="8" t="s">
        <v>38</v>
      </c>
      <c r="G200" s="8" t="s">
        <v>40</v>
      </c>
      <c r="H200" s="9">
        <v>15000.25</v>
      </c>
      <c r="I200" s="8">
        <v>1</v>
      </c>
      <c r="J200" s="10">
        <v>3201.7</v>
      </c>
      <c r="K200" s="17" t="str" cm="1">
        <f t="array" ref="K200">_xlfn.IFS(Table43[[#This Row],[Sales]]&gt;40000,"Best Sales",Table43[[#This Row],[Sales]]&gt;20000,"Average Sales",Table43[[#This Row],[Sales]]&gt;0,"Poor Sales")</f>
        <v>Poor Sales</v>
      </c>
      <c r="L200" s="12">
        <f>YEAR(Table43[[#This Row],[Date]])</f>
        <v>2023</v>
      </c>
      <c r="M200" s="12">
        <f>MONTH(Table43[[#This Row],[Date]])</f>
        <v>9</v>
      </c>
      <c r="N200" s="13">
        <f>DAY(Table43[[#This Row],[Date]])</f>
        <v>12</v>
      </c>
      <c r="O200" s="13" t="str">
        <f>TEXT(DATE(2023,Table43[[#This Row],[Month]],1),"mmm")</f>
        <v>Sep</v>
      </c>
      <c r="P200" s="13"/>
      <c r="Q200" s="13"/>
    </row>
    <row r="201" spans="1:17" x14ac:dyDescent="0.3">
      <c r="A201" s="14">
        <v>200</v>
      </c>
      <c r="B201" s="15">
        <v>45266</v>
      </c>
      <c r="C201" s="16" t="s">
        <v>22</v>
      </c>
      <c r="D201" s="16" t="s">
        <v>23</v>
      </c>
      <c r="E201" s="16" t="s">
        <v>19</v>
      </c>
      <c r="F201" s="16" t="s">
        <v>31</v>
      </c>
      <c r="G201" s="16" t="s">
        <v>32</v>
      </c>
      <c r="H201" s="17">
        <v>30584.37</v>
      </c>
      <c r="I201" s="16">
        <v>4</v>
      </c>
      <c r="J201" s="18">
        <v>5866.07</v>
      </c>
      <c r="K201" s="17" t="str" cm="1">
        <f t="array" ref="K201">_xlfn.IFS(Table43[[#This Row],[Sales]]&gt;40000,"Best Sales",Table43[[#This Row],[Sales]]&gt;20000,"Average Sales",Table43[[#This Row],[Sales]]&gt;0,"Poor Sales")</f>
        <v>Average Sales</v>
      </c>
      <c r="L201" s="12">
        <f>YEAR(Table43[[#This Row],[Date]])</f>
        <v>2023</v>
      </c>
      <c r="M201" s="12">
        <f>MONTH(Table43[[#This Row],[Date]])</f>
        <v>12</v>
      </c>
      <c r="N201" s="13">
        <f>DAY(Table43[[#This Row],[Date]])</f>
        <v>6</v>
      </c>
      <c r="O201" s="13" t="str">
        <f>TEXT(DATE(2023,Table43[[#This Row],[Month]],1),"mmm")</f>
        <v>Dec</v>
      </c>
      <c r="P201" s="13"/>
      <c r="Q201" s="13"/>
    </row>
    <row r="202" spans="1:17" x14ac:dyDescent="0.3">
      <c r="A202" s="6">
        <v>201</v>
      </c>
      <c r="B202" s="7">
        <v>44995</v>
      </c>
      <c r="C202" s="8" t="s">
        <v>37</v>
      </c>
      <c r="D202" s="8" t="s">
        <v>23</v>
      </c>
      <c r="E202" s="8" t="s">
        <v>24</v>
      </c>
      <c r="F202" s="8" t="s">
        <v>31</v>
      </c>
      <c r="G202" s="8" t="s">
        <v>36</v>
      </c>
      <c r="H202" s="9">
        <v>2307.9</v>
      </c>
      <c r="I202" s="8">
        <v>2</v>
      </c>
      <c r="J202" s="10">
        <v>185.88</v>
      </c>
      <c r="K202" s="17" t="str" cm="1">
        <f t="array" ref="K202">_xlfn.IFS(Table43[[#This Row],[Sales]]&gt;40000,"Best Sales",Table43[[#This Row],[Sales]]&gt;20000,"Average Sales",Table43[[#This Row],[Sales]]&gt;0,"Poor Sales")</f>
        <v>Poor Sales</v>
      </c>
      <c r="L202" s="12">
        <f>YEAR(Table43[[#This Row],[Date]])</f>
        <v>2023</v>
      </c>
      <c r="M202" s="12">
        <f>MONTH(Table43[[#This Row],[Date]])</f>
        <v>3</v>
      </c>
      <c r="N202" s="13">
        <f>DAY(Table43[[#This Row],[Date]])</f>
        <v>10</v>
      </c>
      <c r="O202" s="13" t="str">
        <f>TEXT(DATE(2023,Table43[[#This Row],[Month]],1),"mmm")</f>
        <v>Mar</v>
      </c>
      <c r="P202" s="13"/>
      <c r="Q202" s="13"/>
    </row>
    <row r="203" spans="1:17" x14ac:dyDescent="0.3">
      <c r="A203" s="14">
        <v>202</v>
      </c>
      <c r="B203" s="15">
        <v>45210</v>
      </c>
      <c r="C203" s="16" t="s">
        <v>22</v>
      </c>
      <c r="D203" s="16" t="s">
        <v>23</v>
      </c>
      <c r="E203" s="16" t="s">
        <v>19</v>
      </c>
      <c r="F203" s="16" t="s">
        <v>31</v>
      </c>
      <c r="G203" s="16" t="s">
        <v>35</v>
      </c>
      <c r="H203" s="17">
        <v>46291.49</v>
      </c>
      <c r="I203" s="16">
        <v>6</v>
      </c>
      <c r="J203" s="18">
        <v>5632.5</v>
      </c>
      <c r="K203" s="17" t="str" cm="1">
        <f t="array" ref="K203">_xlfn.IFS(Table43[[#This Row],[Sales]]&gt;40000,"Best Sales",Table43[[#This Row],[Sales]]&gt;20000,"Average Sales",Table43[[#This Row],[Sales]]&gt;0,"Poor Sales")</f>
        <v>Best Sales</v>
      </c>
      <c r="L203" s="12">
        <f>YEAR(Table43[[#This Row],[Date]])</f>
        <v>2023</v>
      </c>
      <c r="M203" s="12">
        <f>MONTH(Table43[[#This Row],[Date]])</f>
        <v>10</v>
      </c>
      <c r="N203" s="13">
        <f>DAY(Table43[[#This Row],[Date]])</f>
        <v>11</v>
      </c>
      <c r="O203" s="13" t="str">
        <f>TEXT(DATE(2023,Table43[[#This Row],[Month]],1),"mmm")</f>
        <v>Oct</v>
      </c>
      <c r="P203" s="13"/>
      <c r="Q203" s="13"/>
    </row>
    <row r="204" spans="1:17" x14ac:dyDescent="0.3">
      <c r="A204" s="6">
        <v>203</v>
      </c>
      <c r="B204" s="7">
        <v>44974</v>
      </c>
      <c r="C204" s="8" t="s">
        <v>45</v>
      </c>
      <c r="D204" s="8" t="s">
        <v>34</v>
      </c>
      <c r="E204" s="8" t="s">
        <v>24</v>
      </c>
      <c r="F204" s="8" t="s">
        <v>20</v>
      </c>
      <c r="G204" s="8" t="s">
        <v>28</v>
      </c>
      <c r="H204" s="9">
        <v>14665.44</v>
      </c>
      <c r="I204" s="8">
        <v>7</v>
      </c>
      <c r="J204" s="10">
        <v>2033.06</v>
      </c>
      <c r="K204" s="17" t="str" cm="1">
        <f t="array" ref="K204">_xlfn.IFS(Table43[[#This Row],[Sales]]&gt;40000,"Best Sales",Table43[[#This Row],[Sales]]&gt;20000,"Average Sales",Table43[[#This Row],[Sales]]&gt;0,"Poor Sales")</f>
        <v>Poor Sales</v>
      </c>
      <c r="L204" s="12">
        <f>YEAR(Table43[[#This Row],[Date]])</f>
        <v>2023</v>
      </c>
      <c r="M204" s="12">
        <f>MONTH(Table43[[#This Row],[Date]])</f>
        <v>2</v>
      </c>
      <c r="N204" s="13">
        <f>DAY(Table43[[#This Row],[Date]])</f>
        <v>17</v>
      </c>
      <c r="O204" s="13" t="str">
        <f>TEXT(DATE(2023,Table43[[#This Row],[Month]],1),"mmm")</f>
        <v>Feb</v>
      </c>
      <c r="P204" s="13"/>
      <c r="Q204" s="13"/>
    </row>
    <row r="205" spans="1:17" x14ac:dyDescent="0.3">
      <c r="A205" s="14">
        <v>204</v>
      </c>
      <c r="B205" s="15">
        <v>44982</v>
      </c>
      <c r="C205" s="16" t="s">
        <v>25</v>
      </c>
      <c r="D205" s="16" t="s">
        <v>26</v>
      </c>
      <c r="E205" s="16" t="s">
        <v>27</v>
      </c>
      <c r="F205" s="16" t="s">
        <v>31</v>
      </c>
      <c r="G205" s="16" t="s">
        <v>32</v>
      </c>
      <c r="H205" s="17">
        <v>29742</v>
      </c>
      <c r="I205" s="16">
        <v>1</v>
      </c>
      <c r="J205" s="18">
        <v>5975.9</v>
      </c>
      <c r="K205" s="17" t="str" cm="1">
        <f t="array" ref="K205">_xlfn.IFS(Table43[[#This Row],[Sales]]&gt;40000,"Best Sales",Table43[[#This Row],[Sales]]&gt;20000,"Average Sales",Table43[[#This Row],[Sales]]&gt;0,"Poor Sales")</f>
        <v>Average Sales</v>
      </c>
      <c r="L205" s="12">
        <f>YEAR(Table43[[#This Row],[Date]])</f>
        <v>2023</v>
      </c>
      <c r="M205" s="12">
        <f>MONTH(Table43[[#This Row],[Date]])</f>
        <v>2</v>
      </c>
      <c r="N205" s="13">
        <f>DAY(Table43[[#This Row],[Date]])</f>
        <v>25</v>
      </c>
      <c r="O205" s="13" t="str">
        <f>TEXT(DATE(2023,Table43[[#This Row],[Month]],1),"mmm")</f>
        <v>Feb</v>
      </c>
      <c r="P205" s="13"/>
      <c r="Q205" s="13"/>
    </row>
    <row r="206" spans="1:17" x14ac:dyDescent="0.3">
      <c r="A206" s="6">
        <v>205</v>
      </c>
      <c r="B206" s="7">
        <v>44955</v>
      </c>
      <c r="C206" s="8" t="s">
        <v>22</v>
      </c>
      <c r="D206" s="8" t="s">
        <v>23</v>
      </c>
      <c r="E206" s="8" t="s">
        <v>27</v>
      </c>
      <c r="F206" s="8" t="s">
        <v>20</v>
      </c>
      <c r="G206" s="8" t="s">
        <v>41</v>
      </c>
      <c r="H206" s="9">
        <v>35349.51</v>
      </c>
      <c r="I206" s="8">
        <v>4</v>
      </c>
      <c r="J206" s="10">
        <v>10510.77</v>
      </c>
      <c r="K206" s="17" t="str" cm="1">
        <f t="array" ref="K206">_xlfn.IFS(Table43[[#This Row],[Sales]]&gt;40000,"Best Sales",Table43[[#This Row],[Sales]]&gt;20000,"Average Sales",Table43[[#This Row],[Sales]]&gt;0,"Poor Sales")</f>
        <v>Average Sales</v>
      </c>
      <c r="L206" s="12">
        <f>YEAR(Table43[[#This Row],[Date]])</f>
        <v>2023</v>
      </c>
      <c r="M206" s="12">
        <f>MONTH(Table43[[#This Row],[Date]])</f>
        <v>1</v>
      </c>
      <c r="N206" s="13">
        <f>DAY(Table43[[#This Row],[Date]])</f>
        <v>29</v>
      </c>
      <c r="O206" s="13" t="str">
        <f>TEXT(DATE(2023,Table43[[#This Row],[Month]],1),"mmm")</f>
        <v>Jan</v>
      </c>
      <c r="P206" s="13"/>
      <c r="Q206" s="13"/>
    </row>
    <row r="207" spans="1:17" x14ac:dyDescent="0.3">
      <c r="A207" s="14">
        <v>206</v>
      </c>
      <c r="B207" s="15">
        <v>45253</v>
      </c>
      <c r="C207" s="16" t="s">
        <v>33</v>
      </c>
      <c r="D207" s="16" t="s">
        <v>34</v>
      </c>
      <c r="E207" s="16" t="s">
        <v>19</v>
      </c>
      <c r="F207" s="16" t="s">
        <v>20</v>
      </c>
      <c r="G207" s="16" t="s">
        <v>21</v>
      </c>
      <c r="H207" s="17">
        <v>25985.13</v>
      </c>
      <c r="I207" s="16">
        <v>6</v>
      </c>
      <c r="J207" s="18">
        <v>2350.9299999999998</v>
      </c>
      <c r="K207" s="17" t="str" cm="1">
        <f t="array" ref="K207">_xlfn.IFS(Table43[[#This Row],[Sales]]&gt;40000,"Best Sales",Table43[[#This Row],[Sales]]&gt;20000,"Average Sales",Table43[[#This Row],[Sales]]&gt;0,"Poor Sales")</f>
        <v>Average Sales</v>
      </c>
      <c r="L207" s="12">
        <f>YEAR(Table43[[#This Row],[Date]])</f>
        <v>2023</v>
      </c>
      <c r="M207" s="12">
        <f>MONTH(Table43[[#This Row],[Date]])</f>
        <v>11</v>
      </c>
      <c r="N207" s="13">
        <f>DAY(Table43[[#This Row],[Date]])</f>
        <v>23</v>
      </c>
      <c r="O207" s="13" t="str">
        <f>TEXT(DATE(2023,Table43[[#This Row],[Month]],1),"mmm")</f>
        <v>Nov</v>
      </c>
      <c r="P207" s="13"/>
      <c r="Q207" s="13"/>
    </row>
    <row r="208" spans="1:17" x14ac:dyDescent="0.3">
      <c r="A208" s="6">
        <v>207</v>
      </c>
      <c r="B208" s="7">
        <v>45156</v>
      </c>
      <c r="C208" s="8" t="s">
        <v>37</v>
      </c>
      <c r="D208" s="8" t="s">
        <v>23</v>
      </c>
      <c r="E208" s="8" t="s">
        <v>24</v>
      </c>
      <c r="F208" s="8" t="s">
        <v>31</v>
      </c>
      <c r="G208" s="8" t="s">
        <v>32</v>
      </c>
      <c r="H208" s="9">
        <v>42832.639999999999</v>
      </c>
      <c r="I208" s="8">
        <v>7</v>
      </c>
      <c r="J208" s="10">
        <v>9063.49</v>
      </c>
      <c r="K208" s="17" t="str" cm="1">
        <f t="array" ref="K208">_xlfn.IFS(Table43[[#This Row],[Sales]]&gt;40000,"Best Sales",Table43[[#This Row],[Sales]]&gt;20000,"Average Sales",Table43[[#This Row],[Sales]]&gt;0,"Poor Sales")</f>
        <v>Best Sales</v>
      </c>
      <c r="L208" s="12">
        <f>YEAR(Table43[[#This Row],[Date]])</f>
        <v>2023</v>
      </c>
      <c r="M208" s="12">
        <f>MONTH(Table43[[#This Row],[Date]])</f>
        <v>8</v>
      </c>
      <c r="N208" s="13">
        <f>DAY(Table43[[#This Row],[Date]])</f>
        <v>18</v>
      </c>
      <c r="O208" s="13" t="str">
        <f>TEXT(DATE(2023,Table43[[#This Row],[Month]],1),"mmm")</f>
        <v>Aug</v>
      </c>
      <c r="P208" s="13"/>
      <c r="Q208" s="13"/>
    </row>
    <row r="209" spans="1:17" x14ac:dyDescent="0.3">
      <c r="A209" s="14">
        <v>208</v>
      </c>
      <c r="B209" s="15">
        <v>45079</v>
      </c>
      <c r="C209" s="16" t="s">
        <v>44</v>
      </c>
      <c r="D209" s="16" t="s">
        <v>34</v>
      </c>
      <c r="E209" s="16" t="s">
        <v>19</v>
      </c>
      <c r="F209" s="16" t="s">
        <v>38</v>
      </c>
      <c r="G209" s="16" t="s">
        <v>39</v>
      </c>
      <c r="H209" s="17">
        <v>22629.8</v>
      </c>
      <c r="I209" s="16">
        <v>9</v>
      </c>
      <c r="J209" s="18">
        <v>6097.6</v>
      </c>
      <c r="K209" s="17" t="str" cm="1">
        <f t="array" ref="K209">_xlfn.IFS(Table43[[#This Row],[Sales]]&gt;40000,"Best Sales",Table43[[#This Row],[Sales]]&gt;20000,"Average Sales",Table43[[#This Row],[Sales]]&gt;0,"Poor Sales")</f>
        <v>Average Sales</v>
      </c>
      <c r="L209" s="12">
        <f>YEAR(Table43[[#This Row],[Date]])</f>
        <v>2023</v>
      </c>
      <c r="M209" s="12">
        <f>MONTH(Table43[[#This Row],[Date]])</f>
        <v>6</v>
      </c>
      <c r="N209" s="13">
        <f>DAY(Table43[[#This Row],[Date]])</f>
        <v>2</v>
      </c>
      <c r="O209" s="13" t="str">
        <f>TEXT(DATE(2023,Table43[[#This Row],[Month]],1),"mmm")</f>
        <v>Jun</v>
      </c>
      <c r="P209" s="13"/>
      <c r="Q209" s="13"/>
    </row>
    <row r="210" spans="1:17" x14ac:dyDescent="0.3">
      <c r="A210" s="6">
        <v>209</v>
      </c>
      <c r="B210" s="7">
        <v>45030</v>
      </c>
      <c r="C210" s="8" t="s">
        <v>29</v>
      </c>
      <c r="D210" s="8" t="s">
        <v>29</v>
      </c>
      <c r="E210" s="8" t="s">
        <v>24</v>
      </c>
      <c r="F210" s="8" t="s">
        <v>20</v>
      </c>
      <c r="G210" s="8" t="s">
        <v>41</v>
      </c>
      <c r="H210" s="9">
        <v>13679.99</v>
      </c>
      <c r="I210" s="8">
        <v>6</v>
      </c>
      <c r="J210" s="10">
        <v>3823.09</v>
      </c>
      <c r="K210" s="17" t="str" cm="1">
        <f t="array" ref="K210">_xlfn.IFS(Table43[[#This Row],[Sales]]&gt;40000,"Best Sales",Table43[[#This Row],[Sales]]&gt;20000,"Average Sales",Table43[[#This Row],[Sales]]&gt;0,"Poor Sales")</f>
        <v>Poor Sales</v>
      </c>
      <c r="L210" s="12">
        <f>YEAR(Table43[[#This Row],[Date]])</f>
        <v>2023</v>
      </c>
      <c r="M210" s="12">
        <f>MONTH(Table43[[#This Row],[Date]])</f>
        <v>4</v>
      </c>
      <c r="N210" s="13">
        <f>DAY(Table43[[#This Row],[Date]])</f>
        <v>14</v>
      </c>
      <c r="O210" s="13" t="str">
        <f>TEXT(DATE(2023,Table43[[#This Row],[Month]],1),"mmm")</f>
        <v>Apr</v>
      </c>
      <c r="P210" s="13"/>
      <c r="Q210" s="13"/>
    </row>
    <row r="211" spans="1:17" x14ac:dyDescent="0.3">
      <c r="A211" s="14">
        <v>210</v>
      </c>
      <c r="B211" s="15">
        <v>45183</v>
      </c>
      <c r="C211" s="16" t="s">
        <v>22</v>
      </c>
      <c r="D211" s="16" t="s">
        <v>23</v>
      </c>
      <c r="E211" s="16" t="s">
        <v>27</v>
      </c>
      <c r="F211" s="16" t="s">
        <v>31</v>
      </c>
      <c r="G211" s="16" t="s">
        <v>35</v>
      </c>
      <c r="H211" s="17">
        <v>36043.949999999997</v>
      </c>
      <c r="I211" s="16">
        <v>8</v>
      </c>
      <c r="J211" s="18">
        <v>5946.66</v>
      </c>
      <c r="K211" s="17" t="str" cm="1">
        <f t="array" ref="K211">_xlfn.IFS(Table43[[#This Row],[Sales]]&gt;40000,"Best Sales",Table43[[#This Row],[Sales]]&gt;20000,"Average Sales",Table43[[#This Row],[Sales]]&gt;0,"Poor Sales")</f>
        <v>Average Sales</v>
      </c>
      <c r="L211" s="12">
        <f>YEAR(Table43[[#This Row],[Date]])</f>
        <v>2023</v>
      </c>
      <c r="M211" s="12">
        <f>MONTH(Table43[[#This Row],[Date]])</f>
        <v>9</v>
      </c>
      <c r="N211" s="13">
        <f>DAY(Table43[[#This Row],[Date]])</f>
        <v>14</v>
      </c>
      <c r="O211" s="13" t="str">
        <f>TEXT(DATE(2023,Table43[[#This Row],[Month]],1),"mmm")</f>
        <v>Sep</v>
      </c>
      <c r="P211" s="13"/>
      <c r="Q211" s="13"/>
    </row>
    <row r="212" spans="1:17" x14ac:dyDescent="0.3">
      <c r="A212" s="6">
        <v>211</v>
      </c>
      <c r="B212" s="7">
        <v>45220</v>
      </c>
      <c r="C212" s="8" t="s">
        <v>25</v>
      </c>
      <c r="D212" s="8" t="s">
        <v>26</v>
      </c>
      <c r="E212" s="8" t="s">
        <v>27</v>
      </c>
      <c r="F212" s="8" t="s">
        <v>38</v>
      </c>
      <c r="G212" s="8" t="s">
        <v>40</v>
      </c>
      <c r="H212" s="9">
        <v>8717.0400000000009</v>
      </c>
      <c r="I212" s="8">
        <v>7</v>
      </c>
      <c r="J212" s="10">
        <v>550.32000000000005</v>
      </c>
      <c r="K212" s="17" t="str" cm="1">
        <f t="array" ref="K212">_xlfn.IFS(Table43[[#This Row],[Sales]]&gt;40000,"Best Sales",Table43[[#This Row],[Sales]]&gt;20000,"Average Sales",Table43[[#This Row],[Sales]]&gt;0,"Poor Sales")</f>
        <v>Poor Sales</v>
      </c>
      <c r="L212" s="12">
        <f>YEAR(Table43[[#This Row],[Date]])</f>
        <v>2023</v>
      </c>
      <c r="M212" s="12">
        <f>MONTH(Table43[[#This Row],[Date]])</f>
        <v>10</v>
      </c>
      <c r="N212" s="13">
        <f>DAY(Table43[[#This Row],[Date]])</f>
        <v>21</v>
      </c>
      <c r="O212" s="13" t="str">
        <f>TEXT(DATE(2023,Table43[[#This Row],[Month]],1),"mmm")</f>
        <v>Oct</v>
      </c>
      <c r="P212" s="13"/>
      <c r="Q212" s="13"/>
    </row>
    <row r="213" spans="1:17" x14ac:dyDescent="0.3">
      <c r="A213" s="14">
        <v>212</v>
      </c>
      <c r="B213" s="15">
        <v>45238</v>
      </c>
      <c r="C213" s="16" t="s">
        <v>22</v>
      </c>
      <c r="D213" s="16" t="s">
        <v>23</v>
      </c>
      <c r="E213" s="16" t="s">
        <v>19</v>
      </c>
      <c r="F213" s="16" t="s">
        <v>31</v>
      </c>
      <c r="G213" s="16" t="s">
        <v>35</v>
      </c>
      <c r="H213" s="17">
        <v>49857.23</v>
      </c>
      <c r="I213" s="16">
        <v>1</v>
      </c>
      <c r="J213" s="18">
        <v>9642.2000000000007</v>
      </c>
      <c r="K213" s="17" t="str" cm="1">
        <f t="array" ref="K213">_xlfn.IFS(Table43[[#This Row],[Sales]]&gt;40000,"Best Sales",Table43[[#This Row],[Sales]]&gt;20000,"Average Sales",Table43[[#This Row],[Sales]]&gt;0,"Poor Sales")</f>
        <v>Best Sales</v>
      </c>
      <c r="L213" s="12">
        <f>YEAR(Table43[[#This Row],[Date]])</f>
        <v>2023</v>
      </c>
      <c r="M213" s="12">
        <f>MONTH(Table43[[#This Row],[Date]])</f>
        <v>11</v>
      </c>
      <c r="N213" s="13">
        <f>DAY(Table43[[#This Row],[Date]])</f>
        <v>8</v>
      </c>
      <c r="O213" s="13" t="str">
        <f>TEXT(DATE(2023,Table43[[#This Row],[Month]],1),"mmm")</f>
        <v>Nov</v>
      </c>
      <c r="P213" s="13"/>
      <c r="Q213" s="13"/>
    </row>
    <row r="214" spans="1:17" x14ac:dyDescent="0.3">
      <c r="A214" s="6">
        <v>213</v>
      </c>
      <c r="B214" s="7">
        <v>45287</v>
      </c>
      <c r="C214" s="8" t="s">
        <v>37</v>
      </c>
      <c r="D214" s="8" t="s">
        <v>23</v>
      </c>
      <c r="E214" s="8" t="s">
        <v>24</v>
      </c>
      <c r="F214" s="8" t="s">
        <v>20</v>
      </c>
      <c r="G214" s="8" t="s">
        <v>21</v>
      </c>
      <c r="H214" s="9">
        <v>11971.17</v>
      </c>
      <c r="I214" s="8">
        <v>4</v>
      </c>
      <c r="J214" s="10">
        <v>2338.79</v>
      </c>
      <c r="K214" s="17" t="str" cm="1">
        <f t="array" ref="K214">_xlfn.IFS(Table43[[#This Row],[Sales]]&gt;40000,"Best Sales",Table43[[#This Row],[Sales]]&gt;20000,"Average Sales",Table43[[#This Row],[Sales]]&gt;0,"Poor Sales")</f>
        <v>Poor Sales</v>
      </c>
      <c r="L214" s="12">
        <f>YEAR(Table43[[#This Row],[Date]])</f>
        <v>2023</v>
      </c>
      <c r="M214" s="12">
        <f>MONTH(Table43[[#This Row],[Date]])</f>
        <v>12</v>
      </c>
      <c r="N214" s="13">
        <f>DAY(Table43[[#This Row],[Date]])</f>
        <v>27</v>
      </c>
      <c r="O214" s="13" t="str">
        <f>TEXT(DATE(2023,Table43[[#This Row],[Month]],1),"mmm")</f>
        <v>Dec</v>
      </c>
      <c r="P214" s="13"/>
      <c r="Q214" s="13"/>
    </row>
    <row r="215" spans="1:17" x14ac:dyDescent="0.3">
      <c r="A215" s="14">
        <v>214</v>
      </c>
      <c r="B215" s="15">
        <v>45252</v>
      </c>
      <c r="C215" s="16" t="s">
        <v>17</v>
      </c>
      <c r="D215" s="16" t="s">
        <v>18</v>
      </c>
      <c r="E215" s="16" t="s">
        <v>19</v>
      </c>
      <c r="F215" s="16" t="s">
        <v>20</v>
      </c>
      <c r="G215" s="16" t="s">
        <v>21</v>
      </c>
      <c r="H215" s="17">
        <v>35720.53</v>
      </c>
      <c r="I215" s="16">
        <v>2</v>
      </c>
      <c r="J215" s="18">
        <v>7171.98</v>
      </c>
      <c r="K215" s="17" t="str" cm="1">
        <f t="array" ref="K215">_xlfn.IFS(Table43[[#This Row],[Sales]]&gt;40000,"Best Sales",Table43[[#This Row],[Sales]]&gt;20000,"Average Sales",Table43[[#This Row],[Sales]]&gt;0,"Poor Sales")</f>
        <v>Average Sales</v>
      </c>
      <c r="L215" s="12">
        <f>YEAR(Table43[[#This Row],[Date]])</f>
        <v>2023</v>
      </c>
      <c r="M215" s="12">
        <f>MONTH(Table43[[#This Row],[Date]])</f>
        <v>11</v>
      </c>
      <c r="N215" s="13">
        <f>DAY(Table43[[#This Row],[Date]])</f>
        <v>22</v>
      </c>
      <c r="O215" s="13" t="str">
        <f>TEXT(DATE(2023,Table43[[#This Row],[Month]],1),"mmm")</f>
        <v>Nov</v>
      </c>
      <c r="P215" s="13"/>
      <c r="Q215" s="13"/>
    </row>
    <row r="216" spans="1:17" x14ac:dyDescent="0.3">
      <c r="A216" s="6">
        <v>215</v>
      </c>
      <c r="B216" s="7">
        <v>45167</v>
      </c>
      <c r="C216" s="8" t="s">
        <v>17</v>
      </c>
      <c r="D216" s="8" t="s">
        <v>18</v>
      </c>
      <c r="E216" s="8" t="s">
        <v>24</v>
      </c>
      <c r="F216" s="8" t="s">
        <v>20</v>
      </c>
      <c r="G216" s="8" t="s">
        <v>28</v>
      </c>
      <c r="H216" s="9">
        <v>15091</v>
      </c>
      <c r="I216" s="8">
        <v>10</v>
      </c>
      <c r="J216" s="10">
        <v>4408.8599999999997</v>
      </c>
      <c r="K216" s="17" t="str" cm="1">
        <f t="array" ref="K216">_xlfn.IFS(Table43[[#This Row],[Sales]]&gt;40000,"Best Sales",Table43[[#This Row],[Sales]]&gt;20000,"Average Sales",Table43[[#This Row],[Sales]]&gt;0,"Poor Sales")</f>
        <v>Poor Sales</v>
      </c>
      <c r="L216" s="12">
        <f>YEAR(Table43[[#This Row],[Date]])</f>
        <v>2023</v>
      </c>
      <c r="M216" s="12">
        <f>MONTH(Table43[[#This Row],[Date]])</f>
        <v>8</v>
      </c>
      <c r="N216" s="13">
        <f>DAY(Table43[[#This Row],[Date]])</f>
        <v>29</v>
      </c>
      <c r="O216" s="13" t="str">
        <f>TEXT(DATE(2023,Table43[[#This Row],[Month]],1),"mmm")</f>
        <v>Aug</v>
      </c>
      <c r="P216" s="13"/>
      <c r="Q216" s="13"/>
    </row>
    <row r="217" spans="1:17" x14ac:dyDescent="0.3">
      <c r="A217" s="14">
        <v>216</v>
      </c>
      <c r="B217" s="15">
        <v>45142</v>
      </c>
      <c r="C217" s="16" t="s">
        <v>45</v>
      </c>
      <c r="D217" s="16" t="s">
        <v>34</v>
      </c>
      <c r="E217" s="16" t="s">
        <v>27</v>
      </c>
      <c r="F217" s="16" t="s">
        <v>20</v>
      </c>
      <c r="G217" s="16" t="s">
        <v>28</v>
      </c>
      <c r="H217" s="17">
        <v>1464.91</v>
      </c>
      <c r="I217" s="16">
        <v>2</v>
      </c>
      <c r="J217" s="18">
        <v>166.33</v>
      </c>
      <c r="K217" s="17" t="str" cm="1">
        <f t="array" ref="K217">_xlfn.IFS(Table43[[#This Row],[Sales]]&gt;40000,"Best Sales",Table43[[#This Row],[Sales]]&gt;20000,"Average Sales",Table43[[#This Row],[Sales]]&gt;0,"Poor Sales")</f>
        <v>Poor Sales</v>
      </c>
      <c r="L217" s="12">
        <f>YEAR(Table43[[#This Row],[Date]])</f>
        <v>2023</v>
      </c>
      <c r="M217" s="12">
        <f>MONTH(Table43[[#This Row],[Date]])</f>
        <v>8</v>
      </c>
      <c r="N217" s="13">
        <f>DAY(Table43[[#This Row],[Date]])</f>
        <v>4</v>
      </c>
      <c r="O217" s="13" t="str">
        <f>TEXT(DATE(2023,Table43[[#This Row],[Month]],1),"mmm")</f>
        <v>Aug</v>
      </c>
      <c r="P217" s="13"/>
      <c r="Q217" s="13"/>
    </row>
    <row r="218" spans="1:17" x14ac:dyDescent="0.3">
      <c r="A218" s="6">
        <v>217</v>
      </c>
      <c r="B218" s="7">
        <v>45057</v>
      </c>
      <c r="C218" s="8" t="s">
        <v>45</v>
      </c>
      <c r="D218" s="8" t="s">
        <v>34</v>
      </c>
      <c r="E218" s="8" t="s">
        <v>27</v>
      </c>
      <c r="F218" s="8" t="s">
        <v>20</v>
      </c>
      <c r="G218" s="8" t="s">
        <v>21</v>
      </c>
      <c r="H218" s="9">
        <v>20871</v>
      </c>
      <c r="I218" s="8">
        <v>6</v>
      </c>
      <c r="J218" s="10">
        <v>1123.25</v>
      </c>
      <c r="K218" s="17" t="str" cm="1">
        <f t="array" ref="K218">_xlfn.IFS(Table43[[#This Row],[Sales]]&gt;40000,"Best Sales",Table43[[#This Row],[Sales]]&gt;20000,"Average Sales",Table43[[#This Row],[Sales]]&gt;0,"Poor Sales")</f>
        <v>Average Sales</v>
      </c>
      <c r="L218" s="12">
        <f>YEAR(Table43[[#This Row],[Date]])</f>
        <v>2023</v>
      </c>
      <c r="M218" s="12">
        <f>MONTH(Table43[[#This Row],[Date]])</f>
        <v>5</v>
      </c>
      <c r="N218" s="13">
        <f>DAY(Table43[[#This Row],[Date]])</f>
        <v>11</v>
      </c>
      <c r="O218" s="13" t="str">
        <f>TEXT(DATE(2023,Table43[[#This Row],[Month]],1),"mmm")</f>
        <v>May</v>
      </c>
      <c r="P218" s="13"/>
      <c r="Q218" s="13"/>
    </row>
    <row r="219" spans="1:17" x14ac:dyDescent="0.3">
      <c r="A219" s="14">
        <v>218</v>
      </c>
      <c r="B219" s="15">
        <v>45060</v>
      </c>
      <c r="C219" s="16" t="s">
        <v>17</v>
      </c>
      <c r="D219" s="16" t="s">
        <v>18</v>
      </c>
      <c r="E219" s="16" t="s">
        <v>19</v>
      </c>
      <c r="F219" s="16" t="s">
        <v>38</v>
      </c>
      <c r="G219" s="16" t="s">
        <v>46</v>
      </c>
      <c r="H219" s="17">
        <v>16475.830000000002</v>
      </c>
      <c r="I219" s="16">
        <v>3</v>
      </c>
      <c r="J219" s="18">
        <v>2544.4499999999998</v>
      </c>
      <c r="K219" s="17" t="str" cm="1">
        <f t="array" ref="K219">_xlfn.IFS(Table43[[#This Row],[Sales]]&gt;40000,"Best Sales",Table43[[#This Row],[Sales]]&gt;20000,"Average Sales",Table43[[#This Row],[Sales]]&gt;0,"Poor Sales")</f>
        <v>Poor Sales</v>
      </c>
      <c r="L219" s="12">
        <f>YEAR(Table43[[#This Row],[Date]])</f>
        <v>2023</v>
      </c>
      <c r="M219" s="12">
        <f>MONTH(Table43[[#This Row],[Date]])</f>
        <v>5</v>
      </c>
      <c r="N219" s="13">
        <f>DAY(Table43[[#This Row],[Date]])</f>
        <v>14</v>
      </c>
      <c r="O219" s="13" t="str">
        <f>TEXT(DATE(2023,Table43[[#This Row],[Month]],1),"mmm")</f>
        <v>May</v>
      </c>
      <c r="P219" s="13"/>
      <c r="Q219" s="13"/>
    </row>
    <row r="220" spans="1:17" x14ac:dyDescent="0.3">
      <c r="A220" s="6">
        <v>219</v>
      </c>
      <c r="B220" s="7">
        <v>45166</v>
      </c>
      <c r="C220" s="8" t="s">
        <v>22</v>
      </c>
      <c r="D220" s="8" t="s">
        <v>23</v>
      </c>
      <c r="E220" s="8" t="s">
        <v>24</v>
      </c>
      <c r="F220" s="8" t="s">
        <v>20</v>
      </c>
      <c r="G220" s="8" t="s">
        <v>28</v>
      </c>
      <c r="H220" s="9">
        <v>40284</v>
      </c>
      <c r="I220" s="8">
        <v>5</v>
      </c>
      <c r="J220" s="10">
        <v>10032.85</v>
      </c>
      <c r="K220" s="17" t="str" cm="1">
        <f t="array" ref="K220">_xlfn.IFS(Table43[[#This Row],[Sales]]&gt;40000,"Best Sales",Table43[[#This Row],[Sales]]&gt;20000,"Average Sales",Table43[[#This Row],[Sales]]&gt;0,"Poor Sales")</f>
        <v>Best Sales</v>
      </c>
      <c r="L220" s="12">
        <f>YEAR(Table43[[#This Row],[Date]])</f>
        <v>2023</v>
      </c>
      <c r="M220" s="12">
        <f>MONTH(Table43[[#This Row],[Date]])</f>
        <v>8</v>
      </c>
      <c r="N220" s="13">
        <f>DAY(Table43[[#This Row],[Date]])</f>
        <v>28</v>
      </c>
      <c r="O220" s="13" t="str">
        <f>TEXT(DATE(2023,Table43[[#This Row],[Month]],1),"mmm")</f>
        <v>Aug</v>
      </c>
      <c r="P220" s="13"/>
      <c r="Q220" s="13"/>
    </row>
    <row r="221" spans="1:17" x14ac:dyDescent="0.3">
      <c r="A221" s="14">
        <v>220</v>
      </c>
      <c r="B221" s="15">
        <v>45188</v>
      </c>
      <c r="C221" s="16" t="s">
        <v>42</v>
      </c>
      <c r="D221" s="16" t="s">
        <v>43</v>
      </c>
      <c r="E221" s="16" t="s">
        <v>19</v>
      </c>
      <c r="F221" s="16" t="s">
        <v>20</v>
      </c>
      <c r="G221" s="16" t="s">
        <v>21</v>
      </c>
      <c r="H221" s="17">
        <v>8686.2199999999993</v>
      </c>
      <c r="I221" s="16">
        <v>2</v>
      </c>
      <c r="J221" s="18">
        <v>929.05</v>
      </c>
      <c r="K221" s="17" t="str" cm="1">
        <f t="array" ref="K221">_xlfn.IFS(Table43[[#This Row],[Sales]]&gt;40000,"Best Sales",Table43[[#This Row],[Sales]]&gt;20000,"Average Sales",Table43[[#This Row],[Sales]]&gt;0,"Poor Sales")</f>
        <v>Poor Sales</v>
      </c>
      <c r="L221" s="12">
        <f>YEAR(Table43[[#This Row],[Date]])</f>
        <v>2023</v>
      </c>
      <c r="M221" s="12">
        <f>MONTH(Table43[[#This Row],[Date]])</f>
        <v>9</v>
      </c>
      <c r="N221" s="13">
        <f>DAY(Table43[[#This Row],[Date]])</f>
        <v>19</v>
      </c>
      <c r="O221" s="13" t="str">
        <f>TEXT(DATE(2023,Table43[[#This Row],[Month]],1),"mmm")</f>
        <v>Sep</v>
      </c>
      <c r="P221" s="13"/>
      <c r="Q221" s="13"/>
    </row>
    <row r="222" spans="1:17" x14ac:dyDescent="0.3">
      <c r="A222" s="6">
        <v>221</v>
      </c>
      <c r="B222" s="7">
        <v>44991</v>
      </c>
      <c r="C222" s="8" t="s">
        <v>44</v>
      </c>
      <c r="D222" s="8" t="s">
        <v>34</v>
      </c>
      <c r="E222" s="8" t="s">
        <v>24</v>
      </c>
      <c r="F222" s="8" t="s">
        <v>31</v>
      </c>
      <c r="G222" s="8" t="s">
        <v>32</v>
      </c>
      <c r="H222" s="9">
        <v>6913.56</v>
      </c>
      <c r="I222" s="8">
        <v>3</v>
      </c>
      <c r="J222" s="10">
        <v>1983.12</v>
      </c>
      <c r="K222" s="17" t="str" cm="1">
        <f t="array" ref="K222">_xlfn.IFS(Table43[[#This Row],[Sales]]&gt;40000,"Best Sales",Table43[[#This Row],[Sales]]&gt;20000,"Average Sales",Table43[[#This Row],[Sales]]&gt;0,"Poor Sales")</f>
        <v>Poor Sales</v>
      </c>
      <c r="L222" s="12">
        <f>YEAR(Table43[[#This Row],[Date]])</f>
        <v>2023</v>
      </c>
      <c r="M222" s="12">
        <f>MONTH(Table43[[#This Row],[Date]])</f>
        <v>3</v>
      </c>
      <c r="N222" s="13">
        <f>DAY(Table43[[#This Row],[Date]])</f>
        <v>6</v>
      </c>
      <c r="O222" s="13" t="str">
        <f>TEXT(DATE(2023,Table43[[#This Row],[Month]],1),"mmm")</f>
        <v>Mar</v>
      </c>
      <c r="P222" s="13"/>
      <c r="Q222" s="13"/>
    </row>
    <row r="223" spans="1:17" x14ac:dyDescent="0.3">
      <c r="A223" s="14">
        <v>222</v>
      </c>
      <c r="B223" s="15">
        <v>45022</v>
      </c>
      <c r="C223" s="16" t="s">
        <v>29</v>
      </c>
      <c r="D223" s="16" t="s">
        <v>29</v>
      </c>
      <c r="E223" s="16" t="s">
        <v>27</v>
      </c>
      <c r="F223" s="16" t="s">
        <v>31</v>
      </c>
      <c r="G223" s="16" t="s">
        <v>35</v>
      </c>
      <c r="H223" s="17">
        <v>37149.339999999997</v>
      </c>
      <c r="I223" s="16">
        <v>10</v>
      </c>
      <c r="J223" s="18">
        <v>10843.22</v>
      </c>
      <c r="K223" s="17" t="str" cm="1">
        <f t="array" ref="K223">_xlfn.IFS(Table43[[#This Row],[Sales]]&gt;40000,"Best Sales",Table43[[#This Row],[Sales]]&gt;20000,"Average Sales",Table43[[#This Row],[Sales]]&gt;0,"Poor Sales")</f>
        <v>Average Sales</v>
      </c>
      <c r="L223" s="12">
        <f>YEAR(Table43[[#This Row],[Date]])</f>
        <v>2023</v>
      </c>
      <c r="M223" s="12">
        <f>MONTH(Table43[[#This Row],[Date]])</f>
        <v>4</v>
      </c>
      <c r="N223" s="13">
        <f>DAY(Table43[[#This Row],[Date]])</f>
        <v>6</v>
      </c>
      <c r="O223" s="13" t="str">
        <f>TEXT(DATE(2023,Table43[[#This Row],[Month]],1),"mmm")</f>
        <v>Apr</v>
      </c>
      <c r="P223" s="13"/>
      <c r="Q223" s="13"/>
    </row>
    <row r="224" spans="1:17" x14ac:dyDescent="0.3">
      <c r="A224" s="6">
        <v>223</v>
      </c>
      <c r="B224" s="7">
        <v>45146</v>
      </c>
      <c r="C224" s="8" t="s">
        <v>33</v>
      </c>
      <c r="D224" s="8" t="s">
        <v>34</v>
      </c>
      <c r="E224" s="8" t="s">
        <v>27</v>
      </c>
      <c r="F224" s="8" t="s">
        <v>20</v>
      </c>
      <c r="G224" s="8" t="s">
        <v>41</v>
      </c>
      <c r="H224" s="9">
        <v>16640.29</v>
      </c>
      <c r="I224" s="8">
        <v>3</v>
      </c>
      <c r="J224" s="10">
        <v>1393.49</v>
      </c>
      <c r="K224" s="17" t="str" cm="1">
        <f t="array" ref="K224">_xlfn.IFS(Table43[[#This Row],[Sales]]&gt;40000,"Best Sales",Table43[[#This Row],[Sales]]&gt;20000,"Average Sales",Table43[[#This Row],[Sales]]&gt;0,"Poor Sales")</f>
        <v>Poor Sales</v>
      </c>
      <c r="L224" s="12">
        <f>YEAR(Table43[[#This Row],[Date]])</f>
        <v>2023</v>
      </c>
      <c r="M224" s="12">
        <f>MONTH(Table43[[#This Row],[Date]])</f>
        <v>8</v>
      </c>
      <c r="N224" s="13">
        <f>DAY(Table43[[#This Row],[Date]])</f>
        <v>8</v>
      </c>
      <c r="O224" s="13" t="str">
        <f>TEXT(DATE(2023,Table43[[#This Row],[Month]],1),"mmm")</f>
        <v>Aug</v>
      </c>
      <c r="P224" s="13"/>
      <c r="Q224" s="13"/>
    </row>
    <row r="225" spans="1:17" x14ac:dyDescent="0.3">
      <c r="A225" s="14">
        <v>224</v>
      </c>
      <c r="B225" s="15">
        <v>44939</v>
      </c>
      <c r="C225" s="16" t="s">
        <v>17</v>
      </c>
      <c r="D225" s="16" t="s">
        <v>18</v>
      </c>
      <c r="E225" s="16" t="s">
        <v>19</v>
      </c>
      <c r="F225" s="16" t="s">
        <v>31</v>
      </c>
      <c r="G225" s="16" t="s">
        <v>35</v>
      </c>
      <c r="H225" s="17">
        <v>21947.32</v>
      </c>
      <c r="I225" s="16">
        <v>3</v>
      </c>
      <c r="J225" s="18">
        <v>6382.79</v>
      </c>
      <c r="K225" s="17" t="str" cm="1">
        <f t="array" ref="K225">_xlfn.IFS(Table43[[#This Row],[Sales]]&gt;40000,"Best Sales",Table43[[#This Row],[Sales]]&gt;20000,"Average Sales",Table43[[#This Row],[Sales]]&gt;0,"Poor Sales")</f>
        <v>Average Sales</v>
      </c>
      <c r="L225" s="12">
        <f>YEAR(Table43[[#This Row],[Date]])</f>
        <v>2023</v>
      </c>
      <c r="M225" s="12">
        <f>MONTH(Table43[[#This Row],[Date]])</f>
        <v>1</v>
      </c>
      <c r="N225" s="13">
        <f>DAY(Table43[[#This Row],[Date]])</f>
        <v>13</v>
      </c>
      <c r="O225" s="13" t="str">
        <f>TEXT(DATE(2023,Table43[[#This Row],[Month]],1),"mmm")</f>
        <v>Jan</v>
      </c>
      <c r="P225" s="13"/>
      <c r="Q225" s="13"/>
    </row>
    <row r="226" spans="1:17" x14ac:dyDescent="0.3">
      <c r="A226" s="6">
        <v>225</v>
      </c>
      <c r="B226" s="7">
        <v>44957</v>
      </c>
      <c r="C226" s="8" t="s">
        <v>17</v>
      </c>
      <c r="D226" s="8" t="s">
        <v>18</v>
      </c>
      <c r="E226" s="8" t="s">
        <v>24</v>
      </c>
      <c r="F226" s="8" t="s">
        <v>38</v>
      </c>
      <c r="G226" s="8" t="s">
        <v>46</v>
      </c>
      <c r="H226" s="9">
        <v>24075.200000000001</v>
      </c>
      <c r="I226" s="8">
        <v>10</v>
      </c>
      <c r="J226" s="10">
        <v>5340.35</v>
      </c>
      <c r="K226" s="17" t="str" cm="1">
        <f t="array" ref="K226">_xlfn.IFS(Table43[[#This Row],[Sales]]&gt;40000,"Best Sales",Table43[[#This Row],[Sales]]&gt;20000,"Average Sales",Table43[[#This Row],[Sales]]&gt;0,"Poor Sales")</f>
        <v>Average Sales</v>
      </c>
      <c r="L226" s="12">
        <f>YEAR(Table43[[#This Row],[Date]])</f>
        <v>2023</v>
      </c>
      <c r="M226" s="12">
        <f>MONTH(Table43[[#This Row],[Date]])</f>
        <v>1</v>
      </c>
      <c r="N226" s="13">
        <f>DAY(Table43[[#This Row],[Date]])</f>
        <v>31</v>
      </c>
      <c r="O226" s="13" t="str">
        <f>TEXT(DATE(2023,Table43[[#This Row],[Month]],1),"mmm")</f>
        <v>Jan</v>
      </c>
      <c r="P226" s="13"/>
      <c r="Q226" s="13"/>
    </row>
    <row r="227" spans="1:17" x14ac:dyDescent="0.3">
      <c r="A227" s="14">
        <v>226</v>
      </c>
      <c r="B227" s="15">
        <v>44969</v>
      </c>
      <c r="C227" s="16" t="s">
        <v>33</v>
      </c>
      <c r="D227" s="16" t="s">
        <v>34</v>
      </c>
      <c r="E227" s="16" t="s">
        <v>19</v>
      </c>
      <c r="F227" s="16" t="s">
        <v>31</v>
      </c>
      <c r="G227" s="16" t="s">
        <v>32</v>
      </c>
      <c r="H227" s="17">
        <v>44542.65</v>
      </c>
      <c r="I227" s="16">
        <v>6</v>
      </c>
      <c r="J227" s="18">
        <v>12094.77</v>
      </c>
      <c r="K227" s="17" t="str" cm="1">
        <f t="array" ref="K227">_xlfn.IFS(Table43[[#This Row],[Sales]]&gt;40000,"Best Sales",Table43[[#This Row],[Sales]]&gt;20000,"Average Sales",Table43[[#This Row],[Sales]]&gt;0,"Poor Sales")</f>
        <v>Best Sales</v>
      </c>
      <c r="L227" s="12">
        <f>YEAR(Table43[[#This Row],[Date]])</f>
        <v>2023</v>
      </c>
      <c r="M227" s="12">
        <f>MONTH(Table43[[#This Row],[Date]])</f>
        <v>2</v>
      </c>
      <c r="N227" s="13">
        <f>DAY(Table43[[#This Row],[Date]])</f>
        <v>12</v>
      </c>
      <c r="O227" s="13" t="str">
        <f>TEXT(DATE(2023,Table43[[#This Row],[Month]],1),"mmm")</f>
        <v>Feb</v>
      </c>
      <c r="P227" s="13"/>
      <c r="Q227" s="13"/>
    </row>
    <row r="228" spans="1:17" x14ac:dyDescent="0.3">
      <c r="A228" s="6">
        <v>227</v>
      </c>
      <c r="B228" s="7">
        <v>44927</v>
      </c>
      <c r="C228" s="8" t="s">
        <v>42</v>
      </c>
      <c r="D228" s="8" t="s">
        <v>43</v>
      </c>
      <c r="E228" s="8" t="s">
        <v>24</v>
      </c>
      <c r="F228" s="8" t="s">
        <v>38</v>
      </c>
      <c r="G228" s="8" t="s">
        <v>46</v>
      </c>
      <c r="H228" s="9">
        <v>42137.27</v>
      </c>
      <c r="I228" s="8">
        <v>5</v>
      </c>
      <c r="J228" s="10">
        <v>5097.54</v>
      </c>
      <c r="K228" s="17" t="str" cm="1">
        <f t="array" ref="K228">_xlfn.IFS(Table43[[#This Row],[Sales]]&gt;40000,"Best Sales",Table43[[#This Row],[Sales]]&gt;20000,"Average Sales",Table43[[#This Row],[Sales]]&gt;0,"Poor Sales")</f>
        <v>Best Sales</v>
      </c>
      <c r="L228" s="12">
        <f>YEAR(Table43[[#This Row],[Date]])</f>
        <v>2023</v>
      </c>
      <c r="M228" s="12">
        <f>MONTH(Table43[[#This Row],[Date]])</f>
        <v>1</v>
      </c>
      <c r="N228" s="13">
        <f>DAY(Table43[[#This Row],[Date]])</f>
        <v>1</v>
      </c>
      <c r="O228" s="13" t="str">
        <f>TEXT(DATE(2023,Table43[[#This Row],[Month]],1),"mmm")</f>
        <v>Jan</v>
      </c>
      <c r="P228" s="13"/>
      <c r="Q228" s="13"/>
    </row>
    <row r="229" spans="1:17" x14ac:dyDescent="0.3">
      <c r="A229" s="14">
        <v>228</v>
      </c>
      <c r="B229" s="15">
        <v>45121</v>
      </c>
      <c r="C229" s="16" t="s">
        <v>37</v>
      </c>
      <c r="D229" s="16" t="s">
        <v>23</v>
      </c>
      <c r="E229" s="16" t="s">
        <v>27</v>
      </c>
      <c r="F229" s="16" t="s">
        <v>38</v>
      </c>
      <c r="G229" s="16" t="s">
        <v>40</v>
      </c>
      <c r="H229" s="17">
        <v>33630.86</v>
      </c>
      <c r="I229" s="16">
        <v>5</v>
      </c>
      <c r="J229" s="18">
        <v>2900.81</v>
      </c>
      <c r="K229" s="17" t="str" cm="1">
        <f t="array" ref="K229">_xlfn.IFS(Table43[[#This Row],[Sales]]&gt;40000,"Best Sales",Table43[[#This Row],[Sales]]&gt;20000,"Average Sales",Table43[[#This Row],[Sales]]&gt;0,"Poor Sales")</f>
        <v>Average Sales</v>
      </c>
      <c r="L229" s="12">
        <f>YEAR(Table43[[#This Row],[Date]])</f>
        <v>2023</v>
      </c>
      <c r="M229" s="12">
        <f>MONTH(Table43[[#This Row],[Date]])</f>
        <v>7</v>
      </c>
      <c r="N229" s="13">
        <f>DAY(Table43[[#This Row],[Date]])</f>
        <v>14</v>
      </c>
      <c r="O229" s="13" t="str">
        <f>TEXT(DATE(2023,Table43[[#This Row],[Month]],1),"mmm")</f>
        <v>Jul</v>
      </c>
      <c r="P229" s="13"/>
      <c r="Q229" s="13"/>
    </row>
    <row r="230" spans="1:17" x14ac:dyDescent="0.3">
      <c r="A230" s="6">
        <v>229</v>
      </c>
      <c r="B230" s="7">
        <v>45263</v>
      </c>
      <c r="C230" s="8" t="s">
        <v>42</v>
      </c>
      <c r="D230" s="8" t="s">
        <v>43</v>
      </c>
      <c r="E230" s="8" t="s">
        <v>27</v>
      </c>
      <c r="F230" s="8" t="s">
        <v>31</v>
      </c>
      <c r="G230" s="8" t="s">
        <v>35</v>
      </c>
      <c r="H230" s="9">
        <v>1156.72</v>
      </c>
      <c r="I230" s="8">
        <v>2</v>
      </c>
      <c r="J230" s="10">
        <v>281.39</v>
      </c>
      <c r="K230" s="17" t="str" cm="1">
        <f t="array" ref="K230">_xlfn.IFS(Table43[[#This Row],[Sales]]&gt;40000,"Best Sales",Table43[[#This Row],[Sales]]&gt;20000,"Average Sales",Table43[[#This Row],[Sales]]&gt;0,"Poor Sales")</f>
        <v>Poor Sales</v>
      </c>
      <c r="L230" s="12">
        <f>YEAR(Table43[[#This Row],[Date]])</f>
        <v>2023</v>
      </c>
      <c r="M230" s="12">
        <f>MONTH(Table43[[#This Row],[Date]])</f>
        <v>12</v>
      </c>
      <c r="N230" s="13">
        <f>DAY(Table43[[#This Row],[Date]])</f>
        <v>3</v>
      </c>
      <c r="O230" s="13" t="str">
        <f>TEXT(DATE(2023,Table43[[#This Row],[Month]],1),"mmm")</f>
        <v>Dec</v>
      </c>
      <c r="P230" s="13"/>
      <c r="Q230" s="13"/>
    </row>
    <row r="231" spans="1:17" x14ac:dyDescent="0.3">
      <c r="A231" s="14">
        <v>230</v>
      </c>
      <c r="B231" s="15">
        <v>45163</v>
      </c>
      <c r="C231" s="16" t="s">
        <v>33</v>
      </c>
      <c r="D231" s="16" t="s">
        <v>34</v>
      </c>
      <c r="E231" s="16" t="s">
        <v>19</v>
      </c>
      <c r="F231" s="16" t="s">
        <v>20</v>
      </c>
      <c r="G231" s="16" t="s">
        <v>28</v>
      </c>
      <c r="H231" s="17">
        <v>28988.87</v>
      </c>
      <c r="I231" s="16">
        <v>4</v>
      </c>
      <c r="J231" s="18">
        <v>8348.4500000000007</v>
      </c>
      <c r="K231" s="17" t="str" cm="1">
        <f t="array" ref="K231">_xlfn.IFS(Table43[[#This Row],[Sales]]&gt;40000,"Best Sales",Table43[[#This Row],[Sales]]&gt;20000,"Average Sales",Table43[[#This Row],[Sales]]&gt;0,"Poor Sales")</f>
        <v>Average Sales</v>
      </c>
      <c r="L231" s="12">
        <f>YEAR(Table43[[#This Row],[Date]])</f>
        <v>2023</v>
      </c>
      <c r="M231" s="12">
        <f>MONTH(Table43[[#This Row],[Date]])</f>
        <v>8</v>
      </c>
      <c r="N231" s="13">
        <f>DAY(Table43[[#This Row],[Date]])</f>
        <v>25</v>
      </c>
      <c r="O231" s="13" t="str">
        <f>TEXT(DATE(2023,Table43[[#This Row],[Month]],1),"mmm")</f>
        <v>Aug</v>
      </c>
      <c r="P231" s="13"/>
      <c r="Q231" s="13"/>
    </row>
    <row r="232" spans="1:17" x14ac:dyDescent="0.3">
      <c r="A232" s="6">
        <v>231</v>
      </c>
      <c r="B232" s="7">
        <v>45227</v>
      </c>
      <c r="C232" s="8" t="s">
        <v>17</v>
      </c>
      <c r="D232" s="8" t="s">
        <v>18</v>
      </c>
      <c r="E232" s="8" t="s">
        <v>24</v>
      </c>
      <c r="F232" s="8" t="s">
        <v>31</v>
      </c>
      <c r="G232" s="8" t="s">
        <v>35</v>
      </c>
      <c r="H232" s="9">
        <v>40961.07</v>
      </c>
      <c r="I232" s="8">
        <v>7</v>
      </c>
      <c r="J232" s="10">
        <v>11511.53</v>
      </c>
      <c r="K232" s="17" t="str" cm="1">
        <f t="array" ref="K232">_xlfn.IFS(Table43[[#This Row],[Sales]]&gt;40000,"Best Sales",Table43[[#This Row],[Sales]]&gt;20000,"Average Sales",Table43[[#This Row],[Sales]]&gt;0,"Poor Sales")</f>
        <v>Best Sales</v>
      </c>
      <c r="L232" s="12">
        <f>YEAR(Table43[[#This Row],[Date]])</f>
        <v>2023</v>
      </c>
      <c r="M232" s="12">
        <f>MONTH(Table43[[#This Row],[Date]])</f>
        <v>10</v>
      </c>
      <c r="N232" s="13">
        <f>DAY(Table43[[#This Row],[Date]])</f>
        <v>28</v>
      </c>
      <c r="O232" s="13" t="str">
        <f>TEXT(DATE(2023,Table43[[#This Row],[Month]],1),"mmm")</f>
        <v>Oct</v>
      </c>
      <c r="P232" s="13"/>
      <c r="Q232" s="13"/>
    </row>
    <row r="233" spans="1:17" x14ac:dyDescent="0.3">
      <c r="A233" s="14">
        <v>232</v>
      </c>
      <c r="B233" s="15">
        <v>45215</v>
      </c>
      <c r="C233" s="16" t="s">
        <v>17</v>
      </c>
      <c r="D233" s="16" t="s">
        <v>18</v>
      </c>
      <c r="E233" s="16" t="s">
        <v>19</v>
      </c>
      <c r="F233" s="16" t="s">
        <v>38</v>
      </c>
      <c r="G233" s="16" t="s">
        <v>39</v>
      </c>
      <c r="H233" s="17">
        <v>44103.15</v>
      </c>
      <c r="I233" s="16">
        <v>8</v>
      </c>
      <c r="J233" s="18">
        <v>7622.06</v>
      </c>
      <c r="K233" s="17" t="str" cm="1">
        <f t="array" ref="K233">_xlfn.IFS(Table43[[#This Row],[Sales]]&gt;40000,"Best Sales",Table43[[#This Row],[Sales]]&gt;20000,"Average Sales",Table43[[#This Row],[Sales]]&gt;0,"Poor Sales")</f>
        <v>Best Sales</v>
      </c>
      <c r="L233" s="12">
        <f>YEAR(Table43[[#This Row],[Date]])</f>
        <v>2023</v>
      </c>
      <c r="M233" s="12">
        <f>MONTH(Table43[[#This Row],[Date]])</f>
        <v>10</v>
      </c>
      <c r="N233" s="13">
        <f>DAY(Table43[[#This Row],[Date]])</f>
        <v>16</v>
      </c>
      <c r="O233" s="13" t="str">
        <f>TEXT(DATE(2023,Table43[[#This Row],[Month]],1),"mmm")</f>
        <v>Oct</v>
      </c>
      <c r="P233" s="13"/>
      <c r="Q233" s="13"/>
    </row>
    <row r="234" spans="1:17" x14ac:dyDescent="0.3">
      <c r="A234" s="6">
        <v>233</v>
      </c>
      <c r="B234" s="7">
        <v>45205</v>
      </c>
      <c r="C234" s="8" t="s">
        <v>37</v>
      </c>
      <c r="D234" s="8" t="s">
        <v>23</v>
      </c>
      <c r="E234" s="8" t="s">
        <v>24</v>
      </c>
      <c r="F234" s="8" t="s">
        <v>31</v>
      </c>
      <c r="G234" s="8" t="s">
        <v>35</v>
      </c>
      <c r="H234" s="9">
        <v>40991.879999999997</v>
      </c>
      <c r="I234" s="8">
        <v>3</v>
      </c>
      <c r="J234" s="10">
        <v>10571.44</v>
      </c>
      <c r="K234" s="17" t="str" cm="1">
        <f t="array" ref="K234">_xlfn.IFS(Table43[[#This Row],[Sales]]&gt;40000,"Best Sales",Table43[[#This Row],[Sales]]&gt;20000,"Average Sales",Table43[[#This Row],[Sales]]&gt;0,"Poor Sales")</f>
        <v>Best Sales</v>
      </c>
      <c r="L234" s="12">
        <f>YEAR(Table43[[#This Row],[Date]])</f>
        <v>2023</v>
      </c>
      <c r="M234" s="12">
        <f>MONTH(Table43[[#This Row],[Date]])</f>
        <v>10</v>
      </c>
      <c r="N234" s="13">
        <f>DAY(Table43[[#This Row],[Date]])</f>
        <v>6</v>
      </c>
      <c r="O234" s="13" t="str">
        <f>TEXT(DATE(2023,Table43[[#This Row],[Month]],1),"mmm")</f>
        <v>Oct</v>
      </c>
      <c r="P234" s="13"/>
      <c r="Q234" s="13"/>
    </row>
    <row r="235" spans="1:17" x14ac:dyDescent="0.3">
      <c r="A235" s="14">
        <v>234</v>
      </c>
      <c r="B235" s="15">
        <v>45094</v>
      </c>
      <c r="C235" s="16" t="s">
        <v>44</v>
      </c>
      <c r="D235" s="16" t="s">
        <v>34</v>
      </c>
      <c r="E235" s="16" t="s">
        <v>27</v>
      </c>
      <c r="F235" s="16" t="s">
        <v>38</v>
      </c>
      <c r="G235" s="16" t="s">
        <v>39</v>
      </c>
      <c r="H235" s="17">
        <v>22770.06</v>
      </c>
      <c r="I235" s="16">
        <v>9</v>
      </c>
      <c r="J235" s="18">
        <v>3327.09</v>
      </c>
      <c r="K235" s="17" t="str" cm="1">
        <f t="array" ref="K235">_xlfn.IFS(Table43[[#This Row],[Sales]]&gt;40000,"Best Sales",Table43[[#This Row],[Sales]]&gt;20000,"Average Sales",Table43[[#This Row],[Sales]]&gt;0,"Poor Sales")</f>
        <v>Average Sales</v>
      </c>
      <c r="L235" s="12">
        <f>YEAR(Table43[[#This Row],[Date]])</f>
        <v>2023</v>
      </c>
      <c r="M235" s="12">
        <f>MONTH(Table43[[#This Row],[Date]])</f>
        <v>6</v>
      </c>
      <c r="N235" s="13">
        <f>DAY(Table43[[#This Row],[Date]])</f>
        <v>17</v>
      </c>
      <c r="O235" s="13" t="str">
        <f>TEXT(DATE(2023,Table43[[#This Row],[Month]],1),"mmm")</f>
        <v>Jun</v>
      </c>
      <c r="P235" s="13"/>
      <c r="Q235" s="13"/>
    </row>
    <row r="236" spans="1:17" x14ac:dyDescent="0.3">
      <c r="A236" s="6">
        <v>235</v>
      </c>
      <c r="B236" s="7">
        <v>45133</v>
      </c>
      <c r="C236" s="8" t="s">
        <v>33</v>
      </c>
      <c r="D236" s="8" t="s">
        <v>34</v>
      </c>
      <c r="E236" s="8" t="s">
        <v>27</v>
      </c>
      <c r="F236" s="8" t="s">
        <v>38</v>
      </c>
      <c r="G236" s="8" t="s">
        <v>40</v>
      </c>
      <c r="H236" s="9">
        <v>32866.050000000003</v>
      </c>
      <c r="I236" s="8">
        <v>5</v>
      </c>
      <c r="J236" s="10">
        <v>7169.07</v>
      </c>
      <c r="K236" s="17" t="str" cm="1">
        <f t="array" ref="K236">_xlfn.IFS(Table43[[#This Row],[Sales]]&gt;40000,"Best Sales",Table43[[#This Row],[Sales]]&gt;20000,"Average Sales",Table43[[#This Row],[Sales]]&gt;0,"Poor Sales")</f>
        <v>Average Sales</v>
      </c>
      <c r="L236" s="12">
        <f>YEAR(Table43[[#This Row],[Date]])</f>
        <v>2023</v>
      </c>
      <c r="M236" s="12">
        <f>MONTH(Table43[[#This Row],[Date]])</f>
        <v>7</v>
      </c>
      <c r="N236" s="13">
        <f>DAY(Table43[[#This Row],[Date]])</f>
        <v>26</v>
      </c>
      <c r="O236" s="13" t="str">
        <f>TEXT(DATE(2023,Table43[[#This Row],[Month]],1),"mmm")</f>
        <v>Jul</v>
      </c>
      <c r="P236" s="13"/>
      <c r="Q236" s="13"/>
    </row>
    <row r="237" spans="1:17" x14ac:dyDescent="0.3">
      <c r="A237" s="14">
        <v>236</v>
      </c>
      <c r="B237" s="15">
        <v>45158</v>
      </c>
      <c r="C237" s="16" t="s">
        <v>44</v>
      </c>
      <c r="D237" s="16" t="s">
        <v>34</v>
      </c>
      <c r="E237" s="16" t="s">
        <v>19</v>
      </c>
      <c r="F237" s="16" t="s">
        <v>38</v>
      </c>
      <c r="G237" s="16" t="s">
        <v>39</v>
      </c>
      <c r="H237" s="17">
        <v>10663.17</v>
      </c>
      <c r="I237" s="16">
        <v>2</v>
      </c>
      <c r="J237" s="18">
        <v>2411.1799999999998</v>
      </c>
      <c r="K237" s="17" t="str" cm="1">
        <f t="array" ref="K237">_xlfn.IFS(Table43[[#This Row],[Sales]]&gt;40000,"Best Sales",Table43[[#This Row],[Sales]]&gt;20000,"Average Sales",Table43[[#This Row],[Sales]]&gt;0,"Poor Sales")</f>
        <v>Poor Sales</v>
      </c>
      <c r="L237" s="12">
        <f>YEAR(Table43[[#This Row],[Date]])</f>
        <v>2023</v>
      </c>
      <c r="M237" s="12">
        <f>MONTH(Table43[[#This Row],[Date]])</f>
        <v>8</v>
      </c>
      <c r="N237" s="13">
        <f>DAY(Table43[[#This Row],[Date]])</f>
        <v>20</v>
      </c>
      <c r="O237" s="13" t="str">
        <f>TEXT(DATE(2023,Table43[[#This Row],[Month]],1),"mmm")</f>
        <v>Aug</v>
      </c>
      <c r="P237" s="13"/>
      <c r="Q237" s="13"/>
    </row>
    <row r="238" spans="1:17" x14ac:dyDescent="0.3">
      <c r="A238" s="6">
        <v>237</v>
      </c>
      <c r="B238" s="7">
        <v>45067</v>
      </c>
      <c r="C238" s="8" t="s">
        <v>42</v>
      </c>
      <c r="D238" s="8" t="s">
        <v>43</v>
      </c>
      <c r="E238" s="8" t="s">
        <v>24</v>
      </c>
      <c r="F238" s="8" t="s">
        <v>38</v>
      </c>
      <c r="G238" s="8" t="s">
        <v>46</v>
      </c>
      <c r="H238" s="9">
        <v>25820.27</v>
      </c>
      <c r="I238" s="8">
        <v>6</v>
      </c>
      <c r="J238" s="10">
        <v>1912.88</v>
      </c>
      <c r="K238" s="17" t="str" cm="1">
        <f t="array" ref="K238">_xlfn.IFS(Table43[[#This Row],[Sales]]&gt;40000,"Best Sales",Table43[[#This Row],[Sales]]&gt;20000,"Average Sales",Table43[[#This Row],[Sales]]&gt;0,"Poor Sales")</f>
        <v>Average Sales</v>
      </c>
      <c r="L238" s="12">
        <f>YEAR(Table43[[#This Row],[Date]])</f>
        <v>2023</v>
      </c>
      <c r="M238" s="12">
        <f>MONTH(Table43[[#This Row],[Date]])</f>
        <v>5</v>
      </c>
      <c r="N238" s="13">
        <f>DAY(Table43[[#This Row],[Date]])</f>
        <v>21</v>
      </c>
      <c r="O238" s="13" t="str">
        <f>TEXT(DATE(2023,Table43[[#This Row],[Month]],1),"mmm")</f>
        <v>May</v>
      </c>
      <c r="P238" s="13"/>
      <c r="Q238" s="13"/>
    </row>
    <row r="239" spans="1:17" x14ac:dyDescent="0.3">
      <c r="A239" s="14">
        <v>238</v>
      </c>
      <c r="B239" s="15">
        <v>44941</v>
      </c>
      <c r="C239" s="16" t="s">
        <v>22</v>
      </c>
      <c r="D239" s="16" t="s">
        <v>23</v>
      </c>
      <c r="E239" s="16" t="s">
        <v>19</v>
      </c>
      <c r="F239" s="16" t="s">
        <v>38</v>
      </c>
      <c r="G239" s="16" t="s">
        <v>39</v>
      </c>
      <c r="H239" s="17">
        <v>18390.77</v>
      </c>
      <c r="I239" s="16">
        <v>10</v>
      </c>
      <c r="J239" s="18">
        <v>2737.63</v>
      </c>
      <c r="K239" s="17" t="str" cm="1">
        <f t="array" ref="K239">_xlfn.IFS(Table43[[#This Row],[Sales]]&gt;40000,"Best Sales",Table43[[#This Row],[Sales]]&gt;20000,"Average Sales",Table43[[#This Row],[Sales]]&gt;0,"Poor Sales")</f>
        <v>Poor Sales</v>
      </c>
      <c r="L239" s="12">
        <f>YEAR(Table43[[#This Row],[Date]])</f>
        <v>2023</v>
      </c>
      <c r="M239" s="12">
        <f>MONTH(Table43[[#This Row],[Date]])</f>
        <v>1</v>
      </c>
      <c r="N239" s="13">
        <f>DAY(Table43[[#This Row],[Date]])</f>
        <v>15</v>
      </c>
      <c r="O239" s="13" t="str">
        <f>TEXT(DATE(2023,Table43[[#This Row],[Month]],1),"mmm")</f>
        <v>Jan</v>
      </c>
      <c r="P239" s="13"/>
      <c r="Q239" s="13"/>
    </row>
    <row r="240" spans="1:17" x14ac:dyDescent="0.3">
      <c r="A240" s="6">
        <v>239</v>
      </c>
      <c r="B240" s="7">
        <v>44947</v>
      </c>
      <c r="C240" s="8" t="s">
        <v>44</v>
      </c>
      <c r="D240" s="8" t="s">
        <v>34</v>
      </c>
      <c r="E240" s="8" t="s">
        <v>24</v>
      </c>
      <c r="F240" s="8" t="s">
        <v>31</v>
      </c>
      <c r="G240" s="8" t="s">
        <v>32</v>
      </c>
      <c r="H240" s="9">
        <v>9511</v>
      </c>
      <c r="I240" s="8">
        <v>2</v>
      </c>
      <c r="J240" s="10">
        <v>1162.99</v>
      </c>
      <c r="K240" s="17" t="str" cm="1">
        <f t="array" ref="K240">_xlfn.IFS(Table43[[#This Row],[Sales]]&gt;40000,"Best Sales",Table43[[#This Row],[Sales]]&gt;20000,"Average Sales",Table43[[#This Row],[Sales]]&gt;0,"Poor Sales")</f>
        <v>Poor Sales</v>
      </c>
      <c r="L240" s="12">
        <f>YEAR(Table43[[#This Row],[Date]])</f>
        <v>2023</v>
      </c>
      <c r="M240" s="12">
        <f>MONTH(Table43[[#This Row],[Date]])</f>
        <v>1</v>
      </c>
      <c r="N240" s="13">
        <f>DAY(Table43[[#This Row],[Date]])</f>
        <v>21</v>
      </c>
      <c r="O240" s="13" t="str">
        <f>TEXT(DATE(2023,Table43[[#This Row],[Month]],1),"mmm")</f>
        <v>Jan</v>
      </c>
      <c r="P240" s="13"/>
      <c r="Q240" s="13"/>
    </row>
    <row r="241" spans="1:17" x14ac:dyDescent="0.3">
      <c r="A241" s="14">
        <v>240</v>
      </c>
      <c r="B241" s="15">
        <v>45001</v>
      </c>
      <c r="C241" s="16" t="s">
        <v>17</v>
      </c>
      <c r="D241" s="16" t="s">
        <v>18</v>
      </c>
      <c r="E241" s="16" t="s">
        <v>27</v>
      </c>
      <c r="F241" s="16" t="s">
        <v>20</v>
      </c>
      <c r="G241" s="16" t="s">
        <v>28</v>
      </c>
      <c r="H241" s="17">
        <v>36211.370000000003</v>
      </c>
      <c r="I241" s="16">
        <v>6</v>
      </c>
      <c r="J241" s="18">
        <v>7076.58</v>
      </c>
      <c r="K241" s="17" t="str" cm="1">
        <f t="array" ref="K241">_xlfn.IFS(Table43[[#This Row],[Sales]]&gt;40000,"Best Sales",Table43[[#This Row],[Sales]]&gt;20000,"Average Sales",Table43[[#This Row],[Sales]]&gt;0,"Poor Sales")</f>
        <v>Average Sales</v>
      </c>
      <c r="L241" s="12">
        <f>YEAR(Table43[[#This Row],[Date]])</f>
        <v>2023</v>
      </c>
      <c r="M241" s="12">
        <f>MONTH(Table43[[#This Row],[Date]])</f>
        <v>3</v>
      </c>
      <c r="N241" s="13">
        <f>DAY(Table43[[#This Row],[Date]])</f>
        <v>16</v>
      </c>
      <c r="O241" s="13" t="str">
        <f>TEXT(DATE(2023,Table43[[#This Row],[Month]],1),"mmm")</f>
        <v>Mar</v>
      </c>
      <c r="P241" s="13"/>
      <c r="Q241" s="13"/>
    </row>
    <row r="242" spans="1:17" x14ac:dyDescent="0.3">
      <c r="A242" s="6">
        <v>241</v>
      </c>
      <c r="B242" s="7">
        <v>45034</v>
      </c>
      <c r="C242" s="8" t="s">
        <v>22</v>
      </c>
      <c r="D242" s="8" t="s">
        <v>23</v>
      </c>
      <c r="E242" s="8" t="s">
        <v>27</v>
      </c>
      <c r="F242" s="8" t="s">
        <v>20</v>
      </c>
      <c r="G242" s="8" t="s">
        <v>28</v>
      </c>
      <c r="H242" s="9">
        <v>38204.660000000003</v>
      </c>
      <c r="I242" s="8">
        <v>1</v>
      </c>
      <c r="J242" s="10">
        <v>10074.93</v>
      </c>
      <c r="K242" s="17" t="str" cm="1">
        <f t="array" ref="K242">_xlfn.IFS(Table43[[#This Row],[Sales]]&gt;40000,"Best Sales",Table43[[#This Row],[Sales]]&gt;20000,"Average Sales",Table43[[#This Row],[Sales]]&gt;0,"Poor Sales")</f>
        <v>Average Sales</v>
      </c>
      <c r="L242" s="12">
        <f>YEAR(Table43[[#This Row],[Date]])</f>
        <v>2023</v>
      </c>
      <c r="M242" s="12">
        <f>MONTH(Table43[[#This Row],[Date]])</f>
        <v>4</v>
      </c>
      <c r="N242" s="13">
        <f>DAY(Table43[[#This Row],[Date]])</f>
        <v>18</v>
      </c>
      <c r="O242" s="13" t="str">
        <f>TEXT(DATE(2023,Table43[[#This Row],[Month]],1),"mmm")</f>
        <v>Apr</v>
      </c>
      <c r="P242" s="13"/>
      <c r="Q242" s="13"/>
    </row>
    <row r="243" spans="1:17" x14ac:dyDescent="0.3">
      <c r="A243" s="14">
        <v>242</v>
      </c>
      <c r="B243" s="15">
        <v>44930</v>
      </c>
      <c r="C243" s="16" t="s">
        <v>45</v>
      </c>
      <c r="D243" s="16" t="s">
        <v>34</v>
      </c>
      <c r="E243" s="16" t="s">
        <v>19</v>
      </c>
      <c r="F243" s="16" t="s">
        <v>31</v>
      </c>
      <c r="G243" s="16" t="s">
        <v>32</v>
      </c>
      <c r="H243" s="17">
        <v>40939.94</v>
      </c>
      <c r="I243" s="16">
        <v>7</v>
      </c>
      <c r="J243" s="18">
        <v>7280.08</v>
      </c>
      <c r="K243" s="17" t="str" cm="1">
        <f t="array" ref="K243">_xlfn.IFS(Table43[[#This Row],[Sales]]&gt;40000,"Best Sales",Table43[[#This Row],[Sales]]&gt;20000,"Average Sales",Table43[[#This Row],[Sales]]&gt;0,"Poor Sales")</f>
        <v>Best Sales</v>
      </c>
      <c r="L243" s="12">
        <f>YEAR(Table43[[#This Row],[Date]])</f>
        <v>2023</v>
      </c>
      <c r="M243" s="12">
        <f>MONTH(Table43[[#This Row],[Date]])</f>
        <v>1</v>
      </c>
      <c r="N243" s="13">
        <f>DAY(Table43[[#This Row],[Date]])</f>
        <v>4</v>
      </c>
      <c r="O243" s="13" t="str">
        <f>TEXT(DATE(2023,Table43[[#This Row],[Month]],1),"mmm")</f>
        <v>Jan</v>
      </c>
      <c r="P243" s="13"/>
      <c r="Q243" s="13"/>
    </row>
    <row r="244" spans="1:17" x14ac:dyDescent="0.3">
      <c r="A244" s="6">
        <v>243</v>
      </c>
      <c r="B244" s="7">
        <v>45019</v>
      </c>
      <c r="C244" s="8" t="s">
        <v>29</v>
      </c>
      <c r="D244" s="8" t="s">
        <v>29</v>
      </c>
      <c r="E244" s="8" t="s">
        <v>24</v>
      </c>
      <c r="F244" s="8" t="s">
        <v>31</v>
      </c>
      <c r="G244" s="8" t="s">
        <v>36</v>
      </c>
      <c r="H244" s="9">
        <v>26046.11</v>
      </c>
      <c r="I244" s="8">
        <v>2</v>
      </c>
      <c r="J244" s="10">
        <v>3289.52</v>
      </c>
      <c r="K244" s="17" t="str" cm="1">
        <f t="array" ref="K244">_xlfn.IFS(Table43[[#This Row],[Sales]]&gt;40000,"Best Sales",Table43[[#This Row],[Sales]]&gt;20000,"Average Sales",Table43[[#This Row],[Sales]]&gt;0,"Poor Sales")</f>
        <v>Average Sales</v>
      </c>
      <c r="L244" s="12">
        <f>YEAR(Table43[[#This Row],[Date]])</f>
        <v>2023</v>
      </c>
      <c r="M244" s="12">
        <f>MONTH(Table43[[#This Row],[Date]])</f>
        <v>4</v>
      </c>
      <c r="N244" s="13">
        <f>DAY(Table43[[#This Row],[Date]])</f>
        <v>3</v>
      </c>
      <c r="O244" s="13" t="str">
        <f>TEXT(DATE(2023,Table43[[#This Row],[Month]],1),"mmm")</f>
        <v>Apr</v>
      </c>
      <c r="P244" s="13"/>
      <c r="Q244" s="13"/>
    </row>
    <row r="245" spans="1:17" x14ac:dyDescent="0.3">
      <c r="A245" s="14">
        <v>244</v>
      </c>
      <c r="B245" s="15">
        <v>45000</v>
      </c>
      <c r="C245" s="16" t="s">
        <v>33</v>
      </c>
      <c r="D245" s="16" t="s">
        <v>34</v>
      </c>
      <c r="E245" s="16" t="s">
        <v>19</v>
      </c>
      <c r="F245" s="16" t="s">
        <v>38</v>
      </c>
      <c r="G245" s="16" t="s">
        <v>40</v>
      </c>
      <c r="H245" s="17">
        <v>40691.96</v>
      </c>
      <c r="I245" s="16">
        <v>4</v>
      </c>
      <c r="J245" s="18">
        <v>2624.84</v>
      </c>
      <c r="K245" s="17" t="str" cm="1">
        <f t="array" ref="K245">_xlfn.IFS(Table43[[#This Row],[Sales]]&gt;40000,"Best Sales",Table43[[#This Row],[Sales]]&gt;20000,"Average Sales",Table43[[#This Row],[Sales]]&gt;0,"Poor Sales")</f>
        <v>Best Sales</v>
      </c>
      <c r="L245" s="12">
        <f>YEAR(Table43[[#This Row],[Date]])</f>
        <v>2023</v>
      </c>
      <c r="M245" s="12">
        <f>MONTH(Table43[[#This Row],[Date]])</f>
        <v>3</v>
      </c>
      <c r="N245" s="13">
        <f>DAY(Table43[[#This Row],[Date]])</f>
        <v>15</v>
      </c>
      <c r="O245" s="13" t="str">
        <f>TEXT(DATE(2023,Table43[[#This Row],[Month]],1),"mmm")</f>
        <v>Mar</v>
      </c>
      <c r="P245" s="13"/>
      <c r="Q245" s="13"/>
    </row>
    <row r="246" spans="1:17" x14ac:dyDescent="0.3">
      <c r="A246" s="6">
        <v>245</v>
      </c>
      <c r="B246" s="7">
        <v>45053</v>
      </c>
      <c r="C246" s="8" t="s">
        <v>29</v>
      </c>
      <c r="D246" s="8" t="s">
        <v>29</v>
      </c>
      <c r="E246" s="8" t="s">
        <v>24</v>
      </c>
      <c r="F246" s="8" t="s">
        <v>31</v>
      </c>
      <c r="G246" s="8" t="s">
        <v>36</v>
      </c>
      <c r="H246" s="9">
        <v>49598.16</v>
      </c>
      <c r="I246" s="8">
        <v>2</v>
      </c>
      <c r="J246" s="10">
        <v>8746.65</v>
      </c>
      <c r="K246" s="17" t="str" cm="1">
        <f t="array" ref="K246">_xlfn.IFS(Table43[[#This Row],[Sales]]&gt;40000,"Best Sales",Table43[[#This Row],[Sales]]&gt;20000,"Average Sales",Table43[[#This Row],[Sales]]&gt;0,"Poor Sales")</f>
        <v>Best Sales</v>
      </c>
      <c r="L246" s="12">
        <f>YEAR(Table43[[#This Row],[Date]])</f>
        <v>2023</v>
      </c>
      <c r="M246" s="12">
        <f>MONTH(Table43[[#This Row],[Date]])</f>
        <v>5</v>
      </c>
      <c r="N246" s="13">
        <f>DAY(Table43[[#This Row],[Date]])</f>
        <v>7</v>
      </c>
      <c r="O246" s="13" t="str">
        <f>TEXT(DATE(2023,Table43[[#This Row],[Month]],1),"mmm")</f>
        <v>May</v>
      </c>
      <c r="P246" s="13"/>
      <c r="Q246" s="13"/>
    </row>
    <row r="247" spans="1:17" x14ac:dyDescent="0.3">
      <c r="A247" s="14">
        <v>246</v>
      </c>
      <c r="B247" s="15">
        <v>45088</v>
      </c>
      <c r="C247" s="16" t="s">
        <v>33</v>
      </c>
      <c r="D247" s="16" t="s">
        <v>34</v>
      </c>
      <c r="E247" s="16" t="s">
        <v>27</v>
      </c>
      <c r="F247" s="16" t="s">
        <v>31</v>
      </c>
      <c r="G247" s="16" t="s">
        <v>32</v>
      </c>
      <c r="H247" s="17">
        <v>13177.69</v>
      </c>
      <c r="I247" s="16">
        <v>2</v>
      </c>
      <c r="J247" s="18">
        <v>1536.55</v>
      </c>
      <c r="K247" s="17" t="str" cm="1">
        <f t="array" ref="K247">_xlfn.IFS(Table43[[#This Row],[Sales]]&gt;40000,"Best Sales",Table43[[#This Row],[Sales]]&gt;20000,"Average Sales",Table43[[#This Row],[Sales]]&gt;0,"Poor Sales")</f>
        <v>Poor Sales</v>
      </c>
      <c r="L247" s="12">
        <f>YEAR(Table43[[#This Row],[Date]])</f>
        <v>2023</v>
      </c>
      <c r="M247" s="12">
        <f>MONTH(Table43[[#This Row],[Date]])</f>
        <v>6</v>
      </c>
      <c r="N247" s="13">
        <f>DAY(Table43[[#This Row],[Date]])</f>
        <v>11</v>
      </c>
      <c r="O247" s="13" t="str">
        <f>TEXT(DATE(2023,Table43[[#This Row],[Month]],1),"mmm")</f>
        <v>Jun</v>
      </c>
      <c r="P247" s="13"/>
      <c r="Q247" s="13"/>
    </row>
    <row r="248" spans="1:17" x14ac:dyDescent="0.3">
      <c r="A248" s="6">
        <v>247</v>
      </c>
      <c r="B248" s="7">
        <v>45204</v>
      </c>
      <c r="C248" s="8" t="s">
        <v>45</v>
      </c>
      <c r="D248" s="8" t="s">
        <v>34</v>
      </c>
      <c r="E248" s="8" t="s">
        <v>27</v>
      </c>
      <c r="F248" s="8" t="s">
        <v>20</v>
      </c>
      <c r="G248" s="8" t="s">
        <v>28</v>
      </c>
      <c r="H248" s="9">
        <v>25816.6</v>
      </c>
      <c r="I248" s="8">
        <v>1</v>
      </c>
      <c r="J248" s="10">
        <v>6376.67</v>
      </c>
      <c r="K248" s="17" t="str" cm="1">
        <f t="array" ref="K248">_xlfn.IFS(Table43[[#This Row],[Sales]]&gt;40000,"Best Sales",Table43[[#This Row],[Sales]]&gt;20000,"Average Sales",Table43[[#This Row],[Sales]]&gt;0,"Poor Sales")</f>
        <v>Average Sales</v>
      </c>
      <c r="L248" s="12">
        <f>YEAR(Table43[[#This Row],[Date]])</f>
        <v>2023</v>
      </c>
      <c r="M248" s="12">
        <f>MONTH(Table43[[#This Row],[Date]])</f>
        <v>10</v>
      </c>
      <c r="N248" s="13">
        <f>DAY(Table43[[#This Row],[Date]])</f>
        <v>5</v>
      </c>
      <c r="O248" s="13" t="str">
        <f>TEXT(DATE(2023,Table43[[#This Row],[Month]],1),"mmm")</f>
        <v>Oct</v>
      </c>
      <c r="P248" s="13"/>
      <c r="Q248" s="13"/>
    </row>
    <row r="249" spans="1:17" x14ac:dyDescent="0.3">
      <c r="A249" s="14">
        <v>248</v>
      </c>
      <c r="B249" s="15">
        <v>44981</v>
      </c>
      <c r="C249" s="16" t="s">
        <v>33</v>
      </c>
      <c r="D249" s="16" t="s">
        <v>34</v>
      </c>
      <c r="E249" s="16" t="s">
        <v>19</v>
      </c>
      <c r="F249" s="16" t="s">
        <v>20</v>
      </c>
      <c r="G249" s="16" t="s">
        <v>41</v>
      </c>
      <c r="H249" s="17">
        <v>4142.42</v>
      </c>
      <c r="I249" s="16">
        <v>7</v>
      </c>
      <c r="J249" s="18">
        <v>987.96</v>
      </c>
      <c r="K249" s="17" t="str" cm="1">
        <f t="array" ref="K249">_xlfn.IFS(Table43[[#This Row],[Sales]]&gt;40000,"Best Sales",Table43[[#This Row],[Sales]]&gt;20000,"Average Sales",Table43[[#This Row],[Sales]]&gt;0,"Poor Sales")</f>
        <v>Poor Sales</v>
      </c>
      <c r="L249" s="12">
        <f>YEAR(Table43[[#This Row],[Date]])</f>
        <v>2023</v>
      </c>
      <c r="M249" s="12">
        <f>MONTH(Table43[[#This Row],[Date]])</f>
        <v>2</v>
      </c>
      <c r="N249" s="13">
        <f>DAY(Table43[[#This Row],[Date]])</f>
        <v>24</v>
      </c>
      <c r="O249" s="13" t="str">
        <f>TEXT(DATE(2023,Table43[[#This Row],[Month]],1),"mmm")</f>
        <v>Feb</v>
      </c>
      <c r="P249" s="13"/>
      <c r="Q249" s="13"/>
    </row>
    <row r="250" spans="1:17" x14ac:dyDescent="0.3">
      <c r="A250" s="6">
        <v>249</v>
      </c>
      <c r="B250" s="7">
        <v>45149</v>
      </c>
      <c r="C250" s="8" t="s">
        <v>33</v>
      </c>
      <c r="D250" s="8" t="s">
        <v>34</v>
      </c>
      <c r="E250" s="8" t="s">
        <v>24</v>
      </c>
      <c r="F250" s="8" t="s">
        <v>20</v>
      </c>
      <c r="G250" s="8" t="s">
        <v>41</v>
      </c>
      <c r="H250" s="9">
        <v>48741.85</v>
      </c>
      <c r="I250" s="8">
        <v>2</v>
      </c>
      <c r="J250" s="10">
        <v>6991.38</v>
      </c>
      <c r="K250" s="17" t="str" cm="1">
        <f t="array" ref="K250">_xlfn.IFS(Table43[[#This Row],[Sales]]&gt;40000,"Best Sales",Table43[[#This Row],[Sales]]&gt;20000,"Average Sales",Table43[[#This Row],[Sales]]&gt;0,"Poor Sales")</f>
        <v>Best Sales</v>
      </c>
      <c r="L250" s="12">
        <f>YEAR(Table43[[#This Row],[Date]])</f>
        <v>2023</v>
      </c>
      <c r="M250" s="12">
        <f>MONTH(Table43[[#This Row],[Date]])</f>
        <v>8</v>
      </c>
      <c r="N250" s="13">
        <f>DAY(Table43[[#This Row],[Date]])</f>
        <v>11</v>
      </c>
      <c r="O250" s="13" t="str">
        <f>TEXT(DATE(2023,Table43[[#This Row],[Month]],1),"mmm")</f>
        <v>Aug</v>
      </c>
      <c r="P250" s="13"/>
      <c r="Q250" s="13"/>
    </row>
    <row r="251" spans="1:17" x14ac:dyDescent="0.3">
      <c r="A251" s="14">
        <v>250</v>
      </c>
      <c r="B251" s="15">
        <v>45268</v>
      </c>
      <c r="C251" s="16" t="s">
        <v>37</v>
      </c>
      <c r="D251" s="16" t="s">
        <v>23</v>
      </c>
      <c r="E251" s="16" t="s">
        <v>19</v>
      </c>
      <c r="F251" s="16" t="s">
        <v>20</v>
      </c>
      <c r="G251" s="16" t="s">
        <v>41</v>
      </c>
      <c r="H251" s="17">
        <v>22157.78</v>
      </c>
      <c r="I251" s="16">
        <v>2</v>
      </c>
      <c r="J251" s="18">
        <v>4517.67</v>
      </c>
      <c r="K251" s="17" t="str" cm="1">
        <f t="array" ref="K251">_xlfn.IFS(Table43[[#This Row],[Sales]]&gt;40000,"Best Sales",Table43[[#This Row],[Sales]]&gt;20000,"Average Sales",Table43[[#This Row],[Sales]]&gt;0,"Poor Sales")</f>
        <v>Average Sales</v>
      </c>
      <c r="L251" s="12">
        <f>YEAR(Table43[[#This Row],[Date]])</f>
        <v>2023</v>
      </c>
      <c r="M251" s="12">
        <f>MONTH(Table43[[#This Row],[Date]])</f>
        <v>12</v>
      </c>
      <c r="N251" s="13">
        <f>DAY(Table43[[#This Row],[Date]])</f>
        <v>8</v>
      </c>
      <c r="O251" s="13" t="str">
        <f>TEXT(DATE(2023,Table43[[#This Row],[Month]],1),"mmm")</f>
        <v>Dec</v>
      </c>
      <c r="P251" s="13"/>
      <c r="Q251" s="13"/>
    </row>
    <row r="252" spans="1:17" x14ac:dyDescent="0.3">
      <c r="A252" s="6">
        <v>251</v>
      </c>
      <c r="B252" s="7">
        <v>45094</v>
      </c>
      <c r="C252" s="8" t="s">
        <v>22</v>
      </c>
      <c r="D252" s="8" t="s">
        <v>23</v>
      </c>
      <c r="E252" s="8" t="s">
        <v>24</v>
      </c>
      <c r="F252" s="8" t="s">
        <v>31</v>
      </c>
      <c r="G252" s="8" t="s">
        <v>32</v>
      </c>
      <c r="H252" s="9">
        <v>17751.919999999998</v>
      </c>
      <c r="I252" s="8">
        <v>7</v>
      </c>
      <c r="J252" s="10">
        <v>4931.21</v>
      </c>
      <c r="K252" s="17" t="str" cm="1">
        <f t="array" ref="K252">_xlfn.IFS(Table43[[#This Row],[Sales]]&gt;40000,"Best Sales",Table43[[#This Row],[Sales]]&gt;20000,"Average Sales",Table43[[#This Row],[Sales]]&gt;0,"Poor Sales")</f>
        <v>Poor Sales</v>
      </c>
      <c r="L252" s="12">
        <f>YEAR(Table43[[#This Row],[Date]])</f>
        <v>2023</v>
      </c>
      <c r="M252" s="12">
        <f>MONTH(Table43[[#This Row],[Date]])</f>
        <v>6</v>
      </c>
      <c r="N252" s="13">
        <f>DAY(Table43[[#This Row],[Date]])</f>
        <v>17</v>
      </c>
      <c r="O252" s="13" t="str">
        <f>TEXT(DATE(2023,Table43[[#This Row],[Month]],1),"mmm")</f>
        <v>Jun</v>
      </c>
      <c r="P252" s="13"/>
      <c r="Q252" s="13"/>
    </row>
    <row r="253" spans="1:17" x14ac:dyDescent="0.3">
      <c r="A253" s="14">
        <v>252</v>
      </c>
      <c r="B253" s="15">
        <v>45011</v>
      </c>
      <c r="C253" s="16" t="s">
        <v>45</v>
      </c>
      <c r="D253" s="16" t="s">
        <v>34</v>
      </c>
      <c r="E253" s="16" t="s">
        <v>27</v>
      </c>
      <c r="F253" s="16" t="s">
        <v>38</v>
      </c>
      <c r="G253" s="16" t="s">
        <v>46</v>
      </c>
      <c r="H253" s="17">
        <v>11067.21</v>
      </c>
      <c r="I253" s="16">
        <v>3</v>
      </c>
      <c r="J253" s="18">
        <v>2057.92</v>
      </c>
      <c r="K253" s="17" t="str" cm="1">
        <f t="array" ref="K253">_xlfn.IFS(Table43[[#This Row],[Sales]]&gt;40000,"Best Sales",Table43[[#This Row],[Sales]]&gt;20000,"Average Sales",Table43[[#This Row],[Sales]]&gt;0,"Poor Sales")</f>
        <v>Poor Sales</v>
      </c>
      <c r="L253" s="12">
        <f>YEAR(Table43[[#This Row],[Date]])</f>
        <v>2023</v>
      </c>
      <c r="M253" s="12">
        <f>MONTH(Table43[[#This Row],[Date]])</f>
        <v>3</v>
      </c>
      <c r="N253" s="13">
        <f>DAY(Table43[[#This Row],[Date]])</f>
        <v>26</v>
      </c>
      <c r="O253" s="13" t="str">
        <f>TEXT(DATE(2023,Table43[[#This Row],[Month]],1),"mmm")</f>
        <v>Mar</v>
      </c>
      <c r="P253" s="13"/>
      <c r="Q253" s="13"/>
    </row>
    <row r="254" spans="1:17" x14ac:dyDescent="0.3">
      <c r="A254" s="6">
        <v>253</v>
      </c>
      <c r="B254" s="7">
        <v>45131</v>
      </c>
      <c r="C254" s="8" t="s">
        <v>45</v>
      </c>
      <c r="D254" s="8" t="s">
        <v>34</v>
      </c>
      <c r="E254" s="8" t="s">
        <v>27</v>
      </c>
      <c r="F254" s="8" t="s">
        <v>31</v>
      </c>
      <c r="G254" s="8" t="s">
        <v>36</v>
      </c>
      <c r="H254" s="9">
        <v>13954.05</v>
      </c>
      <c r="I254" s="8">
        <v>10</v>
      </c>
      <c r="J254" s="10">
        <v>3139.56</v>
      </c>
      <c r="K254" s="17" t="str" cm="1">
        <f t="array" ref="K254">_xlfn.IFS(Table43[[#This Row],[Sales]]&gt;40000,"Best Sales",Table43[[#This Row],[Sales]]&gt;20000,"Average Sales",Table43[[#This Row],[Sales]]&gt;0,"Poor Sales")</f>
        <v>Poor Sales</v>
      </c>
      <c r="L254" s="12">
        <f>YEAR(Table43[[#This Row],[Date]])</f>
        <v>2023</v>
      </c>
      <c r="M254" s="12">
        <f>MONTH(Table43[[#This Row],[Date]])</f>
        <v>7</v>
      </c>
      <c r="N254" s="13">
        <f>DAY(Table43[[#This Row],[Date]])</f>
        <v>24</v>
      </c>
      <c r="O254" s="13" t="str">
        <f>TEXT(DATE(2023,Table43[[#This Row],[Month]],1),"mmm")</f>
        <v>Jul</v>
      </c>
      <c r="P254" s="13"/>
      <c r="Q254" s="13"/>
    </row>
    <row r="255" spans="1:17" x14ac:dyDescent="0.3">
      <c r="A255" s="14">
        <v>254</v>
      </c>
      <c r="B255" s="15">
        <v>44976</v>
      </c>
      <c r="C255" s="16" t="s">
        <v>29</v>
      </c>
      <c r="D255" s="16" t="s">
        <v>29</v>
      </c>
      <c r="E255" s="16" t="s">
        <v>19</v>
      </c>
      <c r="F255" s="16" t="s">
        <v>31</v>
      </c>
      <c r="G255" s="16" t="s">
        <v>32</v>
      </c>
      <c r="H255" s="17">
        <v>10782.97</v>
      </c>
      <c r="I255" s="16">
        <v>7</v>
      </c>
      <c r="J255" s="18">
        <v>772.84</v>
      </c>
      <c r="K255" s="17" t="str" cm="1">
        <f t="array" ref="K255">_xlfn.IFS(Table43[[#This Row],[Sales]]&gt;40000,"Best Sales",Table43[[#This Row],[Sales]]&gt;20000,"Average Sales",Table43[[#This Row],[Sales]]&gt;0,"Poor Sales")</f>
        <v>Poor Sales</v>
      </c>
      <c r="L255" s="12">
        <f>YEAR(Table43[[#This Row],[Date]])</f>
        <v>2023</v>
      </c>
      <c r="M255" s="12">
        <f>MONTH(Table43[[#This Row],[Date]])</f>
        <v>2</v>
      </c>
      <c r="N255" s="13">
        <f>DAY(Table43[[#This Row],[Date]])</f>
        <v>19</v>
      </c>
      <c r="O255" s="13" t="str">
        <f>TEXT(DATE(2023,Table43[[#This Row],[Month]],1),"mmm")</f>
        <v>Feb</v>
      </c>
      <c r="P255" s="13"/>
      <c r="Q255" s="13"/>
    </row>
    <row r="256" spans="1:17" x14ac:dyDescent="0.3">
      <c r="A256" s="6">
        <v>255</v>
      </c>
      <c r="B256" s="7">
        <v>45247</v>
      </c>
      <c r="C256" s="8" t="s">
        <v>42</v>
      </c>
      <c r="D256" s="8" t="s">
        <v>43</v>
      </c>
      <c r="E256" s="8" t="s">
        <v>24</v>
      </c>
      <c r="F256" s="8" t="s">
        <v>38</v>
      </c>
      <c r="G256" s="8" t="s">
        <v>39</v>
      </c>
      <c r="H256" s="9">
        <v>49437.25</v>
      </c>
      <c r="I256" s="8">
        <v>8</v>
      </c>
      <c r="J256" s="10">
        <v>14199.96</v>
      </c>
      <c r="K256" s="17" t="str" cm="1">
        <f t="array" ref="K256">_xlfn.IFS(Table43[[#This Row],[Sales]]&gt;40000,"Best Sales",Table43[[#This Row],[Sales]]&gt;20000,"Average Sales",Table43[[#This Row],[Sales]]&gt;0,"Poor Sales")</f>
        <v>Best Sales</v>
      </c>
      <c r="L256" s="12">
        <f>YEAR(Table43[[#This Row],[Date]])</f>
        <v>2023</v>
      </c>
      <c r="M256" s="12">
        <f>MONTH(Table43[[#This Row],[Date]])</f>
        <v>11</v>
      </c>
      <c r="N256" s="13">
        <f>DAY(Table43[[#This Row],[Date]])</f>
        <v>17</v>
      </c>
      <c r="O256" s="13" t="str">
        <f>TEXT(DATE(2023,Table43[[#This Row],[Month]],1),"mmm")</f>
        <v>Nov</v>
      </c>
      <c r="P256" s="13"/>
      <c r="Q256" s="13"/>
    </row>
    <row r="257" spans="1:17" x14ac:dyDescent="0.3">
      <c r="A257" s="14">
        <v>256</v>
      </c>
      <c r="B257" s="15">
        <v>45195</v>
      </c>
      <c r="C257" s="16" t="s">
        <v>42</v>
      </c>
      <c r="D257" s="16" t="s">
        <v>43</v>
      </c>
      <c r="E257" s="16" t="s">
        <v>19</v>
      </c>
      <c r="F257" s="16" t="s">
        <v>20</v>
      </c>
      <c r="G257" s="16" t="s">
        <v>28</v>
      </c>
      <c r="H257" s="17">
        <v>31032.49</v>
      </c>
      <c r="I257" s="16">
        <v>9</v>
      </c>
      <c r="J257" s="18">
        <v>7395</v>
      </c>
      <c r="K257" s="17" t="str" cm="1">
        <f t="array" ref="K257">_xlfn.IFS(Table43[[#This Row],[Sales]]&gt;40000,"Best Sales",Table43[[#This Row],[Sales]]&gt;20000,"Average Sales",Table43[[#This Row],[Sales]]&gt;0,"Poor Sales")</f>
        <v>Average Sales</v>
      </c>
      <c r="L257" s="12">
        <f>YEAR(Table43[[#This Row],[Date]])</f>
        <v>2023</v>
      </c>
      <c r="M257" s="12">
        <f>MONTH(Table43[[#This Row],[Date]])</f>
        <v>9</v>
      </c>
      <c r="N257" s="13">
        <f>DAY(Table43[[#This Row],[Date]])</f>
        <v>26</v>
      </c>
      <c r="O257" s="13" t="str">
        <f>TEXT(DATE(2023,Table43[[#This Row],[Month]],1),"mmm")</f>
        <v>Sep</v>
      </c>
      <c r="P257" s="13"/>
      <c r="Q257" s="13"/>
    </row>
    <row r="258" spans="1:17" x14ac:dyDescent="0.3">
      <c r="A258" s="6">
        <v>257</v>
      </c>
      <c r="B258" s="7">
        <v>45158</v>
      </c>
      <c r="C258" s="8" t="s">
        <v>37</v>
      </c>
      <c r="D258" s="8" t="s">
        <v>23</v>
      </c>
      <c r="E258" s="8" t="s">
        <v>24</v>
      </c>
      <c r="F258" s="8" t="s">
        <v>31</v>
      </c>
      <c r="G258" s="8" t="s">
        <v>32</v>
      </c>
      <c r="H258" s="9">
        <v>27868.7</v>
      </c>
      <c r="I258" s="8">
        <v>2</v>
      </c>
      <c r="J258" s="10">
        <v>6973.6</v>
      </c>
      <c r="K258" s="17" t="str" cm="1">
        <f t="array" ref="K258">_xlfn.IFS(Table43[[#This Row],[Sales]]&gt;40000,"Best Sales",Table43[[#This Row],[Sales]]&gt;20000,"Average Sales",Table43[[#This Row],[Sales]]&gt;0,"Poor Sales")</f>
        <v>Average Sales</v>
      </c>
      <c r="L258" s="12">
        <f>YEAR(Table43[[#This Row],[Date]])</f>
        <v>2023</v>
      </c>
      <c r="M258" s="12">
        <f>MONTH(Table43[[#This Row],[Date]])</f>
        <v>8</v>
      </c>
      <c r="N258" s="13">
        <f>DAY(Table43[[#This Row],[Date]])</f>
        <v>20</v>
      </c>
      <c r="O258" s="13" t="str">
        <f>TEXT(DATE(2023,Table43[[#This Row],[Month]],1),"mmm")</f>
        <v>Aug</v>
      </c>
      <c r="P258" s="13"/>
      <c r="Q258" s="13"/>
    </row>
    <row r="259" spans="1:17" x14ac:dyDescent="0.3">
      <c r="A259" s="14">
        <v>258</v>
      </c>
      <c r="B259" s="15">
        <v>45269</v>
      </c>
      <c r="C259" s="16" t="s">
        <v>17</v>
      </c>
      <c r="D259" s="16" t="s">
        <v>18</v>
      </c>
      <c r="E259" s="16" t="s">
        <v>27</v>
      </c>
      <c r="F259" s="16" t="s">
        <v>38</v>
      </c>
      <c r="G259" s="16" t="s">
        <v>46</v>
      </c>
      <c r="H259" s="17">
        <v>40634.300000000003</v>
      </c>
      <c r="I259" s="16">
        <v>10</v>
      </c>
      <c r="J259" s="18">
        <v>11614.53</v>
      </c>
      <c r="K259" s="17" t="str" cm="1">
        <f t="array" ref="K259">_xlfn.IFS(Table43[[#This Row],[Sales]]&gt;40000,"Best Sales",Table43[[#This Row],[Sales]]&gt;20000,"Average Sales",Table43[[#This Row],[Sales]]&gt;0,"Poor Sales")</f>
        <v>Best Sales</v>
      </c>
      <c r="L259" s="12">
        <f>YEAR(Table43[[#This Row],[Date]])</f>
        <v>2023</v>
      </c>
      <c r="M259" s="12">
        <f>MONTH(Table43[[#This Row],[Date]])</f>
        <v>12</v>
      </c>
      <c r="N259" s="13">
        <f>DAY(Table43[[#This Row],[Date]])</f>
        <v>9</v>
      </c>
      <c r="O259" s="13" t="str">
        <f>TEXT(DATE(2023,Table43[[#This Row],[Month]],1),"mmm")</f>
        <v>Dec</v>
      </c>
      <c r="P259" s="13"/>
      <c r="Q259" s="13"/>
    </row>
    <row r="260" spans="1:17" x14ac:dyDescent="0.3">
      <c r="A260" s="6">
        <v>259</v>
      </c>
      <c r="B260" s="7">
        <v>45164</v>
      </c>
      <c r="C260" s="8" t="s">
        <v>33</v>
      </c>
      <c r="D260" s="8" t="s">
        <v>34</v>
      </c>
      <c r="E260" s="8" t="s">
        <v>27</v>
      </c>
      <c r="F260" s="8" t="s">
        <v>38</v>
      </c>
      <c r="G260" s="8" t="s">
        <v>39</v>
      </c>
      <c r="H260" s="9">
        <v>2252.35</v>
      </c>
      <c r="I260" s="8">
        <v>2</v>
      </c>
      <c r="J260" s="10">
        <v>469.57</v>
      </c>
      <c r="K260" s="17" t="str" cm="1">
        <f t="array" ref="K260">_xlfn.IFS(Table43[[#This Row],[Sales]]&gt;40000,"Best Sales",Table43[[#This Row],[Sales]]&gt;20000,"Average Sales",Table43[[#This Row],[Sales]]&gt;0,"Poor Sales")</f>
        <v>Poor Sales</v>
      </c>
      <c r="L260" s="12">
        <f>YEAR(Table43[[#This Row],[Date]])</f>
        <v>2023</v>
      </c>
      <c r="M260" s="12">
        <f>MONTH(Table43[[#This Row],[Date]])</f>
        <v>8</v>
      </c>
      <c r="N260" s="13">
        <f>DAY(Table43[[#This Row],[Date]])</f>
        <v>26</v>
      </c>
      <c r="O260" s="13" t="str">
        <f>TEXT(DATE(2023,Table43[[#This Row],[Month]],1),"mmm")</f>
        <v>Aug</v>
      </c>
      <c r="P260" s="13"/>
      <c r="Q260" s="13"/>
    </row>
    <row r="261" spans="1:17" x14ac:dyDescent="0.3">
      <c r="A261" s="14">
        <v>260</v>
      </c>
      <c r="B261" s="15">
        <v>45289</v>
      </c>
      <c r="C261" s="16" t="s">
        <v>22</v>
      </c>
      <c r="D261" s="16" t="s">
        <v>23</v>
      </c>
      <c r="E261" s="16" t="s">
        <v>19</v>
      </c>
      <c r="F261" s="16" t="s">
        <v>31</v>
      </c>
      <c r="G261" s="16" t="s">
        <v>36</v>
      </c>
      <c r="H261" s="17">
        <v>24406.17</v>
      </c>
      <c r="I261" s="16">
        <v>2</v>
      </c>
      <c r="J261" s="18">
        <v>1809.18</v>
      </c>
      <c r="K261" s="17" t="str" cm="1">
        <f t="array" ref="K261">_xlfn.IFS(Table43[[#This Row],[Sales]]&gt;40000,"Best Sales",Table43[[#This Row],[Sales]]&gt;20000,"Average Sales",Table43[[#This Row],[Sales]]&gt;0,"Poor Sales")</f>
        <v>Average Sales</v>
      </c>
      <c r="L261" s="12">
        <f>YEAR(Table43[[#This Row],[Date]])</f>
        <v>2023</v>
      </c>
      <c r="M261" s="12">
        <f>MONTH(Table43[[#This Row],[Date]])</f>
        <v>12</v>
      </c>
      <c r="N261" s="13">
        <f>DAY(Table43[[#This Row],[Date]])</f>
        <v>29</v>
      </c>
      <c r="O261" s="13" t="str">
        <f>TEXT(DATE(2023,Table43[[#This Row],[Month]],1),"mmm")</f>
        <v>Dec</v>
      </c>
      <c r="P261" s="13"/>
      <c r="Q261" s="13"/>
    </row>
    <row r="262" spans="1:17" x14ac:dyDescent="0.3">
      <c r="A262" s="6">
        <v>261</v>
      </c>
      <c r="B262" s="7">
        <v>45238</v>
      </c>
      <c r="C262" s="8" t="s">
        <v>29</v>
      </c>
      <c r="D262" s="8" t="s">
        <v>29</v>
      </c>
      <c r="E262" s="8" t="s">
        <v>24</v>
      </c>
      <c r="F262" s="8" t="s">
        <v>20</v>
      </c>
      <c r="G262" s="8" t="s">
        <v>41</v>
      </c>
      <c r="H262" s="9">
        <v>14529.22</v>
      </c>
      <c r="I262" s="8">
        <v>8</v>
      </c>
      <c r="J262" s="10">
        <v>3777.18</v>
      </c>
      <c r="K262" s="17" t="str" cm="1">
        <f t="array" ref="K262">_xlfn.IFS(Table43[[#This Row],[Sales]]&gt;40000,"Best Sales",Table43[[#This Row],[Sales]]&gt;20000,"Average Sales",Table43[[#This Row],[Sales]]&gt;0,"Poor Sales")</f>
        <v>Poor Sales</v>
      </c>
      <c r="L262" s="12">
        <f>YEAR(Table43[[#This Row],[Date]])</f>
        <v>2023</v>
      </c>
      <c r="M262" s="12">
        <f>MONTH(Table43[[#This Row],[Date]])</f>
        <v>11</v>
      </c>
      <c r="N262" s="13">
        <f>DAY(Table43[[#This Row],[Date]])</f>
        <v>8</v>
      </c>
      <c r="O262" s="13" t="str">
        <f>TEXT(DATE(2023,Table43[[#This Row],[Month]],1),"mmm")</f>
        <v>Nov</v>
      </c>
      <c r="P262" s="13"/>
      <c r="Q262" s="13"/>
    </row>
    <row r="263" spans="1:17" x14ac:dyDescent="0.3">
      <c r="A263" s="14">
        <v>262</v>
      </c>
      <c r="B263" s="15">
        <v>45013</v>
      </c>
      <c r="C263" s="16" t="s">
        <v>44</v>
      </c>
      <c r="D263" s="16" t="s">
        <v>34</v>
      </c>
      <c r="E263" s="16" t="s">
        <v>19</v>
      </c>
      <c r="F263" s="16" t="s">
        <v>20</v>
      </c>
      <c r="G263" s="16" t="s">
        <v>21</v>
      </c>
      <c r="H263" s="17">
        <v>19364.93</v>
      </c>
      <c r="I263" s="16">
        <v>3</v>
      </c>
      <c r="J263" s="18">
        <v>5725.87</v>
      </c>
      <c r="K263" s="17" t="str" cm="1">
        <f t="array" ref="K263">_xlfn.IFS(Table43[[#This Row],[Sales]]&gt;40000,"Best Sales",Table43[[#This Row],[Sales]]&gt;20000,"Average Sales",Table43[[#This Row],[Sales]]&gt;0,"Poor Sales")</f>
        <v>Poor Sales</v>
      </c>
      <c r="L263" s="12">
        <f>YEAR(Table43[[#This Row],[Date]])</f>
        <v>2023</v>
      </c>
      <c r="M263" s="12">
        <f>MONTH(Table43[[#This Row],[Date]])</f>
        <v>3</v>
      </c>
      <c r="N263" s="13">
        <f>DAY(Table43[[#This Row],[Date]])</f>
        <v>28</v>
      </c>
      <c r="O263" s="13" t="str">
        <f>TEXT(DATE(2023,Table43[[#This Row],[Month]],1),"mmm")</f>
        <v>Mar</v>
      </c>
      <c r="P263" s="13"/>
      <c r="Q263" s="13"/>
    </row>
    <row r="264" spans="1:17" x14ac:dyDescent="0.3">
      <c r="A264" s="6">
        <v>263</v>
      </c>
      <c r="B264" s="7">
        <v>45214</v>
      </c>
      <c r="C264" s="8" t="s">
        <v>37</v>
      </c>
      <c r="D264" s="8" t="s">
        <v>23</v>
      </c>
      <c r="E264" s="8" t="s">
        <v>24</v>
      </c>
      <c r="F264" s="8" t="s">
        <v>38</v>
      </c>
      <c r="G264" s="8" t="s">
        <v>39</v>
      </c>
      <c r="H264" s="9">
        <v>39741.019999999997</v>
      </c>
      <c r="I264" s="8">
        <v>6</v>
      </c>
      <c r="J264" s="10">
        <v>11691.37</v>
      </c>
      <c r="K264" s="17" t="str" cm="1">
        <f t="array" ref="K264">_xlfn.IFS(Table43[[#This Row],[Sales]]&gt;40000,"Best Sales",Table43[[#This Row],[Sales]]&gt;20000,"Average Sales",Table43[[#This Row],[Sales]]&gt;0,"Poor Sales")</f>
        <v>Average Sales</v>
      </c>
      <c r="L264" s="12">
        <f>YEAR(Table43[[#This Row],[Date]])</f>
        <v>2023</v>
      </c>
      <c r="M264" s="12">
        <f>MONTH(Table43[[#This Row],[Date]])</f>
        <v>10</v>
      </c>
      <c r="N264" s="13">
        <f>DAY(Table43[[#This Row],[Date]])</f>
        <v>15</v>
      </c>
      <c r="O264" s="13" t="str">
        <f>TEXT(DATE(2023,Table43[[#This Row],[Month]],1),"mmm")</f>
        <v>Oct</v>
      </c>
      <c r="P264" s="13"/>
      <c r="Q264" s="13"/>
    </row>
    <row r="265" spans="1:17" x14ac:dyDescent="0.3">
      <c r="A265" s="14">
        <v>264</v>
      </c>
      <c r="B265" s="15">
        <v>45114</v>
      </c>
      <c r="C265" s="16" t="s">
        <v>29</v>
      </c>
      <c r="D265" s="16" t="s">
        <v>29</v>
      </c>
      <c r="E265" s="16" t="s">
        <v>27</v>
      </c>
      <c r="F265" s="16" t="s">
        <v>31</v>
      </c>
      <c r="G265" s="16" t="s">
        <v>36</v>
      </c>
      <c r="H265" s="17">
        <v>28526.5</v>
      </c>
      <c r="I265" s="16">
        <v>9</v>
      </c>
      <c r="J265" s="18">
        <v>2168.42</v>
      </c>
      <c r="K265" s="17" t="str" cm="1">
        <f t="array" ref="K265">_xlfn.IFS(Table43[[#This Row],[Sales]]&gt;40000,"Best Sales",Table43[[#This Row],[Sales]]&gt;20000,"Average Sales",Table43[[#This Row],[Sales]]&gt;0,"Poor Sales")</f>
        <v>Average Sales</v>
      </c>
      <c r="L265" s="12">
        <f>YEAR(Table43[[#This Row],[Date]])</f>
        <v>2023</v>
      </c>
      <c r="M265" s="12">
        <f>MONTH(Table43[[#This Row],[Date]])</f>
        <v>7</v>
      </c>
      <c r="N265" s="13">
        <f>DAY(Table43[[#This Row],[Date]])</f>
        <v>7</v>
      </c>
      <c r="O265" s="13" t="str">
        <f>TEXT(DATE(2023,Table43[[#This Row],[Month]],1),"mmm")</f>
        <v>Jul</v>
      </c>
      <c r="P265" s="13"/>
      <c r="Q265" s="13"/>
    </row>
    <row r="266" spans="1:17" x14ac:dyDescent="0.3">
      <c r="A266" s="6">
        <v>265</v>
      </c>
      <c r="B266" s="7">
        <v>45156</v>
      </c>
      <c r="C266" s="8" t="s">
        <v>33</v>
      </c>
      <c r="D266" s="8" t="s">
        <v>34</v>
      </c>
      <c r="E266" s="8" t="s">
        <v>27</v>
      </c>
      <c r="F266" s="8" t="s">
        <v>31</v>
      </c>
      <c r="G266" s="8" t="s">
        <v>35</v>
      </c>
      <c r="H266" s="9">
        <v>23711.97</v>
      </c>
      <c r="I266" s="8">
        <v>10</v>
      </c>
      <c r="J266" s="10">
        <v>3673.28</v>
      </c>
      <c r="K266" s="17" t="str" cm="1">
        <f t="array" ref="K266">_xlfn.IFS(Table43[[#This Row],[Sales]]&gt;40000,"Best Sales",Table43[[#This Row],[Sales]]&gt;20000,"Average Sales",Table43[[#This Row],[Sales]]&gt;0,"Poor Sales")</f>
        <v>Average Sales</v>
      </c>
      <c r="L266" s="12">
        <f>YEAR(Table43[[#This Row],[Date]])</f>
        <v>2023</v>
      </c>
      <c r="M266" s="12">
        <f>MONTH(Table43[[#This Row],[Date]])</f>
        <v>8</v>
      </c>
      <c r="N266" s="13">
        <f>DAY(Table43[[#This Row],[Date]])</f>
        <v>18</v>
      </c>
      <c r="O266" s="13" t="str">
        <f>TEXT(DATE(2023,Table43[[#This Row],[Month]],1),"mmm")</f>
        <v>Aug</v>
      </c>
      <c r="P266" s="13"/>
      <c r="Q266" s="13"/>
    </row>
    <row r="267" spans="1:17" x14ac:dyDescent="0.3">
      <c r="A267" s="14">
        <v>266</v>
      </c>
      <c r="B267" s="15">
        <v>45127</v>
      </c>
      <c r="C267" s="16" t="s">
        <v>33</v>
      </c>
      <c r="D267" s="16" t="s">
        <v>34</v>
      </c>
      <c r="E267" s="16" t="s">
        <v>19</v>
      </c>
      <c r="F267" s="16" t="s">
        <v>38</v>
      </c>
      <c r="G267" s="16" t="s">
        <v>46</v>
      </c>
      <c r="H267" s="17">
        <v>28029.09</v>
      </c>
      <c r="I267" s="16">
        <v>2</v>
      </c>
      <c r="J267" s="18">
        <v>5086.72</v>
      </c>
      <c r="K267" s="17" t="str" cm="1">
        <f t="array" ref="K267">_xlfn.IFS(Table43[[#This Row],[Sales]]&gt;40000,"Best Sales",Table43[[#This Row],[Sales]]&gt;20000,"Average Sales",Table43[[#This Row],[Sales]]&gt;0,"Poor Sales")</f>
        <v>Average Sales</v>
      </c>
      <c r="L267" s="12">
        <f>YEAR(Table43[[#This Row],[Date]])</f>
        <v>2023</v>
      </c>
      <c r="M267" s="12">
        <f>MONTH(Table43[[#This Row],[Date]])</f>
        <v>7</v>
      </c>
      <c r="N267" s="13">
        <f>DAY(Table43[[#This Row],[Date]])</f>
        <v>20</v>
      </c>
      <c r="O267" s="13" t="str">
        <f>TEXT(DATE(2023,Table43[[#This Row],[Month]],1),"mmm")</f>
        <v>Jul</v>
      </c>
      <c r="P267" s="13"/>
      <c r="Q267" s="13"/>
    </row>
    <row r="268" spans="1:17" x14ac:dyDescent="0.3">
      <c r="A268" s="6">
        <v>267</v>
      </c>
      <c r="B268" s="7">
        <v>45268</v>
      </c>
      <c r="C268" s="8" t="s">
        <v>44</v>
      </c>
      <c r="D268" s="8" t="s">
        <v>34</v>
      </c>
      <c r="E268" s="8" t="s">
        <v>24</v>
      </c>
      <c r="F268" s="8" t="s">
        <v>38</v>
      </c>
      <c r="G268" s="8" t="s">
        <v>46</v>
      </c>
      <c r="H268" s="9">
        <v>5734.42</v>
      </c>
      <c r="I268" s="8">
        <v>4</v>
      </c>
      <c r="J268" s="10">
        <v>1489.22</v>
      </c>
      <c r="K268" s="17" t="str" cm="1">
        <f t="array" ref="K268">_xlfn.IFS(Table43[[#This Row],[Sales]]&gt;40000,"Best Sales",Table43[[#This Row],[Sales]]&gt;20000,"Average Sales",Table43[[#This Row],[Sales]]&gt;0,"Poor Sales")</f>
        <v>Poor Sales</v>
      </c>
      <c r="L268" s="12">
        <f>YEAR(Table43[[#This Row],[Date]])</f>
        <v>2023</v>
      </c>
      <c r="M268" s="12">
        <f>MONTH(Table43[[#This Row],[Date]])</f>
        <v>12</v>
      </c>
      <c r="N268" s="13">
        <f>DAY(Table43[[#This Row],[Date]])</f>
        <v>8</v>
      </c>
      <c r="O268" s="13" t="str">
        <f>TEXT(DATE(2023,Table43[[#This Row],[Month]],1),"mmm")</f>
        <v>Dec</v>
      </c>
      <c r="P268" s="13"/>
      <c r="Q268" s="13"/>
    </row>
    <row r="269" spans="1:17" x14ac:dyDescent="0.3">
      <c r="A269" s="14">
        <v>268</v>
      </c>
      <c r="B269" s="15">
        <v>45136</v>
      </c>
      <c r="C269" s="16" t="s">
        <v>37</v>
      </c>
      <c r="D269" s="16" t="s">
        <v>23</v>
      </c>
      <c r="E269" s="16" t="s">
        <v>19</v>
      </c>
      <c r="F269" s="16" t="s">
        <v>38</v>
      </c>
      <c r="G269" s="16" t="s">
        <v>39</v>
      </c>
      <c r="H269" s="17">
        <v>39653.46</v>
      </c>
      <c r="I269" s="16">
        <v>5</v>
      </c>
      <c r="J269" s="18">
        <v>11436.72</v>
      </c>
      <c r="K269" s="17" t="str" cm="1">
        <f t="array" ref="K269">_xlfn.IFS(Table43[[#This Row],[Sales]]&gt;40000,"Best Sales",Table43[[#This Row],[Sales]]&gt;20000,"Average Sales",Table43[[#This Row],[Sales]]&gt;0,"Poor Sales")</f>
        <v>Average Sales</v>
      </c>
      <c r="L269" s="12">
        <f>YEAR(Table43[[#This Row],[Date]])</f>
        <v>2023</v>
      </c>
      <c r="M269" s="12">
        <f>MONTH(Table43[[#This Row],[Date]])</f>
        <v>7</v>
      </c>
      <c r="N269" s="13">
        <f>DAY(Table43[[#This Row],[Date]])</f>
        <v>29</v>
      </c>
      <c r="O269" s="13" t="str">
        <f>TEXT(DATE(2023,Table43[[#This Row],[Month]],1),"mmm")</f>
        <v>Jul</v>
      </c>
      <c r="P269" s="13"/>
      <c r="Q269" s="13"/>
    </row>
    <row r="270" spans="1:17" x14ac:dyDescent="0.3">
      <c r="A270" s="6">
        <v>269</v>
      </c>
      <c r="B270" s="7">
        <v>45100</v>
      </c>
      <c r="C270" s="8" t="s">
        <v>37</v>
      </c>
      <c r="D270" s="8" t="s">
        <v>23</v>
      </c>
      <c r="E270" s="8" t="s">
        <v>24</v>
      </c>
      <c r="F270" s="8" t="s">
        <v>31</v>
      </c>
      <c r="G270" s="8" t="s">
        <v>35</v>
      </c>
      <c r="H270" s="9">
        <v>31139.39</v>
      </c>
      <c r="I270" s="8">
        <v>5</v>
      </c>
      <c r="J270" s="10">
        <v>5027.6499999999996</v>
      </c>
      <c r="K270" s="17" t="str" cm="1">
        <f t="array" ref="K270">_xlfn.IFS(Table43[[#This Row],[Sales]]&gt;40000,"Best Sales",Table43[[#This Row],[Sales]]&gt;20000,"Average Sales",Table43[[#This Row],[Sales]]&gt;0,"Poor Sales")</f>
        <v>Average Sales</v>
      </c>
      <c r="L270" s="12">
        <f>YEAR(Table43[[#This Row],[Date]])</f>
        <v>2023</v>
      </c>
      <c r="M270" s="12">
        <f>MONTH(Table43[[#This Row],[Date]])</f>
        <v>6</v>
      </c>
      <c r="N270" s="13">
        <f>DAY(Table43[[#This Row],[Date]])</f>
        <v>23</v>
      </c>
      <c r="O270" s="13" t="str">
        <f>TEXT(DATE(2023,Table43[[#This Row],[Month]],1),"mmm")</f>
        <v>Jun</v>
      </c>
      <c r="P270" s="13"/>
      <c r="Q270" s="13"/>
    </row>
    <row r="271" spans="1:17" x14ac:dyDescent="0.3">
      <c r="A271" s="14">
        <v>270</v>
      </c>
      <c r="B271" s="15">
        <v>44981</v>
      </c>
      <c r="C271" s="16" t="s">
        <v>37</v>
      </c>
      <c r="D271" s="16" t="s">
        <v>23</v>
      </c>
      <c r="E271" s="16" t="s">
        <v>27</v>
      </c>
      <c r="F271" s="16" t="s">
        <v>31</v>
      </c>
      <c r="G271" s="16" t="s">
        <v>35</v>
      </c>
      <c r="H271" s="17">
        <v>22141.33</v>
      </c>
      <c r="I271" s="16">
        <v>7</v>
      </c>
      <c r="J271" s="18">
        <v>4473.1400000000003</v>
      </c>
      <c r="K271" s="17" t="str" cm="1">
        <f t="array" ref="K271">_xlfn.IFS(Table43[[#This Row],[Sales]]&gt;40000,"Best Sales",Table43[[#This Row],[Sales]]&gt;20000,"Average Sales",Table43[[#This Row],[Sales]]&gt;0,"Poor Sales")</f>
        <v>Average Sales</v>
      </c>
      <c r="L271" s="12">
        <f>YEAR(Table43[[#This Row],[Date]])</f>
        <v>2023</v>
      </c>
      <c r="M271" s="12">
        <f>MONTH(Table43[[#This Row],[Date]])</f>
        <v>2</v>
      </c>
      <c r="N271" s="13">
        <f>DAY(Table43[[#This Row],[Date]])</f>
        <v>24</v>
      </c>
      <c r="O271" s="13" t="str">
        <f>TEXT(DATE(2023,Table43[[#This Row],[Month]],1),"mmm")</f>
        <v>Feb</v>
      </c>
      <c r="P271" s="13"/>
      <c r="Q271" s="13"/>
    </row>
    <row r="272" spans="1:17" x14ac:dyDescent="0.3">
      <c r="A272" s="6">
        <v>271</v>
      </c>
      <c r="B272" s="7">
        <v>45238</v>
      </c>
      <c r="C272" s="8" t="s">
        <v>22</v>
      </c>
      <c r="D272" s="8" t="s">
        <v>23</v>
      </c>
      <c r="E272" s="8" t="s">
        <v>27</v>
      </c>
      <c r="F272" s="8" t="s">
        <v>20</v>
      </c>
      <c r="G272" s="8" t="s">
        <v>41</v>
      </c>
      <c r="H272" s="9">
        <v>44279.01</v>
      </c>
      <c r="I272" s="8">
        <v>7</v>
      </c>
      <c r="J272" s="10">
        <v>6441.93</v>
      </c>
      <c r="K272" s="17" t="str" cm="1">
        <f t="array" ref="K272">_xlfn.IFS(Table43[[#This Row],[Sales]]&gt;40000,"Best Sales",Table43[[#This Row],[Sales]]&gt;20000,"Average Sales",Table43[[#This Row],[Sales]]&gt;0,"Poor Sales")</f>
        <v>Best Sales</v>
      </c>
      <c r="L272" s="12">
        <f>YEAR(Table43[[#This Row],[Date]])</f>
        <v>2023</v>
      </c>
      <c r="M272" s="12">
        <f>MONTH(Table43[[#This Row],[Date]])</f>
        <v>11</v>
      </c>
      <c r="N272" s="13">
        <f>DAY(Table43[[#This Row],[Date]])</f>
        <v>8</v>
      </c>
      <c r="O272" s="13" t="str">
        <f>TEXT(DATE(2023,Table43[[#This Row],[Month]],1),"mmm")</f>
        <v>Nov</v>
      </c>
      <c r="P272" s="13"/>
      <c r="Q272" s="13"/>
    </row>
    <row r="273" spans="1:17" x14ac:dyDescent="0.3">
      <c r="A273" s="14">
        <v>272</v>
      </c>
      <c r="B273" s="15">
        <v>44927</v>
      </c>
      <c r="C273" s="16" t="s">
        <v>42</v>
      </c>
      <c r="D273" s="16" t="s">
        <v>43</v>
      </c>
      <c r="E273" s="16" t="s">
        <v>19</v>
      </c>
      <c r="F273" s="16" t="s">
        <v>31</v>
      </c>
      <c r="G273" s="16" t="s">
        <v>32</v>
      </c>
      <c r="H273" s="17">
        <v>34850.58</v>
      </c>
      <c r="I273" s="16">
        <v>6</v>
      </c>
      <c r="J273" s="18">
        <v>7187.87</v>
      </c>
      <c r="K273" s="17" t="str" cm="1">
        <f t="array" ref="K273">_xlfn.IFS(Table43[[#This Row],[Sales]]&gt;40000,"Best Sales",Table43[[#This Row],[Sales]]&gt;20000,"Average Sales",Table43[[#This Row],[Sales]]&gt;0,"Poor Sales")</f>
        <v>Average Sales</v>
      </c>
      <c r="L273" s="12">
        <f>YEAR(Table43[[#This Row],[Date]])</f>
        <v>2023</v>
      </c>
      <c r="M273" s="12">
        <f>MONTH(Table43[[#This Row],[Date]])</f>
        <v>1</v>
      </c>
      <c r="N273" s="13">
        <f>DAY(Table43[[#This Row],[Date]])</f>
        <v>1</v>
      </c>
      <c r="O273" s="13" t="str">
        <f>TEXT(DATE(2023,Table43[[#This Row],[Month]],1),"mmm")</f>
        <v>Jan</v>
      </c>
      <c r="P273" s="13"/>
      <c r="Q273" s="13"/>
    </row>
    <row r="274" spans="1:17" x14ac:dyDescent="0.3">
      <c r="A274" s="6">
        <v>273</v>
      </c>
      <c r="B274" s="7">
        <v>45155</v>
      </c>
      <c r="C274" s="8" t="s">
        <v>29</v>
      </c>
      <c r="D274" s="8" t="s">
        <v>29</v>
      </c>
      <c r="E274" s="8" t="s">
        <v>24</v>
      </c>
      <c r="F274" s="8" t="s">
        <v>38</v>
      </c>
      <c r="G274" s="8" t="s">
        <v>40</v>
      </c>
      <c r="H274" s="9">
        <v>5858.59</v>
      </c>
      <c r="I274" s="8">
        <v>3</v>
      </c>
      <c r="J274" s="10">
        <v>796.7</v>
      </c>
      <c r="K274" s="17" t="str" cm="1">
        <f t="array" ref="K274">_xlfn.IFS(Table43[[#This Row],[Sales]]&gt;40000,"Best Sales",Table43[[#This Row],[Sales]]&gt;20000,"Average Sales",Table43[[#This Row],[Sales]]&gt;0,"Poor Sales")</f>
        <v>Poor Sales</v>
      </c>
      <c r="L274" s="12">
        <f>YEAR(Table43[[#This Row],[Date]])</f>
        <v>2023</v>
      </c>
      <c r="M274" s="12">
        <f>MONTH(Table43[[#This Row],[Date]])</f>
        <v>8</v>
      </c>
      <c r="N274" s="13">
        <f>DAY(Table43[[#This Row],[Date]])</f>
        <v>17</v>
      </c>
      <c r="O274" s="13" t="str">
        <f>TEXT(DATE(2023,Table43[[#This Row],[Month]],1),"mmm")</f>
        <v>Aug</v>
      </c>
      <c r="P274" s="13"/>
      <c r="Q274" s="13"/>
    </row>
    <row r="275" spans="1:17" x14ac:dyDescent="0.3">
      <c r="A275" s="14">
        <v>274</v>
      </c>
      <c r="B275" s="15">
        <v>45162</v>
      </c>
      <c r="C275" s="16" t="s">
        <v>45</v>
      </c>
      <c r="D275" s="16" t="s">
        <v>34</v>
      </c>
      <c r="E275" s="16" t="s">
        <v>19</v>
      </c>
      <c r="F275" s="16" t="s">
        <v>38</v>
      </c>
      <c r="G275" s="16" t="s">
        <v>46</v>
      </c>
      <c r="H275" s="17">
        <v>48376.78</v>
      </c>
      <c r="I275" s="16">
        <v>2</v>
      </c>
      <c r="J275" s="18">
        <v>6380.96</v>
      </c>
      <c r="K275" s="17" t="str" cm="1">
        <f t="array" ref="K275">_xlfn.IFS(Table43[[#This Row],[Sales]]&gt;40000,"Best Sales",Table43[[#This Row],[Sales]]&gt;20000,"Average Sales",Table43[[#This Row],[Sales]]&gt;0,"Poor Sales")</f>
        <v>Best Sales</v>
      </c>
      <c r="L275" s="12">
        <f>YEAR(Table43[[#This Row],[Date]])</f>
        <v>2023</v>
      </c>
      <c r="M275" s="12">
        <f>MONTH(Table43[[#This Row],[Date]])</f>
        <v>8</v>
      </c>
      <c r="N275" s="13">
        <f>DAY(Table43[[#This Row],[Date]])</f>
        <v>24</v>
      </c>
      <c r="O275" s="13" t="str">
        <f>TEXT(DATE(2023,Table43[[#This Row],[Month]],1),"mmm")</f>
        <v>Aug</v>
      </c>
      <c r="P275" s="13"/>
      <c r="Q275" s="13"/>
    </row>
    <row r="276" spans="1:17" x14ac:dyDescent="0.3">
      <c r="A276" s="6">
        <v>275</v>
      </c>
      <c r="B276" s="7">
        <v>45003</v>
      </c>
      <c r="C276" s="8" t="s">
        <v>44</v>
      </c>
      <c r="D276" s="8" t="s">
        <v>34</v>
      </c>
      <c r="E276" s="8" t="s">
        <v>24</v>
      </c>
      <c r="F276" s="8" t="s">
        <v>38</v>
      </c>
      <c r="G276" s="8" t="s">
        <v>46</v>
      </c>
      <c r="H276" s="9">
        <v>45474.51</v>
      </c>
      <c r="I276" s="8">
        <v>5</v>
      </c>
      <c r="J276" s="10">
        <v>10209.879999999999</v>
      </c>
      <c r="K276" s="17" t="str" cm="1">
        <f t="array" ref="K276">_xlfn.IFS(Table43[[#This Row],[Sales]]&gt;40000,"Best Sales",Table43[[#This Row],[Sales]]&gt;20000,"Average Sales",Table43[[#This Row],[Sales]]&gt;0,"Poor Sales")</f>
        <v>Best Sales</v>
      </c>
      <c r="L276" s="12">
        <f>YEAR(Table43[[#This Row],[Date]])</f>
        <v>2023</v>
      </c>
      <c r="M276" s="12">
        <f>MONTH(Table43[[#This Row],[Date]])</f>
        <v>3</v>
      </c>
      <c r="N276" s="13">
        <f>DAY(Table43[[#This Row],[Date]])</f>
        <v>18</v>
      </c>
      <c r="O276" s="13" t="str">
        <f>TEXT(DATE(2023,Table43[[#This Row],[Month]],1),"mmm")</f>
        <v>Mar</v>
      </c>
      <c r="P276" s="13"/>
      <c r="Q276" s="13"/>
    </row>
    <row r="277" spans="1:17" x14ac:dyDescent="0.3">
      <c r="A277" s="14">
        <v>276</v>
      </c>
      <c r="B277" s="15">
        <v>45184</v>
      </c>
      <c r="C277" s="16" t="s">
        <v>45</v>
      </c>
      <c r="D277" s="16" t="s">
        <v>34</v>
      </c>
      <c r="E277" s="16" t="s">
        <v>27</v>
      </c>
      <c r="F277" s="16" t="s">
        <v>38</v>
      </c>
      <c r="G277" s="16" t="s">
        <v>39</v>
      </c>
      <c r="H277" s="17">
        <v>38210.57</v>
      </c>
      <c r="I277" s="16">
        <v>1</v>
      </c>
      <c r="J277" s="18">
        <v>8172.28</v>
      </c>
      <c r="K277" s="17" t="str" cm="1">
        <f t="array" ref="K277">_xlfn.IFS(Table43[[#This Row],[Sales]]&gt;40000,"Best Sales",Table43[[#This Row],[Sales]]&gt;20000,"Average Sales",Table43[[#This Row],[Sales]]&gt;0,"Poor Sales")</f>
        <v>Average Sales</v>
      </c>
      <c r="L277" s="12">
        <f>YEAR(Table43[[#This Row],[Date]])</f>
        <v>2023</v>
      </c>
      <c r="M277" s="12">
        <f>MONTH(Table43[[#This Row],[Date]])</f>
        <v>9</v>
      </c>
      <c r="N277" s="13">
        <f>DAY(Table43[[#This Row],[Date]])</f>
        <v>15</v>
      </c>
      <c r="O277" s="13" t="str">
        <f>TEXT(DATE(2023,Table43[[#This Row],[Month]],1),"mmm")</f>
        <v>Sep</v>
      </c>
      <c r="P277" s="13"/>
      <c r="Q277" s="13"/>
    </row>
    <row r="278" spans="1:17" x14ac:dyDescent="0.3">
      <c r="A278" s="6">
        <v>277</v>
      </c>
      <c r="B278" s="7">
        <v>45064</v>
      </c>
      <c r="C278" s="8" t="s">
        <v>42</v>
      </c>
      <c r="D278" s="8" t="s">
        <v>43</v>
      </c>
      <c r="E278" s="8" t="s">
        <v>27</v>
      </c>
      <c r="F278" s="8" t="s">
        <v>31</v>
      </c>
      <c r="G278" s="8" t="s">
        <v>35</v>
      </c>
      <c r="H278" s="9">
        <v>2743.4</v>
      </c>
      <c r="I278" s="8">
        <v>2</v>
      </c>
      <c r="J278" s="10">
        <v>324.44</v>
      </c>
      <c r="K278" s="17" t="str" cm="1">
        <f t="array" ref="K278">_xlfn.IFS(Table43[[#This Row],[Sales]]&gt;40000,"Best Sales",Table43[[#This Row],[Sales]]&gt;20000,"Average Sales",Table43[[#This Row],[Sales]]&gt;0,"Poor Sales")</f>
        <v>Poor Sales</v>
      </c>
      <c r="L278" s="12">
        <f>YEAR(Table43[[#This Row],[Date]])</f>
        <v>2023</v>
      </c>
      <c r="M278" s="12">
        <f>MONTH(Table43[[#This Row],[Date]])</f>
        <v>5</v>
      </c>
      <c r="N278" s="13">
        <f>DAY(Table43[[#This Row],[Date]])</f>
        <v>18</v>
      </c>
      <c r="O278" s="13" t="str">
        <f>TEXT(DATE(2023,Table43[[#This Row],[Month]],1),"mmm")</f>
        <v>May</v>
      </c>
      <c r="P278" s="13"/>
      <c r="Q278" s="13"/>
    </row>
    <row r="279" spans="1:17" x14ac:dyDescent="0.3">
      <c r="A279" s="14">
        <v>278</v>
      </c>
      <c r="B279" s="15">
        <v>45010</v>
      </c>
      <c r="C279" s="16" t="s">
        <v>22</v>
      </c>
      <c r="D279" s="16" t="s">
        <v>23</v>
      </c>
      <c r="E279" s="16" t="s">
        <v>19</v>
      </c>
      <c r="F279" s="16" t="s">
        <v>38</v>
      </c>
      <c r="G279" s="16" t="s">
        <v>39</v>
      </c>
      <c r="H279" s="17">
        <v>17723.98</v>
      </c>
      <c r="I279" s="16">
        <v>3</v>
      </c>
      <c r="J279" s="18">
        <v>3188.41</v>
      </c>
      <c r="K279" s="17" t="str" cm="1">
        <f t="array" ref="K279">_xlfn.IFS(Table43[[#This Row],[Sales]]&gt;40000,"Best Sales",Table43[[#This Row],[Sales]]&gt;20000,"Average Sales",Table43[[#This Row],[Sales]]&gt;0,"Poor Sales")</f>
        <v>Poor Sales</v>
      </c>
      <c r="L279" s="12">
        <f>YEAR(Table43[[#This Row],[Date]])</f>
        <v>2023</v>
      </c>
      <c r="M279" s="12">
        <f>MONTH(Table43[[#This Row],[Date]])</f>
        <v>3</v>
      </c>
      <c r="N279" s="13">
        <f>DAY(Table43[[#This Row],[Date]])</f>
        <v>25</v>
      </c>
      <c r="O279" s="13" t="str">
        <f>TEXT(DATE(2023,Table43[[#This Row],[Month]],1),"mmm")</f>
        <v>Mar</v>
      </c>
      <c r="P279" s="13"/>
      <c r="Q279" s="13"/>
    </row>
    <row r="280" spans="1:17" x14ac:dyDescent="0.3">
      <c r="A280" s="6">
        <v>279</v>
      </c>
      <c r="B280" s="7">
        <v>44973</v>
      </c>
      <c r="C280" s="8" t="s">
        <v>22</v>
      </c>
      <c r="D280" s="8" t="s">
        <v>23</v>
      </c>
      <c r="E280" s="8" t="s">
        <v>24</v>
      </c>
      <c r="F280" s="8" t="s">
        <v>20</v>
      </c>
      <c r="G280" s="8" t="s">
        <v>28</v>
      </c>
      <c r="H280" s="9">
        <v>37126.15</v>
      </c>
      <c r="I280" s="8">
        <v>7</v>
      </c>
      <c r="J280" s="10">
        <v>7778.08</v>
      </c>
      <c r="K280" s="17" t="str" cm="1">
        <f t="array" ref="K280">_xlfn.IFS(Table43[[#This Row],[Sales]]&gt;40000,"Best Sales",Table43[[#This Row],[Sales]]&gt;20000,"Average Sales",Table43[[#This Row],[Sales]]&gt;0,"Poor Sales")</f>
        <v>Average Sales</v>
      </c>
      <c r="L280" s="12">
        <f>YEAR(Table43[[#This Row],[Date]])</f>
        <v>2023</v>
      </c>
      <c r="M280" s="12">
        <f>MONTH(Table43[[#This Row],[Date]])</f>
        <v>2</v>
      </c>
      <c r="N280" s="13">
        <f>DAY(Table43[[#This Row],[Date]])</f>
        <v>16</v>
      </c>
      <c r="O280" s="13" t="str">
        <f>TEXT(DATE(2023,Table43[[#This Row],[Month]],1),"mmm")</f>
        <v>Feb</v>
      </c>
      <c r="P280" s="13"/>
      <c r="Q280" s="13"/>
    </row>
    <row r="281" spans="1:17" x14ac:dyDescent="0.3">
      <c r="A281" s="14">
        <v>280</v>
      </c>
      <c r="B281" s="15">
        <v>45043</v>
      </c>
      <c r="C281" s="16" t="s">
        <v>17</v>
      </c>
      <c r="D281" s="16" t="s">
        <v>18</v>
      </c>
      <c r="E281" s="16" t="s">
        <v>19</v>
      </c>
      <c r="F281" s="16" t="s">
        <v>20</v>
      </c>
      <c r="G281" s="16" t="s">
        <v>21</v>
      </c>
      <c r="H281" s="17">
        <v>33645.160000000003</v>
      </c>
      <c r="I281" s="16">
        <v>9</v>
      </c>
      <c r="J281" s="18">
        <v>3910.56</v>
      </c>
      <c r="K281" s="17" t="str" cm="1">
        <f t="array" ref="K281">_xlfn.IFS(Table43[[#This Row],[Sales]]&gt;40000,"Best Sales",Table43[[#This Row],[Sales]]&gt;20000,"Average Sales",Table43[[#This Row],[Sales]]&gt;0,"Poor Sales")</f>
        <v>Average Sales</v>
      </c>
      <c r="L281" s="12">
        <f>YEAR(Table43[[#This Row],[Date]])</f>
        <v>2023</v>
      </c>
      <c r="M281" s="12">
        <f>MONTH(Table43[[#This Row],[Date]])</f>
        <v>4</v>
      </c>
      <c r="N281" s="13">
        <f>DAY(Table43[[#This Row],[Date]])</f>
        <v>27</v>
      </c>
      <c r="O281" s="13" t="str">
        <f>TEXT(DATE(2023,Table43[[#This Row],[Month]],1),"mmm")</f>
        <v>Apr</v>
      </c>
      <c r="P281" s="13"/>
      <c r="Q281" s="13"/>
    </row>
    <row r="282" spans="1:17" x14ac:dyDescent="0.3">
      <c r="A282" s="6">
        <v>281</v>
      </c>
      <c r="B282" s="7">
        <v>44956</v>
      </c>
      <c r="C282" s="8" t="s">
        <v>42</v>
      </c>
      <c r="D282" s="8" t="s">
        <v>43</v>
      </c>
      <c r="E282" s="8" t="s">
        <v>24</v>
      </c>
      <c r="F282" s="8" t="s">
        <v>31</v>
      </c>
      <c r="G282" s="8" t="s">
        <v>32</v>
      </c>
      <c r="H282" s="9">
        <v>16719.09</v>
      </c>
      <c r="I282" s="8">
        <v>4</v>
      </c>
      <c r="J282" s="10">
        <v>1211.3699999999999</v>
      </c>
      <c r="K282" s="17" t="str" cm="1">
        <f t="array" ref="K282">_xlfn.IFS(Table43[[#This Row],[Sales]]&gt;40000,"Best Sales",Table43[[#This Row],[Sales]]&gt;20000,"Average Sales",Table43[[#This Row],[Sales]]&gt;0,"Poor Sales")</f>
        <v>Poor Sales</v>
      </c>
      <c r="L282" s="12">
        <f>YEAR(Table43[[#This Row],[Date]])</f>
        <v>2023</v>
      </c>
      <c r="M282" s="12">
        <f>MONTH(Table43[[#This Row],[Date]])</f>
        <v>1</v>
      </c>
      <c r="N282" s="13">
        <f>DAY(Table43[[#This Row],[Date]])</f>
        <v>30</v>
      </c>
      <c r="O282" s="13" t="str">
        <f>TEXT(DATE(2023,Table43[[#This Row],[Month]],1),"mmm")</f>
        <v>Jan</v>
      </c>
      <c r="P282" s="13"/>
      <c r="Q282" s="13"/>
    </row>
    <row r="283" spans="1:17" x14ac:dyDescent="0.3">
      <c r="A283" s="14">
        <v>282</v>
      </c>
      <c r="B283" s="15">
        <v>45046</v>
      </c>
      <c r="C283" s="16" t="s">
        <v>17</v>
      </c>
      <c r="D283" s="16" t="s">
        <v>18</v>
      </c>
      <c r="E283" s="16" t="s">
        <v>27</v>
      </c>
      <c r="F283" s="16" t="s">
        <v>38</v>
      </c>
      <c r="G283" s="16" t="s">
        <v>39</v>
      </c>
      <c r="H283" s="17">
        <v>25813.7</v>
      </c>
      <c r="I283" s="16">
        <v>4</v>
      </c>
      <c r="J283" s="18">
        <v>5481.41</v>
      </c>
      <c r="K283" s="17" t="str" cm="1">
        <f t="array" ref="K283">_xlfn.IFS(Table43[[#This Row],[Sales]]&gt;40000,"Best Sales",Table43[[#This Row],[Sales]]&gt;20000,"Average Sales",Table43[[#This Row],[Sales]]&gt;0,"Poor Sales")</f>
        <v>Average Sales</v>
      </c>
      <c r="L283" s="12">
        <f>YEAR(Table43[[#This Row],[Date]])</f>
        <v>2023</v>
      </c>
      <c r="M283" s="12">
        <f>MONTH(Table43[[#This Row],[Date]])</f>
        <v>4</v>
      </c>
      <c r="N283" s="13">
        <f>DAY(Table43[[#This Row],[Date]])</f>
        <v>30</v>
      </c>
      <c r="O283" s="13" t="str">
        <f>TEXT(DATE(2023,Table43[[#This Row],[Month]],1),"mmm")</f>
        <v>Apr</v>
      </c>
      <c r="P283" s="13"/>
      <c r="Q283" s="13"/>
    </row>
    <row r="284" spans="1:17" x14ac:dyDescent="0.3">
      <c r="A284" s="6">
        <v>283</v>
      </c>
      <c r="B284" s="7">
        <v>45087</v>
      </c>
      <c r="C284" s="8" t="s">
        <v>44</v>
      </c>
      <c r="D284" s="8" t="s">
        <v>34</v>
      </c>
      <c r="E284" s="8" t="s">
        <v>27</v>
      </c>
      <c r="F284" s="8" t="s">
        <v>20</v>
      </c>
      <c r="G284" s="8" t="s">
        <v>28</v>
      </c>
      <c r="H284" s="9">
        <v>4086.81</v>
      </c>
      <c r="I284" s="8">
        <v>4</v>
      </c>
      <c r="J284" s="10">
        <v>760.68</v>
      </c>
      <c r="K284" s="17" t="str" cm="1">
        <f t="array" ref="K284">_xlfn.IFS(Table43[[#This Row],[Sales]]&gt;40000,"Best Sales",Table43[[#This Row],[Sales]]&gt;20000,"Average Sales",Table43[[#This Row],[Sales]]&gt;0,"Poor Sales")</f>
        <v>Poor Sales</v>
      </c>
      <c r="L284" s="12">
        <f>YEAR(Table43[[#This Row],[Date]])</f>
        <v>2023</v>
      </c>
      <c r="M284" s="12">
        <f>MONTH(Table43[[#This Row],[Date]])</f>
        <v>6</v>
      </c>
      <c r="N284" s="13">
        <f>DAY(Table43[[#This Row],[Date]])</f>
        <v>10</v>
      </c>
      <c r="O284" s="13" t="str">
        <f>TEXT(DATE(2023,Table43[[#This Row],[Month]],1),"mmm")</f>
        <v>Jun</v>
      </c>
      <c r="P284" s="13"/>
      <c r="Q284" s="13"/>
    </row>
    <row r="285" spans="1:17" x14ac:dyDescent="0.3">
      <c r="A285" s="14">
        <v>284</v>
      </c>
      <c r="B285" s="15">
        <v>45145</v>
      </c>
      <c r="C285" s="16" t="s">
        <v>45</v>
      </c>
      <c r="D285" s="16" t="s">
        <v>34</v>
      </c>
      <c r="E285" s="16" t="s">
        <v>19</v>
      </c>
      <c r="F285" s="16" t="s">
        <v>20</v>
      </c>
      <c r="G285" s="16" t="s">
        <v>28</v>
      </c>
      <c r="H285" s="17">
        <v>18521.38</v>
      </c>
      <c r="I285" s="16">
        <v>1</v>
      </c>
      <c r="J285" s="18">
        <v>1946.16</v>
      </c>
      <c r="K285" s="17" t="str" cm="1">
        <f t="array" ref="K285">_xlfn.IFS(Table43[[#This Row],[Sales]]&gt;40000,"Best Sales",Table43[[#This Row],[Sales]]&gt;20000,"Average Sales",Table43[[#This Row],[Sales]]&gt;0,"Poor Sales")</f>
        <v>Poor Sales</v>
      </c>
      <c r="L285" s="12">
        <f>YEAR(Table43[[#This Row],[Date]])</f>
        <v>2023</v>
      </c>
      <c r="M285" s="12">
        <f>MONTH(Table43[[#This Row],[Date]])</f>
        <v>8</v>
      </c>
      <c r="N285" s="13">
        <f>DAY(Table43[[#This Row],[Date]])</f>
        <v>7</v>
      </c>
      <c r="O285" s="13" t="str">
        <f>TEXT(DATE(2023,Table43[[#This Row],[Month]],1),"mmm")</f>
        <v>Aug</v>
      </c>
      <c r="P285" s="13"/>
      <c r="Q285" s="13"/>
    </row>
    <row r="286" spans="1:17" x14ac:dyDescent="0.3">
      <c r="A286" s="6">
        <v>285</v>
      </c>
      <c r="B286" s="7">
        <v>45165</v>
      </c>
      <c r="C286" s="8" t="s">
        <v>44</v>
      </c>
      <c r="D286" s="8" t="s">
        <v>34</v>
      </c>
      <c r="E286" s="8" t="s">
        <v>24</v>
      </c>
      <c r="F286" s="8" t="s">
        <v>31</v>
      </c>
      <c r="G286" s="8" t="s">
        <v>36</v>
      </c>
      <c r="H286" s="9">
        <v>35464.68</v>
      </c>
      <c r="I286" s="8">
        <v>3</v>
      </c>
      <c r="J286" s="10">
        <v>4946.6099999999997</v>
      </c>
      <c r="K286" s="17" t="str" cm="1">
        <f t="array" ref="K286">_xlfn.IFS(Table43[[#This Row],[Sales]]&gt;40000,"Best Sales",Table43[[#This Row],[Sales]]&gt;20000,"Average Sales",Table43[[#This Row],[Sales]]&gt;0,"Poor Sales")</f>
        <v>Average Sales</v>
      </c>
      <c r="L286" s="12">
        <f>YEAR(Table43[[#This Row],[Date]])</f>
        <v>2023</v>
      </c>
      <c r="M286" s="12">
        <f>MONTH(Table43[[#This Row],[Date]])</f>
        <v>8</v>
      </c>
      <c r="N286" s="13">
        <f>DAY(Table43[[#This Row],[Date]])</f>
        <v>27</v>
      </c>
      <c r="O286" s="13" t="str">
        <f>TEXT(DATE(2023,Table43[[#This Row],[Month]],1),"mmm")</f>
        <v>Aug</v>
      </c>
      <c r="P286" s="13"/>
      <c r="Q286" s="13"/>
    </row>
    <row r="287" spans="1:17" x14ac:dyDescent="0.3">
      <c r="A287" s="14">
        <v>286</v>
      </c>
      <c r="B287" s="15">
        <v>45228</v>
      </c>
      <c r="C287" s="16" t="s">
        <v>42</v>
      </c>
      <c r="D287" s="16" t="s">
        <v>43</v>
      </c>
      <c r="E287" s="16" t="s">
        <v>19</v>
      </c>
      <c r="F287" s="16" t="s">
        <v>20</v>
      </c>
      <c r="G287" s="16" t="s">
        <v>41</v>
      </c>
      <c r="H287" s="17">
        <v>49796.639999999999</v>
      </c>
      <c r="I287" s="16">
        <v>9</v>
      </c>
      <c r="J287" s="18">
        <v>11826.36</v>
      </c>
      <c r="K287" s="17" t="str" cm="1">
        <f t="array" ref="K287">_xlfn.IFS(Table43[[#This Row],[Sales]]&gt;40000,"Best Sales",Table43[[#This Row],[Sales]]&gt;20000,"Average Sales",Table43[[#This Row],[Sales]]&gt;0,"Poor Sales")</f>
        <v>Best Sales</v>
      </c>
      <c r="L287" s="12">
        <f>YEAR(Table43[[#This Row],[Date]])</f>
        <v>2023</v>
      </c>
      <c r="M287" s="12">
        <f>MONTH(Table43[[#This Row],[Date]])</f>
        <v>10</v>
      </c>
      <c r="N287" s="13">
        <f>DAY(Table43[[#This Row],[Date]])</f>
        <v>29</v>
      </c>
      <c r="O287" s="13" t="str">
        <f>TEXT(DATE(2023,Table43[[#This Row],[Month]],1),"mmm")</f>
        <v>Oct</v>
      </c>
      <c r="P287" s="13"/>
      <c r="Q287" s="13"/>
    </row>
    <row r="288" spans="1:17" x14ac:dyDescent="0.3">
      <c r="A288" s="6">
        <v>287</v>
      </c>
      <c r="B288" s="7">
        <v>45075</v>
      </c>
      <c r="C288" s="8" t="s">
        <v>33</v>
      </c>
      <c r="D288" s="8" t="s">
        <v>34</v>
      </c>
      <c r="E288" s="8" t="s">
        <v>24</v>
      </c>
      <c r="F288" s="8" t="s">
        <v>31</v>
      </c>
      <c r="G288" s="8" t="s">
        <v>32</v>
      </c>
      <c r="H288" s="9">
        <v>6484.96</v>
      </c>
      <c r="I288" s="8">
        <v>3</v>
      </c>
      <c r="J288" s="10">
        <v>1208.78</v>
      </c>
      <c r="K288" s="17" t="str" cm="1">
        <f t="array" ref="K288">_xlfn.IFS(Table43[[#This Row],[Sales]]&gt;40000,"Best Sales",Table43[[#This Row],[Sales]]&gt;20000,"Average Sales",Table43[[#This Row],[Sales]]&gt;0,"Poor Sales")</f>
        <v>Poor Sales</v>
      </c>
      <c r="L288" s="12">
        <f>YEAR(Table43[[#This Row],[Date]])</f>
        <v>2023</v>
      </c>
      <c r="M288" s="12">
        <f>MONTH(Table43[[#This Row],[Date]])</f>
        <v>5</v>
      </c>
      <c r="N288" s="13">
        <f>DAY(Table43[[#This Row],[Date]])</f>
        <v>29</v>
      </c>
      <c r="O288" s="13" t="str">
        <f>TEXT(DATE(2023,Table43[[#This Row],[Month]],1),"mmm")</f>
        <v>May</v>
      </c>
      <c r="P288" s="13"/>
      <c r="Q288" s="13"/>
    </row>
    <row r="289" spans="1:17" x14ac:dyDescent="0.3">
      <c r="A289" s="14">
        <v>288</v>
      </c>
      <c r="B289" s="15">
        <v>45197</v>
      </c>
      <c r="C289" s="16" t="s">
        <v>42</v>
      </c>
      <c r="D289" s="16" t="s">
        <v>43</v>
      </c>
      <c r="E289" s="16" t="s">
        <v>27</v>
      </c>
      <c r="F289" s="16" t="s">
        <v>20</v>
      </c>
      <c r="G289" s="16" t="s">
        <v>28</v>
      </c>
      <c r="H289" s="17">
        <v>33163.33</v>
      </c>
      <c r="I289" s="16">
        <v>10</v>
      </c>
      <c r="J289" s="18">
        <v>7488.7</v>
      </c>
      <c r="K289" s="17" t="str" cm="1">
        <f t="array" ref="K289">_xlfn.IFS(Table43[[#This Row],[Sales]]&gt;40000,"Best Sales",Table43[[#This Row],[Sales]]&gt;20000,"Average Sales",Table43[[#This Row],[Sales]]&gt;0,"Poor Sales")</f>
        <v>Average Sales</v>
      </c>
      <c r="L289" s="12">
        <f>YEAR(Table43[[#This Row],[Date]])</f>
        <v>2023</v>
      </c>
      <c r="M289" s="12">
        <f>MONTH(Table43[[#This Row],[Date]])</f>
        <v>9</v>
      </c>
      <c r="N289" s="13">
        <f>DAY(Table43[[#This Row],[Date]])</f>
        <v>28</v>
      </c>
      <c r="O289" s="13" t="str">
        <f>TEXT(DATE(2023,Table43[[#This Row],[Month]],1),"mmm")</f>
        <v>Sep</v>
      </c>
      <c r="P289" s="13"/>
      <c r="Q289" s="13"/>
    </row>
    <row r="290" spans="1:17" x14ac:dyDescent="0.3">
      <c r="A290" s="6">
        <v>289</v>
      </c>
      <c r="B290" s="7">
        <v>44994</v>
      </c>
      <c r="C290" s="8" t="s">
        <v>17</v>
      </c>
      <c r="D290" s="8" t="s">
        <v>18</v>
      </c>
      <c r="E290" s="8" t="s">
        <v>27</v>
      </c>
      <c r="F290" s="8" t="s">
        <v>38</v>
      </c>
      <c r="G290" s="8" t="s">
        <v>46</v>
      </c>
      <c r="H290" s="9">
        <v>13149.05</v>
      </c>
      <c r="I290" s="8">
        <v>7</v>
      </c>
      <c r="J290" s="10">
        <v>3576.49</v>
      </c>
      <c r="K290" s="17" t="str" cm="1">
        <f t="array" ref="K290">_xlfn.IFS(Table43[[#This Row],[Sales]]&gt;40000,"Best Sales",Table43[[#This Row],[Sales]]&gt;20000,"Average Sales",Table43[[#This Row],[Sales]]&gt;0,"Poor Sales")</f>
        <v>Poor Sales</v>
      </c>
      <c r="L290" s="12">
        <f>YEAR(Table43[[#This Row],[Date]])</f>
        <v>2023</v>
      </c>
      <c r="M290" s="12">
        <f>MONTH(Table43[[#This Row],[Date]])</f>
        <v>3</v>
      </c>
      <c r="N290" s="13">
        <f>DAY(Table43[[#This Row],[Date]])</f>
        <v>9</v>
      </c>
      <c r="O290" s="13" t="str">
        <f>TEXT(DATE(2023,Table43[[#This Row],[Month]],1),"mmm")</f>
        <v>Mar</v>
      </c>
      <c r="P290" s="13"/>
      <c r="Q290" s="13"/>
    </row>
    <row r="291" spans="1:17" x14ac:dyDescent="0.3">
      <c r="A291" s="14">
        <v>290</v>
      </c>
      <c r="B291" s="15">
        <v>44958</v>
      </c>
      <c r="C291" s="16" t="s">
        <v>29</v>
      </c>
      <c r="D291" s="16" t="s">
        <v>29</v>
      </c>
      <c r="E291" s="16" t="s">
        <v>19</v>
      </c>
      <c r="F291" s="16" t="s">
        <v>38</v>
      </c>
      <c r="G291" s="16" t="s">
        <v>39</v>
      </c>
      <c r="H291" s="17">
        <v>34621.160000000003</v>
      </c>
      <c r="I291" s="16">
        <v>3</v>
      </c>
      <c r="J291" s="18">
        <v>7130.72</v>
      </c>
      <c r="K291" s="17" t="str" cm="1">
        <f t="array" ref="K291">_xlfn.IFS(Table43[[#This Row],[Sales]]&gt;40000,"Best Sales",Table43[[#This Row],[Sales]]&gt;20000,"Average Sales",Table43[[#This Row],[Sales]]&gt;0,"Poor Sales")</f>
        <v>Average Sales</v>
      </c>
      <c r="L291" s="12">
        <f>YEAR(Table43[[#This Row],[Date]])</f>
        <v>2023</v>
      </c>
      <c r="M291" s="12">
        <f>MONTH(Table43[[#This Row],[Date]])</f>
        <v>2</v>
      </c>
      <c r="N291" s="13">
        <f>DAY(Table43[[#This Row],[Date]])</f>
        <v>1</v>
      </c>
      <c r="O291" s="13" t="str">
        <f>TEXT(DATE(2023,Table43[[#This Row],[Month]],1),"mmm")</f>
        <v>Feb</v>
      </c>
      <c r="P291" s="13"/>
      <c r="Q291" s="13"/>
    </row>
    <row r="292" spans="1:17" x14ac:dyDescent="0.3">
      <c r="A292" s="6">
        <v>291</v>
      </c>
      <c r="B292" s="7">
        <v>45221</v>
      </c>
      <c r="C292" s="8" t="s">
        <v>17</v>
      </c>
      <c r="D292" s="8" t="s">
        <v>18</v>
      </c>
      <c r="E292" s="8" t="s">
        <v>24</v>
      </c>
      <c r="F292" s="8" t="s">
        <v>31</v>
      </c>
      <c r="G292" s="8" t="s">
        <v>36</v>
      </c>
      <c r="H292" s="9">
        <v>11966.24</v>
      </c>
      <c r="I292" s="8">
        <v>5</v>
      </c>
      <c r="J292" s="10">
        <v>2420.86</v>
      </c>
      <c r="K292" s="17" t="str" cm="1">
        <f t="array" ref="K292">_xlfn.IFS(Table43[[#This Row],[Sales]]&gt;40000,"Best Sales",Table43[[#This Row],[Sales]]&gt;20000,"Average Sales",Table43[[#This Row],[Sales]]&gt;0,"Poor Sales")</f>
        <v>Poor Sales</v>
      </c>
      <c r="L292" s="12">
        <f>YEAR(Table43[[#This Row],[Date]])</f>
        <v>2023</v>
      </c>
      <c r="M292" s="12">
        <f>MONTH(Table43[[#This Row],[Date]])</f>
        <v>10</v>
      </c>
      <c r="N292" s="13">
        <f>DAY(Table43[[#This Row],[Date]])</f>
        <v>22</v>
      </c>
      <c r="O292" s="13" t="str">
        <f>TEXT(DATE(2023,Table43[[#This Row],[Month]],1),"mmm")</f>
        <v>Oct</v>
      </c>
      <c r="P292" s="13"/>
      <c r="Q292" s="13"/>
    </row>
    <row r="293" spans="1:17" x14ac:dyDescent="0.3">
      <c r="A293" s="14">
        <v>292</v>
      </c>
      <c r="B293" s="15">
        <v>44960</v>
      </c>
      <c r="C293" s="16" t="s">
        <v>44</v>
      </c>
      <c r="D293" s="16" t="s">
        <v>34</v>
      </c>
      <c r="E293" s="16" t="s">
        <v>19</v>
      </c>
      <c r="F293" s="16" t="s">
        <v>20</v>
      </c>
      <c r="G293" s="16" t="s">
        <v>41</v>
      </c>
      <c r="H293" s="17">
        <v>20790.45</v>
      </c>
      <c r="I293" s="16">
        <v>10</v>
      </c>
      <c r="J293" s="18">
        <v>2754</v>
      </c>
      <c r="K293" s="17" t="str" cm="1">
        <f t="array" ref="K293">_xlfn.IFS(Table43[[#This Row],[Sales]]&gt;40000,"Best Sales",Table43[[#This Row],[Sales]]&gt;20000,"Average Sales",Table43[[#This Row],[Sales]]&gt;0,"Poor Sales")</f>
        <v>Average Sales</v>
      </c>
      <c r="L293" s="12">
        <f>YEAR(Table43[[#This Row],[Date]])</f>
        <v>2023</v>
      </c>
      <c r="M293" s="12">
        <f>MONTH(Table43[[#This Row],[Date]])</f>
        <v>2</v>
      </c>
      <c r="N293" s="13">
        <f>DAY(Table43[[#This Row],[Date]])</f>
        <v>3</v>
      </c>
      <c r="O293" s="13" t="str">
        <f>TEXT(DATE(2023,Table43[[#This Row],[Month]],1),"mmm")</f>
        <v>Feb</v>
      </c>
      <c r="P293" s="13"/>
      <c r="Q293" s="13"/>
    </row>
    <row r="294" spans="1:17" x14ac:dyDescent="0.3">
      <c r="A294" s="6">
        <v>293</v>
      </c>
      <c r="B294" s="7">
        <v>44982</v>
      </c>
      <c r="C294" s="8" t="s">
        <v>29</v>
      </c>
      <c r="D294" s="8" t="s">
        <v>29</v>
      </c>
      <c r="E294" s="8" t="s">
        <v>24</v>
      </c>
      <c r="F294" s="8" t="s">
        <v>20</v>
      </c>
      <c r="G294" s="8" t="s">
        <v>41</v>
      </c>
      <c r="H294" s="9">
        <v>20312.77</v>
      </c>
      <c r="I294" s="8">
        <v>5</v>
      </c>
      <c r="J294" s="10">
        <v>5618.1</v>
      </c>
      <c r="K294" s="17" t="str" cm="1">
        <f t="array" ref="K294">_xlfn.IFS(Table43[[#This Row],[Sales]]&gt;40000,"Best Sales",Table43[[#This Row],[Sales]]&gt;20000,"Average Sales",Table43[[#This Row],[Sales]]&gt;0,"Poor Sales")</f>
        <v>Average Sales</v>
      </c>
      <c r="L294" s="12">
        <f>YEAR(Table43[[#This Row],[Date]])</f>
        <v>2023</v>
      </c>
      <c r="M294" s="12">
        <f>MONTH(Table43[[#This Row],[Date]])</f>
        <v>2</v>
      </c>
      <c r="N294" s="13">
        <f>DAY(Table43[[#This Row],[Date]])</f>
        <v>25</v>
      </c>
      <c r="O294" s="13" t="str">
        <f>TEXT(DATE(2023,Table43[[#This Row],[Month]],1),"mmm")</f>
        <v>Feb</v>
      </c>
      <c r="P294" s="13"/>
      <c r="Q294" s="13"/>
    </row>
    <row r="295" spans="1:17" x14ac:dyDescent="0.3">
      <c r="A295" s="14">
        <v>294</v>
      </c>
      <c r="B295" s="15">
        <v>44982</v>
      </c>
      <c r="C295" s="16" t="s">
        <v>22</v>
      </c>
      <c r="D295" s="16" t="s">
        <v>23</v>
      </c>
      <c r="E295" s="16" t="s">
        <v>27</v>
      </c>
      <c r="F295" s="16" t="s">
        <v>31</v>
      </c>
      <c r="G295" s="16" t="s">
        <v>32</v>
      </c>
      <c r="H295" s="17">
        <v>39381.9</v>
      </c>
      <c r="I295" s="16">
        <v>10</v>
      </c>
      <c r="J295" s="18">
        <v>7457.7</v>
      </c>
      <c r="K295" s="17" t="str" cm="1">
        <f t="array" ref="K295">_xlfn.IFS(Table43[[#This Row],[Sales]]&gt;40000,"Best Sales",Table43[[#This Row],[Sales]]&gt;20000,"Average Sales",Table43[[#This Row],[Sales]]&gt;0,"Poor Sales")</f>
        <v>Average Sales</v>
      </c>
      <c r="L295" s="12">
        <f>YEAR(Table43[[#This Row],[Date]])</f>
        <v>2023</v>
      </c>
      <c r="M295" s="12">
        <f>MONTH(Table43[[#This Row],[Date]])</f>
        <v>2</v>
      </c>
      <c r="N295" s="13">
        <f>DAY(Table43[[#This Row],[Date]])</f>
        <v>25</v>
      </c>
      <c r="O295" s="13" t="str">
        <f>TEXT(DATE(2023,Table43[[#This Row],[Month]],1),"mmm")</f>
        <v>Feb</v>
      </c>
      <c r="P295" s="13"/>
      <c r="Q295" s="13"/>
    </row>
    <row r="296" spans="1:17" x14ac:dyDescent="0.3">
      <c r="A296" s="6">
        <v>295</v>
      </c>
      <c r="B296" s="7">
        <v>45286</v>
      </c>
      <c r="C296" s="8" t="s">
        <v>22</v>
      </c>
      <c r="D296" s="8" t="s">
        <v>23</v>
      </c>
      <c r="E296" s="8" t="s">
        <v>27</v>
      </c>
      <c r="F296" s="8" t="s">
        <v>31</v>
      </c>
      <c r="G296" s="8" t="s">
        <v>32</v>
      </c>
      <c r="H296" s="9">
        <v>32040.32</v>
      </c>
      <c r="I296" s="8">
        <v>10</v>
      </c>
      <c r="J296" s="10">
        <v>7617.08</v>
      </c>
      <c r="K296" s="17" t="str" cm="1">
        <f t="array" ref="K296">_xlfn.IFS(Table43[[#This Row],[Sales]]&gt;40000,"Best Sales",Table43[[#This Row],[Sales]]&gt;20000,"Average Sales",Table43[[#This Row],[Sales]]&gt;0,"Poor Sales")</f>
        <v>Average Sales</v>
      </c>
      <c r="L296" s="12">
        <f>YEAR(Table43[[#This Row],[Date]])</f>
        <v>2023</v>
      </c>
      <c r="M296" s="12">
        <f>MONTH(Table43[[#This Row],[Date]])</f>
        <v>12</v>
      </c>
      <c r="N296" s="13">
        <f>DAY(Table43[[#This Row],[Date]])</f>
        <v>26</v>
      </c>
      <c r="O296" s="13" t="str">
        <f>TEXT(DATE(2023,Table43[[#This Row],[Month]],1),"mmm")</f>
        <v>Dec</v>
      </c>
      <c r="P296" s="13"/>
      <c r="Q296" s="13"/>
    </row>
    <row r="297" spans="1:17" x14ac:dyDescent="0.3">
      <c r="A297" s="14">
        <v>296</v>
      </c>
      <c r="B297" s="15">
        <v>45200</v>
      </c>
      <c r="C297" s="16" t="s">
        <v>37</v>
      </c>
      <c r="D297" s="16" t="s">
        <v>23</v>
      </c>
      <c r="E297" s="16" t="s">
        <v>19</v>
      </c>
      <c r="F297" s="16" t="s">
        <v>31</v>
      </c>
      <c r="G297" s="16" t="s">
        <v>32</v>
      </c>
      <c r="H297" s="17">
        <v>9943.7099999999991</v>
      </c>
      <c r="I297" s="16">
        <v>2</v>
      </c>
      <c r="J297" s="18">
        <v>1663.61</v>
      </c>
      <c r="K297" s="17" t="str" cm="1">
        <f t="array" ref="K297">_xlfn.IFS(Table43[[#This Row],[Sales]]&gt;40000,"Best Sales",Table43[[#This Row],[Sales]]&gt;20000,"Average Sales",Table43[[#This Row],[Sales]]&gt;0,"Poor Sales")</f>
        <v>Poor Sales</v>
      </c>
      <c r="L297" s="12">
        <f>YEAR(Table43[[#This Row],[Date]])</f>
        <v>2023</v>
      </c>
      <c r="M297" s="12">
        <f>MONTH(Table43[[#This Row],[Date]])</f>
        <v>10</v>
      </c>
      <c r="N297" s="13">
        <f>DAY(Table43[[#This Row],[Date]])</f>
        <v>1</v>
      </c>
      <c r="O297" s="13" t="str">
        <f>TEXT(DATE(2023,Table43[[#This Row],[Month]],1),"mmm")</f>
        <v>Oct</v>
      </c>
      <c r="P297" s="13"/>
      <c r="Q297" s="13"/>
    </row>
    <row r="298" spans="1:17" x14ac:dyDescent="0.3">
      <c r="A298" s="6">
        <v>297</v>
      </c>
      <c r="B298" s="7">
        <v>45141</v>
      </c>
      <c r="C298" s="8" t="s">
        <v>42</v>
      </c>
      <c r="D298" s="8" t="s">
        <v>43</v>
      </c>
      <c r="E298" s="8" t="s">
        <v>24</v>
      </c>
      <c r="F298" s="8" t="s">
        <v>31</v>
      </c>
      <c r="G298" s="8" t="s">
        <v>35</v>
      </c>
      <c r="H298" s="9">
        <v>44799.3</v>
      </c>
      <c r="I298" s="8">
        <v>10</v>
      </c>
      <c r="J298" s="10">
        <v>5560.78</v>
      </c>
      <c r="K298" s="17" t="str" cm="1">
        <f t="array" ref="K298">_xlfn.IFS(Table43[[#This Row],[Sales]]&gt;40000,"Best Sales",Table43[[#This Row],[Sales]]&gt;20000,"Average Sales",Table43[[#This Row],[Sales]]&gt;0,"Poor Sales")</f>
        <v>Best Sales</v>
      </c>
      <c r="L298" s="12">
        <f>YEAR(Table43[[#This Row],[Date]])</f>
        <v>2023</v>
      </c>
      <c r="M298" s="12">
        <f>MONTH(Table43[[#This Row],[Date]])</f>
        <v>8</v>
      </c>
      <c r="N298" s="13">
        <f>DAY(Table43[[#This Row],[Date]])</f>
        <v>3</v>
      </c>
      <c r="O298" s="13" t="str">
        <f>TEXT(DATE(2023,Table43[[#This Row],[Month]],1),"mmm")</f>
        <v>Aug</v>
      </c>
      <c r="P298" s="13"/>
      <c r="Q298" s="13"/>
    </row>
    <row r="299" spans="1:17" x14ac:dyDescent="0.3">
      <c r="A299" s="14">
        <v>298</v>
      </c>
      <c r="B299" s="15">
        <v>45109</v>
      </c>
      <c r="C299" s="16" t="s">
        <v>33</v>
      </c>
      <c r="D299" s="16" t="s">
        <v>34</v>
      </c>
      <c r="E299" s="16" t="s">
        <v>19</v>
      </c>
      <c r="F299" s="16" t="s">
        <v>31</v>
      </c>
      <c r="G299" s="16" t="s">
        <v>35</v>
      </c>
      <c r="H299" s="17">
        <v>30482.42</v>
      </c>
      <c r="I299" s="16">
        <v>8</v>
      </c>
      <c r="J299" s="18">
        <v>4421.99</v>
      </c>
      <c r="K299" s="17" t="str" cm="1">
        <f t="array" ref="K299">_xlfn.IFS(Table43[[#This Row],[Sales]]&gt;40000,"Best Sales",Table43[[#This Row],[Sales]]&gt;20000,"Average Sales",Table43[[#This Row],[Sales]]&gt;0,"Poor Sales")</f>
        <v>Average Sales</v>
      </c>
      <c r="L299" s="12">
        <f>YEAR(Table43[[#This Row],[Date]])</f>
        <v>2023</v>
      </c>
      <c r="M299" s="12">
        <f>MONTH(Table43[[#This Row],[Date]])</f>
        <v>7</v>
      </c>
      <c r="N299" s="13">
        <f>DAY(Table43[[#This Row],[Date]])</f>
        <v>2</v>
      </c>
      <c r="O299" s="13" t="str">
        <f>TEXT(DATE(2023,Table43[[#This Row],[Month]],1),"mmm")</f>
        <v>Jul</v>
      </c>
      <c r="P299" s="13"/>
      <c r="Q299" s="13"/>
    </row>
    <row r="300" spans="1:17" x14ac:dyDescent="0.3">
      <c r="A300" s="6">
        <v>299</v>
      </c>
      <c r="B300" s="7">
        <v>45065</v>
      </c>
      <c r="C300" s="8" t="s">
        <v>44</v>
      </c>
      <c r="D300" s="8" t="s">
        <v>34</v>
      </c>
      <c r="E300" s="8" t="s">
        <v>24</v>
      </c>
      <c r="F300" s="8" t="s">
        <v>38</v>
      </c>
      <c r="G300" s="8" t="s">
        <v>46</v>
      </c>
      <c r="H300" s="9">
        <v>46018.66</v>
      </c>
      <c r="I300" s="8">
        <v>4</v>
      </c>
      <c r="J300" s="10">
        <v>11286.35</v>
      </c>
      <c r="K300" s="17" t="str" cm="1">
        <f t="array" ref="K300">_xlfn.IFS(Table43[[#This Row],[Sales]]&gt;40000,"Best Sales",Table43[[#This Row],[Sales]]&gt;20000,"Average Sales",Table43[[#This Row],[Sales]]&gt;0,"Poor Sales")</f>
        <v>Best Sales</v>
      </c>
      <c r="L300" s="12">
        <f>YEAR(Table43[[#This Row],[Date]])</f>
        <v>2023</v>
      </c>
      <c r="M300" s="12">
        <f>MONTH(Table43[[#This Row],[Date]])</f>
        <v>5</v>
      </c>
      <c r="N300" s="13">
        <f>DAY(Table43[[#This Row],[Date]])</f>
        <v>19</v>
      </c>
      <c r="O300" s="13" t="str">
        <f>TEXT(DATE(2023,Table43[[#This Row],[Month]],1),"mmm")</f>
        <v>May</v>
      </c>
      <c r="P300" s="13"/>
      <c r="Q300" s="13"/>
    </row>
    <row r="301" spans="1:17" x14ac:dyDescent="0.3">
      <c r="A301" s="14">
        <v>300</v>
      </c>
      <c r="B301" s="15">
        <v>44947</v>
      </c>
      <c r="C301" s="16" t="s">
        <v>37</v>
      </c>
      <c r="D301" s="16" t="s">
        <v>23</v>
      </c>
      <c r="E301" s="16" t="s">
        <v>27</v>
      </c>
      <c r="F301" s="16" t="s">
        <v>20</v>
      </c>
      <c r="G301" s="16" t="s">
        <v>28</v>
      </c>
      <c r="H301" s="17">
        <v>45604.85</v>
      </c>
      <c r="I301" s="16">
        <v>4</v>
      </c>
      <c r="J301" s="18">
        <v>10780.42</v>
      </c>
      <c r="K301" s="17" t="str" cm="1">
        <f t="array" ref="K301">_xlfn.IFS(Table43[[#This Row],[Sales]]&gt;40000,"Best Sales",Table43[[#This Row],[Sales]]&gt;20000,"Average Sales",Table43[[#This Row],[Sales]]&gt;0,"Poor Sales")</f>
        <v>Best Sales</v>
      </c>
      <c r="L301" s="12">
        <f>YEAR(Table43[[#This Row],[Date]])</f>
        <v>2023</v>
      </c>
      <c r="M301" s="12">
        <f>MONTH(Table43[[#This Row],[Date]])</f>
        <v>1</v>
      </c>
      <c r="N301" s="13">
        <f>DAY(Table43[[#This Row],[Date]])</f>
        <v>21</v>
      </c>
      <c r="O301" s="13" t="str">
        <f>TEXT(DATE(2023,Table43[[#This Row],[Month]],1),"mmm")</f>
        <v>Jan</v>
      </c>
      <c r="P301" s="13"/>
      <c r="Q301" s="13"/>
    </row>
    <row r="302" spans="1:17" x14ac:dyDescent="0.3">
      <c r="A302" s="6">
        <v>301</v>
      </c>
      <c r="B302" s="7">
        <v>45205</v>
      </c>
      <c r="C302" s="8" t="s">
        <v>17</v>
      </c>
      <c r="D302" s="8" t="s">
        <v>18</v>
      </c>
      <c r="E302" s="8" t="s">
        <v>27</v>
      </c>
      <c r="F302" s="8" t="s">
        <v>31</v>
      </c>
      <c r="G302" s="8" t="s">
        <v>36</v>
      </c>
      <c r="H302" s="9">
        <v>10568</v>
      </c>
      <c r="I302" s="8">
        <v>9</v>
      </c>
      <c r="J302" s="10">
        <v>1896.29</v>
      </c>
      <c r="K302" s="17" t="str" cm="1">
        <f t="array" ref="K302">_xlfn.IFS(Table43[[#This Row],[Sales]]&gt;40000,"Best Sales",Table43[[#This Row],[Sales]]&gt;20000,"Average Sales",Table43[[#This Row],[Sales]]&gt;0,"Poor Sales")</f>
        <v>Poor Sales</v>
      </c>
      <c r="L302" s="12">
        <f>YEAR(Table43[[#This Row],[Date]])</f>
        <v>2023</v>
      </c>
      <c r="M302" s="12">
        <f>MONTH(Table43[[#This Row],[Date]])</f>
        <v>10</v>
      </c>
      <c r="N302" s="13">
        <f>DAY(Table43[[#This Row],[Date]])</f>
        <v>6</v>
      </c>
      <c r="O302" s="13" t="str">
        <f>TEXT(DATE(2023,Table43[[#This Row],[Month]],1),"mmm")</f>
        <v>Oct</v>
      </c>
      <c r="P302" s="13"/>
      <c r="Q302" s="13"/>
    </row>
    <row r="303" spans="1:17" x14ac:dyDescent="0.3">
      <c r="A303" s="14">
        <v>302</v>
      </c>
      <c r="B303" s="15">
        <v>45020</v>
      </c>
      <c r="C303" s="16" t="s">
        <v>37</v>
      </c>
      <c r="D303" s="16" t="s">
        <v>23</v>
      </c>
      <c r="E303" s="16" t="s">
        <v>19</v>
      </c>
      <c r="F303" s="16" t="s">
        <v>31</v>
      </c>
      <c r="G303" s="16" t="s">
        <v>36</v>
      </c>
      <c r="H303" s="17">
        <v>36013.07</v>
      </c>
      <c r="I303" s="16">
        <v>7</v>
      </c>
      <c r="J303" s="18">
        <v>2887.26</v>
      </c>
      <c r="K303" s="17" t="str" cm="1">
        <f t="array" ref="K303">_xlfn.IFS(Table43[[#This Row],[Sales]]&gt;40000,"Best Sales",Table43[[#This Row],[Sales]]&gt;20000,"Average Sales",Table43[[#This Row],[Sales]]&gt;0,"Poor Sales")</f>
        <v>Average Sales</v>
      </c>
      <c r="L303" s="12">
        <f>YEAR(Table43[[#This Row],[Date]])</f>
        <v>2023</v>
      </c>
      <c r="M303" s="12">
        <f>MONTH(Table43[[#This Row],[Date]])</f>
        <v>4</v>
      </c>
      <c r="N303" s="13">
        <f>DAY(Table43[[#This Row],[Date]])</f>
        <v>4</v>
      </c>
      <c r="O303" s="13" t="str">
        <f>TEXT(DATE(2023,Table43[[#This Row],[Month]],1),"mmm")</f>
        <v>Apr</v>
      </c>
      <c r="P303" s="13"/>
      <c r="Q303" s="13"/>
    </row>
    <row r="304" spans="1:17" x14ac:dyDescent="0.3">
      <c r="A304" s="6">
        <v>303</v>
      </c>
      <c r="B304" s="7">
        <v>44950</v>
      </c>
      <c r="C304" s="8" t="s">
        <v>29</v>
      </c>
      <c r="D304" s="8" t="s">
        <v>29</v>
      </c>
      <c r="E304" s="8" t="s">
        <v>24</v>
      </c>
      <c r="F304" s="8" t="s">
        <v>31</v>
      </c>
      <c r="G304" s="8" t="s">
        <v>35</v>
      </c>
      <c r="H304" s="9">
        <v>8545.89</v>
      </c>
      <c r="I304" s="8">
        <v>8</v>
      </c>
      <c r="J304" s="10">
        <v>998.97</v>
      </c>
      <c r="K304" s="17" t="str" cm="1">
        <f t="array" ref="K304">_xlfn.IFS(Table43[[#This Row],[Sales]]&gt;40000,"Best Sales",Table43[[#This Row],[Sales]]&gt;20000,"Average Sales",Table43[[#This Row],[Sales]]&gt;0,"Poor Sales")</f>
        <v>Poor Sales</v>
      </c>
      <c r="L304" s="12">
        <f>YEAR(Table43[[#This Row],[Date]])</f>
        <v>2023</v>
      </c>
      <c r="M304" s="12">
        <f>MONTH(Table43[[#This Row],[Date]])</f>
        <v>1</v>
      </c>
      <c r="N304" s="13">
        <f>DAY(Table43[[#This Row],[Date]])</f>
        <v>24</v>
      </c>
      <c r="O304" s="13" t="str">
        <f>TEXT(DATE(2023,Table43[[#This Row],[Month]],1),"mmm")</f>
        <v>Jan</v>
      </c>
      <c r="P304" s="13"/>
      <c r="Q304" s="13"/>
    </row>
    <row r="305" spans="1:17" x14ac:dyDescent="0.3">
      <c r="A305" s="14">
        <v>304</v>
      </c>
      <c r="B305" s="15">
        <v>44976</v>
      </c>
      <c r="C305" s="16" t="s">
        <v>29</v>
      </c>
      <c r="D305" s="16" t="s">
        <v>29</v>
      </c>
      <c r="E305" s="16" t="s">
        <v>19</v>
      </c>
      <c r="F305" s="16" t="s">
        <v>31</v>
      </c>
      <c r="G305" s="16" t="s">
        <v>36</v>
      </c>
      <c r="H305" s="17">
        <v>46736.67</v>
      </c>
      <c r="I305" s="16">
        <v>5</v>
      </c>
      <c r="J305" s="18">
        <v>4010.98</v>
      </c>
      <c r="K305" s="17" t="str" cm="1">
        <f t="array" ref="K305">_xlfn.IFS(Table43[[#This Row],[Sales]]&gt;40000,"Best Sales",Table43[[#This Row],[Sales]]&gt;20000,"Average Sales",Table43[[#This Row],[Sales]]&gt;0,"Poor Sales")</f>
        <v>Best Sales</v>
      </c>
      <c r="L305" s="12">
        <f>YEAR(Table43[[#This Row],[Date]])</f>
        <v>2023</v>
      </c>
      <c r="M305" s="12">
        <f>MONTH(Table43[[#This Row],[Date]])</f>
        <v>2</v>
      </c>
      <c r="N305" s="13">
        <f>DAY(Table43[[#This Row],[Date]])</f>
        <v>19</v>
      </c>
      <c r="O305" s="13" t="str">
        <f>TEXT(DATE(2023,Table43[[#This Row],[Month]],1),"mmm")</f>
        <v>Feb</v>
      </c>
      <c r="P305" s="13"/>
      <c r="Q305" s="13"/>
    </row>
    <row r="306" spans="1:17" x14ac:dyDescent="0.3">
      <c r="A306" s="6">
        <v>305</v>
      </c>
      <c r="B306" s="7">
        <v>45221</v>
      </c>
      <c r="C306" s="8" t="s">
        <v>45</v>
      </c>
      <c r="D306" s="8" t="s">
        <v>34</v>
      </c>
      <c r="E306" s="8" t="s">
        <v>24</v>
      </c>
      <c r="F306" s="8" t="s">
        <v>38</v>
      </c>
      <c r="G306" s="8" t="s">
        <v>46</v>
      </c>
      <c r="H306" s="9">
        <v>42026.12</v>
      </c>
      <c r="I306" s="8">
        <v>5</v>
      </c>
      <c r="J306" s="10">
        <v>7474.37</v>
      </c>
      <c r="K306" s="17" t="str" cm="1">
        <f t="array" ref="K306">_xlfn.IFS(Table43[[#This Row],[Sales]]&gt;40000,"Best Sales",Table43[[#This Row],[Sales]]&gt;20000,"Average Sales",Table43[[#This Row],[Sales]]&gt;0,"Poor Sales")</f>
        <v>Best Sales</v>
      </c>
      <c r="L306" s="12">
        <f>YEAR(Table43[[#This Row],[Date]])</f>
        <v>2023</v>
      </c>
      <c r="M306" s="12">
        <f>MONTH(Table43[[#This Row],[Date]])</f>
        <v>10</v>
      </c>
      <c r="N306" s="13">
        <f>DAY(Table43[[#This Row],[Date]])</f>
        <v>22</v>
      </c>
      <c r="O306" s="13" t="str">
        <f>TEXT(DATE(2023,Table43[[#This Row],[Month]],1),"mmm")</f>
        <v>Oct</v>
      </c>
      <c r="P306" s="13"/>
      <c r="Q306" s="13"/>
    </row>
    <row r="307" spans="1:17" x14ac:dyDescent="0.3">
      <c r="A307" s="14">
        <v>306</v>
      </c>
      <c r="B307" s="15">
        <v>45115</v>
      </c>
      <c r="C307" s="16" t="s">
        <v>33</v>
      </c>
      <c r="D307" s="16" t="s">
        <v>34</v>
      </c>
      <c r="E307" s="16" t="s">
        <v>27</v>
      </c>
      <c r="F307" s="16" t="s">
        <v>38</v>
      </c>
      <c r="G307" s="16" t="s">
        <v>39</v>
      </c>
      <c r="H307" s="17">
        <v>31540.15</v>
      </c>
      <c r="I307" s="16">
        <v>8</v>
      </c>
      <c r="J307" s="18">
        <v>4128.9799999999996</v>
      </c>
      <c r="K307" s="17" t="str" cm="1">
        <f t="array" ref="K307">_xlfn.IFS(Table43[[#This Row],[Sales]]&gt;40000,"Best Sales",Table43[[#This Row],[Sales]]&gt;20000,"Average Sales",Table43[[#This Row],[Sales]]&gt;0,"Poor Sales")</f>
        <v>Average Sales</v>
      </c>
      <c r="L307" s="12">
        <f>YEAR(Table43[[#This Row],[Date]])</f>
        <v>2023</v>
      </c>
      <c r="M307" s="12">
        <f>MONTH(Table43[[#This Row],[Date]])</f>
        <v>7</v>
      </c>
      <c r="N307" s="13">
        <f>DAY(Table43[[#This Row],[Date]])</f>
        <v>8</v>
      </c>
      <c r="O307" s="13" t="str">
        <f>TEXT(DATE(2023,Table43[[#This Row],[Month]],1),"mmm")</f>
        <v>Jul</v>
      </c>
      <c r="P307" s="13"/>
      <c r="Q307" s="13"/>
    </row>
    <row r="308" spans="1:17" x14ac:dyDescent="0.3">
      <c r="A308" s="6">
        <v>307</v>
      </c>
      <c r="B308" s="7">
        <v>45135</v>
      </c>
      <c r="C308" s="8" t="s">
        <v>25</v>
      </c>
      <c r="D308" s="8" t="s">
        <v>26</v>
      </c>
      <c r="E308" s="8" t="s">
        <v>27</v>
      </c>
      <c r="F308" s="8" t="s">
        <v>31</v>
      </c>
      <c r="G308" s="8" t="s">
        <v>32</v>
      </c>
      <c r="H308" s="9">
        <v>29281.72</v>
      </c>
      <c r="I308" s="8">
        <v>10</v>
      </c>
      <c r="J308" s="10">
        <v>2759</v>
      </c>
      <c r="K308" s="17" t="str" cm="1">
        <f t="array" ref="K308">_xlfn.IFS(Table43[[#This Row],[Sales]]&gt;40000,"Best Sales",Table43[[#This Row],[Sales]]&gt;20000,"Average Sales",Table43[[#This Row],[Sales]]&gt;0,"Poor Sales")</f>
        <v>Average Sales</v>
      </c>
      <c r="L308" s="12">
        <f>YEAR(Table43[[#This Row],[Date]])</f>
        <v>2023</v>
      </c>
      <c r="M308" s="12">
        <f>MONTH(Table43[[#This Row],[Date]])</f>
        <v>7</v>
      </c>
      <c r="N308" s="13">
        <f>DAY(Table43[[#This Row],[Date]])</f>
        <v>28</v>
      </c>
      <c r="O308" s="13" t="str">
        <f>TEXT(DATE(2023,Table43[[#This Row],[Month]],1),"mmm")</f>
        <v>Jul</v>
      </c>
      <c r="P308" s="13"/>
      <c r="Q308" s="13"/>
    </row>
    <row r="309" spans="1:17" x14ac:dyDescent="0.3">
      <c r="A309" s="14">
        <v>308</v>
      </c>
      <c r="B309" s="15">
        <v>44974</v>
      </c>
      <c r="C309" s="16" t="s">
        <v>45</v>
      </c>
      <c r="D309" s="16" t="s">
        <v>34</v>
      </c>
      <c r="E309" s="16" t="s">
        <v>19</v>
      </c>
      <c r="F309" s="16" t="s">
        <v>38</v>
      </c>
      <c r="G309" s="16" t="s">
        <v>40</v>
      </c>
      <c r="H309" s="17">
        <v>23981.49</v>
      </c>
      <c r="I309" s="16">
        <v>2</v>
      </c>
      <c r="J309" s="18">
        <v>5193.12</v>
      </c>
      <c r="K309" s="17" t="str" cm="1">
        <f t="array" ref="K309">_xlfn.IFS(Table43[[#This Row],[Sales]]&gt;40000,"Best Sales",Table43[[#This Row],[Sales]]&gt;20000,"Average Sales",Table43[[#This Row],[Sales]]&gt;0,"Poor Sales")</f>
        <v>Average Sales</v>
      </c>
      <c r="L309" s="12">
        <f>YEAR(Table43[[#This Row],[Date]])</f>
        <v>2023</v>
      </c>
      <c r="M309" s="12">
        <f>MONTH(Table43[[#This Row],[Date]])</f>
        <v>2</v>
      </c>
      <c r="N309" s="13">
        <f>DAY(Table43[[#This Row],[Date]])</f>
        <v>17</v>
      </c>
      <c r="O309" s="13" t="str">
        <f>TEXT(DATE(2023,Table43[[#This Row],[Month]],1),"mmm")</f>
        <v>Feb</v>
      </c>
      <c r="P309" s="13"/>
      <c r="Q309" s="13"/>
    </row>
    <row r="310" spans="1:17" x14ac:dyDescent="0.3">
      <c r="A310" s="6">
        <v>309</v>
      </c>
      <c r="B310" s="7">
        <v>45086</v>
      </c>
      <c r="C310" s="8" t="s">
        <v>44</v>
      </c>
      <c r="D310" s="8" t="s">
        <v>34</v>
      </c>
      <c r="E310" s="8" t="s">
        <v>24</v>
      </c>
      <c r="F310" s="8" t="s">
        <v>31</v>
      </c>
      <c r="G310" s="8" t="s">
        <v>32</v>
      </c>
      <c r="H310" s="9">
        <v>11039.74</v>
      </c>
      <c r="I310" s="8">
        <v>6</v>
      </c>
      <c r="J310" s="10">
        <v>642.16999999999996</v>
      </c>
      <c r="K310" s="17" t="str" cm="1">
        <f t="array" ref="K310">_xlfn.IFS(Table43[[#This Row],[Sales]]&gt;40000,"Best Sales",Table43[[#This Row],[Sales]]&gt;20000,"Average Sales",Table43[[#This Row],[Sales]]&gt;0,"Poor Sales")</f>
        <v>Poor Sales</v>
      </c>
      <c r="L310" s="12">
        <f>YEAR(Table43[[#This Row],[Date]])</f>
        <v>2023</v>
      </c>
      <c r="M310" s="12">
        <f>MONTH(Table43[[#This Row],[Date]])</f>
        <v>6</v>
      </c>
      <c r="N310" s="13">
        <f>DAY(Table43[[#This Row],[Date]])</f>
        <v>9</v>
      </c>
      <c r="O310" s="13" t="str">
        <f>TEXT(DATE(2023,Table43[[#This Row],[Month]],1),"mmm")</f>
        <v>Jun</v>
      </c>
      <c r="P310" s="13"/>
      <c r="Q310" s="13"/>
    </row>
    <row r="311" spans="1:17" x14ac:dyDescent="0.3">
      <c r="A311" s="14">
        <v>310</v>
      </c>
      <c r="B311" s="15">
        <v>44967</v>
      </c>
      <c r="C311" s="16" t="s">
        <v>42</v>
      </c>
      <c r="D311" s="16" t="s">
        <v>43</v>
      </c>
      <c r="E311" s="16" t="s">
        <v>19</v>
      </c>
      <c r="F311" s="16" t="s">
        <v>20</v>
      </c>
      <c r="G311" s="16" t="s">
        <v>28</v>
      </c>
      <c r="H311" s="17">
        <v>24072.58</v>
      </c>
      <c r="I311" s="16">
        <v>2</v>
      </c>
      <c r="J311" s="18">
        <v>4237.45</v>
      </c>
      <c r="K311" s="17" t="str" cm="1">
        <f t="array" ref="K311">_xlfn.IFS(Table43[[#This Row],[Sales]]&gt;40000,"Best Sales",Table43[[#This Row],[Sales]]&gt;20000,"Average Sales",Table43[[#This Row],[Sales]]&gt;0,"Poor Sales")</f>
        <v>Average Sales</v>
      </c>
      <c r="L311" s="12">
        <f>YEAR(Table43[[#This Row],[Date]])</f>
        <v>2023</v>
      </c>
      <c r="M311" s="12">
        <f>MONTH(Table43[[#This Row],[Date]])</f>
        <v>2</v>
      </c>
      <c r="N311" s="13">
        <f>DAY(Table43[[#This Row],[Date]])</f>
        <v>10</v>
      </c>
      <c r="O311" s="13" t="str">
        <f>TEXT(DATE(2023,Table43[[#This Row],[Month]],1),"mmm")</f>
        <v>Feb</v>
      </c>
      <c r="P311" s="13"/>
      <c r="Q311" s="13"/>
    </row>
    <row r="312" spans="1:17" x14ac:dyDescent="0.3">
      <c r="A312" s="6">
        <v>311</v>
      </c>
      <c r="B312" s="7">
        <v>44969</v>
      </c>
      <c r="C312" s="8" t="s">
        <v>22</v>
      </c>
      <c r="D312" s="8" t="s">
        <v>23</v>
      </c>
      <c r="E312" s="8" t="s">
        <v>24</v>
      </c>
      <c r="F312" s="8" t="s">
        <v>38</v>
      </c>
      <c r="G312" s="8" t="s">
        <v>46</v>
      </c>
      <c r="H312" s="9">
        <v>48043.43</v>
      </c>
      <c r="I312" s="8">
        <v>6</v>
      </c>
      <c r="J312" s="10">
        <v>6191.26</v>
      </c>
      <c r="K312" s="17" t="str" cm="1">
        <f t="array" ref="K312">_xlfn.IFS(Table43[[#This Row],[Sales]]&gt;40000,"Best Sales",Table43[[#This Row],[Sales]]&gt;20000,"Average Sales",Table43[[#This Row],[Sales]]&gt;0,"Poor Sales")</f>
        <v>Best Sales</v>
      </c>
      <c r="L312" s="12">
        <f>YEAR(Table43[[#This Row],[Date]])</f>
        <v>2023</v>
      </c>
      <c r="M312" s="12">
        <f>MONTH(Table43[[#This Row],[Date]])</f>
        <v>2</v>
      </c>
      <c r="N312" s="13">
        <f>DAY(Table43[[#This Row],[Date]])</f>
        <v>12</v>
      </c>
      <c r="O312" s="13" t="str">
        <f>TEXT(DATE(2023,Table43[[#This Row],[Month]],1),"mmm")</f>
        <v>Feb</v>
      </c>
      <c r="P312" s="13"/>
      <c r="Q312" s="13"/>
    </row>
    <row r="313" spans="1:17" x14ac:dyDescent="0.3">
      <c r="A313" s="14">
        <v>312</v>
      </c>
      <c r="B313" s="15">
        <v>44999</v>
      </c>
      <c r="C313" s="16" t="s">
        <v>45</v>
      </c>
      <c r="D313" s="16" t="s">
        <v>34</v>
      </c>
      <c r="E313" s="16" t="s">
        <v>27</v>
      </c>
      <c r="F313" s="16" t="s">
        <v>31</v>
      </c>
      <c r="G313" s="16" t="s">
        <v>32</v>
      </c>
      <c r="H313" s="17">
        <v>45172.53</v>
      </c>
      <c r="I313" s="16">
        <v>6</v>
      </c>
      <c r="J313" s="18">
        <v>3057.46</v>
      </c>
      <c r="K313" s="17" t="str" cm="1">
        <f t="array" ref="K313">_xlfn.IFS(Table43[[#This Row],[Sales]]&gt;40000,"Best Sales",Table43[[#This Row],[Sales]]&gt;20000,"Average Sales",Table43[[#This Row],[Sales]]&gt;0,"Poor Sales")</f>
        <v>Best Sales</v>
      </c>
      <c r="L313" s="12">
        <f>YEAR(Table43[[#This Row],[Date]])</f>
        <v>2023</v>
      </c>
      <c r="M313" s="12">
        <f>MONTH(Table43[[#This Row],[Date]])</f>
        <v>3</v>
      </c>
      <c r="N313" s="13">
        <f>DAY(Table43[[#This Row],[Date]])</f>
        <v>14</v>
      </c>
      <c r="O313" s="13" t="str">
        <f>TEXT(DATE(2023,Table43[[#This Row],[Month]],1),"mmm")</f>
        <v>Mar</v>
      </c>
      <c r="P313" s="13"/>
      <c r="Q313" s="13"/>
    </row>
    <row r="314" spans="1:17" x14ac:dyDescent="0.3">
      <c r="A314" s="6">
        <v>313</v>
      </c>
      <c r="B314" s="7">
        <v>45150</v>
      </c>
      <c r="C314" s="8" t="s">
        <v>33</v>
      </c>
      <c r="D314" s="8" t="s">
        <v>34</v>
      </c>
      <c r="E314" s="8" t="s">
        <v>27</v>
      </c>
      <c r="F314" s="8" t="s">
        <v>38</v>
      </c>
      <c r="G314" s="8" t="s">
        <v>40</v>
      </c>
      <c r="H314" s="9">
        <v>36425.279999999999</v>
      </c>
      <c r="I314" s="8">
        <v>2</v>
      </c>
      <c r="J314" s="10">
        <v>2652.3</v>
      </c>
      <c r="K314" s="17" t="str" cm="1">
        <f t="array" ref="K314">_xlfn.IFS(Table43[[#This Row],[Sales]]&gt;40000,"Best Sales",Table43[[#This Row],[Sales]]&gt;20000,"Average Sales",Table43[[#This Row],[Sales]]&gt;0,"Poor Sales")</f>
        <v>Average Sales</v>
      </c>
      <c r="L314" s="12">
        <f>YEAR(Table43[[#This Row],[Date]])</f>
        <v>2023</v>
      </c>
      <c r="M314" s="12">
        <f>MONTH(Table43[[#This Row],[Date]])</f>
        <v>8</v>
      </c>
      <c r="N314" s="13">
        <f>DAY(Table43[[#This Row],[Date]])</f>
        <v>12</v>
      </c>
      <c r="O314" s="13" t="str">
        <f>TEXT(DATE(2023,Table43[[#This Row],[Month]],1),"mmm")</f>
        <v>Aug</v>
      </c>
      <c r="P314" s="13"/>
      <c r="Q314" s="13"/>
    </row>
    <row r="315" spans="1:17" x14ac:dyDescent="0.3">
      <c r="A315" s="14">
        <v>314</v>
      </c>
      <c r="B315" s="15">
        <v>45204</v>
      </c>
      <c r="C315" s="16" t="s">
        <v>45</v>
      </c>
      <c r="D315" s="16" t="s">
        <v>34</v>
      </c>
      <c r="E315" s="16" t="s">
        <v>19</v>
      </c>
      <c r="F315" s="16" t="s">
        <v>31</v>
      </c>
      <c r="G315" s="16" t="s">
        <v>36</v>
      </c>
      <c r="H315" s="17">
        <v>34225.440000000002</v>
      </c>
      <c r="I315" s="16">
        <v>5</v>
      </c>
      <c r="J315" s="18">
        <v>7171.55</v>
      </c>
      <c r="K315" s="17" t="str" cm="1">
        <f t="array" ref="K315">_xlfn.IFS(Table43[[#This Row],[Sales]]&gt;40000,"Best Sales",Table43[[#This Row],[Sales]]&gt;20000,"Average Sales",Table43[[#This Row],[Sales]]&gt;0,"Poor Sales")</f>
        <v>Average Sales</v>
      </c>
      <c r="L315" s="12">
        <f>YEAR(Table43[[#This Row],[Date]])</f>
        <v>2023</v>
      </c>
      <c r="M315" s="12">
        <f>MONTH(Table43[[#This Row],[Date]])</f>
        <v>10</v>
      </c>
      <c r="N315" s="13">
        <f>DAY(Table43[[#This Row],[Date]])</f>
        <v>5</v>
      </c>
      <c r="O315" s="13" t="str">
        <f>TEXT(DATE(2023,Table43[[#This Row],[Month]],1),"mmm")</f>
        <v>Oct</v>
      </c>
      <c r="P315" s="13"/>
      <c r="Q315" s="13"/>
    </row>
    <row r="316" spans="1:17" x14ac:dyDescent="0.3">
      <c r="A316" s="6">
        <v>315</v>
      </c>
      <c r="B316" s="7">
        <v>45240</v>
      </c>
      <c r="C316" s="8" t="s">
        <v>44</v>
      </c>
      <c r="D316" s="8" t="s">
        <v>34</v>
      </c>
      <c r="E316" s="8" t="s">
        <v>24</v>
      </c>
      <c r="F316" s="8" t="s">
        <v>20</v>
      </c>
      <c r="G316" s="8" t="s">
        <v>21</v>
      </c>
      <c r="H316" s="9">
        <v>47580.01</v>
      </c>
      <c r="I316" s="8">
        <v>1</v>
      </c>
      <c r="J316" s="10">
        <v>13586.56</v>
      </c>
      <c r="K316" s="17" t="str" cm="1">
        <f t="array" ref="K316">_xlfn.IFS(Table43[[#This Row],[Sales]]&gt;40000,"Best Sales",Table43[[#This Row],[Sales]]&gt;20000,"Average Sales",Table43[[#This Row],[Sales]]&gt;0,"Poor Sales")</f>
        <v>Best Sales</v>
      </c>
      <c r="L316" s="12">
        <f>YEAR(Table43[[#This Row],[Date]])</f>
        <v>2023</v>
      </c>
      <c r="M316" s="12">
        <f>MONTH(Table43[[#This Row],[Date]])</f>
        <v>11</v>
      </c>
      <c r="N316" s="13">
        <f>DAY(Table43[[#This Row],[Date]])</f>
        <v>10</v>
      </c>
      <c r="O316" s="13" t="str">
        <f>TEXT(DATE(2023,Table43[[#This Row],[Month]],1),"mmm")</f>
        <v>Nov</v>
      </c>
      <c r="P316" s="13"/>
      <c r="Q316" s="13"/>
    </row>
    <row r="317" spans="1:17" x14ac:dyDescent="0.3">
      <c r="A317" s="14">
        <v>316</v>
      </c>
      <c r="B317" s="15">
        <v>44975</v>
      </c>
      <c r="C317" s="16" t="s">
        <v>45</v>
      </c>
      <c r="D317" s="16" t="s">
        <v>34</v>
      </c>
      <c r="E317" s="16" t="s">
        <v>19</v>
      </c>
      <c r="F317" s="16" t="s">
        <v>20</v>
      </c>
      <c r="G317" s="16" t="s">
        <v>21</v>
      </c>
      <c r="H317" s="17">
        <v>17212.37</v>
      </c>
      <c r="I317" s="16">
        <v>6</v>
      </c>
      <c r="J317" s="18">
        <v>4577.87</v>
      </c>
      <c r="K317" s="17" t="str" cm="1">
        <f t="array" ref="K317">_xlfn.IFS(Table43[[#This Row],[Sales]]&gt;40000,"Best Sales",Table43[[#This Row],[Sales]]&gt;20000,"Average Sales",Table43[[#This Row],[Sales]]&gt;0,"Poor Sales")</f>
        <v>Poor Sales</v>
      </c>
      <c r="L317" s="12">
        <f>YEAR(Table43[[#This Row],[Date]])</f>
        <v>2023</v>
      </c>
      <c r="M317" s="12">
        <f>MONTH(Table43[[#This Row],[Date]])</f>
        <v>2</v>
      </c>
      <c r="N317" s="13">
        <f>DAY(Table43[[#This Row],[Date]])</f>
        <v>18</v>
      </c>
      <c r="O317" s="13" t="str">
        <f>TEXT(DATE(2023,Table43[[#This Row],[Month]],1),"mmm")</f>
        <v>Feb</v>
      </c>
      <c r="P317" s="13"/>
      <c r="Q317" s="13"/>
    </row>
    <row r="318" spans="1:17" x14ac:dyDescent="0.3">
      <c r="A318" s="6">
        <v>317</v>
      </c>
      <c r="B318" s="7">
        <v>44949</v>
      </c>
      <c r="C318" s="8" t="s">
        <v>25</v>
      </c>
      <c r="D318" s="8" t="s">
        <v>26</v>
      </c>
      <c r="E318" s="8" t="s">
        <v>24</v>
      </c>
      <c r="F318" s="8" t="s">
        <v>20</v>
      </c>
      <c r="G318" s="8" t="s">
        <v>28</v>
      </c>
      <c r="H318" s="9">
        <v>48075.95</v>
      </c>
      <c r="I318" s="8">
        <v>7</v>
      </c>
      <c r="J318" s="10">
        <v>4672.51</v>
      </c>
      <c r="K318" s="17" t="str" cm="1">
        <f t="array" ref="K318">_xlfn.IFS(Table43[[#This Row],[Sales]]&gt;40000,"Best Sales",Table43[[#This Row],[Sales]]&gt;20000,"Average Sales",Table43[[#This Row],[Sales]]&gt;0,"Poor Sales")</f>
        <v>Best Sales</v>
      </c>
      <c r="L318" s="12">
        <f>YEAR(Table43[[#This Row],[Date]])</f>
        <v>2023</v>
      </c>
      <c r="M318" s="12">
        <f>MONTH(Table43[[#This Row],[Date]])</f>
        <v>1</v>
      </c>
      <c r="N318" s="13">
        <f>DAY(Table43[[#This Row],[Date]])</f>
        <v>23</v>
      </c>
      <c r="O318" s="13" t="str">
        <f>TEXT(DATE(2023,Table43[[#This Row],[Month]],1),"mmm")</f>
        <v>Jan</v>
      </c>
      <c r="P318" s="13"/>
      <c r="Q318" s="13"/>
    </row>
    <row r="319" spans="1:17" x14ac:dyDescent="0.3">
      <c r="A319" s="14">
        <v>318</v>
      </c>
      <c r="B319" s="15">
        <v>45003</v>
      </c>
      <c r="C319" s="16" t="s">
        <v>37</v>
      </c>
      <c r="D319" s="16" t="s">
        <v>23</v>
      </c>
      <c r="E319" s="16" t="s">
        <v>27</v>
      </c>
      <c r="F319" s="16" t="s">
        <v>31</v>
      </c>
      <c r="G319" s="16" t="s">
        <v>35</v>
      </c>
      <c r="H319" s="17">
        <v>9681.73</v>
      </c>
      <c r="I319" s="16">
        <v>10</v>
      </c>
      <c r="J319" s="18">
        <v>628.19000000000005</v>
      </c>
      <c r="K319" s="17" t="str" cm="1">
        <f t="array" ref="K319">_xlfn.IFS(Table43[[#This Row],[Sales]]&gt;40000,"Best Sales",Table43[[#This Row],[Sales]]&gt;20000,"Average Sales",Table43[[#This Row],[Sales]]&gt;0,"Poor Sales")</f>
        <v>Poor Sales</v>
      </c>
      <c r="L319" s="12">
        <f>YEAR(Table43[[#This Row],[Date]])</f>
        <v>2023</v>
      </c>
      <c r="M319" s="12">
        <f>MONTH(Table43[[#This Row],[Date]])</f>
        <v>3</v>
      </c>
      <c r="N319" s="13">
        <f>DAY(Table43[[#This Row],[Date]])</f>
        <v>18</v>
      </c>
      <c r="O319" s="13" t="str">
        <f>TEXT(DATE(2023,Table43[[#This Row],[Month]],1),"mmm")</f>
        <v>Mar</v>
      </c>
      <c r="P319" s="13"/>
      <c r="Q319" s="13"/>
    </row>
    <row r="320" spans="1:17" x14ac:dyDescent="0.3">
      <c r="A320" s="6">
        <v>319</v>
      </c>
      <c r="B320" s="7">
        <v>45245</v>
      </c>
      <c r="C320" s="8" t="s">
        <v>37</v>
      </c>
      <c r="D320" s="8" t="s">
        <v>23</v>
      </c>
      <c r="E320" s="8" t="s">
        <v>27</v>
      </c>
      <c r="F320" s="8" t="s">
        <v>38</v>
      </c>
      <c r="G320" s="8" t="s">
        <v>39</v>
      </c>
      <c r="H320" s="9">
        <v>31708.44</v>
      </c>
      <c r="I320" s="8">
        <v>4</v>
      </c>
      <c r="J320" s="10">
        <v>1986.92</v>
      </c>
      <c r="K320" s="17" t="str" cm="1">
        <f t="array" ref="K320">_xlfn.IFS(Table43[[#This Row],[Sales]]&gt;40000,"Best Sales",Table43[[#This Row],[Sales]]&gt;20000,"Average Sales",Table43[[#This Row],[Sales]]&gt;0,"Poor Sales")</f>
        <v>Average Sales</v>
      </c>
      <c r="L320" s="12">
        <f>YEAR(Table43[[#This Row],[Date]])</f>
        <v>2023</v>
      </c>
      <c r="M320" s="12">
        <f>MONTH(Table43[[#This Row],[Date]])</f>
        <v>11</v>
      </c>
      <c r="N320" s="13">
        <f>DAY(Table43[[#This Row],[Date]])</f>
        <v>15</v>
      </c>
      <c r="O320" s="13" t="str">
        <f>TEXT(DATE(2023,Table43[[#This Row],[Month]],1),"mmm")</f>
        <v>Nov</v>
      </c>
      <c r="P320" s="13"/>
      <c r="Q320" s="13"/>
    </row>
    <row r="321" spans="1:17" x14ac:dyDescent="0.3">
      <c r="A321" s="14">
        <v>320</v>
      </c>
      <c r="B321" s="15">
        <v>45008</v>
      </c>
      <c r="C321" s="16" t="s">
        <v>37</v>
      </c>
      <c r="D321" s="16" t="s">
        <v>23</v>
      </c>
      <c r="E321" s="16" t="s">
        <v>19</v>
      </c>
      <c r="F321" s="16" t="s">
        <v>31</v>
      </c>
      <c r="G321" s="16" t="s">
        <v>36</v>
      </c>
      <c r="H321" s="17">
        <v>23576.81</v>
      </c>
      <c r="I321" s="16">
        <v>5</v>
      </c>
      <c r="J321" s="18">
        <v>5469.68</v>
      </c>
      <c r="K321" s="17" t="str" cm="1">
        <f t="array" ref="K321">_xlfn.IFS(Table43[[#This Row],[Sales]]&gt;40000,"Best Sales",Table43[[#This Row],[Sales]]&gt;20000,"Average Sales",Table43[[#This Row],[Sales]]&gt;0,"Poor Sales")</f>
        <v>Average Sales</v>
      </c>
      <c r="L321" s="12">
        <f>YEAR(Table43[[#This Row],[Date]])</f>
        <v>2023</v>
      </c>
      <c r="M321" s="12">
        <f>MONTH(Table43[[#This Row],[Date]])</f>
        <v>3</v>
      </c>
      <c r="N321" s="13">
        <f>DAY(Table43[[#This Row],[Date]])</f>
        <v>23</v>
      </c>
      <c r="O321" s="13" t="str">
        <f>TEXT(DATE(2023,Table43[[#This Row],[Month]],1),"mmm")</f>
        <v>Mar</v>
      </c>
      <c r="P321" s="13"/>
      <c r="Q321" s="13"/>
    </row>
    <row r="322" spans="1:17" x14ac:dyDescent="0.3">
      <c r="A322" s="6">
        <v>321</v>
      </c>
      <c r="B322" s="7">
        <v>45048</v>
      </c>
      <c r="C322" s="8" t="s">
        <v>42</v>
      </c>
      <c r="D322" s="8" t="s">
        <v>43</v>
      </c>
      <c r="E322" s="8" t="s">
        <v>24</v>
      </c>
      <c r="F322" s="8" t="s">
        <v>38</v>
      </c>
      <c r="G322" s="8" t="s">
        <v>46</v>
      </c>
      <c r="H322" s="9">
        <v>46941.22</v>
      </c>
      <c r="I322" s="8">
        <v>3</v>
      </c>
      <c r="J322" s="10">
        <v>11351.59</v>
      </c>
      <c r="K322" s="17" t="str" cm="1">
        <f t="array" ref="K322">_xlfn.IFS(Table43[[#This Row],[Sales]]&gt;40000,"Best Sales",Table43[[#This Row],[Sales]]&gt;20000,"Average Sales",Table43[[#This Row],[Sales]]&gt;0,"Poor Sales")</f>
        <v>Best Sales</v>
      </c>
      <c r="L322" s="12">
        <f>YEAR(Table43[[#This Row],[Date]])</f>
        <v>2023</v>
      </c>
      <c r="M322" s="12">
        <f>MONTH(Table43[[#This Row],[Date]])</f>
        <v>5</v>
      </c>
      <c r="N322" s="13">
        <f>DAY(Table43[[#This Row],[Date]])</f>
        <v>2</v>
      </c>
      <c r="O322" s="13" t="str">
        <f>TEXT(DATE(2023,Table43[[#This Row],[Month]],1),"mmm")</f>
        <v>May</v>
      </c>
      <c r="P322" s="13"/>
      <c r="Q322" s="13"/>
    </row>
    <row r="323" spans="1:17" x14ac:dyDescent="0.3">
      <c r="A323" s="14">
        <v>322</v>
      </c>
      <c r="B323" s="15">
        <v>45021</v>
      </c>
      <c r="C323" s="16" t="s">
        <v>37</v>
      </c>
      <c r="D323" s="16" t="s">
        <v>23</v>
      </c>
      <c r="E323" s="16" t="s">
        <v>19</v>
      </c>
      <c r="F323" s="16" t="s">
        <v>38</v>
      </c>
      <c r="G323" s="16" t="s">
        <v>40</v>
      </c>
      <c r="H323" s="17">
        <v>30511.77</v>
      </c>
      <c r="I323" s="16">
        <v>4</v>
      </c>
      <c r="J323" s="18">
        <v>2577.4699999999998</v>
      </c>
      <c r="K323" s="17" t="str" cm="1">
        <f t="array" ref="K323">_xlfn.IFS(Table43[[#This Row],[Sales]]&gt;40000,"Best Sales",Table43[[#This Row],[Sales]]&gt;20000,"Average Sales",Table43[[#This Row],[Sales]]&gt;0,"Poor Sales")</f>
        <v>Average Sales</v>
      </c>
      <c r="L323" s="12">
        <f>YEAR(Table43[[#This Row],[Date]])</f>
        <v>2023</v>
      </c>
      <c r="M323" s="12">
        <f>MONTH(Table43[[#This Row],[Date]])</f>
        <v>4</v>
      </c>
      <c r="N323" s="13">
        <f>DAY(Table43[[#This Row],[Date]])</f>
        <v>5</v>
      </c>
      <c r="O323" s="13" t="str">
        <f>TEXT(DATE(2023,Table43[[#This Row],[Month]],1),"mmm")</f>
        <v>Apr</v>
      </c>
      <c r="P323" s="13"/>
      <c r="Q323" s="13"/>
    </row>
    <row r="324" spans="1:17" x14ac:dyDescent="0.3">
      <c r="A324" s="6">
        <v>323</v>
      </c>
      <c r="B324" s="7">
        <v>45225</v>
      </c>
      <c r="C324" s="8" t="s">
        <v>45</v>
      </c>
      <c r="D324" s="8" t="s">
        <v>34</v>
      </c>
      <c r="E324" s="8" t="s">
        <v>24</v>
      </c>
      <c r="F324" s="8" t="s">
        <v>20</v>
      </c>
      <c r="G324" s="8" t="s">
        <v>28</v>
      </c>
      <c r="H324" s="9">
        <v>1705.27</v>
      </c>
      <c r="I324" s="8">
        <v>2</v>
      </c>
      <c r="J324" s="10">
        <v>258.72000000000003</v>
      </c>
      <c r="K324" s="17" t="str" cm="1">
        <f t="array" ref="K324">_xlfn.IFS(Table43[[#This Row],[Sales]]&gt;40000,"Best Sales",Table43[[#This Row],[Sales]]&gt;20000,"Average Sales",Table43[[#This Row],[Sales]]&gt;0,"Poor Sales")</f>
        <v>Poor Sales</v>
      </c>
      <c r="L324" s="12">
        <f>YEAR(Table43[[#This Row],[Date]])</f>
        <v>2023</v>
      </c>
      <c r="M324" s="12">
        <f>MONTH(Table43[[#This Row],[Date]])</f>
        <v>10</v>
      </c>
      <c r="N324" s="13">
        <f>DAY(Table43[[#This Row],[Date]])</f>
        <v>26</v>
      </c>
      <c r="O324" s="13" t="str">
        <f>TEXT(DATE(2023,Table43[[#This Row],[Month]],1),"mmm")</f>
        <v>Oct</v>
      </c>
      <c r="P324" s="13"/>
      <c r="Q324" s="13"/>
    </row>
    <row r="325" spans="1:17" x14ac:dyDescent="0.3">
      <c r="A325" s="14">
        <v>324</v>
      </c>
      <c r="B325" s="15">
        <v>45196</v>
      </c>
      <c r="C325" s="16" t="s">
        <v>29</v>
      </c>
      <c r="D325" s="16" t="s">
        <v>29</v>
      </c>
      <c r="E325" s="16" t="s">
        <v>27</v>
      </c>
      <c r="F325" s="16" t="s">
        <v>20</v>
      </c>
      <c r="G325" s="16" t="s">
        <v>21</v>
      </c>
      <c r="H325" s="17">
        <v>40330.29</v>
      </c>
      <c r="I325" s="16">
        <v>9</v>
      </c>
      <c r="J325" s="18">
        <v>9484.9599999999991</v>
      </c>
      <c r="K325" s="17" t="str" cm="1">
        <f t="array" ref="K325">_xlfn.IFS(Table43[[#This Row],[Sales]]&gt;40000,"Best Sales",Table43[[#This Row],[Sales]]&gt;20000,"Average Sales",Table43[[#This Row],[Sales]]&gt;0,"Poor Sales")</f>
        <v>Best Sales</v>
      </c>
      <c r="L325" s="12">
        <f>YEAR(Table43[[#This Row],[Date]])</f>
        <v>2023</v>
      </c>
      <c r="M325" s="12">
        <f>MONTH(Table43[[#This Row],[Date]])</f>
        <v>9</v>
      </c>
      <c r="N325" s="13">
        <f>DAY(Table43[[#This Row],[Date]])</f>
        <v>27</v>
      </c>
      <c r="O325" s="13" t="str">
        <f>TEXT(DATE(2023,Table43[[#This Row],[Month]],1),"mmm")</f>
        <v>Sep</v>
      </c>
      <c r="P325" s="13"/>
      <c r="Q325" s="13"/>
    </row>
    <row r="326" spans="1:17" x14ac:dyDescent="0.3">
      <c r="A326" s="6">
        <v>325</v>
      </c>
      <c r="B326" s="7">
        <v>44947</v>
      </c>
      <c r="C326" s="8" t="s">
        <v>25</v>
      </c>
      <c r="D326" s="8" t="s">
        <v>26</v>
      </c>
      <c r="E326" s="8" t="s">
        <v>27</v>
      </c>
      <c r="F326" s="8" t="s">
        <v>31</v>
      </c>
      <c r="G326" s="8" t="s">
        <v>36</v>
      </c>
      <c r="H326" s="9">
        <v>22523.13</v>
      </c>
      <c r="I326" s="8">
        <v>3</v>
      </c>
      <c r="J326" s="10">
        <v>5559.51</v>
      </c>
      <c r="K326" s="17" t="str" cm="1">
        <f t="array" ref="K326">_xlfn.IFS(Table43[[#This Row],[Sales]]&gt;40000,"Best Sales",Table43[[#This Row],[Sales]]&gt;20000,"Average Sales",Table43[[#This Row],[Sales]]&gt;0,"Poor Sales")</f>
        <v>Average Sales</v>
      </c>
      <c r="L326" s="12">
        <f>YEAR(Table43[[#This Row],[Date]])</f>
        <v>2023</v>
      </c>
      <c r="M326" s="12">
        <f>MONTH(Table43[[#This Row],[Date]])</f>
        <v>1</v>
      </c>
      <c r="N326" s="13">
        <f>DAY(Table43[[#This Row],[Date]])</f>
        <v>21</v>
      </c>
      <c r="O326" s="13" t="str">
        <f>TEXT(DATE(2023,Table43[[#This Row],[Month]],1),"mmm")</f>
        <v>Jan</v>
      </c>
      <c r="P326" s="13"/>
      <c r="Q326" s="13"/>
    </row>
    <row r="327" spans="1:17" x14ac:dyDescent="0.3">
      <c r="A327" s="14">
        <v>326</v>
      </c>
      <c r="B327" s="15">
        <v>45181</v>
      </c>
      <c r="C327" s="16" t="s">
        <v>37</v>
      </c>
      <c r="D327" s="16" t="s">
        <v>23</v>
      </c>
      <c r="E327" s="16" t="s">
        <v>19</v>
      </c>
      <c r="F327" s="16" t="s">
        <v>38</v>
      </c>
      <c r="G327" s="16" t="s">
        <v>39</v>
      </c>
      <c r="H327" s="17">
        <v>9721.76</v>
      </c>
      <c r="I327" s="16">
        <v>1</v>
      </c>
      <c r="J327" s="18">
        <v>2426.7199999999998</v>
      </c>
      <c r="K327" s="17" t="str" cm="1">
        <f t="array" ref="K327">_xlfn.IFS(Table43[[#This Row],[Sales]]&gt;40000,"Best Sales",Table43[[#This Row],[Sales]]&gt;20000,"Average Sales",Table43[[#This Row],[Sales]]&gt;0,"Poor Sales")</f>
        <v>Poor Sales</v>
      </c>
      <c r="L327" s="12">
        <f>YEAR(Table43[[#This Row],[Date]])</f>
        <v>2023</v>
      </c>
      <c r="M327" s="12">
        <f>MONTH(Table43[[#This Row],[Date]])</f>
        <v>9</v>
      </c>
      <c r="N327" s="13">
        <f>DAY(Table43[[#This Row],[Date]])</f>
        <v>12</v>
      </c>
      <c r="O327" s="13" t="str">
        <f>TEXT(DATE(2023,Table43[[#This Row],[Month]],1),"mmm")</f>
        <v>Sep</v>
      </c>
      <c r="P327" s="13"/>
      <c r="Q327" s="13"/>
    </row>
    <row r="328" spans="1:17" x14ac:dyDescent="0.3">
      <c r="A328" s="6">
        <v>327</v>
      </c>
      <c r="B328" s="7">
        <v>45158</v>
      </c>
      <c r="C328" s="8" t="s">
        <v>44</v>
      </c>
      <c r="D328" s="8" t="s">
        <v>34</v>
      </c>
      <c r="E328" s="8" t="s">
        <v>24</v>
      </c>
      <c r="F328" s="8" t="s">
        <v>38</v>
      </c>
      <c r="G328" s="8" t="s">
        <v>46</v>
      </c>
      <c r="H328" s="9">
        <v>13433.44</v>
      </c>
      <c r="I328" s="8">
        <v>10</v>
      </c>
      <c r="J328" s="10">
        <v>3809.36</v>
      </c>
      <c r="K328" s="17" t="str" cm="1">
        <f t="array" ref="K328">_xlfn.IFS(Table43[[#This Row],[Sales]]&gt;40000,"Best Sales",Table43[[#This Row],[Sales]]&gt;20000,"Average Sales",Table43[[#This Row],[Sales]]&gt;0,"Poor Sales")</f>
        <v>Poor Sales</v>
      </c>
      <c r="L328" s="12">
        <f>YEAR(Table43[[#This Row],[Date]])</f>
        <v>2023</v>
      </c>
      <c r="M328" s="12">
        <f>MONTH(Table43[[#This Row],[Date]])</f>
        <v>8</v>
      </c>
      <c r="N328" s="13">
        <f>DAY(Table43[[#This Row],[Date]])</f>
        <v>20</v>
      </c>
      <c r="O328" s="13" t="str">
        <f>TEXT(DATE(2023,Table43[[#This Row],[Month]],1),"mmm")</f>
        <v>Aug</v>
      </c>
      <c r="P328" s="13"/>
      <c r="Q328" s="13"/>
    </row>
    <row r="329" spans="1:17" x14ac:dyDescent="0.3">
      <c r="A329" s="14">
        <v>328</v>
      </c>
      <c r="B329" s="15">
        <v>44960</v>
      </c>
      <c r="C329" s="16" t="s">
        <v>22</v>
      </c>
      <c r="D329" s="16" t="s">
        <v>23</v>
      </c>
      <c r="E329" s="16" t="s">
        <v>19</v>
      </c>
      <c r="F329" s="16" t="s">
        <v>31</v>
      </c>
      <c r="G329" s="16" t="s">
        <v>35</v>
      </c>
      <c r="H329" s="17">
        <v>42800.72</v>
      </c>
      <c r="I329" s="16">
        <v>2</v>
      </c>
      <c r="J329" s="18">
        <v>3432.12</v>
      </c>
      <c r="K329" s="17" t="str" cm="1">
        <f t="array" ref="K329">_xlfn.IFS(Table43[[#This Row],[Sales]]&gt;40000,"Best Sales",Table43[[#This Row],[Sales]]&gt;20000,"Average Sales",Table43[[#This Row],[Sales]]&gt;0,"Poor Sales")</f>
        <v>Best Sales</v>
      </c>
      <c r="L329" s="12">
        <f>YEAR(Table43[[#This Row],[Date]])</f>
        <v>2023</v>
      </c>
      <c r="M329" s="12">
        <f>MONTH(Table43[[#This Row],[Date]])</f>
        <v>2</v>
      </c>
      <c r="N329" s="13">
        <f>DAY(Table43[[#This Row],[Date]])</f>
        <v>3</v>
      </c>
      <c r="O329" s="13" t="str">
        <f>TEXT(DATE(2023,Table43[[#This Row],[Month]],1),"mmm")</f>
        <v>Feb</v>
      </c>
      <c r="P329" s="13"/>
      <c r="Q329" s="13"/>
    </row>
    <row r="330" spans="1:17" x14ac:dyDescent="0.3">
      <c r="A330" s="6">
        <v>329</v>
      </c>
      <c r="B330" s="7">
        <v>45245</v>
      </c>
      <c r="C330" s="8" t="s">
        <v>44</v>
      </c>
      <c r="D330" s="8" t="s">
        <v>34</v>
      </c>
      <c r="E330" s="8" t="s">
        <v>24</v>
      </c>
      <c r="F330" s="8" t="s">
        <v>31</v>
      </c>
      <c r="G330" s="8" t="s">
        <v>32</v>
      </c>
      <c r="H330" s="9">
        <v>11997.4</v>
      </c>
      <c r="I330" s="8">
        <v>9</v>
      </c>
      <c r="J330" s="10">
        <v>2230.12</v>
      </c>
      <c r="K330" s="17" t="str" cm="1">
        <f t="array" ref="K330">_xlfn.IFS(Table43[[#This Row],[Sales]]&gt;40000,"Best Sales",Table43[[#This Row],[Sales]]&gt;20000,"Average Sales",Table43[[#This Row],[Sales]]&gt;0,"Poor Sales")</f>
        <v>Poor Sales</v>
      </c>
      <c r="L330" s="12">
        <f>YEAR(Table43[[#This Row],[Date]])</f>
        <v>2023</v>
      </c>
      <c r="M330" s="12">
        <f>MONTH(Table43[[#This Row],[Date]])</f>
        <v>11</v>
      </c>
      <c r="N330" s="13">
        <f>DAY(Table43[[#This Row],[Date]])</f>
        <v>15</v>
      </c>
      <c r="O330" s="13" t="str">
        <f>TEXT(DATE(2023,Table43[[#This Row],[Month]],1),"mmm")</f>
        <v>Nov</v>
      </c>
      <c r="P330" s="13"/>
      <c r="Q330" s="13"/>
    </row>
    <row r="331" spans="1:17" x14ac:dyDescent="0.3">
      <c r="A331" s="14">
        <v>330</v>
      </c>
      <c r="B331" s="15">
        <v>45173</v>
      </c>
      <c r="C331" s="16" t="s">
        <v>22</v>
      </c>
      <c r="D331" s="16" t="s">
        <v>23</v>
      </c>
      <c r="E331" s="16" t="s">
        <v>27</v>
      </c>
      <c r="F331" s="16" t="s">
        <v>38</v>
      </c>
      <c r="G331" s="16" t="s">
        <v>40</v>
      </c>
      <c r="H331" s="17">
        <v>16524.43</v>
      </c>
      <c r="I331" s="16">
        <v>5</v>
      </c>
      <c r="J331" s="18">
        <v>3288.46</v>
      </c>
      <c r="K331" s="17" t="str" cm="1">
        <f t="array" ref="K331">_xlfn.IFS(Table43[[#This Row],[Sales]]&gt;40000,"Best Sales",Table43[[#This Row],[Sales]]&gt;20000,"Average Sales",Table43[[#This Row],[Sales]]&gt;0,"Poor Sales")</f>
        <v>Poor Sales</v>
      </c>
      <c r="L331" s="12">
        <f>YEAR(Table43[[#This Row],[Date]])</f>
        <v>2023</v>
      </c>
      <c r="M331" s="12">
        <f>MONTH(Table43[[#This Row],[Date]])</f>
        <v>9</v>
      </c>
      <c r="N331" s="13">
        <f>DAY(Table43[[#This Row],[Date]])</f>
        <v>4</v>
      </c>
      <c r="O331" s="13" t="str">
        <f>TEXT(DATE(2023,Table43[[#This Row],[Month]],1),"mmm")</f>
        <v>Sep</v>
      </c>
      <c r="P331" s="13"/>
      <c r="Q331" s="13"/>
    </row>
    <row r="332" spans="1:17" x14ac:dyDescent="0.3">
      <c r="A332" s="6">
        <v>331</v>
      </c>
      <c r="B332" s="7">
        <v>45270</v>
      </c>
      <c r="C332" s="8" t="s">
        <v>22</v>
      </c>
      <c r="D332" s="8" t="s">
        <v>23</v>
      </c>
      <c r="E332" s="8" t="s">
        <v>27</v>
      </c>
      <c r="F332" s="8" t="s">
        <v>38</v>
      </c>
      <c r="G332" s="8" t="s">
        <v>46</v>
      </c>
      <c r="H332" s="9">
        <v>10353.51</v>
      </c>
      <c r="I332" s="8">
        <v>9</v>
      </c>
      <c r="J332" s="10">
        <v>1656.01</v>
      </c>
      <c r="K332" s="17" t="str" cm="1">
        <f t="array" ref="K332">_xlfn.IFS(Table43[[#This Row],[Sales]]&gt;40000,"Best Sales",Table43[[#This Row],[Sales]]&gt;20000,"Average Sales",Table43[[#This Row],[Sales]]&gt;0,"Poor Sales")</f>
        <v>Poor Sales</v>
      </c>
      <c r="L332" s="12">
        <f>YEAR(Table43[[#This Row],[Date]])</f>
        <v>2023</v>
      </c>
      <c r="M332" s="12">
        <f>MONTH(Table43[[#This Row],[Date]])</f>
        <v>12</v>
      </c>
      <c r="N332" s="13">
        <f>DAY(Table43[[#This Row],[Date]])</f>
        <v>10</v>
      </c>
      <c r="O332" s="13" t="str">
        <f>TEXT(DATE(2023,Table43[[#This Row],[Month]],1),"mmm")</f>
        <v>Dec</v>
      </c>
      <c r="P332" s="13"/>
      <c r="Q332" s="13"/>
    </row>
    <row r="333" spans="1:17" x14ac:dyDescent="0.3">
      <c r="A333" s="14">
        <v>332</v>
      </c>
      <c r="B333" s="15">
        <v>45126</v>
      </c>
      <c r="C333" s="16" t="s">
        <v>17</v>
      </c>
      <c r="D333" s="16" t="s">
        <v>18</v>
      </c>
      <c r="E333" s="16" t="s">
        <v>19</v>
      </c>
      <c r="F333" s="16" t="s">
        <v>31</v>
      </c>
      <c r="G333" s="16" t="s">
        <v>36</v>
      </c>
      <c r="H333" s="17">
        <v>49849.49</v>
      </c>
      <c r="I333" s="16">
        <v>2</v>
      </c>
      <c r="J333" s="18">
        <v>14334.62</v>
      </c>
      <c r="K333" s="17" t="str" cm="1">
        <f t="array" ref="K333">_xlfn.IFS(Table43[[#This Row],[Sales]]&gt;40000,"Best Sales",Table43[[#This Row],[Sales]]&gt;20000,"Average Sales",Table43[[#This Row],[Sales]]&gt;0,"Poor Sales")</f>
        <v>Best Sales</v>
      </c>
      <c r="L333" s="12">
        <f>YEAR(Table43[[#This Row],[Date]])</f>
        <v>2023</v>
      </c>
      <c r="M333" s="12">
        <f>MONTH(Table43[[#This Row],[Date]])</f>
        <v>7</v>
      </c>
      <c r="N333" s="13">
        <f>DAY(Table43[[#This Row],[Date]])</f>
        <v>19</v>
      </c>
      <c r="O333" s="13" t="str">
        <f>TEXT(DATE(2023,Table43[[#This Row],[Month]],1),"mmm")</f>
        <v>Jul</v>
      </c>
      <c r="P333" s="13"/>
      <c r="Q333" s="13"/>
    </row>
    <row r="334" spans="1:17" x14ac:dyDescent="0.3">
      <c r="A334" s="6">
        <v>333</v>
      </c>
      <c r="B334" s="7">
        <v>45150</v>
      </c>
      <c r="C334" s="8" t="s">
        <v>33</v>
      </c>
      <c r="D334" s="8" t="s">
        <v>34</v>
      </c>
      <c r="E334" s="8" t="s">
        <v>24</v>
      </c>
      <c r="F334" s="8" t="s">
        <v>38</v>
      </c>
      <c r="G334" s="8" t="s">
        <v>40</v>
      </c>
      <c r="H334" s="9">
        <v>40482.129999999997</v>
      </c>
      <c r="I334" s="8">
        <v>4</v>
      </c>
      <c r="J334" s="10">
        <v>9904.9599999999991</v>
      </c>
      <c r="K334" s="17" t="str" cm="1">
        <f t="array" ref="K334">_xlfn.IFS(Table43[[#This Row],[Sales]]&gt;40000,"Best Sales",Table43[[#This Row],[Sales]]&gt;20000,"Average Sales",Table43[[#This Row],[Sales]]&gt;0,"Poor Sales")</f>
        <v>Best Sales</v>
      </c>
      <c r="L334" s="12">
        <f>YEAR(Table43[[#This Row],[Date]])</f>
        <v>2023</v>
      </c>
      <c r="M334" s="12">
        <f>MONTH(Table43[[#This Row],[Date]])</f>
        <v>8</v>
      </c>
      <c r="N334" s="13">
        <f>DAY(Table43[[#This Row],[Date]])</f>
        <v>12</v>
      </c>
      <c r="O334" s="13" t="str">
        <f>TEXT(DATE(2023,Table43[[#This Row],[Month]],1),"mmm")</f>
        <v>Aug</v>
      </c>
      <c r="P334" s="13"/>
      <c r="Q334" s="13"/>
    </row>
    <row r="335" spans="1:17" x14ac:dyDescent="0.3">
      <c r="A335" s="14">
        <v>334</v>
      </c>
      <c r="B335" s="15">
        <v>45062</v>
      </c>
      <c r="C335" s="16" t="s">
        <v>25</v>
      </c>
      <c r="D335" s="16" t="s">
        <v>26</v>
      </c>
      <c r="E335" s="16" t="s">
        <v>19</v>
      </c>
      <c r="F335" s="16" t="s">
        <v>31</v>
      </c>
      <c r="G335" s="16" t="s">
        <v>36</v>
      </c>
      <c r="H335" s="17">
        <v>24555.21</v>
      </c>
      <c r="I335" s="16">
        <v>7</v>
      </c>
      <c r="J335" s="18">
        <v>6048.99</v>
      </c>
      <c r="K335" s="17" t="str" cm="1">
        <f t="array" ref="K335">_xlfn.IFS(Table43[[#This Row],[Sales]]&gt;40000,"Best Sales",Table43[[#This Row],[Sales]]&gt;20000,"Average Sales",Table43[[#This Row],[Sales]]&gt;0,"Poor Sales")</f>
        <v>Average Sales</v>
      </c>
      <c r="L335" s="12">
        <f>YEAR(Table43[[#This Row],[Date]])</f>
        <v>2023</v>
      </c>
      <c r="M335" s="12">
        <f>MONTH(Table43[[#This Row],[Date]])</f>
        <v>5</v>
      </c>
      <c r="N335" s="13">
        <f>DAY(Table43[[#This Row],[Date]])</f>
        <v>16</v>
      </c>
      <c r="O335" s="13" t="str">
        <f>TEXT(DATE(2023,Table43[[#This Row],[Month]],1),"mmm")</f>
        <v>May</v>
      </c>
      <c r="P335" s="13"/>
      <c r="Q335" s="13"/>
    </row>
    <row r="336" spans="1:17" x14ac:dyDescent="0.3">
      <c r="A336" s="6">
        <v>335</v>
      </c>
      <c r="B336" s="7">
        <v>45124</v>
      </c>
      <c r="C336" s="8" t="s">
        <v>33</v>
      </c>
      <c r="D336" s="8" t="s">
        <v>34</v>
      </c>
      <c r="E336" s="8" t="s">
        <v>24</v>
      </c>
      <c r="F336" s="8" t="s">
        <v>38</v>
      </c>
      <c r="G336" s="8" t="s">
        <v>46</v>
      </c>
      <c r="H336" s="9">
        <v>12319.01</v>
      </c>
      <c r="I336" s="8">
        <v>8</v>
      </c>
      <c r="J336" s="10">
        <v>2389.34</v>
      </c>
      <c r="K336" s="17" t="str" cm="1">
        <f t="array" ref="K336">_xlfn.IFS(Table43[[#This Row],[Sales]]&gt;40000,"Best Sales",Table43[[#This Row],[Sales]]&gt;20000,"Average Sales",Table43[[#This Row],[Sales]]&gt;0,"Poor Sales")</f>
        <v>Poor Sales</v>
      </c>
      <c r="L336" s="12">
        <f>YEAR(Table43[[#This Row],[Date]])</f>
        <v>2023</v>
      </c>
      <c r="M336" s="12">
        <f>MONTH(Table43[[#This Row],[Date]])</f>
        <v>7</v>
      </c>
      <c r="N336" s="13">
        <f>DAY(Table43[[#This Row],[Date]])</f>
        <v>17</v>
      </c>
      <c r="O336" s="13" t="str">
        <f>TEXT(DATE(2023,Table43[[#This Row],[Month]],1),"mmm")</f>
        <v>Jul</v>
      </c>
      <c r="P336" s="13"/>
      <c r="Q336" s="13"/>
    </row>
    <row r="337" spans="1:17" x14ac:dyDescent="0.3">
      <c r="A337" s="14">
        <v>336</v>
      </c>
      <c r="B337" s="15">
        <v>44980</v>
      </c>
      <c r="C337" s="16" t="s">
        <v>33</v>
      </c>
      <c r="D337" s="16" t="s">
        <v>34</v>
      </c>
      <c r="E337" s="16" t="s">
        <v>27</v>
      </c>
      <c r="F337" s="16" t="s">
        <v>38</v>
      </c>
      <c r="G337" s="16" t="s">
        <v>40</v>
      </c>
      <c r="H337" s="17">
        <v>13647.29</v>
      </c>
      <c r="I337" s="16">
        <v>1</v>
      </c>
      <c r="J337" s="18">
        <v>1756.26</v>
      </c>
      <c r="K337" s="17" t="str" cm="1">
        <f t="array" ref="K337">_xlfn.IFS(Table43[[#This Row],[Sales]]&gt;40000,"Best Sales",Table43[[#This Row],[Sales]]&gt;20000,"Average Sales",Table43[[#This Row],[Sales]]&gt;0,"Poor Sales")</f>
        <v>Poor Sales</v>
      </c>
      <c r="L337" s="12">
        <f>YEAR(Table43[[#This Row],[Date]])</f>
        <v>2023</v>
      </c>
      <c r="M337" s="12">
        <f>MONTH(Table43[[#This Row],[Date]])</f>
        <v>2</v>
      </c>
      <c r="N337" s="13">
        <f>DAY(Table43[[#This Row],[Date]])</f>
        <v>23</v>
      </c>
      <c r="O337" s="13" t="str">
        <f>TEXT(DATE(2023,Table43[[#This Row],[Month]],1),"mmm")</f>
        <v>Feb</v>
      </c>
      <c r="P337" s="13"/>
      <c r="Q337" s="13"/>
    </row>
    <row r="338" spans="1:17" x14ac:dyDescent="0.3">
      <c r="A338" s="6">
        <v>337</v>
      </c>
      <c r="B338" s="7">
        <v>44931</v>
      </c>
      <c r="C338" s="8" t="s">
        <v>33</v>
      </c>
      <c r="D338" s="8" t="s">
        <v>34</v>
      </c>
      <c r="E338" s="8" t="s">
        <v>27</v>
      </c>
      <c r="F338" s="8" t="s">
        <v>31</v>
      </c>
      <c r="G338" s="8" t="s">
        <v>36</v>
      </c>
      <c r="H338" s="9">
        <v>47809.440000000002</v>
      </c>
      <c r="I338" s="8">
        <v>8</v>
      </c>
      <c r="J338" s="10">
        <v>3486.63</v>
      </c>
      <c r="K338" s="17" t="str" cm="1">
        <f t="array" ref="K338">_xlfn.IFS(Table43[[#This Row],[Sales]]&gt;40000,"Best Sales",Table43[[#This Row],[Sales]]&gt;20000,"Average Sales",Table43[[#This Row],[Sales]]&gt;0,"Poor Sales")</f>
        <v>Best Sales</v>
      </c>
      <c r="L338" s="12">
        <f>YEAR(Table43[[#This Row],[Date]])</f>
        <v>2023</v>
      </c>
      <c r="M338" s="12">
        <f>MONTH(Table43[[#This Row],[Date]])</f>
        <v>1</v>
      </c>
      <c r="N338" s="13">
        <f>DAY(Table43[[#This Row],[Date]])</f>
        <v>5</v>
      </c>
      <c r="O338" s="13" t="str">
        <f>TEXT(DATE(2023,Table43[[#This Row],[Month]],1),"mmm")</f>
        <v>Jan</v>
      </c>
      <c r="P338" s="13"/>
      <c r="Q338" s="13"/>
    </row>
    <row r="339" spans="1:17" x14ac:dyDescent="0.3">
      <c r="A339" s="14">
        <v>338</v>
      </c>
      <c r="B339" s="15">
        <v>45139</v>
      </c>
      <c r="C339" s="16" t="s">
        <v>29</v>
      </c>
      <c r="D339" s="16" t="s">
        <v>29</v>
      </c>
      <c r="E339" s="16" t="s">
        <v>19</v>
      </c>
      <c r="F339" s="16" t="s">
        <v>20</v>
      </c>
      <c r="G339" s="16" t="s">
        <v>28</v>
      </c>
      <c r="H339" s="17">
        <v>13063.77</v>
      </c>
      <c r="I339" s="16">
        <v>7</v>
      </c>
      <c r="J339" s="18">
        <v>919.67</v>
      </c>
      <c r="K339" s="17" t="str" cm="1">
        <f t="array" ref="K339">_xlfn.IFS(Table43[[#This Row],[Sales]]&gt;40000,"Best Sales",Table43[[#This Row],[Sales]]&gt;20000,"Average Sales",Table43[[#This Row],[Sales]]&gt;0,"Poor Sales")</f>
        <v>Poor Sales</v>
      </c>
      <c r="L339" s="12">
        <f>YEAR(Table43[[#This Row],[Date]])</f>
        <v>2023</v>
      </c>
      <c r="M339" s="12">
        <f>MONTH(Table43[[#This Row],[Date]])</f>
        <v>8</v>
      </c>
      <c r="N339" s="13">
        <f>DAY(Table43[[#This Row],[Date]])</f>
        <v>1</v>
      </c>
      <c r="O339" s="13" t="str">
        <f>TEXT(DATE(2023,Table43[[#This Row],[Month]],1),"mmm")</f>
        <v>Aug</v>
      </c>
      <c r="P339" s="13"/>
      <c r="Q339" s="13"/>
    </row>
    <row r="340" spans="1:17" x14ac:dyDescent="0.3">
      <c r="A340" s="6">
        <v>339</v>
      </c>
      <c r="B340" s="7">
        <v>45269</v>
      </c>
      <c r="C340" s="8" t="s">
        <v>44</v>
      </c>
      <c r="D340" s="8" t="s">
        <v>34</v>
      </c>
      <c r="E340" s="8" t="s">
        <v>24</v>
      </c>
      <c r="F340" s="8" t="s">
        <v>20</v>
      </c>
      <c r="G340" s="8" t="s">
        <v>41</v>
      </c>
      <c r="H340" s="9">
        <v>19511.96</v>
      </c>
      <c r="I340" s="8">
        <v>9</v>
      </c>
      <c r="J340" s="10">
        <v>3592.28</v>
      </c>
      <c r="K340" s="17" t="str" cm="1">
        <f t="array" ref="K340">_xlfn.IFS(Table43[[#This Row],[Sales]]&gt;40000,"Best Sales",Table43[[#This Row],[Sales]]&gt;20000,"Average Sales",Table43[[#This Row],[Sales]]&gt;0,"Poor Sales")</f>
        <v>Poor Sales</v>
      </c>
      <c r="L340" s="12">
        <f>YEAR(Table43[[#This Row],[Date]])</f>
        <v>2023</v>
      </c>
      <c r="M340" s="12">
        <f>MONTH(Table43[[#This Row],[Date]])</f>
        <v>12</v>
      </c>
      <c r="N340" s="13">
        <f>DAY(Table43[[#This Row],[Date]])</f>
        <v>9</v>
      </c>
      <c r="O340" s="13" t="str">
        <f>TEXT(DATE(2023,Table43[[#This Row],[Month]],1),"mmm")</f>
        <v>Dec</v>
      </c>
      <c r="P340" s="13"/>
      <c r="Q340" s="13"/>
    </row>
    <row r="341" spans="1:17" x14ac:dyDescent="0.3">
      <c r="A341" s="14">
        <v>340</v>
      </c>
      <c r="B341" s="15">
        <v>45197</v>
      </c>
      <c r="C341" s="16" t="s">
        <v>33</v>
      </c>
      <c r="D341" s="16" t="s">
        <v>34</v>
      </c>
      <c r="E341" s="16" t="s">
        <v>19</v>
      </c>
      <c r="F341" s="16" t="s">
        <v>20</v>
      </c>
      <c r="G341" s="16" t="s">
        <v>41</v>
      </c>
      <c r="H341" s="17">
        <v>3861.56</v>
      </c>
      <c r="I341" s="16">
        <v>3</v>
      </c>
      <c r="J341" s="18">
        <v>788.54</v>
      </c>
      <c r="K341" s="17" t="str" cm="1">
        <f t="array" ref="K341">_xlfn.IFS(Table43[[#This Row],[Sales]]&gt;40000,"Best Sales",Table43[[#This Row],[Sales]]&gt;20000,"Average Sales",Table43[[#This Row],[Sales]]&gt;0,"Poor Sales")</f>
        <v>Poor Sales</v>
      </c>
      <c r="L341" s="12">
        <f>YEAR(Table43[[#This Row],[Date]])</f>
        <v>2023</v>
      </c>
      <c r="M341" s="12">
        <f>MONTH(Table43[[#This Row],[Date]])</f>
        <v>9</v>
      </c>
      <c r="N341" s="13">
        <f>DAY(Table43[[#This Row],[Date]])</f>
        <v>28</v>
      </c>
      <c r="O341" s="13" t="str">
        <f>TEXT(DATE(2023,Table43[[#This Row],[Month]],1),"mmm")</f>
        <v>Sep</v>
      </c>
      <c r="P341" s="13"/>
      <c r="Q341" s="13"/>
    </row>
    <row r="342" spans="1:17" x14ac:dyDescent="0.3">
      <c r="A342" s="6">
        <v>341</v>
      </c>
      <c r="B342" s="7">
        <v>45107</v>
      </c>
      <c r="C342" s="8" t="s">
        <v>22</v>
      </c>
      <c r="D342" s="8" t="s">
        <v>23</v>
      </c>
      <c r="E342" s="8" t="s">
        <v>24</v>
      </c>
      <c r="F342" s="8" t="s">
        <v>38</v>
      </c>
      <c r="G342" s="8" t="s">
        <v>46</v>
      </c>
      <c r="H342" s="9">
        <v>5630.69</v>
      </c>
      <c r="I342" s="8">
        <v>7</v>
      </c>
      <c r="J342" s="10">
        <v>337.23</v>
      </c>
      <c r="K342" s="17" t="str" cm="1">
        <f t="array" ref="K342">_xlfn.IFS(Table43[[#This Row],[Sales]]&gt;40000,"Best Sales",Table43[[#This Row],[Sales]]&gt;20000,"Average Sales",Table43[[#This Row],[Sales]]&gt;0,"Poor Sales")</f>
        <v>Poor Sales</v>
      </c>
      <c r="L342" s="12">
        <f>YEAR(Table43[[#This Row],[Date]])</f>
        <v>2023</v>
      </c>
      <c r="M342" s="12">
        <f>MONTH(Table43[[#This Row],[Date]])</f>
        <v>6</v>
      </c>
      <c r="N342" s="13">
        <f>DAY(Table43[[#This Row],[Date]])</f>
        <v>30</v>
      </c>
      <c r="O342" s="13" t="str">
        <f>TEXT(DATE(2023,Table43[[#This Row],[Month]],1),"mmm")</f>
        <v>Jun</v>
      </c>
      <c r="P342" s="13"/>
      <c r="Q342" s="13"/>
    </row>
    <row r="343" spans="1:17" x14ac:dyDescent="0.3">
      <c r="A343" s="14">
        <v>342</v>
      </c>
      <c r="B343" s="15">
        <v>45286</v>
      </c>
      <c r="C343" s="16" t="s">
        <v>33</v>
      </c>
      <c r="D343" s="16" t="s">
        <v>34</v>
      </c>
      <c r="E343" s="16" t="s">
        <v>27</v>
      </c>
      <c r="F343" s="16" t="s">
        <v>38</v>
      </c>
      <c r="G343" s="16" t="s">
        <v>46</v>
      </c>
      <c r="H343" s="17">
        <v>12929.68</v>
      </c>
      <c r="I343" s="16">
        <v>1</v>
      </c>
      <c r="J343" s="18">
        <v>3699.71</v>
      </c>
      <c r="K343" s="17" t="str" cm="1">
        <f t="array" ref="K343">_xlfn.IFS(Table43[[#This Row],[Sales]]&gt;40000,"Best Sales",Table43[[#This Row],[Sales]]&gt;20000,"Average Sales",Table43[[#This Row],[Sales]]&gt;0,"Poor Sales")</f>
        <v>Poor Sales</v>
      </c>
      <c r="L343" s="12">
        <f>YEAR(Table43[[#This Row],[Date]])</f>
        <v>2023</v>
      </c>
      <c r="M343" s="12">
        <f>MONTH(Table43[[#This Row],[Date]])</f>
        <v>12</v>
      </c>
      <c r="N343" s="13">
        <f>DAY(Table43[[#This Row],[Date]])</f>
        <v>26</v>
      </c>
      <c r="O343" s="13" t="str">
        <f>TEXT(DATE(2023,Table43[[#This Row],[Month]],1),"mmm")</f>
        <v>Dec</v>
      </c>
      <c r="P343" s="13"/>
      <c r="Q343" s="13"/>
    </row>
    <row r="344" spans="1:17" x14ac:dyDescent="0.3">
      <c r="A344" s="6">
        <v>343</v>
      </c>
      <c r="B344" s="7">
        <v>45136</v>
      </c>
      <c r="C344" s="8" t="s">
        <v>29</v>
      </c>
      <c r="D344" s="8" t="s">
        <v>29</v>
      </c>
      <c r="E344" s="8" t="s">
        <v>27</v>
      </c>
      <c r="F344" s="8" t="s">
        <v>20</v>
      </c>
      <c r="G344" s="8" t="s">
        <v>28</v>
      </c>
      <c r="H344" s="9">
        <v>2770.4</v>
      </c>
      <c r="I344" s="8">
        <v>7</v>
      </c>
      <c r="J344" s="10">
        <v>401.13</v>
      </c>
      <c r="K344" s="17" t="str" cm="1">
        <f t="array" ref="K344">_xlfn.IFS(Table43[[#This Row],[Sales]]&gt;40000,"Best Sales",Table43[[#This Row],[Sales]]&gt;20000,"Average Sales",Table43[[#This Row],[Sales]]&gt;0,"Poor Sales")</f>
        <v>Poor Sales</v>
      </c>
      <c r="L344" s="12">
        <f>YEAR(Table43[[#This Row],[Date]])</f>
        <v>2023</v>
      </c>
      <c r="M344" s="12">
        <f>MONTH(Table43[[#This Row],[Date]])</f>
        <v>7</v>
      </c>
      <c r="N344" s="13">
        <f>DAY(Table43[[#This Row],[Date]])</f>
        <v>29</v>
      </c>
      <c r="O344" s="13" t="str">
        <f>TEXT(DATE(2023,Table43[[#This Row],[Month]],1),"mmm")</f>
        <v>Jul</v>
      </c>
      <c r="P344" s="13"/>
      <c r="Q344" s="13"/>
    </row>
    <row r="345" spans="1:17" x14ac:dyDescent="0.3">
      <c r="A345" s="14">
        <v>344</v>
      </c>
      <c r="B345" s="15">
        <v>45076</v>
      </c>
      <c r="C345" s="16" t="s">
        <v>45</v>
      </c>
      <c r="D345" s="16" t="s">
        <v>34</v>
      </c>
      <c r="E345" s="16" t="s">
        <v>19</v>
      </c>
      <c r="F345" s="16" t="s">
        <v>38</v>
      </c>
      <c r="G345" s="16" t="s">
        <v>39</v>
      </c>
      <c r="H345" s="17">
        <v>44238.62</v>
      </c>
      <c r="I345" s="16">
        <v>7</v>
      </c>
      <c r="J345" s="18">
        <v>10311.209999999999</v>
      </c>
      <c r="K345" s="17" t="str" cm="1">
        <f t="array" ref="K345">_xlfn.IFS(Table43[[#This Row],[Sales]]&gt;40000,"Best Sales",Table43[[#This Row],[Sales]]&gt;20000,"Average Sales",Table43[[#This Row],[Sales]]&gt;0,"Poor Sales")</f>
        <v>Best Sales</v>
      </c>
      <c r="L345" s="12">
        <f>YEAR(Table43[[#This Row],[Date]])</f>
        <v>2023</v>
      </c>
      <c r="M345" s="12">
        <f>MONTH(Table43[[#This Row],[Date]])</f>
        <v>5</v>
      </c>
      <c r="N345" s="13">
        <f>DAY(Table43[[#This Row],[Date]])</f>
        <v>30</v>
      </c>
      <c r="O345" s="13" t="str">
        <f>TEXT(DATE(2023,Table43[[#This Row],[Month]],1),"mmm")</f>
        <v>May</v>
      </c>
      <c r="P345" s="13"/>
      <c r="Q345" s="13"/>
    </row>
    <row r="346" spans="1:17" x14ac:dyDescent="0.3">
      <c r="A346" s="6">
        <v>345</v>
      </c>
      <c r="B346" s="7">
        <v>45024</v>
      </c>
      <c r="C346" s="8" t="s">
        <v>25</v>
      </c>
      <c r="D346" s="8" t="s">
        <v>26</v>
      </c>
      <c r="E346" s="8" t="s">
        <v>24</v>
      </c>
      <c r="F346" s="8" t="s">
        <v>20</v>
      </c>
      <c r="G346" s="8" t="s">
        <v>41</v>
      </c>
      <c r="H346" s="9">
        <v>34979.96</v>
      </c>
      <c r="I346" s="8">
        <v>3</v>
      </c>
      <c r="J346" s="10">
        <v>6888.91</v>
      </c>
      <c r="K346" s="17" t="str" cm="1">
        <f t="array" ref="K346">_xlfn.IFS(Table43[[#This Row],[Sales]]&gt;40000,"Best Sales",Table43[[#This Row],[Sales]]&gt;20000,"Average Sales",Table43[[#This Row],[Sales]]&gt;0,"Poor Sales")</f>
        <v>Average Sales</v>
      </c>
      <c r="L346" s="12">
        <f>YEAR(Table43[[#This Row],[Date]])</f>
        <v>2023</v>
      </c>
      <c r="M346" s="12">
        <f>MONTH(Table43[[#This Row],[Date]])</f>
        <v>4</v>
      </c>
      <c r="N346" s="13">
        <f>DAY(Table43[[#This Row],[Date]])</f>
        <v>8</v>
      </c>
      <c r="O346" s="13" t="str">
        <f>TEXT(DATE(2023,Table43[[#This Row],[Month]],1),"mmm")</f>
        <v>Apr</v>
      </c>
      <c r="P346" s="13"/>
      <c r="Q346" s="13"/>
    </row>
    <row r="347" spans="1:17" x14ac:dyDescent="0.3">
      <c r="A347" s="14">
        <v>346</v>
      </c>
      <c r="B347" s="15">
        <v>45085</v>
      </c>
      <c r="C347" s="16" t="s">
        <v>29</v>
      </c>
      <c r="D347" s="16" t="s">
        <v>29</v>
      </c>
      <c r="E347" s="16" t="s">
        <v>19</v>
      </c>
      <c r="F347" s="16" t="s">
        <v>38</v>
      </c>
      <c r="G347" s="16" t="s">
        <v>39</v>
      </c>
      <c r="H347" s="17">
        <v>48862.53</v>
      </c>
      <c r="I347" s="16">
        <v>4</v>
      </c>
      <c r="J347" s="18">
        <v>12427.15</v>
      </c>
      <c r="K347" s="17" t="str" cm="1">
        <f t="array" ref="K347">_xlfn.IFS(Table43[[#This Row],[Sales]]&gt;40000,"Best Sales",Table43[[#This Row],[Sales]]&gt;20000,"Average Sales",Table43[[#This Row],[Sales]]&gt;0,"Poor Sales")</f>
        <v>Best Sales</v>
      </c>
      <c r="L347" s="12">
        <f>YEAR(Table43[[#This Row],[Date]])</f>
        <v>2023</v>
      </c>
      <c r="M347" s="12">
        <f>MONTH(Table43[[#This Row],[Date]])</f>
        <v>6</v>
      </c>
      <c r="N347" s="13">
        <f>DAY(Table43[[#This Row],[Date]])</f>
        <v>8</v>
      </c>
      <c r="O347" s="13" t="str">
        <f>TEXT(DATE(2023,Table43[[#This Row],[Month]],1),"mmm")</f>
        <v>Jun</v>
      </c>
      <c r="P347" s="13"/>
      <c r="Q347" s="13"/>
    </row>
    <row r="348" spans="1:17" x14ac:dyDescent="0.3">
      <c r="A348" s="6">
        <v>347</v>
      </c>
      <c r="B348" s="7">
        <v>45207</v>
      </c>
      <c r="C348" s="8" t="s">
        <v>44</v>
      </c>
      <c r="D348" s="8" t="s">
        <v>34</v>
      </c>
      <c r="E348" s="8" t="s">
        <v>24</v>
      </c>
      <c r="F348" s="8" t="s">
        <v>20</v>
      </c>
      <c r="G348" s="8" t="s">
        <v>28</v>
      </c>
      <c r="H348" s="9">
        <v>8542.52</v>
      </c>
      <c r="I348" s="8">
        <v>9</v>
      </c>
      <c r="J348" s="10">
        <v>1149.1300000000001</v>
      </c>
      <c r="K348" s="17" t="str" cm="1">
        <f t="array" ref="K348">_xlfn.IFS(Table43[[#This Row],[Sales]]&gt;40000,"Best Sales",Table43[[#This Row],[Sales]]&gt;20000,"Average Sales",Table43[[#This Row],[Sales]]&gt;0,"Poor Sales")</f>
        <v>Poor Sales</v>
      </c>
      <c r="L348" s="12">
        <f>YEAR(Table43[[#This Row],[Date]])</f>
        <v>2023</v>
      </c>
      <c r="M348" s="12">
        <f>MONTH(Table43[[#This Row],[Date]])</f>
        <v>10</v>
      </c>
      <c r="N348" s="13">
        <f>DAY(Table43[[#This Row],[Date]])</f>
        <v>8</v>
      </c>
      <c r="O348" s="13" t="str">
        <f>TEXT(DATE(2023,Table43[[#This Row],[Month]],1),"mmm")</f>
        <v>Oct</v>
      </c>
      <c r="P348" s="13"/>
      <c r="Q348" s="13"/>
    </row>
    <row r="349" spans="1:17" x14ac:dyDescent="0.3">
      <c r="A349" s="14">
        <v>348</v>
      </c>
      <c r="B349" s="15">
        <v>45256</v>
      </c>
      <c r="C349" s="16" t="s">
        <v>17</v>
      </c>
      <c r="D349" s="16" t="s">
        <v>18</v>
      </c>
      <c r="E349" s="16" t="s">
        <v>27</v>
      </c>
      <c r="F349" s="16" t="s">
        <v>20</v>
      </c>
      <c r="G349" s="16" t="s">
        <v>21</v>
      </c>
      <c r="H349" s="17">
        <v>27306.13</v>
      </c>
      <c r="I349" s="16">
        <v>6</v>
      </c>
      <c r="J349" s="18">
        <v>6925.83</v>
      </c>
      <c r="K349" s="17" t="str" cm="1">
        <f t="array" ref="K349">_xlfn.IFS(Table43[[#This Row],[Sales]]&gt;40000,"Best Sales",Table43[[#This Row],[Sales]]&gt;20000,"Average Sales",Table43[[#This Row],[Sales]]&gt;0,"Poor Sales")</f>
        <v>Average Sales</v>
      </c>
      <c r="L349" s="12">
        <f>YEAR(Table43[[#This Row],[Date]])</f>
        <v>2023</v>
      </c>
      <c r="M349" s="12">
        <f>MONTH(Table43[[#This Row],[Date]])</f>
        <v>11</v>
      </c>
      <c r="N349" s="13">
        <f>DAY(Table43[[#This Row],[Date]])</f>
        <v>26</v>
      </c>
      <c r="O349" s="13" t="str">
        <f>TEXT(DATE(2023,Table43[[#This Row],[Month]],1),"mmm")</f>
        <v>Nov</v>
      </c>
      <c r="P349" s="13"/>
      <c r="Q349" s="13"/>
    </row>
    <row r="350" spans="1:17" x14ac:dyDescent="0.3">
      <c r="A350" s="6">
        <v>349</v>
      </c>
      <c r="B350" s="7">
        <v>45192</v>
      </c>
      <c r="C350" s="8" t="s">
        <v>33</v>
      </c>
      <c r="D350" s="8" t="s">
        <v>34</v>
      </c>
      <c r="E350" s="8" t="s">
        <v>27</v>
      </c>
      <c r="F350" s="8" t="s">
        <v>20</v>
      </c>
      <c r="G350" s="8" t="s">
        <v>21</v>
      </c>
      <c r="H350" s="9">
        <v>6233.07</v>
      </c>
      <c r="I350" s="8">
        <v>2</v>
      </c>
      <c r="J350" s="10">
        <v>1160.33</v>
      </c>
      <c r="K350" s="17" t="str" cm="1">
        <f t="array" ref="K350">_xlfn.IFS(Table43[[#This Row],[Sales]]&gt;40000,"Best Sales",Table43[[#This Row],[Sales]]&gt;20000,"Average Sales",Table43[[#This Row],[Sales]]&gt;0,"Poor Sales")</f>
        <v>Poor Sales</v>
      </c>
      <c r="L350" s="12">
        <f>YEAR(Table43[[#This Row],[Date]])</f>
        <v>2023</v>
      </c>
      <c r="M350" s="12">
        <f>MONTH(Table43[[#This Row],[Date]])</f>
        <v>9</v>
      </c>
      <c r="N350" s="13">
        <f>DAY(Table43[[#This Row],[Date]])</f>
        <v>23</v>
      </c>
      <c r="O350" s="13" t="str">
        <f>TEXT(DATE(2023,Table43[[#This Row],[Month]],1),"mmm")</f>
        <v>Sep</v>
      </c>
      <c r="P350" s="13"/>
      <c r="Q350" s="13"/>
    </row>
    <row r="351" spans="1:17" x14ac:dyDescent="0.3">
      <c r="A351" s="14">
        <v>350</v>
      </c>
      <c r="B351" s="15">
        <v>44946</v>
      </c>
      <c r="C351" s="16" t="s">
        <v>44</v>
      </c>
      <c r="D351" s="16" t="s">
        <v>34</v>
      </c>
      <c r="E351" s="16" t="s">
        <v>19</v>
      </c>
      <c r="F351" s="16" t="s">
        <v>31</v>
      </c>
      <c r="G351" s="16" t="s">
        <v>35</v>
      </c>
      <c r="H351" s="17">
        <v>16041.6</v>
      </c>
      <c r="I351" s="16">
        <v>4</v>
      </c>
      <c r="J351" s="18">
        <v>3108.36</v>
      </c>
      <c r="K351" s="17" t="str" cm="1">
        <f t="array" ref="K351">_xlfn.IFS(Table43[[#This Row],[Sales]]&gt;40000,"Best Sales",Table43[[#This Row],[Sales]]&gt;20000,"Average Sales",Table43[[#This Row],[Sales]]&gt;0,"Poor Sales")</f>
        <v>Poor Sales</v>
      </c>
      <c r="L351" s="12">
        <f>YEAR(Table43[[#This Row],[Date]])</f>
        <v>2023</v>
      </c>
      <c r="M351" s="12">
        <f>MONTH(Table43[[#This Row],[Date]])</f>
        <v>1</v>
      </c>
      <c r="N351" s="13">
        <f>DAY(Table43[[#This Row],[Date]])</f>
        <v>20</v>
      </c>
      <c r="O351" s="13" t="str">
        <f>TEXT(DATE(2023,Table43[[#This Row],[Month]],1),"mmm")</f>
        <v>Jan</v>
      </c>
      <c r="P351" s="13"/>
      <c r="Q351" s="13"/>
    </row>
    <row r="352" spans="1:17" x14ac:dyDescent="0.3">
      <c r="A352" s="6">
        <v>351</v>
      </c>
      <c r="B352" s="7">
        <v>44960</v>
      </c>
      <c r="C352" s="8" t="s">
        <v>44</v>
      </c>
      <c r="D352" s="8" t="s">
        <v>34</v>
      </c>
      <c r="E352" s="8" t="s">
        <v>24</v>
      </c>
      <c r="F352" s="8" t="s">
        <v>20</v>
      </c>
      <c r="G352" s="8" t="s">
        <v>21</v>
      </c>
      <c r="H352" s="9">
        <v>32906.46</v>
      </c>
      <c r="I352" s="8">
        <v>10</v>
      </c>
      <c r="J352" s="10">
        <v>2385.66</v>
      </c>
      <c r="K352" s="17" t="str" cm="1">
        <f t="array" ref="K352">_xlfn.IFS(Table43[[#This Row],[Sales]]&gt;40000,"Best Sales",Table43[[#This Row],[Sales]]&gt;20000,"Average Sales",Table43[[#This Row],[Sales]]&gt;0,"Poor Sales")</f>
        <v>Average Sales</v>
      </c>
      <c r="L352" s="12">
        <f>YEAR(Table43[[#This Row],[Date]])</f>
        <v>2023</v>
      </c>
      <c r="M352" s="12">
        <f>MONTH(Table43[[#This Row],[Date]])</f>
        <v>2</v>
      </c>
      <c r="N352" s="13">
        <f>DAY(Table43[[#This Row],[Date]])</f>
        <v>3</v>
      </c>
      <c r="O352" s="13" t="str">
        <f>TEXT(DATE(2023,Table43[[#This Row],[Month]],1),"mmm")</f>
        <v>Feb</v>
      </c>
      <c r="P352" s="13"/>
      <c r="Q352" s="13"/>
    </row>
    <row r="353" spans="1:17" x14ac:dyDescent="0.3">
      <c r="A353" s="14">
        <v>352</v>
      </c>
      <c r="B353" s="15">
        <v>44988</v>
      </c>
      <c r="C353" s="16" t="s">
        <v>29</v>
      </c>
      <c r="D353" s="16" t="s">
        <v>29</v>
      </c>
      <c r="E353" s="16" t="s">
        <v>19</v>
      </c>
      <c r="F353" s="16" t="s">
        <v>38</v>
      </c>
      <c r="G353" s="16" t="s">
        <v>46</v>
      </c>
      <c r="H353" s="17">
        <v>37239.54</v>
      </c>
      <c r="I353" s="16">
        <v>7</v>
      </c>
      <c r="J353" s="18">
        <v>2504.85</v>
      </c>
      <c r="K353" s="17" t="str" cm="1">
        <f t="array" ref="K353">_xlfn.IFS(Table43[[#This Row],[Sales]]&gt;40000,"Best Sales",Table43[[#This Row],[Sales]]&gt;20000,"Average Sales",Table43[[#This Row],[Sales]]&gt;0,"Poor Sales")</f>
        <v>Average Sales</v>
      </c>
      <c r="L353" s="12">
        <f>YEAR(Table43[[#This Row],[Date]])</f>
        <v>2023</v>
      </c>
      <c r="M353" s="12">
        <f>MONTH(Table43[[#This Row],[Date]])</f>
        <v>3</v>
      </c>
      <c r="N353" s="13">
        <f>DAY(Table43[[#This Row],[Date]])</f>
        <v>3</v>
      </c>
      <c r="O353" s="13" t="str">
        <f>TEXT(DATE(2023,Table43[[#This Row],[Month]],1),"mmm")</f>
        <v>Mar</v>
      </c>
      <c r="P353" s="13"/>
      <c r="Q353" s="13"/>
    </row>
    <row r="354" spans="1:17" x14ac:dyDescent="0.3">
      <c r="A354" s="6">
        <v>353</v>
      </c>
      <c r="B354" s="7">
        <v>45202</v>
      </c>
      <c r="C354" s="8" t="s">
        <v>29</v>
      </c>
      <c r="D354" s="8" t="s">
        <v>29</v>
      </c>
      <c r="E354" s="8" t="s">
        <v>24</v>
      </c>
      <c r="F354" s="8" t="s">
        <v>38</v>
      </c>
      <c r="G354" s="8" t="s">
        <v>46</v>
      </c>
      <c r="H354" s="9">
        <v>4483.34</v>
      </c>
      <c r="I354" s="8">
        <v>9</v>
      </c>
      <c r="J354" s="10">
        <v>1083.8</v>
      </c>
      <c r="K354" s="17" t="str" cm="1">
        <f t="array" ref="K354">_xlfn.IFS(Table43[[#This Row],[Sales]]&gt;40000,"Best Sales",Table43[[#This Row],[Sales]]&gt;20000,"Average Sales",Table43[[#This Row],[Sales]]&gt;0,"Poor Sales")</f>
        <v>Poor Sales</v>
      </c>
      <c r="L354" s="12">
        <f>YEAR(Table43[[#This Row],[Date]])</f>
        <v>2023</v>
      </c>
      <c r="M354" s="12">
        <f>MONTH(Table43[[#This Row],[Date]])</f>
        <v>10</v>
      </c>
      <c r="N354" s="13">
        <f>DAY(Table43[[#This Row],[Date]])</f>
        <v>3</v>
      </c>
      <c r="O354" s="13" t="str">
        <f>TEXT(DATE(2023,Table43[[#This Row],[Month]],1),"mmm")</f>
        <v>Oct</v>
      </c>
      <c r="P354" s="13"/>
      <c r="Q354" s="13"/>
    </row>
    <row r="355" spans="1:17" x14ac:dyDescent="0.3">
      <c r="A355" s="14">
        <v>354</v>
      </c>
      <c r="B355" s="15">
        <v>44965</v>
      </c>
      <c r="C355" s="16" t="s">
        <v>44</v>
      </c>
      <c r="D355" s="16" t="s">
        <v>34</v>
      </c>
      <c r="E355" s="16" t="s">
        <v>27</v>
      </c>
      <c r="F355" s="16" t="s">
        <v>38</v>
      </c>
      <c r="G355" s="16" t="s">
        <v>39</v>
      </c>
      <c r="H355" s="17">
        <v>48213.14</v>
      </c>
      <c r="I355" s="16">
        <v>6</v>
      </c>
      <c r="J355" s="18">
        <v>10326.15</v>
      </c>
      <c r="K355" s="17" t="str" cm="1">
        <f t="array" ref="K355">_xlfn.IFS(Table43[[#This Row],[Sales]]&gt;40000,"Best Sales",Table43[[#This Row],[Sales]]&gt;20000,"Average Sales",Table43[[#This Row],[Sales]]&gt;0,"Poor Sales")</f>
        <v>Best Sales</v>
      </c>
      <c r="L355" s="12">
        <f>YEAR(Table43[[#This Row],[Date]])</f>
        <v>2023</v>
      </c>
      <c r="M355" s="12">
        <f>MONTH(Table43[[#This Row],[Date]])</f>
        <v>2</v>
      </c>
      <c r="N355" s="13">
        <f>DAY(Table43[[#This Row],[Date]])</f>
        <v>8</v>
      </c>
      <c r="O355" s="13" t="str">
        <f>TEXT(DATE(2023,Table43[[#This Row],[Month]],1),"mmm")</f>
        <v>Feb</v>
      </c>
      <c r="P355" s="13"/>
      <c r="Q355" s="13"/>
    </row>
    <row r="356" spans="1:17" x14ac:dyDescent="0.3">
      <c r="A356" s="6">
        <v>355</v>
      </c>
      <c r="B356" s="7">
        <v>45087</v>
      </c>
      <c r="C356" s="8" t="s">
        <v>29</v>
      </c>
      <c r="D356" s="8" t="s">
        <v>29</v>
      </c>
      <c r="E356" s="8" t="s">
        <v>27</v>
      </c>
      <c r="F356" s="8" t="s">
        <v>31</v>
      </c>
      <c r="G356" s="8" t="s">
        <v>36</v>
      </c>
      <c r="H356" s="9">
        <v>42851.99</v>
      </c>
      <c r="I356" s="8">
        <v>5</v>
      </c>
      <c r="J356" s="10">
        <v>9496.2099999999991</v>
      </c>
      <c r="K356" s="17" t="str" cm="1">
        <f t="array" ref="K356">_xlfn.IFS(Table43[[#This Row],[Sales]]&gt;40000,"Best Sales",Table43[[#This Row],[Sales]]&gt;20000,"Average Sales",Table43[[#This Row],[Sales]]&gt;0,"Poor Sales")</f>
        <v>Best Sales</v>
      </c>
      <c r="L356" s="12">
        <f>YEAR(Table43[[#This Row],[Date]])</f>
        <v>2023</v>
      </c>
      <c r="M356" s="12">
        <f>MONTH(Table43[[#This Row],[Date]])</f>
        <v>6</v>
      </c>
      <c r="N356" s="13">
        <f>DAY(Table43[[#This Row],[Date]])</f>
        <v>10</v>
      </c>
      <c r="O356" s="13" t="str">
        <f>TEXT(DATE(2023,Table43[[#This Row],[Month]],1),"mmm")</f>
        <v>Jun</v>
      </c>
      <c r="P356" s="13"/>
      <c r="Q356" s="13"/>
    </row>
    <row r="357" spans="1:17" x14ac:dyDescent="0.3">
      <c r="A357" s="14">
        <v>356</v>
      </c>
      <c r="B357" s="15">
        <v>44987</v>
      </c>
      <c r="C357" s="16" t="s">
        <v>25</v>
      </c>
      <c r="D357" s="16" t="s">
        <v>26</v>
      </c>
      <c r="E357" s="16" t="s">
        <v>19</v>
      </c>
      <c r="F357" s="16" t="s">
        <v>31</v>
      </c>
      <c r="G357" s="16" t="s">
        <v>35</v>
      </c>
      <c r="H357" s="17">
        <v>1320.69</v>
      </c>
      <c r="I357" s="16">
        <v>2</v>
      </c>
      <c r="J357" s="18">
        <v>152.43</v>
      </c>
      <c r="K357" s="17" t="str" cm="1">
        <f t="array" ref="K357">_xlfn.IFS(Table43[[#This Row],[Sales]]&gt;40000,"Best Sales",Table43[[#This Row],[Sales]]&gt;20000,"Average Sales",Table43[[#This Row],[Sales]]&gt;0,"Poor Sales")</f>
        <v>Poor Sales</v>
      </c>
      <c r="L357" s="12">
        <f>YEAR(Table43[[#This Row],[Date]])</f>
        <v>2023</v>
      </c>
      <c r="M357" s="12">
        <f>MONTH(Table43[[#This Row],[Date]])</f>
        <v>3</v>
      </c>
      <c r="N357" s="13">
        <f>DAY(Table43[[#This Row],[Date]])</f>
        <v>2</v>
      </c>
      <c r="O357" s="13" t="str">
        <f>TEXT(DATE(2023,Table43[[#This Row],[Month]],1),"mmm")</f>
        <v>Mar</v>
      </c>
      <c r="P357" s="13"/>
      <c r="Q357" s="13"/>
    </row>
    <row r="358" spans="1:17" x14ac:dyDescent="0.3">
      <c r="A358" s="6">
        <v>357</v>
      </c>
      <c r="B358" s="7">
        <v>45093</v>
      </c>
      <c r="C358" s="8" t="s">
        <v>45</v>
      </c>
      <c r="D358" s="8" t="s">
        <v>34</v>
      </c>
      <c r="E358" s="8" t="s">
        <v>24</v>
      </c>
      <c r="F358" s="8" t="s">
        <v>38</v>
      </c>
      <c r="G358" s="8" t="s">
        <v>40</v>
      </c>
      <c r="H358" s="9">
        <v>27600.51</v>
      </c>
      <c r="I358" s="8">
        <v>4</v>
      </c>
      <c r="J358" s="10">
        <v>6255.76</v>
      </c>
      <c r="K358" s="17" t="str" cm="1">
        <f t="array" ref="K358">_xlfn.IFS(Table43[[#This Row],[Sales]]&gt;40000,"Best Sales",Table43[[#This Row],[Sales]]&gt;20000,"Average Sales",Table43[[#This Row],[Sales]]&gt;0,"Poor Sales")</f>
        <v>Average Sales</v>
      </c>
      <c r="L358" s="12">
        <f>YEAR(Table43[[#This Row],[Date]])</f>
        <v>2023</v>
      </c>
      <c r="M358" s="12">
        <f>MONTH(Table43[[#This Row],[Date]])</f>
        <v>6</v>
      </c>
      <c r="N358" s="13">
        <f>DAY(Table43[[#This Row],[Date]])</f>
        <v>16</v>
      </c>
      <c r="O358" s="13" t="str">
        <f>TEXT(DATE(2023,Table43[[#This Row],[Month]],1),"mmm")</f>
        <v>Jun</v>
      </c>
      <c r="P358" s="13"/>
      <c r="Q358" s="13"/>
    </row>
    <row r="359" spans="1:17" x14ac:dyDescent="0.3">
      <c r="A359" s="14">
        <v>358</v>
      </c>
      <c r="B359" s="15">
        <v>44942</v>
      </c>
      <c r="C359" s="16" t="s">
        <v>22</v>
      </c>
      <c r="D359" s="16" t="s">
        <v>23</v>
      </c>
      <c r="E359" s="16" t="s">
        <v>19</v>
      </c>
      <c r="F359" s="16" t="s">
        <v>20</v>
      </c>
      <c r="G359" s="16" t="s">
        <v>28</v>
      </c>
      <c r="H359" s="17">
        <v>36776.78</v>
      </c>
      <c r="I359" s="16">
        <v>10</v>
      </c>
      <c r="J359" s="18">
        <v>9228.1200000000008</v>
      </c>
      <c r="K359" s="17" t="str" cm="1">
        <f t="array" ref="K359">_xlfn.IFS(Table43[[#This Row],[Sales]]&gt;40000,"Best Sales",Table43[[#This Row],[Sales]]&gt;20000,"Average Sales",Table43[[#This Row],[Sales]]&gt;0,"Poor Sales")</f>
        <v>Average Sales</v>
      </c>
      <c r="L359" s="12">
        <f>YEAR(Table43[[#This Row],[Date]])</f>
        <v>2023</v>
      </c>
      <c r="M359" s="12">
        <f>MONTH(Table43[[#This Row],[Date]])</f>
        <v>1</v>
      </c>
      <c r="N359" s="13">
        <f>DAY(Table43[[#This Row],[Date]])</f>
        <v>16</v>
      </c>
      <c r="O359" s="13" t="str">
        <f>TEXT(DATE(2023,Table43[[#This Row],[Month]],1),"mmm")</f>
        <v>Jan</v>
      </c>
      <c r="P359" s="13"/>
      <c r="Q359" s="13"/>
    </row>
    <row r="360" spans="1:17" x14ac:dyDescent="0.3">
      <c r="A360" s="6">
        <v>359</v>
      </c>
      <c r="B360" s="7">
        <v>45214</v>
      </c>
      <c r="C360" s="8" t="s">
        <v>37</v>
      </c>
      <c r="D360" s="8" t="s">
        <v>23</v>
      </c>
      <c r="E360" s="8" t="s">
        <v>24</v>
      </c>
      <c r="F360" s="8" t="s">
        <v>38</v>
      </c>
      <c r="G360" s="8" t="s">
        <v>40</v>
      </c>
      <c r="H360" s="9">
        <v>23572.9</v>
      </c>
      <c r="I360" s="8">
        <v>9</v>
      </c>
      <c r="J360" s="10">
        <v>2990.66</v>
      </c>
      <c r="K360" s="17" t="str" cm="1">
        <f t="array" ref="K360">_xlfn.IFS(Table43[[#This Row],[Sales]]&gt;40000,"Best Sales",Table43[[#This Row],[Sales]]&gt;20000,"Average Sales",Table43[[#This Row],[Sales]]&gt;0,"Poor Sales")</f>
        <v>Average Sales</v>
      </c>
      <c r="L360" s="12">
        <f>YEAR(Table43[[#This Row],[Date]])</f>
        <v>2023</v>
      </c>
      <c r="M360" s="12">
        <f>MONTH(Table43[[#This Row],[Date]])</f>
        <v>10</v>
      </c>
      <c r="N360" s="13">
        <f>DAY(Table43[[#This Row],[Date]])</f>
        <v>15</v>
      </c>
      <c r="O360" s="13" t="str">
        <f>TEXT(DATE(2023,Table43[[#This Row],[Month]],1),"mmm")</f>
        <v>Oct</v>
      </c>
      <c r="P360" s="13"/>
      <c r="Q360" s="13"/>
    </row>
    <row r="361" spans="1:17" x14ac:dyDescent="0.3">
      <c r="A361" s="14">
        <v>360</v>
      </c>
      <c r="B361" s="15">
        <v>45259</v>
      </c>
      <c r="C361" s="16" t="s">
        <v>37</v>
      </c>
      <c r="D361" s="16" t="s">
        <v>23</v>
      </c>
      <c r="E361" s="16" t="s">
        <v>27</v>
      </c>
      <c r="F361" s="16" t="s">
        <v>20</v>
      </c>
      <c r="G361" s="16" t="s">
        <v>28</v>
      </c>
      <c r="H361" s="17">
        <v>47935.1</v>
      </c>
      <c r="I361" s="16">
        <v>5</v>
      </c>
      <c r="J361" s="18">
        <v>13700.82</v>
      </c>
      <c r="K361" s="17" t="str" cm="1">
        <f t="array" ref="K361">_xlfn.IFS(Table43[[#This Row],[Sales]]&gt;40000,"Best Sales",Table43[[#This Row],[Sales]]&gt;20000,"Average Sales",Table43[[#This Row],[Sales]]&gt;0,"Poor Sales")</f>
        <v>Best Sales</v>
      </c>
      <c r="L361" s="12">
        <f>YEAR(Table43[[#This Row],[Date]])</f>
        <v>2023</v>
      </c>
      <c r="M361" s="12">
        <f>MONTH(Table43[[#This Row],[Date]])</f>
        <v>11</v>
      </c>
      <c r="N361" s="13">
        <f>DAY(Table43[[#This Row],[Date]])</f>
        <v>29</v>
      </c>
      <c r="O361" s="13" t="str">
        <f>TEXT(DATE(2023,Table43[[#This Row],[Month]],1),"mmm")</f>
        <v>Nov</v>
      </c>
      <c r="P361" s="13"/>
      <c r="Q361" s="13"/>
    </row>
    <row r="362" spans="1:17" x14ac:dyDescent="0.3">
      <c r="A362" s="6">
        <v>361</v>
      </c>
      <c r="B362" s="7">
        <v>45227</v>
      </c>
      <c r="C362" s="8" t="s">
        <v>42</v>
      </c>
      <c r="D362" s="8" t="s">
        <v>43</v>
      </c>
      <c r="E362" s="8" t="s">
        <v>27</v>
      </c>
      <c r="F362" s="8" t="s">
        <v>31</v>
      </c>
      <c r="G362" s="8" t="s">
        <v>32</v>
      </c>
      <c r="H362" s="9">
        <v>48787.24</v>
      </c>
      <c r="I362" s="8">
        <v>5</v>
      </c>
      <c r="J362" s="10">
        <v>4438.05</v>
      </c>
      <c r="K362" s="17" t="str" cm="1">
        <f t="array" ref="K362">_xlfn.IFS(Table43[[#This Row],[Sales]]&gt;40000,"Best Sales",Table43[[#This Row],[Sales]]&gt;20000,"Average Sales",Table43[[#This Row],[Sales]]&gt;0,"Poor Sales")</f>
        <v>Best Sales</v>
      </c>
      <c r="L362" s="12">
        <f>YEAR(Table43[[#This Row],[Date]])</f>
        <v>2023</v>
      </c>
      <c r="M362" s="12">
        <f>MONTH(Table43[[#This Row],[Date]])</f>
        <v>10</v>
      </c>
      <c r="N362" s="13">
        <f>DAY(Table43[[#This Row],[Date]])</f>
        <v>28</v>
      </c>
      <c r="O362" s="13" t="str">
        <f>TEXT(DATE(2023,Table43[[#This Row],[Month]],1),"mmm")</f>
        <v>Oct</v>
      </c>
      <c r="P362" s="13"/>
      <c r="Q362" s="13"/>
    </row>
    <row r="363" spans="1:17" x14ac:dyDescent="0.3">
      <c r="A363" s="14">
        <v>362</v>
      </c>
      <c r="B363" s="15">
        <v>45215</v>
      </c>
      <c r="C363" s="16" t="s">
        <v>45</v>
      </c>
      <c r="D363" s="16" t="s">
        <v>34</v>
      </c>
      <c r="E363" s="16" t="s">
        <v>19</v>
      </c>
      <c r="F363" s="16" t="s">
        <v>31</v>
      </c>
      <c r="G363" s="16" t="s">
        <v>36</v>
      </c>
      <c r="H363" s="17">
        <v>40509.99</v>
      </c>
      <c r="I363" s="16">
        <v>10</v>
      </c>
      <c r="J363" s="18">
        <v>9829.24</v>
      </c>
      <c r="K363" s="17" t="str" cm="1">
        <f t="array" ref="K363">_xlfn.IFS(Table43[[#This Row],[Sales]]&gt;40000,"Best Sales",Table43[[#This Row],[Sales]]&gt;20000,"Average Sales",Table43[[#This Row],[Sales]]&gt;0,"Poor Sales")</f>
        <v>Best Sales</v>
      </c>
      <c r="L363" s="12">
        <f>YEAR(Table43[[#This Row],[Date]])</f>
        <v>2023</v>
      </c>
      <c r="M363" s="12">
        <f>MONTH(Table43[[#This Row],[Date]])</f>
        <v>10</v>
      </c>
      <c r="N363" s="13">
        <f>DAY(Table43[[#This Row],[Date]])</f>
        <v>16</v>
      </c>
      <c r="O363" s="13" t="str">
        <f>TEXT(DATE(2023,Table43[[#This Row],[Month]],1),"mmm")</f>
        <v>Oct</v>
      </c>
      <c r="P363" s="13"/>
      <c r="Q363" s="13"/>
    </row>
    <row r="364" spans="1:17" x14ac:dyDescent="0.3">
      <c r="A364" s="6">
        <v>363</v>
      </c>
      <c r="B364" s="7">
        <v>45006</v>
      </c>
      <c r="C364" s="8" t="s">
        <v>29</v>
      </c>
      <c r="D364" s="8" t="s">
        <v>29</v>
      </c>
      <c r="E364" s="8" t="s">
        <v>24</v>
      </c>
      <c r="F364" s="8" t="s">
        <v>20</v>
      </c>
      <c r="G364" s="8" t="s">
        <v>41</v>
      </c>
      <c r="H364" s="9">
        <v>48237.08</v>
      </c>
      <c r="I364" s="8">
        <v>4</v>
      </c>
      <c r="J364" s="10">
        <v>9886.32</v>
      </c>
      <c r="K364" s="17" t="str" cm="1">
        <f t="array" ref="K364">_xlfn.IFS(Table43[[#This Row],[Sales]]&gt;40000,"Best Sales",Table43[[#This Row],[Sales]]&gt;20000,"Average Sales",Table43[[#This Row],[Sales]]&gt;0,"Poor Sales")</f>
        <v>Best Sales</v>
      </c>
      <c r="L364" s="12">
        <f>YEAR(Table43[[#This Row],[Date]])</f>
        <v>2023</v>
      </c>
      <c r="M364" s="12">
        <f>MONTH(Table43[[#This Row],[Date]])</f>
        <v>3</v>
      </c>
      <c r="N364" s="13">
        <f>DAY(Table43[[#This Row],[Date]])</f>
        <v>21</v>
      </c>
      <c r="O364" s="13" t="str">
        <f>TEXT(DATE(2023,Table43[[#This Row],[Month]],1),"mmm")</f>
        <v>Mar</v>
      </c>
      <c r="P364" s="13"/>
      <c r="Q364" s="13"/>
    </row>
    <row r="365" spans="1:17" x14ac:dyDescent="0.3">
      <c r="A365" s="14">
        <v>364</v>
      </c>
      <c r="B365" s="15">
        <v>45208</v>
      </c>
      <c r="C365" s="16" t="s">
        <v>45</v>
      </c>
      <c r="D365" s="16" t="s">
        <v>34</v>
      </c>
      <c r="E365" s="16" t="s">
        <v>19</v>
      </c>
      <c r="F365" s="16" t="s">
        <v>38</v>
      </c>
      <c r="G365" s="16" t="s">
        <v>40</v>
      </c>
      <c r="H365" s="17">
        <v>8457.08</v>
      </c>
      <c r="I365" s="16">
        <v>3</v>
      </c>
      <c r="J365" s="18">
        <v>618.28</v>
      </c>
      <c r="K365" s="17" t="str" cm="1">
        <f t="array" ref="K365">_xlfn.IFS(Table43[[#This Row],[Sales]]&gt;40000,"Best Sales",Table43[[#This Row],[Sales]]&gt;20000,"Average Sales",Table43[[#This Row],[Sales]]&gt;0,"Poor Sales")</f>
        <v>Poor Sales</v>
      </c>
      <c r="L365" s="12">
        <f>YEAR(Table43[[#This Row],[Date]])</f>
        <v>2023</v>
      </c>
      <c r="M365" s="12">
        <f>MONTH(Table43[[#This Row],[Date]])</f>
        <v>10</v>
      </c>
      <c r="N365" s="13">
        <f>DAY(Table43[[#This Row],[Date]])</f>
        <v>9</v>
      </c>
      <c r="O365" s="13" t="str">
        <f>TEXT(DATE(2023,Table43[[#This Row],[Month]],1),"mmm")</f>
        <v>Oct</v>
      </c>
      <c r="P365" s="13"/>
      <c r="Q365" s="13"/>
    </row>
    <row r="366" spans="1:17" x14ac:dyDescent="0.3">
      <c r="A366" s="6">
        <v>365</v>
      </c>
      <c r="B366" s="7">
        <v>45110</v>
      </c>
      <c r="C366" s="8" t="s">
        <v>37</v>
      </c>
      <c r="D366" s="8" t="s">
        <v>23</v>
      </c>
      <c r="E366" s="8" t="s">
        <v>24</v>
      </c>
      <c r="F366" s="8" t="s">
        <v>38</v>
      </c>
      <c r="G366" s="8" t="s">
        <v>40</v>
      </c>
      <c r="H366" s="9">
        <v>38741.599999999999</v>
      </c>
      <c r="I366" s="8">
        <v>2</v>
      </c>
      <c r="J366" s="10">
        <v>3876.42</v>
      </c>
      <c r="K366" s="17" t="str" cm="1">
        <f t="array" ref="K366">_xlfn.IFS(Table43[[#This Row],[Sales]]&gt;40000,"Best Sales",Table43[[#This Row],[Sales]]&gt;20000,"Average Sales",Table43[[#This Row],[Sales]]&gt;0,"Poor Sales")</f>
        <v>Average Sales</v>
      </c>
      <c r="L366" s="12">
        <f>YEAR(Table43[[#This Row],[Date]])</f>
        <v>2023</v>
      </c>
      <c r="M366" s="12">
        <f>MONTH(Table43[[#This Row],[Date]])</f>
        <v>7</v>
      </c>
      <c r="N366" s="13">
        <f>DAY(Table43[[#This Row],[Date]])</f>
        <v>3</v>
      </c>
      <c r="O366" s="13" t="str">
        <f>TEXT(DATE(2023,Table43[[#This Row],[Month]],1),"mmm")</f>
        <v>Jul</v>
      </c>
      <c r="P366" s="13"/>
      <c r="Q366" s="13"/>
    </row>
    <row r="367" spans="1:17" x14ac:dyDescent="0.3">
      <c r="A367" s="14">
        <v>366</v>
      </c>
      <c r="B367" s="15">
        <v>45185</v>
      </c>
      <c r="C367" s="16" t="s">
        <v>33</v>
      </c>
      <c r="D367" s="16" t="s">
        <v>34</v>
      </c>
      <c r="E367" s="16" t="s">
        <v>27</v>
      </c>
      <c r="F367" s="16" t="s">
        <v>20</v>
      </c>
      <c r="G367" s="16" t="s">
        <v>41</v>
      </c>
      <c r="H367" s="17">
        <v>2389.33</v>
      </c>
      <c r="I367" s="16">
        <v>2</v>
      </c>
      <c r="J367" s="18">
        <v>314.41000000000003</v>
      </c>
      <c r="K367" s="17" t="str" cm="1">
        <f t="array" ref="K367">_xlfn.IFS(Table43[[#This Row],[Sales]]&gt;40000,"Best Sales",Table43[[#This Row],[Sales]]&gt;20000,"Average Sales",Table43[[#This Row],[Sales]]&gt;0,"Poor Sales")</f>
        <v>Poor Sales</v>
      </c>
      <c r="L367" s="12">
        <f>YEAR(Table43[[#This Row],[Date]])</f>
        <v>2023</v>
      </c>
      <c r="M367" s="12">
        <f>MONTH(Table43[[#This Row],[Date]])</f>
        <v>9</v>
      </c>
      <c r="N367" s="13">
        <f>DAY(Table43[[#This Row],[Date]])</f>
        <v>16</v>
      </c>
      <c r="O367" s="13" t="str">
        <f>TEXT(DATE(2023,Table43[[#This Row],[Month]],1),"mmm")</f>
        <v>Sep</v>
      </c>
      <c r="P367" s="13"/>
      <c r="Q367" s="13"/>
    </row>
    <row r="368" spans="1:17" x14ac:dyDescent="0.3">
      <c r="A368" s="6">
        <v>367</v>
      </c>
      <c r="B368" s="7">
        <v>45271</v>
      </c>
      <c r="C368" s="8" t="s">
        <v>25</v>
      </c>
      <c r="D368" s="8" t="s">
        <v>26</v>
      </c>
      <c r="E368" s="8" t="s">
        <v>27</v>
      </c>
      <c r="F368" s="8" t="s">
        <v>20</v>
      </c>
      <c r="G368" s="8" t="s">
        <v>28</v>
      </c>
      <c r="H368" s="9">
        <v>49373.38</v>
      </c>
      <c r="I368" s="8">
        <v>5</v>
      </c>
      <c r="J368" s="10">
        <v>3614.64</v>
      </c>
      <c r="K368" s="17" t="str" cm="1">
        <f t="array" ref="K368">_xlfn.IFS(Table43[[#This Row],[Sales]]&gt;40000,"Best Sales",Table43[[#This Row],[Sales]]&gt;20000,"Average Sales",Table43[[#This Row],[Sales]]&gt;0,"Poor Sales")</f>
        <v>Best Sales</v>
      </c>
      <c r="L368" s="12">
        <f>YEAR(Table43[[#This Row],[Date]])</f>
        <v>2023</v>
      </c>
      <c r="M368" s="12">
        <f>MONTH(Table43[[#This Row],[Date]])</f>
        <v>12</v>
      </c>
      <c r="N368" s="13">
        <f>DAY(Table43[[#This Row],[Date]])</f>
        <v>11</v>
      </c>
      <c r="O368" s="13" t="str">
        <f>TEXT(DATE(2023,Table43[[#This Row],[Month]],1),"mmm")</f>
        <v>Dec</v>
      </c>
      <c r="P368" s="13"/>
      <c r="Q368" s="13"/>
    </row>
    <row r="369" spans="1:17" x14ac:dyDescent="0.3">
      <c r="A369" s="14">
        <v>368</v>
      </c>
      <c r="B369" s="15">
        <v>45039</v>
      </c>
      <c r="C369" s="16" t="s">
        <v>44</v>
      </c>
      <c r="D369" s="16" t="s">
        <v>34</v>
      </c>
      <c r="E369" s="16" t="s">
        <v>19</v>
      </c>
      <c r="F369" s="16" t="s">
        <v>31</v>
      </c>
      <c r="G369" s="16" t="s">
        <v>35</v>
      </c>
      <c r="H369" s="17">
        <v>8784.44</v>
      </c>
      <c r="I369" s="16">
        <v>3</v>
      </c>
      <c r="J369" s="18">
        <v>2460.11</v>
      </c>
      <c r="K369" s="17" t="str" cm="1">
        <f t="array" ref="K369">_xlfn.IFS(Table43[[#This Row],[Sales]]&gt;40000,"Best Sales",Table43[[#This Row],[Sales]]&gt;20000,"Average Sales",Table43[[#This Row],[Sales]]&gt;0,"Poor Sales")</f>
        <v>Poor Sales</v>
      </c>
      <c r="L369" s="12">
        <f>YEAR(Table43[[#This Row],[Date]])</f>
        <v>2023</v>
      </c>
      <c r="M369" s="12">
        <f>MONTH(Table43[[#This Row],[Date]])</f>
        <v>4</v>
      </c>
      <c r="N369" s="13">
        <f>DAY(Table43[[#This Row],[Date]])</f>
        <v>23</v>
      </c>
      <c r="O369" s="13" t="str">
        <f>TEXT(DATE(2023,Table43[[#This Row],[Month]],1),"mmm")</f>
        <v>Apr</v>
      </c>
      <c r="P369" s="13"/>
      <c r="Q369" s="13"/>
    </row>
    <row r="370" spans="1:17" x14ac:dyDescent="0.3">
      <c r="A370" s="6">
        <v>369</v>
      </c>
      <c r="B370" s="7">
        <v>45104</v>
      </c>
      <c r="C370" s="8" t="s">
        <v>29</v>
      </c>
      <c r="D370" s="8" t="s">
        <v>29</v>
      </c>
      <c r="E370" s="8" t="s">
        <v>24</v>
      </c>
      <c r="F370" s="8" t="s">
        <v>31</v>
      </c>
      <c r="G370" s="8" t="s">
        <v>32</v>
      </c>
      <c r="H370" s="9">
        <v>23978.25</v>
      </c>
      <c r="I370" s="8">
        <v>2</v>
      </c>
      <c r="J370" s="10">
        <v>4700.3500000000004</v>
      </c>
      <c r="K370" s="17" t="str" cm="1">
        <f t="array" ref="K370">_xlfn.IFS(Table43[[#This Row],[Sales]]&gt;40000,"Best Sales",Table43[[#This Row],[Sales]]&gt;20000,"Average Sales",Table43[[#This Row],[Sales]]&gt;0,"Poor Sales")</f>
        <v>Average Sales</v>
      </c>
      <c r="L370" s="12">
        <f>YEAR(Table43[[#This Row],[Date]])</f>
        <v>2023</v>
      </c>
      <c r="M370" s="12">
        <f>MONTH(Table43[[#This Row],[Date]])</f>
        <v>6</v>
      </c>
      <c r="N370" s="13">
        <f>DAY(Table43[[#This Row],[Date]])</f>
        <v>27</v>
      </c>
      <c r="O370" s="13" t="str">
        <f>TEXT(DATE(2023,Table43[[#This Row],[Month]],1),"mmm")</f>
        <v>Jun</v>
      </c>
      <c r="P370" s="13"/>
      <c r="Q370" s="13"/>
    </row>
    <row r="371" spans="1:17" x14ac:dyDescent="0.3">
      <c r="A371" s="14">
        <v>370</v>
      </c>
      <c r="B371" s="15">
        <v>45221</v>
      </c>
      <c r="C371" s="16" t="s">
        <v>17</v>
      </c>
      <c r="D371" s="16" t="s">
        <v>18</v>
      </c>
      <c r="E371" s="16" t="s">
        <v>19</v>
      </c>
      <c r="F371" s="16" t="s">
        <v>38</v>
      </c>
      <c r="G371" s="16" t="s">
        <v>46</v>
      </c>
      <c r="H371" s="17">
        <v>45270.46</v>
      </c>
      <c r="I371" s="16">
        <v>3</v>
      </c>
      <c r="J371" s="18">
        <v>8514.58</v>
      </c>
      <c r="K371" s="17" t="str" cm="1">
        <f t="array" ref="K371">_xlfn.IFS(Table43[[#This Row],[Sales]]&gt;40000,"Best Sales",Table43[[#This Row],[Sales]]&gt;20000,"Average Sales",Table43[[#This Row],[Sales]]&gt;0,"Poor Sales")</f>
        <v>Best Sales</v>
      </c>
      <c r="L371" s="12">
        <f>YEAR(Table43[[#This Row],[Date]])</f>
        <v>2023</v>
      </c>
      <c r="M371" s="12">
        <f>MONTH(Table43[[#This Row],[Date]])</f>
        <v>10</v>
      </c>
      <c r="N371" s="13">
        <f>DAY(Table43[[#This Row],[Date]])</f>
        <v>22</v>
      </c>
      <c r="O371" s="13" t="str">
        <f>TEXT(DATE(2023,Table43[[#This Row],[Month]],1),"mmm")</f>
        <v>Oct</v>
      </c>
      <c r="P371" s="13"/>
      <c r="Q371" s="13"/>
    </row>
    <row r="372" spans="1:17" x14ac:dyDescent="0.3">
      <c r="A372" s="6">
        <v>371</v>
      </c>
      <c r="B372" s="7">
        <v>45023</v>
      </c>
      <c r="C372" s="8" t="s">
        <v>42</v>
      </c>
      <c r="D372" s="8" t="s">
        <v>43</v>
      </c>
      <c r="E372" s="8" t="s">
        <v>24</v>
      </c>
      <c r="F372" s="8" t="s">
        <v>20</v>
      </c>
      <c r="G372" s="8" t="s">
        <v>28</v>
      </c>
      <c r="H372" s="9">
        <v>45850.91</v>
      </c>
      <c r="I372" s="8">
        <v>2</v>
      </c>
      <c r="J372" s="10">
        <v>6963.28</v>
      </c>
      <c r="K372" s="17" t="str" cm="1">
        <f t="array" ref="K372">_xlfn.IFS(Table43[[#This Row],[Sales]]&gt;40000,"Best Sales",Table43[[#This Row],[Sales]]&gt;20000,"Average Sales",Table43[[#This Row],[Sales]]&gt;0,"Poor Sales")</f>
        <v>Best Sales</v>
      </c>
      <c r="L372" s="12">
        <f>YEAR(Table43[[#This Row],[Date]])</f>
        <v>2023</v>
      </c>
      <c r="M372" s="12">
        <f>MONTH(Table43[[#This Row],[Date]])</f>
        <v>4</v>
      </c>
      <c r="N372" s="13">
        <f>DAY(Table43[[#This Row],[Date]])</f>
        <v>7</v>
      </c>
      <c r="O372" s="13" t="str">
        <f>TEXT(DATE(2023,Table43[[#This Row],[Month]],1),"mmm")</f>
        <v>Apr</v>
      </c>
      <c r="P372" s="13"/>
      <c r="Q372" s="13"/>
    </row>
    <row r="373" spans="1:17" x14ac:dyDescent="0.3">
      <c r="A373" s="14">
        <v>372</v>
      </c>
      <c r="B373" s="15">
        <v>44927</v>
      </c>
      <c r="C373" s="16" t="s">
        <v>29</v>
      </c>
      <c r="D373" s="16" t="s">
        <v>29</v>
      </c>
      <c r="E373" s="16" t="s">
        <v>27</v>
      </c>
      <c r="F373" s="16" t="s">
        <v>20</v>
      </c>
      <c r="G373" s="16" t="s">
        <v>41</v>
      </c>
      <c r="H373" s="17">
        <v>49704.45</v>
      </c>
      <c r="I373" s="16">
        <v>1</v>
      </c>
      <c r="J373" s="18">
        <v>6338.36</v>
      </c>
      <c r="K373" s="17" t="str" cm="1">
        <f t="array" ref="K373">_xlfn.IFS(Table43[[#This Row],[Sales]]&gt;40000,"Best Sales",Table43[[#This Row],[Sales]]&gt;20000,"Average Sales",Table43[[#This Row],[Sales]]&gt;0,"Poor Sales")</f>
        <v>Best Sales</v>
      </c>
      <c r="L373" s="12">
        <f>YEAR(Table43[[#This Row],[Date]])</f>
        <v>2023</v>
      </c>
      <c r="M373" s="12">
        <f>MONTH(Table43[[#This Row],[Date]])</f>
        <v>1</v>
      </c>
      <c r="N373" s="13">
        <f>DAY(Table43[[#This Row],[Date]])</f>
        <v>1</v>
      </c>
      <c r="O373" s="13" t="str">
        <f>TEXT(DATE(2023,Table43[[#This Row],[Month]],1),"mmm")</f>
        <v>Jan</v>
      </c>
      <c r="P373" s="13"/>
      <c r="Q373" s="13"/>
    </row>
    <row r="374" spans="1:17" x14ac:dyDescent="0.3">
      <c r="A374" s="6">
        <v>373</v>
      </c>
      <c r="B374" s="7">
        <v>45100</v>
      </c>
      <c r="C374" s="8" t="s">
        <v>17</v>
      </c>
      <c r="D374" s="8" t="s">
        <v>18</v>
      </c>
      <c r="E374" s="8" t="s">
        <v>27</v>
      </c>
      <c r="F374" s="8" t="s">
        <v>31</v>
      </c>
      <c r="G374" s="8" t="s">
        <v>36</v>
      </c>
      <c r="H374" s="9">
        <v>7689.17</v>
      </c>
      <c r="I374" s="8">
        <v>2</v>
      </c>
      <c r="J374" s="10">
        <v>2073.4699999999998</v>
      </c>
      <c r="K374" s="17" t="str" cm="1">
        <f t="array" ref="K374">_xlfn.IFS(Table43[[#This Row],[Sales]]&gt;40000,"Best Sales",Table43[[#This Row],[Sales]]&gt;20000,"Average Sales",Table43[[#This Row],[Sales]]&gt;0,"Poor Sales")</f>
        <v>Poor Sales</v>
      </c>
      <c r="L374" s="12">
        <f>YEAR(Table43[[#This Row],[Date]])</f>
        <v>2023</v>
      </c>
      <c r="M374" s="12">
        <f>MONTH(Table43[[#This Row],[Date]])</f>
        <v>6</v>
      </c>
      <c r="N374" s="13">
        <f>DAY(Table43[[#This Row],[Date]])</f>
        <v>23</v>
      </c>
      <c r="O374" s="13" t="str">
        <f>TEXT(DATE(2023,Table43[[#This Row],[Month]],1),"mmm")</f>
        <v>Jun</v>
      </c>
      <c r="P374" s="13"/>
      <c r="Q374" s="13"/>
    </row>
    <row r="375" spans="1:17" x14ac:dyDescent="0.3">
      <c r="A375" s="14">
        <v>374</v>
      </c>
      <c r="B375" s="15">
        <v>45020</v>
      </c>
      <c r="C375" s="16" t="s">
        <v>44</v>
      </c>
      <c r="D375" s="16" t="s">
        <v>34</v>
      </c>
      <c r="E375" s="16" t="s">
        <v>19</v>
      </c>
      <c r="F375" s="16" t="s">
        <v>20</v>
      </c>
      <c r="G375" s="16" t="s">
        <v>28</v>
      </c>
      <c r="H375" s="17">
        <v>11067.26</v>
      </c>
      <c r="I375" s="16">
        <v>3</v>
      </c>
      <c r="J375" s="18">
        <v>2295.61</v>
      </c>
      <c r="K375" s="17" t="str" cm="1">
        <f t="array" ref="K375">_xlfn.IFS(Table43[[#This Row],[Sales]]&gt;40000,"Best Sales",Table43[[#This Row],[Sales]]&gt;20000,"Average Sales",Table43[[#This Row],[Sales]]&gt;0,"Poor Sales")</f>
        <v>Poor Sales</v>
      </c>
      <c r="L375" s="12">
        <f>YEAR(Table43[[#This Row],[Date]])</f>
        <v>2023</v>
      </c>
      <c r="M375" s="12">
        <f>MONTH(Table43[[#This Row],[Date]])</f>
        <v>4</v>
      </c>
      <c r="N375" s="13">
        <f>DAY(Table43[[#This Row],[Date]])</f>
        <v>4</v>
      </c>
      <c r="O375" s="13" t="str">
        <f>TEXT(DATE(2023,Table43[[#This Row],[Month]],1),"mmm")</f>
        <v>Apr</v>
      </c>
      <c r="P375" s="13"/>
      <c r="Q375" s="13"/>
    </row>
    <row r="376" spans="1:17" x14ac:dyDescent="0.3">
      <c r="A376" s="6">
        <v>375</v>
      </c>
      <c r="B376" s="7">
        <v>45220</v>
      </c>
      <c r="C376" s="8" t="s">
        <v>25</v>
      </c>
      <c r="D376" s="8" t="s">
        <v>26</v>
      </c>
      <c r="E376" s="8" t="s">
        <v>24</v>
      </c>
      <c r="F376" s="8" t="s">
        <v>20</v>
      </c>
      <c r="G376" s="8" t="s">
        <v>28</v>
      </c>
      <c r="H376" s="9">
        <v>4039.27</v>
      </c>
      <c r="I376" s="8">
        <v>4</v>
      </c>
      <c r="J376" s="10">
        <v>706.06</v>
      </c>
      <c r="K376" s="17" t="str" cm="1">
        <f t="array" ref="K376">_xlfn.IFS(Table43[[#This Row],[Sales]]&gt;40000,"Best Sales",Table43[[#This Row],[Sales]]&gt;20000,"Average Sales",Table43[[#This Row],[Sales]]&gt;0,"Poor Sales")</f>
        <v>Poor Sales</v>
      </c>
      <c r="L376" s="12">
        <f>YEAR(Table43[[#This Row],[Date]])</f>
        <v>2023</v>
      </c>
      <c r="M376" s="12">
        <f>MONTH(Table43[[#This Row],[Date]])</f>
        <v>10</v>
      </c>
      <c r="N376" s="13">
        <f>DAY(Table43[[#This Row],[Date]])</f>
        <v>21</v>
      </c>
      <c r="O376" s="13" t="str">
        <f>TEXT(DATE(2023,Table43[[#This Row],[Month]],1),"mmm")</f>
        <v>Oct</v>
      </c>
      <c r="P376" s="13"/>
      <c r="Q376" s="13"/>
    </row>
    <row r="377" spans="1:17" x14ac:dyDescent="0.3">
      <c r="A377" s="14">
        <v>376</v>
      </c>
      <c r="B377" s="15">
        <v>45084</v>
      </c>
      <c r="C377" s="16" t="s">
        <v>29</v>
      </c>
      <c r="D377" s="16" t="s">
        <v>29</v>
      </c>
      <c r="E377" s="16" t="s">
        <v>19</v>
      </c>
      <c r="F377" s="16" t="s">
        <v>20</v>
      </c>
      <c r="G377" s="16" t="s">
        <v>41</v>
      </c>
      <c r="H377" s="17">
        <v>21927.99</v>
      </c>
      <c r="I377" s="16">
        <v>1</v>
      </c>
      <c r="J377" s="18">
        <v>3544.98</v>
      </c>
      <c r="K377" s="17" t="str" cm="1">
        <f t="array" ref="K377">_xlfn.IFS(Table43[[#This Row],[Sales]]&gt;40000,"Best Sales",Table43[[#This Row],[Sales]]&gt;20000,"Average Sales",Table43[[#This Row],[Sales]]&gt;0,"Poor Sales")</f>
        <v>Average Sales</v>
      </c>
      <c r="L377" s="12">
        <f>YEAR(Table43[[#This Row],[Date]])</f>
        <v>2023</v>
      </c>
      <c r="M377" s="12">
        <f>MONTH(Table43[[#This Row],[Date]])</f>
        <v>6</v>
      </c>
      <c r="N377" s="13">
        <f>DAY(Table43[[#This Row],[Date]])</f>
        <v>7</v>
      </c>
      <c r="O377" s="13" t="str">
        <f>TEXT(DATE(2023,Table43[[#This Row],[Month]],1),"mmm")</f>
        <v>Jun</v>
      </c>
      <c r="P377" s="13"/>
      <c r="Q377" s="13"/>
    </row>
    <row r="378" spans="1:17" x14ac:dyDescent="0.3">
      <c r="A378" s="6">
        <v>377</v>
      </c>
      <c r="B378" s="7">
        <v>45057</v>
      </c>
      <c r="C378" s="8" t="s">
        <v>37</v>
      </c>
      <c r="D378" s="8" t="s">
        <v>23</v>
      </c>
      <c r="E378" s="8" t="s">
        <v>24</v>
      </c>
      <c r="F378" s="8" t="s">
        <v>38</v>
      </c>
      <c r="G378" s="8" t="s">
        <v>39</v>
      </c>
      <c r="H378" s="9">
        <v>5975.75</v>
      </c>
      <c r="I378" s="8">
        <v>2</v>
      </c>
      <c r="J378" s="10">
        <v>329.14</v>
      </c>
      <c r="K378" s="17" t="str" cm="1">
        <f t="array" ref="K378">_xlfn.IFS(Table43[[#This Row],[Sales]]&gt;40000,"Best Sales",Table43[[#This Row],[Sales]]&gt;20000,"Average Sales",Table43[[#This Row],[Sales]]&gt;0,"Poor Sales")</f>
        <v>Poor Sales</v>
      </c>
      <c r="L378" s="12">
        <f>YEAR(Table43[[#This Row],[Date]])</f>
        <v>2023</v>
      </c>
      <c r="M378" s="12">
        <f>MONTH(Table43[[#This Row],[Date]])</f>
        <v>5</v>
      </c>
      <c r="N378" s="13">
        <f>DAY(Table43[[#This Row],[Date]])</f>
        <v>11</v>
      </c>
      <c r="O378" s="13" t="str">
        <f>TEXT(DATE(2023,Table43[[#This Row],[Month]],1),"mmm")</f>
        <v>May</v>
      </c>
      <c r="P378" s="13"/>
      <c r="Q378" s="13"/>
    </row>
    <row r="379" spans="1:17" x14ac:dyDescent="0.3">
      <c r="A379" s="14">
        <v>378</v>
      </c>
      <c r="B379" s="15">
        <v>45191</v>
      </c>
      <c r="C379" s="16" t="s">
        <v>17</v>
      </c>
      <c r="D379" s="16" t="s">
        <v>18</v>
      </c>
      <c r="E379" s="16" t="s">
        <v>27</v>
      </c>
      <c r="F379" s="16" t="s">
        <v>38</v>
      </c>
      <c r="G379" s="16" t="s">
        <v>40</v>
      </c>
      <c r="H379" s="17">
        <v>20190.7</v>
      </c>
      <c r="I379" s="16">
        <v>3</v>
      </c>
      <c r="J379" s="18">
        <v>2927.7</v>
      </c>
      <c r="K379" s="17" t="str" cm="1">
        <f t="array" ref="K379">_xlfn.IFS(Table43[[#This Row],[Sales]]&gt;40000,"Best Sales",Table43[[#This Row],[Sales]]&gt;20000,"Average Sales",Table43[[#This Row],[Sales]]&gt;0,"Poor Sales")</f>
        <v>Average Sales</v>
      </c>
      <c r="L379" s="12">
        <f>YEAR(Table43[[#This Row],[Date]])</f>
        <v>2023</v>
      </c>
      <c r="M379" s="12">
        <f>MONTH(Table43[[#This Row],[Date]])</f>
        <v>9</v>
      </c>
      <c r="N379" s="13">
        <f>DAY(Table43[[#This Row],[Date]])</f>
        <v>22</v>
      </c>
      <c r="O379" s="13" t="str">
        <f>TEXT(DATE(2023,Table43[[#This Row],[Month]],1),"mmm")</f>
        <v>Sep</v>
      </c>
      <c r="P379" s="13"/>
      <c r="Q379" s="13"/>
    </row>
    <row r="380" spans="1:17" x14ac:dyDescent="0.3">
      <c r="A380" s="6">
        <v>379</v>
      </c>
      <c r="B380" s="7">
        <v>44967</v>
      </c>
      <c r="C380" s="8" t="s">
        <v>29</v>
      </c>
      <c r="D380" s="8" t="s">
        <v>29</v>
      </c>
      <c r="E380" s="8" t="s">
        <v>27</v>
      </c>
      <c r="F380" s="8" t="s">
        <v>38</v>
      </c>
      <c r="G380" s="8" t="s">
        <v>40</v>
      </c>
      <c r="H380" s="9">
        <v>13485.54</v>
      </c>
      <c r="I380" s="8">
        <v>7</v>
      </c>
      <c r="J380" s="10">
        <v>3010.14</v>
      </c>
      <c r="K380" s="17" t="str" cm="1">
        <f t="array" ref="K380">_xlfn.IFS(Table43[[#This Row],[Sales]]&gt;40000,"Best Sales",Table43[[#This Row],[Sales]]&gt;20000,"Average Sales",Table43[[#This Row],[Sales]]&gt;0,"Poor Sales")</f>
        <v>Poor Sales</v>
      </c>
      <c r="L380" s="12">
        <f>YEAR(Table43[[#This Row],[Date]])</f>
        <v>2023</v>
      </c>
      <c r="M380" s="12">
        <f>MONTH(Table43[[#This Row],[Date]])</f>
        <v>2</v>
      </c>
      <c r="N380" s="13">
        <f>DAY(Table43[[#This Row],[Date]])</f>
        <v>10</v>
      </c>
      <c r="O380" s="13" t="str">
        <f>TEXT(DATE(2023,Table43[[#This Row],[Month]],1),"mmm")</f>
        <v>Feb</v>
      </c>
      <c r="P380" s="13"/>
      <c r="Q380" s="13"/>
    </row>
    <row r="381" spans="1:17" x14ac:dyDescent="0.3">
      <c r="A381" s="14">
        <v>380</v>
      </c>
      <c r="B381" s="15">
        <v>45087</v>
      </c>
      <c r="C381" s="16" t="s">
        <v>22</v>
      </c>
      <c r="D381" s="16" t="s">
        <v>23</v>
      </c>
      <c r="E381" s="16" t="s">
        <v>19</v>
      </c>
      <c r="F381" s="16" t="s">
        <v>20</v>
      </c>
      <c r="G381" s="16" t="s">
        <v>41</v>
      </c>
      <c r="H381" s="17">
        <v>21403.96</v>
      </c>
      <c r="I381" s="16">
        <v>2</v>
      </c>
      <c r="J381" s="18">
        <v>5457.97</v>
      </c>
      <c r="K381" s="17" t="str" cm="1">
        <f t="array" ref="K381">_xlfn.IFS(Table43[[#This Row],[Sales]]&gt;40000,"Best Sales",Table43[[#This Row],[Sales]]&gt;20000,"Average Sales",Table43[[#This Row],[Sales]]&gt;0,"Poor Sales")</f>
        <v>Average Sales</v>
      </c>
      <c r="L381" s="12">
        <f>YEAR(Table43[[#This Row],[Date]])</f>
        <v>2023</v>
      </c>
      <c r="M381" s="12">
        <f>MONTH(Table43[[#This Row],[Date]])</f>
        <v>6</v>
      </c>
      <c r="N381" s="13">
        <f>DAY(Table43[[#This Row],[Date]])</f>
        <v>10</v>
      </c>
      <c r="O381" s="13" t="str">
        <f>TEXT(DATE(2023,Table43[[#This Row],[Month]],1),"mmm")</f>
        <v>Jun</v>
      </c>
      <c r="P381" s="13"/>
      <c r="Q381" s="13"/>
    </row>
    <row r="382" spans="1:17" x14ac:dyDescent="0.3">
      <c r="A382" s="6">
        <v>381</v>
      </c>
      <c r="B382" s="7">
        <v>45216</v>
      </c>
      <c r="C382" s="8" t="s">
        <v>29</v>
      </c>
      <c r="D382" s="8" t="s">
        <v>29</v>
      </c>
      <c r="E382" s="8" t="s">
        <v>24</v>
      </c>
      <c r="F382" s="8" t="s">
        <v>20</v>
      </c>
      <c r="G382" s="8" t="s">
        <v>21</v>
      </c>
      <c r="H382" s="9">
        <v>28745.93</v>
      </c>
      <c r="I382" s="8">
        <v>8</v>
      </c>
      <c r="J382" s="10">
        <v>6468.31</v>
      </c>
      <c r="K382" s="17" t="str" cm="1">
        <f t="array" ref="K382">_xlfn.IFS(Table43[[#This Row],[Sales]]&gt;40000,"Best Sales",Table43[[#This Row],[Sales]]&gt;20000,"Average Sales",Table43[[#This Row],[Sales]]&gt;0,"Poor Sales")</f>
        <v>Average Sales</v>
      </c>
      <c r="L382" s="12">
        <f>YEAR(Table43[[#This Row],[Date]])</f>
        <v>2023</v>
      </c>
      <c r="M382" s="12">
        <f>MONTH(Table43[[#This Row],[Date]])</f>
        <v>10</v>
      </c>
      <c r="N382" s="13">
        <f>DAY(Table43[[#This Row],[Date]])</f>
        <v>17</v>
      </c>
      <c r="O382" s="13" t="str">
        <f>TEXT(DATE(2023,Table43[[#This Row],[Month]],1),"mmm")</f>
        <v>Oct</v>
      </c>
      <c r="P382" s="13"/>
      <c r="Q382" s="13"/>
    </row>
    <row r="383" spans="1:17" x14ac:dyDescent="0.3">
      <c r="A383" s="14">
        <v>382</v>
      </c>
      <c r="B383" s="15">
        <v>45116</v>
      </c>
      <c r="C383" s="16" t="s">
        <v>37</v>
      </c>
      <c r="D383" s="16" t="s">
        <v>23</v>
      </c>
      <c r="E383" s="16" t="s">
        <v>19</v>
      </c>
      <c r="F383" s="16" t="s">
        <v>31</v>
      </c>
      <c r="G383" s="16" t="s">
        <v>36</v>
      </c>
      <c r="H383" s="17">
        <v>7482.71</v>
      </c>
      <c r="I383" s="16">
        <v>5</v>
      </c>
      <c r="J383" s="18">
        <v>437.89</v>
      </c>
      <c r="K383" s="17" t="str" cm="1">
        <f t="array" ref="K383">_xlfn.IFS(Table43[[#This Row],[Sales]]&gt;40000,"Best Sales",Table43[[#This Row],[Sales]]&gt;20000,"Average Sales",Table43[[#This Row],[Sales]]&gt;0,"Poor Sales")</f>
        <v>Poor Sales</v>
      </c>
      <c r="L383" s="12">
        <f>YEAR(Table43[[#This Row],[Date]])</f>
        <v>2023</v>
      </c>
      <c r="M383" s="12">
        <f>MONTH(Table43[[#This Row],[Date]])</f>
        <v>7</v>
      </c>
      <c r="N383" s="13">
        <f>DAY(Table43[[#This Row],[Date]])</f>
        <v>9</v>
      </c>
      <c r="O383" s="13" t="str">
        <f>TEXT(DATE(2023,Table43[[#This Row],[Month]],1),"mmm")</f>
        <v>Jul</v>
      </c>
      <c r="P383" s="13"/>
      <c r="Q383" s="13"/>
    </row>
    <row r="384" spans="1:17" x14ac:dyDescent="0.3">
      <c r="A384" s="6">
        <v>383</v>
      </c>
      <c r="B384" s="7">
        <v>45266</v>
      </c>
      <c r="C384" s="8" t="s">
        <v>44</v>
      </c>
      <c r="D384" s="8" t="s">
        <v>34</v>
      </c>
      <c r="E384" s="8" t="s">
        <v>24</v>
      </c>
      <c r="F384" s="8" t="s">
        <v>31</v>
      </c>
      <c r="G384" s="8" t="s">
        <v>32</v>
      </c>
      <c r="H384" s="9">
        <v>46251.07</v>
      </c>
      <c r="I384" s="8">
        <v>7</v>
      </c>
      <c r="J384" s="10">
        <v>2777.42</v>
      </c>
      <c r="K384" s="17" t="str" cm="1">
        <f t="array" ref="K384">_xlfn.IFS(Table43[[#This Row],[Sales]]&gt;40000,"Best Sales",Table43[[#This Row],[Sales]]&gt;20000,"Average Sales",Table43[[#This Row],[Sales]]&gt;0,"Poor Sales")</f>
        <v>Best Sales</v>
      </c>
      <c r="L384" s="12">
        <f>YEAR(Table43[[#This Row],[Date]])</f>
        <v>2023</v>
      </c>
      <c r="M384" s="12">
        <f>MONTH(Table43[[#This Row],[Date]])</f>
        <v>12</v>
      </c>
      <c r="N384" s="13">
        <f>DAY(Table43[[#This Row],[Date]])</f>
        <v>6</v>
      </c>
      <c r="O384" s="13" t="str">
        <f>TEXT(DATE(2023,Table43[[#This Row],[Month]],1),"mmm")</f>
        <v>Dec</v>
      </c>
      <c r="P384" s="13"/>
      <c r="Q384" s="13"/>
    </row>
    <row r="385" spans="1:17" x14ac:dyDescent="0.3">
      <c r="A385" s="14">
        <v>384</v>
      </c>
      <c r="B385" s="15">
        <v>45207</v>
      </c>
      <c r="C385" s="16" t="s">
        <v>29</v>
      </c>
      <c r="D385" s="16" t="s">
        <v>29</v>
      </c>
      <c r="E385" s="16" t="s">
        <v>27</v>
      </c>
      <c r="F385" s="16" t="s">
        <v>31</v>
      </c>
      <c r="G385" s="16" t="s">
        <v>35</v>
      </c>
      <c r="H385" s="17">
        <v>19948.55</v>
      </c>
      <c r="I385" s="16">
        <v>4</v>
      </c>
      <c r="J385" s="18">
        <v>1195.3</v>
      </c>
      <c r="K385" s="17" t="str" cm="1">
        <f t="array" ref="K385">_xlfn.IFS(Table43[[#This Row],[Sales]]&gt;40000,"Best Sales",Table43[[#This Row],[Sales]]&gt;20000,"Average Sales",Table43[[#This Row],[Sales]]&gt;0,"Poor Sales")</f>
        <v>Poor Sales</v>
      </c>
      <c r="L385" s="12">
        <f>YEAR(Table43[[#This Row],[Date]])</f>
        <v>2023</v>
      </c>
      <c r="M385" s="12">
        <f>MONTH(Table43[[#This Row],[Date]])</f>
        <v>10</v>
      </c>
      <c r="N385" s="13">
        <f>DAY(Table43[[#This Row],[Date]])</f>
        <v>8</v>
      </c>
      <c r="O385" s="13" t="str">
        <f>TEXT(DATE(2023,Table43[[#This Row],[Month]],1),"mmm")</f>
        <v>Oct</v>
      </c>
      <c r="P385" s="13"/>
      <c r="Q385" s="13"/>
    </row>
    <row r="386" spans="1:17" x14ac:dyDescent="0.3">
      <c r="A386" s="6">
        <v>385</v>
      </c>
      <c r="B386" s="7">
        <v>45085</v>
      </c>
      <c r="C386" s="8" t="s">
        <v>22</v>
      </c>
      <c r="D386" s="8" t="s">
        <v>23</v>
      </c>
      <c r="E386" s="8" t="s">
        <v>27</v>
      </c>
      <c r="F386" s="8" t="s">
        <v>31</v>
      </c>
      <c r="G386" s="8" t="s">
        <v>36</v>
      </c>
      <c r="H386" s="9">
        <v>5721.76</v>
      </c>
      <c r="I386" s="8">
        <v>7</v>
      </c>
      <c r="J386" s="10">
        <v>1413.25</v>
      </c>
      <c r="K386" s="17" t="str" cm="1">
        <f t="array" ref="K386">_xlfn.IFS(Table43[[#This Row],[Sales]]&gt;40000,"Best Sales",Table43[[#This Row],[Sales]]&gt;20000,"Average Sales",Table43[[#This Row],[Sales]]&gt;0,"Poor Sales")</f>
        <v>Poor Sales</v>
      </c>
      <c r="L386" s="12">
        <f>YEAR(Table43[[#This Row],[Date]])</f>
        <v>2023</v>
      </c>
      <c r="M386" s="12">
        <f>MONTH(Table43[[#This Row],[Date]])</f>
        <v>6</v>
      </c>
      <c r="N386" s="13">
        <f>DAY(Table43[[#This Row],[Date]])</f>
        <v>8</v>
      </c>
      <c r="O386" s="13" t="str">
        <f>TEXT(DATE(2023,Table43[[#This Row],[Month]],1),"mmm")</f>
        <v>Jun</v>
      </c>
      <c r="P386" s="13"/>
      <c r="Q386" s="13"/>
    </row>
    <row r="387" spans="1:17" x14ac:dyDescent="0.3">
      <c r="A387" s="14">
        <v>386</v>
      </c>
      <c r="B387" s="15">
        <v>45204</v>
      </c>
      <c r="C387" s="16" t="s">
        <v>37</v>
      </c>
      <c r="D387" s="16" t="s">
        <v>23</v>
      </c>
      <c r="E387" s="16" t="s">
        <v>19</v>
      </c>
      <c r="F387" s="16" t="s">
        <v>31</v>
      </c>
      <c r="G387" s="16" t="s">
        <v>36</v>
      </c>
      <c r="H387" s="17">
        <v>20443.47</v>
      </c>
      <c r="I387" s="16">
        <v>4</v>
      </c>
      <c r="J387" s="18">
        <v>3275.27</v>
      </c>
      <c r="K387" s="17" t="str" cm="1">
        <f t="array" ref="K387">_xlfn.IFS(Table43[[#This Row],[Sales]]&gt;40000,"Best Sales",Table43[[#This Row],[Sales]]&gt;20000,"Average Sales",Table43[[#This Row],[Sales]]&gt;0,"Poor Sales")</f>
        <v>Average Sales</v>
      </c>
      <c r="L387" s="12">
        <f>YEAR(Table43[[#This Row],[Date]])</f>
        <v>2023</v>
      </c>
      <c r="M387" s="12">
        <f>MONTH(Table43[[#This Row],[Date]])</f>
        <v>10</v>
      </c>
      <c r="N387" s="13">
        <f>DAY(Table43[[#This Row],[Date]])</f>
        <v>5</v>
      </c>
      <c r="O387" s="13" t="str">
        <f>TEXT(DATE(2023,Table43[[#This Row],[Month]],1),"mmm")</f>
        <v>Oct</v>
      </c>
      <c r="P387" s="13"/>
      <c r="Q387" s="13"/>
    </row>
    <row r="388" spans="1:17" x14ac:dyDescent="0.3">
      <c r="A388" s="6">
        <v>387</v>
      </c>
      <c r="B388" s="7">
        <v>45088</v>
      </c>
      <c r="C388" s="8" t="s">
        <v>25</v>
      </c>
      <c r="D388" s="8" t="s">
        <v>26</v>
      </c>
      <c r="E388" s="8" t="s">
        <v>24</v>
      </c>
      <c r="F388" s="8" t="s">
        <v>38</v>
      </c>
      <c r="G388" s="8" t="s">
        <v>46</v>
      </c>
      <c r="H388" s="9">
        <v>33096.26</v>
      </c>
      <c r="I388" s="8">
        <v>6</v>
      </c>
      <c r="J388" s="10">
        <v>3046.86</v>
      </c>
      <c r="K388" s="17" t="str" cm="1">
        <f t="array" ref="K388">_xlfn.IFS(Table43[[#This Row],[Sales]]&gt;40000,"Best Sales",Table43[[#This Row],[Sales]]&gt;20000,"Average Sales",Table43[[#This Row],[Sales]]&gt;0,"Poor Sales")</f>
        <v>Average Sales</v>
      </c>
      <c r="L388" s="12">
        <f>YEAR(Table43[[#This Row],[Date]])</f>
        <v>2023</v>
      </c>
      <c r="M388" s="12">
        <f>MONTH(Table43[[#This Row],[Date]])</f>
        <v>6</v>
      </c>
      <c r="N388" s="13">
        <f>DAY(Table43[[#This Row],[Date]])</f>
        <v>11</v>
      </c>
      <c r="O388" s="13" t="str">
        <f>TEXT(DATE(2023,Table43[[#This Row],[Month]],1),"mmm")</f>
        <v>Jun</v>
      </c>
      <c r="P388" s="13"/>
      <c r="Q388" s="13"/>
    </row>
    <row r="389" spans="1:17" x14ac:dyDescent="0.3">
      <c r="A389" s="14">
        <v>388</v>
      </c>
      <c r="B389" s="15">
        <v>45146</v>
      </c>
      <c r="C389" s="16" t="s">
        <v>33</v>
      </c>
      <c r="D389" s="16" t="s">
        <v>34</v>
      </c>
      <c r="E389" s="16" t="s">
        <v>19</v>
      </c>
      <c r="F389" s="16" t="s">
        <v>31</v>
      </c>
      <c r="G389" s="16" t="s">
        <v>32</v>
      </c>
      <c r="H389" s="17">
        <v>48615.63</v>
      </c>
      <c r="I389" s="16">
        <v>4</v>
      </c>
      <c r="J389" s="18">
        <v>12402.67</v>
      </c>
      <c r="K389" s="17" t="str" cm="1">
        <f t="array" ref="K389">_xlfn.IFS(Table43[[#This Row],[Sales]]&gt;40000,"Best Sales",Table43[[#This Row],[Sales]]&gt;20000,"Average Sales",Table43[[#This Row],[Sales]]&gt;0,"Poor Sales")</f>
        <v>Best Sales</v>
      </c>
      <c r="L389" s="12">
        <f>YEAR(Table43[[#This Row],[Date]])</f>
        <v>2023</v>
      </c>
      <c r="M389" s="12">
        <f>MONTH(Table43[[#This Row],[Date]])</f>
        <v>8</v>
      </c>
      <c r="N389" s="13">
        <f>DAY(Table43[[#This Row],[Date]])</f>
        <v>8</v>
      </c>
      <c r="O389" s="13" t="str">
        <f>TEXT(DATE(2023,Table43[[#This Row],[Month]],1),"mmm")</f>
        <v>Aug</v>
      </c>
      <c r="P389" s="13"/>
      <c r="Q389" s="13"/>
    </row>
    <row r="390" spans="1:17" x14ac:dyDescent="0.3">
      <c r="A390" s="6">
        <v>389</v>
      </c>
      <c r="B390" s="7">
        <v>44976</v>
      </c>
      <c r="C390" s="8" t="s">
        <v>29</v>
      </c>
      <c r="D390" s="8" t="s">
        <v>29</v>
      </c>
      <c r="E390" s="8" t="s">
        <v>24</v>
      </c>
      <c r="F390" s="8" t="s">
        <v>20</v>
      </c>
      <c r="G390" s="8" t="s">
        <v>21</v>
      </c>
      <c r="H390" s="9">
        <v>41877.24</v>
      </c>
      <c r="I390" s="8">
        <v>6</v>
      </c>
      <c r="J390" s="10">
        <v>12432.71</v>
      </c>
      <c r="K390" s="17" t="str" cm="1">
        <f t="array" ref="K390">_xlfn.IFS(Table43[[#This Row],[Sales]]&gt;40000,"Best Sales",Table43[[#This Row],[Sales]]&gt;20000,"Average Sales",Table43[[#This Row],[Sales]]&gt;0,"Poor Sales")</f>
        <v>Best Sales</v>
      </c>
      <c r="L390" s="12">
        <f>YEAR(Table43[[#This Row],[Date]])</f>
        <v>2023</v>
      </c>
      <c r="M390" s="12">
        <f>MONTH(Table43[[#This Row],[Date]])</f>
        <v>2</v>
      </c>
      <c r="N390" s="13">
        <f>DAY(Table43[[#This Row],[Date]])</f>
        <v>19</v>
      </c>
      <c r="O390" s="13" t="str">
        <f>TEXT(DATE(2023,Table43[[#This Row],[Month]],1),"mmm")</f>
        <v>Feb</v>
      </c>
      <c r="P390" s="13"/>
      <c r="Q390" s="13"/>
    </row>
    <row r="391" spans="1:17" x14ac:dyDescent="0.3">
      <c r="A391" s="14">
        <v>390</v>
      </c>
      <c r="B391" s="15">
        <v>45129</v>
      </c>
      <c r="C391" s="16" t="s">
        <v>29</v>
      </c>
      <c r="D391" s="16" t="s">
        <v>29</v>
      </c>
      <c r="E391" s="16" t="s">
        <v>27</v>
      </c>
      <c r="F391" s="16" t="s">
        <v>38</v>
      </c>
      <c r="G391" s="16" t="s">
        <v>40</v>
      </c>
      <c r="H391" s="17">
        <v>21423.18</v>
      </c>
      <c r="I391" s="16">
        <v>6</v>
      </c>
      <c r="J391" s="18">
        <v>2642.67</v>
      </c>
      <c r="K391" s="17" t="str" cm="1">
        <f t="array" ref="K391">_xlfn.IFS(Table43[[#This Row],[Sales]]&gt;40000,"Best Sales",Table43[[#This Row],[Sales]]&gt;20000,"Average Sales",Table43[[#This Row],[Sales]]&gt;0,"Poor Sales")</f>
        <v>Average Sales</v>
      </c>
      <c r="L391" s="12">
        <f>YEAR(Table43[[#This Row],[Date]])</f>
        <v>2023</v>
      </c>
      <c r="M391" s="12">
        <f>MONTH(Table43[[#This Row],[Date]])</f>
        <v>7</v>
      </c>
      <c r="N391" s="13">
        <f>DAY(Table43[[#This Row],[Date]])</f>
        <v>22</v>
      </c>
      <c r="O391" s="13" t="str">
        <f>TEXT(DATE(2023,Table43[[#This Row],[Month]],1),"mmm")</f>
        <v>Jul</v>
      </c>
      <c r="P391" s="13"/>
      <c r="Q391" s="13"/>
    </row>
    <row r="392" spans="1:17" x14ac:dyDescent="0.3">
      <c r="A392" s="6">
        <v>391</v>
      </c>
      <c r="B392" s="7">
        <v>44942</v>
      </c>
      <c r="C392" s="8" t="s">
        <v>37</v>
      </c>
      <c r="D392" s="8" t="s">
        <v>23</v>
      </c>
      <c r="E392" s="8" t="s">
        <v>27</v>
      </c>
      <c r="F392" s="8" t="s">
        <v>20</v>
      </c>
      <c r="G392" s="8" t="s">
        <v>21</v>
      </c>
      <c r="H392" s="9">
        <v>12449.38</v>
      </c>
      <c r="I392" s="8">
        <v>7</v>
      </c>
      <c r="J392" s="10">
        <v>786.53</v>
      </c>
      <c r="K392" s="17" t="str" cm="1">
        <f t="array" ref="K392">_xlfn.IFS(Table43[[#This Row],[Sales]]&gt;40000,"Best Sales",Table43[[#This Row],[Sales]]&gt;20000,"Average Sales",Table43[[#This Row],[Sales]]&gt;0,"Poor Sales")</f>
        <v>Poor Sales</v>
      </c>
      <c r="L392" s="12">
        <f>YEAR(Table43[[#This Row],[Date]])</f>
        <v>2023</v>
      </c>
      <c r="M392" s="12">
        <f>MONTH(Table43[[#This Row],[Date]])</f>
        <v>1</v>
      </c>
      <c r="N392" s="13">
        <f>DAY(Table43[[#This Row],[Date]])</f>
        <v>16</v>
      </c>
      <c r="O392" s="13" t="str">
        <f>TEXT(DATE(2023,Table43[[#This Row],[Month]],1),"mmm")</f>
        <v>Jan</v>
      </c>
      <c r="P392" s="13"/>
      <c r="Q392" s="13"/>
    </row>
    <row r="393" spans="1:17" x14ac:dyDescent="0.3">
      <c r="A393" s="14">
        <v>392</v>
      </c>
      <c r="B393" s="15">
        <v>45211</v>
      </c>
      <c r="C393" s="16" t="s">
        <v>22</v>
      </c>
      <c r="D393" s="16" t="s">
        <v>23</v>
      </c>
      <c r="E393" s="16" t="s">
        <v>19</v>
      </c>
      <c r="F393" s="16" t="s">
        <v>31</v>
      </c>
      <c r="G393" s="16" t="s">
        <v>32</v>
      </c>
      <c r="H393" s="17">
        <v>12941.19</v>
      </c>
      <c r="I393" s="16">
        <v>4</v>
      </c>
      <c r="J393" s="18">
        <v>1257.8900000000001</v>
      </c>
      <c r="K393" s="17" t="str" cm="1">
        <f t="array" ref="K393">_xlfn.IFS(Table43[[#This Row],[Sales]]&gt;40000,"Best Sales",Table43[[#This Row],[Sales]]&gt;20000,"Average Sales",Table43[[#This Row],[Sales]]&gt;0,"Poor Sales")</f>
        <v>Poor Sales</v>
      </c>
      <c r="L393" s="12">
        <f>YEAR(Table43[[#This Row],[Date]])</f>
        <v>2023</v>
      </c>
      <c r="M393" s="12">
        <f>MONTH(Table43[[#This Row],[Date]])</f>
        <v>10</v>
      </c>
      <c r="N393" s="13">
        <f>DAY(Table43[[#This Row],[Date]])</f>
        <v>12</v>
      </c>
      <c r="O393" s="13" t="str">
        <f>TEXT(DATE(2023,Table43[[#This Row],[Month]],1),"mmm")</f>
        <v>Oct</v>
      </c>
      <c r="P393" s="13"/>
      <c r="Q393" s="13"/>
    </row>
    <row r="394" spans="1:17" x14ac:dyDescent="0.3">
      <c r="A394" s="6">
        <v>393</v>
      </c>
      <c r="B394" s="7">
        <v>45166</v>
      </c>
      <c r="C394" s="8" t="s">
        <v>37</v>
      </c>
      <c r="D394" s="8" t="s">
        <v>23</v>
      </c>
      <c r="E394" s="8" t="s">
        <v>24</v>
      </c>
      <c r="F394" s="8" t="s">
        <v>31</v>
      </c>
      <c r="G394" s="8" t="s">
        <v>35</v>
      </c>
      <c r="H394" s="9">
        <v>22201.1</v>
      </c>
      <c r="I394" s="8">
        <v>6</v>
      </c>
      <c r="J394" s="10">
        <v>4513.6000000000004</v>
      </c>
      <c r="K394" s="17" t="str" cm="1">
        <f t="array" ref="K394">_xlfn.IFS(Table43[[#This Row],[Sales]]&gt;40000,"Best Sales",Table43[[#This Row],[Sales]]&gt;20000,"Average Sales",Table43[[#This Row],[Sales]]&gt;0,"Poor Sales")</f>
        <v>Average Sales</v>
      </c>
      <c r="L394" s="12">
        <f>YEAR(Table43[[#This Row],[Date]])</f>
        <v>2023</v>
      </c>
      <c r="M394" s="12">
        <f>MONTH(Table43[[#This Row],[Date]])</f>
        <v>8</v>
      </c>
      <c r="N394" s="13">
        <f>DAY(Table43[[#This Row],[Date]])</f>
        <v>28</v>
      </c>
      <c r="O394" s="13" t="str">
        <f>TEXT(DATE(2023,Table43[[#This Row],[Month]],1),"mmm")</f>
        <v>Aug</v>
      </c>
      <c r="P394" s="13"/>
      <c r="Q394" s="13"/>
    </row>
    <row r="395" spans="1:17" x14ac:dyDescent="0.3">
      <c r="A395" s="14">
        <v>394</v>
      </c>
      <c r="B395" s="15">
        <v>45112</v>
      </c>
      <c r="C395" s="16" t="s">
        <v>44</v>
      </c>
      <c r="D395" s="16" t="s">
        <v>34</v>
      </c>
      <c r="E395" s="16" t="s">
        <v>19</v>
      </c>
      <c r="F395" s="16" t="s">
        <v>20</v>
      </c>
      <c r="G395" s="16" t="s">
        <v>21</v>
      </c>
      <c r="H395" s="17">
        <v>32017.52</v>
      </c>
      <c r="I395" s="16">
        <v>9</v>
      </c>
      <c r="J395" s="18">
        <v>6657.95</v>
      </c>
      <c r="K395" s="17" t="str" cm="1">
        <f t="array" ref="K395">_xlfn.IFS(Table43[[#This Row],[Sales]]&gt;40000,"Best Sales",Table43[[#This Row],[Sales]]&gt;20000,"Average Sales",Table43[[#This Row],[Sales]]&gt;0,"Poor Sales")</f>
        <v>Average Sales</v>
      </c>
      <c r="L395" s="12">
        <f>YEAR(Table43[[#This Row],[Date]])</f>
        <v>2023</v>
      </c>
      <c r="M395" s="12">
        <f>MONTH(Table43[[#This Row],[Date]])</f>
        <v>7</v>
      </c>
      <c r="N395" s="13">
        <f>DAY(Table43[[#This Row],[Date]])</f>
        <v>5</v>
      </c>
      <c r="O395" s="13" t="str">
        <f>TEXT(DATE(2023,Table43[[#This Row],[Month]],1),"mmm")</f>
        <v>Jul</v>
      </c>
      <c r="P395" s="13"/>
      <c r="Q395" s="13"/>
    </row>
    <row r="396" spans="1:17" x14ac:dyDescent="0.3">
      <c r="A396" s="6">
        <v>395</v>
      </c>
      <c r="B396" s="7">
        <v>45042</v>
      </c>
      <c r="C396" s="8" t="s">
        <v>37</v>
      </c>
      <c r="D396" s="8" t="s">
        <v>23</v>
      </c>
      <c r="E396" s="8" t="s">
        <v>24</v>
      </c>
      <c r="F396" s="8" t="s">
        <v>20</v>
      </c>
      <c r="G396" s="8" t="s">
        <v>41</v>
      </c>
      <c r="H396" s="9">
        <v>9140.99</v>
      </c>
      <c r="I396" s="8">
        <v>9</v>
      </c>
      <c r="J396" s="10">
        <v>1852.84</v>
      </c>
      <c r="K396" s="17" t="str" cm="1">
        <f t="array" ref="K396">_xlfn.IFS(Table43[[#This Row],[Sales]]&gt;40000,"Best Sales",Table43[[#This Row],[Sales]]&gt;20000,"Average Sales",Table43[[#This Row],[Sales]]&gt;0,"Poor Sales")</f>
        <v>Poor Sales</v>
      </c>
      <c r="L396" s="12">
        <f>YEAR(Table43[[#This Row],[Date]])</f>
        <v>2023</v>
      </c>
      <c r="M396" s="12">
        <f>MONTH(Table43[[#This Row],[Date]])</f>
        <v>4</v>
      </c>
      <c r="N396" s="13">
        <f>DAY(Table43[[#This Row],[Date]])</f>
        <v>26</v>
      </c>
      <c r="O396" s="13" t="str">
        <f>TEXT(DATE(2023,Table43[[#This Row],[Month]],1),"mmm")</f>
        <v>Apr</v>
      </c>
      <c r="P396" s="13"/>
      <c r="Q396" s="13"/>
    </row>
    <row r="397" spans="1:17" x14ac:dyDescent="0.3">
      <c r="A397" s="14">
        <v>396</v>
      </c>
      <c r="B397" s="15">
        <v>44996</v>
      </c>
      <c r="C397" s="16" t="s">
        <v>17</v>
      </c>
      <c r="D397" s="16" t="s">
        <v>18</v>
      </c>
      <c r="E397" s="16" t="s">
        <v>27</v>
      </c>
      <c r="F397" s="16" t="s">
        <v>31</v>
      </c>
      <c r="G397" s="16" t="s">
        <v>35</v>
      </c>
      <c r="H397" s="17">
        <v>31801.74</v>
      </c>
      <c r="I397" s="16">
        <v>5</v>
      </c>
      <c r="J397" s="18">
        <v>4975.09</v>
      </c>
      <c r="K397" s="17" t="str" cm="1">
        <f t="array" ref="K397">_xlfn.IFS(Table43[[#This Row],[Sales]]&gt;40000,"Best Sales",Table43[[#This Row],[Sales]]&gt;20000,"Average Sales",Table43[[#This Row],[Sales]]&gt;0,"Poor Sales")</f>
        <v>Average Sales</v>
      </c>
      <c r="L397" s="12">
        <f>YEAR(Table43[[#This Row],[Date]])</f>
        <v>2023</v>
      </c>
      <c r="M397" s="12">
        <f>MONTH(Table43[[#This Row],[Date]])</f>
        <v>3</v>
      </c>
      <c r="N397" s="13">
        <f>DAY(Table43[[#This Row],[Date]])</f>
        <v>11</v>
      </c>
      <c r="O397" s="13" t="str">
        <f>TEXT(DATE(2023,Table43[[#This Row],[Month]],1),"mmm")</f>
        <v>Mar</v>
      </c>
      <c r="P397" s="13"/>
      <c r="Q397" s="13"/>
    </row>
    <row r="398" spans="1:17" x14ac:dyDescent="0.3">
      <c r="A398" s="6">
        <v>397</v>
      </c>
      <c r="B398" s="7">
        <v>45180</v>
      </c>
      <c r="C398" s="8" t="s">
        <v>29</v>
      </c>
      <c r="D398" s="8" t="s">
        <v>29</v>
      </c>
      <c r="E398" s="8" t="s">
        <v>27</v>
      </c>
      <c r="F398" s="8" t="s">
        <v>20</v>
      </c>
      <c r="G398" s="8" t="s">
        <v>41</v>
      </c>
      <c r="H398" s="9">
        <v>18034.93</v>
      </c>
      <c r="I398" s="8">
        <v>1</v>
      </c>
      <c r="J398" s="10">
        <v>2248.6999999999998</v>
      </c>
      <c r="K398" s="17" t="str" cm="1">
        <f t="array" ref="K398">_xlfn.IFS(Table43[[#This Row],[Sales]]&gt;40000,"Best Sales",Table43[[#This Row],[Sales]]&gt;20000,"Average Sales",Table43[[#This Row],[Sales]]&gt;0,"Poor Sales")</f>
        <v>Poor Sales</v>
      </c>
      <c r="L398" s="12">
        <f>YEAR(Table43[[#This Row],[Date]])</f>
        <v>2023</v>
      </c>
      <c r="M398" s="12">
        <f>MONTH(Table43[[#This Row],[Date]])</f>
        <v>9</v>
      </c>
      <c r="N398" s="13">
        <f>DAY(Table43[[#This Row],[Date]])</f>
        <v>11</v>
      </c>
      <c r="O398" s="13" t="str">
        <f>TEXT(DATE(2023,Table43[[#This Row],[Month]],1),"mmm")</f>
        <v>Sep</v>
      </c>
      <c r="P398" s="13"/>
      <c r="Q398" s="13"/>
    </row>
    <row r="399" spans="1:17" x14ac:dyDescent="0.3">
      <c r="A399" s="14">
        <v>398</v>
      </c>
      <c r="B399" s="15">
        <v>44941</v>
      </c>
      <c r="C399" s="16" t="s">
        <v>44</v>
      </c>
      <c r="D399" s="16" t="s">
        <v>34</v>
      </c>
      <c r="E399" s="16" t="s">
        <v>19</v>
      </c>
      <c r="F399" s="16" t="s">
        <v>20</v>
      </c>
      <c r="G399" s="16" t="s">
        <v>28</v>
      </c>
      <c r="H399" s="17">
        <v>29008.89</v>
      </c>
      <c r="I399" s="16">
        <v>3</v>
      </c>
      <c r="J399" s="18">
        <v>6564.12</v>
      </c>
      <c r="K399" s="17" t="str" cm="1">
        <f t="array" ref="K399">_xlfn.IFS(Table43[[#This Row],[Sales]]&gt;40000,"Best Sales",Table43[[#This Row],[Sales]]&gt;20000,"Average Sales",Table43[[#This Row],[Sales]]&gt;0,"Poor Sales")</f>
        <v>Average Sales</v>
      </c>
      <c r="L399" s="12">
        <f>YEAR(Table43[[#This Row],[Date]])</f>
        <v>2023</v>
      </c>
      <c r="M399" s="12">
        <f>MONTH(Table43[[#This Row],[Date]])</f>
        <v>1</v>
      </c>
      <c r="N399" s="13">
        <f>DAY(Table43[[#This Row],[Date]])</f>
        <v>15</v>
      </c>
      <c r="O399" s="13" t="str">
        <f>TEXT(DATE(2023,Table43[[#This Row],[Month]],1),"mmm")</f>
        <v>Jan</v>
      </c>
      <c r="P399" s="13"/>
      <c r="Q399" s="13"/>
    </row>
    <row r="400" spans="1:17" x14ac:dyDescent="0.3">
      <c r="A400" s="6">
        <v>399</v>
      </c>
      <c r="B400" s="7">
        <v>45171</v>
      </c>
      <c r="C400" s="8" t="s">
        <v>29</v>
      </c>
      <c r="D400" s="8" t="s">
        <v>29</v>
      </c>
      <c r="E400" s="8" t="s">
        <v>24</v>
      </c>
      <c r="F400" s="8" t="s">
        <v>20</v>
      </c>
      <c r="G400" s="8" t="s">
        <v>41</v>
      </c>
      <c r="H400" s="9">
        <v>23170.27</v>
      </c>
      <c r="I400" s="8">
        <v>7</v>
      </c>
      <c r="J400" s="10">
        <v>3487.51</v>
      </c>
      <c r="K400" s="17" t="str" cm="1">
        <f t="array" ref="K400">_xlfn.IFS(Table43[[#This Row],[Sales]]&gt;40000,"Best Sales",Table43[[#This Row],[Sales]]&gt;20000,"Average Sales",Table43[[#This Row],[Sales]]&gt;0,"Poor Sales")</f>
        <v>Average Sales</v>
      </c>
      <c r="L400" s="12">
        <f>YEAR(Table43[[#This Row],[Date]])</f>
        <v>2023</v>
      </c>
      <c r="M400" s="12">
        <f>MONTH(Table43[[#This Row],[Date]])</f>
        <v>9</v>
      </c>
      <c r="N400" s="13">
        <f>DAY(Table43[[#This Row],[Date]])</f>
        <v>2</v>
      </c>
      <c r="O400" s="13" t="str">
        <f>TEXT(DATE(2023,Table43[[#This Row],[Month]],1),"mmm")</f>
        <v>Sep</v>
      </c>
      <c r="P400" s="13"/>
      <c r="Q400" s="13"/>
    </row>
    <row r="401" spans="1:17" x14ac:dyDescent="0.3">
      <c r="A401" s="14">
        <v>400</v>
      </c>
      <c r="B401" s="15">
        <v>45225</v>
      </c>
      <c r="C401" s="16" t="s">
        <v>29</v>
      </c>
      <c r="D401" s="16" t="s">
        <v>29</v>
      </c>
      <c r="E401" s="16" t="s">
        <v>19</v>
      </c>
      <c r="F401" s="16" t="s">
        <v>20</v>
      </c>
      <c r="G401" s="16" t="s">
        <v>21</v>
      </c>
      <c r="H401" s="17">
        <v>17142.79</v>
      </c>
      <c r="I401" s="16">
        <v>5</v>
      </c>
      <c r="J401" s="18">
        <v>4739.3999999999996</v>
      </c>
      <c r="K401" s="17" t="str" cm="1">
        <f t="array" ref="K401">_xlfn.IFS(Table43[[#This Row],[Sales]]&gt;40000,"Best Sales",Table43[[#This Row],[Sales]]&gt;20000,"Average Sales",Table43[[#This Row],[Sales]]&gt;0,"Poor Sales")</f>
        <v>Poor Sales</v>
      </c>
      <c r="L401" s="12">
        <f>YEAR(Table43[[#This Row],[Date]])</f>
        <v>2023</v>
      </c>
      <c r="M401" s="12">
        <f>MONTH(Table43[[#This Row],[Date]])</f>
        <v>10</v>
      </c>
      <c r="N401" s="13">
        <f>DAY(Table43[[#This Row],[Date]])</f>
        <v>26</v>
      </c>
      <c r="O401" s="13" t="str">
        <f>TEXT(DATE(2023,Table43[[#This Row],[Month]],1),"mmm")</f>
        <v>Oct</v>
      </c>
      <c r="P401" s="13"/>
      <c r="Q401" s="13"/>
    </row>
    <row r="402" spans="1:17" x14ac:dyDescent="0.3">
      <c r="A402" s="6">
        <v>401</v>
      </c>
      <c r="B402" s="7">
        <v>45188</v>
      </c>
      <c r="C402" s="8" t="s">
        <v>29</v>
      </c>
      <c r="D402" s="8" t="s">
        <v>29</v>
      </c>
      <c r="E402" s="8" t="s">
        <v>24</v>
      </c>
      <c r="F402" s="8" t="s">
        <v>20</v>
      </c>
      <c r="G402" s="8" t="s">
        <v>41</v>
      </c>
      <c r="H402" s="9">
        <v>2524.96</v>
      </c>
      <c r="I402" s="8">
        <v>4</v>
      </c>
      <c r="J402" s="10">
        <v>350.09</v>
      </c>
      <c r="K402" s="17" t="str" cm="1">
        <f t="array" ref="K402">_xlfn.IFS(Table43[[#This Row],[Sales]]&gt;40000,"Best Sales",Table43[[#This Row],[Sales]]&gt;20000,"Average Sales",Table43[[#This Row],[Sales]]&gt;0,"Poor Sales")</f>
        <v>Poor Sales</v>
      </c>
      <c r="L402" s="12">
        <f>YEAR(Table43[[#This Row],[Date]])</f>
        <v>2023</v>
      </c>
      <c r="M402" s="12">
        <f>MONTH(Table43[[#This Row],[Date]])</f>
        <v>9</v>
      </c>
      <c r="N402" s="13">
        <f>DAY(Table43[[#This Row],[Date]])</f>
        <v>19</v>
      </c>
      <c r="O402" s="13" t="str">
        <f>TEXT(DATE(2023,Table43[[#This Row],[Month]],1),"mmm")</f>
        <v>Sep</v>
      </c>
      <c r="P402" s="13"/>
      <c r="Q402" s="13"/>
    </row>
    <row r="403" spans="1:17" x14ac:dyDescent="0.3">
      <c r="A403" s="14">
        <v>402</v>
      </c>
      <c r="B403" s="15">
        <v>45155</v>
      </c>
      <c r="C403" s="16" t="s">
        <v>25</v>
      </c>
      <c r="D403" s="16" t="s">
        <v>26</v>
      </c>
      <c r="E403" s="16" t="s">
        <v>27</v>
      </c>
      <c r="F403" s="16" t="s">
        <v>31</v>
      </c>
      <c r="G403" s="16" t="s">
        <v>35</v>
      </c>
      <c r="H403" s="17">
        <v>42834.37</v>
      </c>
      <c r="I403" s="16">
        <v>4</v>
      </c>
      <c r="J403" s="18">
        <v>4416.7700000000004</v>
      </c>
      <c r="K403" s="17" t="str" cm="1">
        <f t="array" ref="K403">_xlfn.IFS(Table43[[#This Row],[Sales]]&gt;40000,"Best Sales",Table43[[#This Row],[Sales]]&gt;20000,"Average Sales",Table43[[#This Row],[Sales]]&gt;0,"Poor Sales")</f>
        <v>Best Sales</v>
      </c>
      <c r="L403" s="12">
        <f>YEAR(Table43[[#This Row],[Date]])</f>
        <v>2023</v>
      </c>
      <c r="M403" s="12">
        <f>MONTH(Table43[[#This Row],[Date]])</f>
        <v>8</v>
      </c>
      <c r="N403" s="13">
        <f>DAY(Table43[[#This Row],[Date]])</f>
        <v>17</v>
      </c>
      <c r="O403" s="13" t="str">
        <f>TEXT(DATE(2023,Table43[[#This Row],[Month]],1),"mmm")</f>
        <v>Aug</v>
      </c>
      <c r="P403" s="13"/>
      <c r="Q403" s="13"/>
    </row>
    <row r="404" spans="1:17" x14ac:dyDescent="0.3">
      <c r="A404" s="6">
        <v>403</v>
      </c>
      <c r="B404" s="7">
        <v>44974</v>
      </c>
      <c r="C404" s="8" t="s">
        <v>44</v>
      </c>
      <c r="D404" s="8" t="s">
        <v>34</v>
      </c>
      <c r="E404" s="8" t="s">
        <v>27</v>
      </c>
      <c r="F404" s="8" t="s">
        <v>31</v>
      </c>
      <c r="G404" s="8" t="s">
        <v>36</v>
      </c>
      <c r="H404" s="9">
        <v>42841.86</v>
      </c>
      <c r="I404" s="8">
        <v>5</v>
      </c>
      <c r="J404" s="10">
        <v>9517.9500000000007</v>
      </c>
      <c r="K404" s="17" t="str" cm="1">
        <f t="array" ref="K404">_xlfn.IFS(Table43[[#This Row],[Sales]]&gt;40000,"Best Sales",Table43[[#This Row],[Sales]]&gt;20000,"Average Sales",Table43[[#This Row],[Sales]]&gt;0,"Poor Sales")</f>
        <v>Best Sales</v>
      </c>
      <c r="L404" s="12">
        <f>YEAR(Table43[[#This Row],[Date]])</f>
        <v>2023</v>
      </c>
      <c r="M404" s="12">
        <f>MONTH(Table43[[#This Row],[Date]])</f>
        <v>2</v>
      </c>
      <c r="N404" s="13">
        <f>DAY(Table43[[#This Row],[Date]])</f>
        <v>17</v>
      </c>
      <c r="O404" s="13" t="str">
        <f>TEXT(DATE(2023,Table43[[#This Row],[Month]],1),"mmm")</f>
        <v>Feb</v>
      </c>
      <c r="P404" s="13"/>
      <c r="Q404" s="13"/>
    </row>
    <row r="405" spans="1:17" x14ac:dyDescent="0.3">
      <c r="A405" s="14">
        <v>404</v>
      </c>
      <c r="B405" s="15">
        <v>45135</v>
      </c>
      <c r="C405" s="16" t="s">
        <v>44</v>
      </c>
      <c r="D405" s="16" t="s">
        <v>34</v>
      </c>
      <c r="E405" s="16" t="s">
        <v>19</v>
      </c>
      <c r="F405" s="16" t="s">
        <v>20</v>
      </c>
      <c r="G405" s="16" t="s">
        <v>41</v>
      </c>
      <c r="H405" s="17">
        <v>11685.69</v>
      </c>
      <c r="I405" s="16">
        <v>7</v>
      </c>
      <c r="J405" s="18">
        <v>1915.68</v>
      </c>
      <c r="K405" s="17" t="str" cm="1">
        <f t="array" ref="K405">_xlfn.IFS(Table43[[#This Row],[Sales]]&gt;40000,"Best Sales",Table43[[#This Row],[Sales]]&gt;20000,"Average Sales",Table43[[#This Row],[Sales]]&gt;0,"Poor Sales")</f>
        <v>Poor Sales</v>
      </c>
      <c r="L405" s="12">
        <f>YEAR(Table43[[#This Row],[Date]])</f>
        <v>2023</v>
      </c>
      <c r="M405" s="12">
        <f>MONTH(Table43[[#This Row],[Date]])</f>
        <v>7</v>
      </c>
      <c r="N405" s="13">
        <f>DAY(Table43[[#This Row],[Date]])</f>
        <v>28</v>
      </c>
      <c r="O405" s="13" t="str">
        <f>TEXT(DATE(2023,Table43[[#This Row],[Month]],1),"mmm")</f>
        <v>Jul</v>
      </c>
      <c r="P405" s="13"/>
      <c r="Q405" s="13"/>
    </row>
    <row r="406" spans="1:17" x14ac:dyDescent="0.3">
      <c r="A406" s="6">
        <v>405</v>
      </c>
      <c r="B406" s="7">
        <v>45181</v>
      </c>
      <c r="C406" s="8" t="s">
        <v>25</v>
      </c>
      <c r="D406" s="8" t="s">
        <v>26</v>
      </c>
      <c r="E406" s="8" t="s">
        <v>24</v>
      </c>
      <c r="F406" s="8" t="s">
        <v>31</v>
      </c>
      <c r="G406" s="8" t="s">
        <v>32</v>
      </c>
      <c r="H406" s="9">
        <v>19564.080000000002</v>
      </c>
      <c r="I406" s="8">
        <v>4</v>
      </c>
      <c r="J406" s="10">
        <v>5174.68</v>
      </c>
      <c r="K406" s="17" t="str" cm="1">
        <f t="array" ref="K406">_xlfn.IFS(Table43[[#This Row],[Sales]]&gt;40000,"Best Sales",Table43[[#This Row],[Sales]]&gt;20000,"Average Sales",Table43[[#This Row],[Sales]]&gt;0,"Poor Sales")</f>
        <v>Poor Sales</v>
      </c>
      <c r="L406" s="12">
        <f>YEAR(Table43[[#This Row],[Date]])</f>
        <v>2023</v>
      </c>
      <c r="M406" s="12">
        <f>MONTH(Table43[[#This Row],[Date]])</f>
        <v>9</v>
      </c>
      <c r="N406" s="13">
        <f>DAY(Table43[[#This Row],[Date]])</f>
        <v>12</v>
      </c>
      <c r="O406" s="13" t="str">
        <f>TEXT(DATE(2023,Table43[[#This Row],[Month]],1),"mmm")</f>
        <v>Sep</v>
      </c>
      <c r="P406" s="13"/>
      <c r="Q406" s="13"/>
    </row>
    <row r="407" spans="1:17" x14ac:dyDescent="0.3">
      <c r="A407" s="14">
        <v>406</v>
      </c>
      <c r="B407" s="15">
        <v>45190</v>
      </c>
      <c r="C407" s="16" t="s">
        <v>37</v>
      </c>
      <c r="D407" s="16" t="s">
        <v>23</v>
      </c>
      <c r="E407" s="16" t="s">
        <v>19</v>
      </c>
      <c r="F407" s="16" t="s">
        <v>20</v>
      </c>
      <c r="G407" s="16" t="s">
        <v>41</v>
      </c>
      <c r="H407" s="17">
        <v>19188.95</v>
      </c>
      <c r="I407" s="16">
        <v>8</v>
      </c>
      <c r="J407" s="18">
        <v>4252.95</v>
      </c>
      <c r="K407" s="17" t="str" cm="1">
        <f t="array" ref="K407">_xlfn.IFS(Table43[[#This Row],[Sales]]&gt;40000,"Best Sales",Table43[[#This Row],[Sales]]&gt;20000,"Average Sales",Table43[[#This Row],[Sales]]&gt;0,"Poor Sales")</f>
        <v>Poor Sales</v>
      </c>
      <c r="L407" s="12">
        <f>YEAR(Table43[[#This Row],[Date]])</f>
        <v>2023</v>
      </c>
      <c r="M407" s="12">
        <f>MONTH(Table43[[#This Row],[Date]])</f>
        <v>9</v>
      </c>
      <c r="N407" s="13">
        <f>DAY(Table43[[#This Row],[Date]])</f>
        <v>21</v>
      </c>
      <c r="O407" s="13" t="str">
        <f>TEXT(DATE(2023,Table43[[#This Row],[Month]],1),"mmm")</f>
        <v>Sep</v>
      </c>
      <c r="P407" s="13"/>
      <c r="Q407" s="13"/>
    </row>
    <row r="408" spans="1:17" x14ac:dyDescent="0.3">
      <c r="A408" s="6">
        <v>407</v>
      </c>
      <c r="B408" s="7">
        <v>45030</v>
      </c>
      <c r="C408" s="8" t="s">
        <v>42</v>
      </c>
      <c r="D408" s="8" t="s">
        <v>43</v>
      </c>
      <c r="E408" s="8" t="s">
        <v>24</v>
      </c>
      <c r="F408" s="8" t="s">
        <v>20</v>
      </c>
      <c r="G408" s="8" t="s">
        <v>21</v>
      </c>
      <c r="H408" s="9">
        <v>48474.84</v>
      </c>
      <c r="I408" s="8">
        <v>10</v>
      </c>
      <c r="J408" s="10">
        <v>4164.55</v>
      </c>
      <c r="K408" s="17" t="str" cm="1">
        <f t="array" ref="K408">_xlfn.IFS(Table43[[#This Row],[Sales]]&gt;40000,"Best Sales",Table43[[#This Row],[Sales]]&gt;20000,"Average Sales",Table43[[#This Row],[Sales]]&gt;0,"Poor Sales")</f>
        <v>Best Sales</v>
      </c>
      <c r="L408" s="12">
        <f>YEAR(Table43[[#This Row],[Date]])</f>
        <v>2023</v>
      </c>
      <c r="M408" s="12">
        <f>MONTH(Table43[[#This Row],[Date]])</f>
        <v>4</v>
      </c>
      <c r="N408" s="13">
        <f>DAY(Table43[[#This Row],[Date]])</f>
        <v>14</v>
      </c>
      <c r="O408" s="13" t="str">
        <f>TEXT(DATE(2023,Table43[[#This Row],[Month]],1),"mmm")</f>
        <v>Apr</v>
      </c>
      <c r="P408" s="13"/>
      <c r="Q408" s="13"/>
    </row>
    <row r="409" spans="1:17" x14ac:dyDescent="0.3">
      <c r="A409" s="14">
        <v>408</v>
      </c>
      <c r="B409" s="15">
        <v>44933</v>
      </c>
      <c r="C409" s="16" t="s">
        <v>42</v>
      </c>
      <c r="D409" s="16" t="s">
        <v>43</v>
      </c>
      <c r="E409" s="16" t="s">
        <v>27</v>
      </c>
      <c r="F409" s="16" t="s">
        <v>20</v>
      </c>
      <c r="G409" s="16" t="s">
        <v>28</v>
      </c>
      <c r="H409" s="17">
        <v>36147.51</v>
      </c>
      <c r="I409" s="16">
        <v>8</v>
      </c>
      <c r="J409" s="18">
        <v>7327.76</v>
      </c>
      <c r="K409" s="17" t="str" cm="1">
        <f t="array" ref="K409">_xlfn.IFS(Table43[[#This Row],[Sales]]&gt;40000,"Best Sales",Table43[[#This Row],[Sales]]&gt;20000,"Average Sales",Table43[[#This Row],[Sales]]&gt;0,"Poor Sales")</f>
        <v>Average Sales</v>
      </c>
      <c r="L409" s="12">
        <f>YEAR(Table43[[#This Row],[Date]])</f>
        <v>2023</v>
      </c>
      <c r="M409" s="12">
        <f>MONTH(Table43[[#This Row],[Date]])</f>
        <v>1</v>
      </c>
      <c r="N409" s="13">
        <f>DAY(Table43[[#This Row],[Date]])</f>
        <v>7</v>
      </c>
      <c r="O409" s="13" t="str">
        <f>TEXT(DATE(2023,Table43[[#This Row],[Month]],1),"mmm")</f>
        <v>Jan</v>
      </c>
      <c r="P409" s="13"/>
      <c r="Q409" s="13"/>
    </row>
    <row r="410" spans="1:17" x14ac:dyDescent="0.3">
      <c r="A410" s="6">
        <v>409</v>
      </c>
      <c r="B410" s="7">
        <v>45154</v>
      </c>
      <c r="C410" s="8" t="s">
        <v>22</v>
      </c>
      <c r="D410" s="8" t="s">
        <v>23</v>
      </c>
      <c r="E410" s="8" t="s">
        <v>27</v>
      </c>
      <c r="F410" s="8" t="s">
        <v>20</v>
      </c>
      <c r="G410" s="8" t="s">
        <v>28</v>
      </c>
      <c r="H410" s="9">
        <v>15852.65</v>
      </c>
      <c r="I410" s="8">
        <v>5</v>
      </c>
      <c r="J410" s="10">
        <v>1225.72</v>
      </c>
      <c r="K410" s="17" t="str" cm="1">
        <f t="array" ref="K410">_xlfn.IFS(Table43[[#This Row],[Sales]]&gt;40000,"Best Sales",Table43[[#This Row],[Sales]]&gt;20000,"Average Sales",Table43[[#This Row],[Sales]]&gt;0,"Poor Sales")</f>
        <v>Poor Sales</v>
      </c>
      <c r="L410" s="12">
        <f>YEAR(Table43[[#This Row],[Date]])</f>
        <v>2023</v>
      </c>
      <c r="M410" s="12">
        <f>MONTH(Table43[[#This Row],[Date]])</f>
        <v>8</v>
      </c>
      <c r="N410" s="13">
        <f>DAY(Table43[[#This Row],[Date]])</f>
        <v>16</v>
      </c>
      <c r="O410" s="13" t="str">
        <f>TEXT(DATE(2023,Table43[[#This Row],[Month]],1),"mmm")</f>
        <v>Aug</v>
      </c>
      <c r="P410" s="13"/>
      <c r="Q410" s="13"/>
    </row>
    <row r="411" spans="1:17" x14ac:dyDescent="0.3">
      <c r="A411" s="14">
        <v>410</v>
      </c>
      <c r="B411" s="15">
        <v>45231</v>
      </c>
      <c r="C411" s="16" t="s">
        <v>33</v>
      </c>
      <c r="D411" s="16" t="s">
        <v>34</v>
      </c>
      <c r="E411" s="16" t="s">
        <v>19</v>
      </c>
      <c r="F411" s="16" t="s">
        <v>38</v>
      </c>
      <c r="G411" s="16" t="s">
        <v>39</v>
      </c>
      <c r="H411" s="17">
        <v>39386.74</v>
      </c>
      <c r="I411" s="16">
        <v>8</v>
      </c>
      <c r="J411" s="18">
        <v>5212.04</v>
      </c>
      <c r="K411" s="17" t="str" cm="1">
        <f t="array" ref="K411">_xlfn.IFS(Table43[[#This Row],[Sales]]&gt;40000,"Best Sales",Table43[[#This Row],[Sales]]&gt;20000,"Average Sales",Table43[[#This Row],[Sales]]&gt;0,"Poor Sales")</f>
        <v>Average Sales</v>
      </c>
      <c r="L411" s="12">
        <f>YEAR(Table43[[#This Row],[Date]])</f>
        <v>2023</v>
      </c>
      <c r="M411" s="12">
        <f>MONTH(Table43[[#This Row],[Date]])</f>
        <v>11</v>
      </c>
      <c r="N411" s="13">
        <f>DAY(Table43[[#This Row],[Date]])</f>
        <v>1</v>
      </c>
      <c r="O411" s="13" t="str">
        <f>TEXT(DATE(2023,Table43[[#This Row],[Month]],1),"mmm")</f>
        <v>Nov</v>
      </c>
      <c r="P411" s="13"/>
      <c r="Q411" s="13"/>
    </row>
    <row r="412" spans="1:17" x14ac:dyDescent="0.3">
      <c r="A412" s="6">
        <v>411</v>
      </c>
      <c r="B412" s="7">
        <v>45234</v>
      </c>
      <c r="C412" s="8" t="s">
        <v>42</v>
      </c>
      <c r="D412" s="8" t="s">
        <v>43</v>
      </c>
      <c r="E412" s="8" t="s">
        <v>24</v>
      </c>
      <c r="F412" s="8" t="s">
        <v>38</v>
      </c>
      <c r="G412" s="8" t="s">
        <v>40</v>
      </c>
      <c r="H412" s="9">
        <v>1072.04</v>
      </c>
      <c r="I412" s="8">
        <v>1</v>
      </c>
      <c r="J412" s="10">
        <v>258.16000000000003</v>
      </c>
      <c r="K412" s="17" t="str" cm="1">
        <f t="array" ref="K412">_xlfn.IFS(Table43[[#This Row],[Sales]]&gt;40000,"Best Sales",Table43[[#This Row],[Sales]]&gt;20000,"Average Sales",Table43[[#This Row],[Sales]]&gt;0,"Poor Sales")</f>
        <v>Poor Sales</v>
      </c>
      <c r="L412" s="12">
        <f>YEAR(Table43[[#This Row],[Date]])</f>
        <v>2023</v>
      </c>
      <c r="M412" s="12">
        <f>MONTH(Table43[[#This Row],[Date]])</f>
        <v>11</v>
      </c>
      <c r="N412" s="13">
        <f>DAY(Table43[[#This Row],[Date]])</f>
        <v>4</v>
      </c>
      <c r="O412" s="13" t="str">
        <f>TEXT(DATE(2023,Table43[[#This Row],[Month]],1),"mmm")</f>
        <v>Nov</v>
      </c>
      <c r="P412" s="13"/>
      <c r="Q412" s="13"/>
    </row>
    <row r="413" spans="1:17" x14ac:dyDescent="0.3">
      <c r="A413" s="14">
        <v>412</v>
      </c>
      <c r="B413" s="15">
        <v>45107</v>
      </c>
      <c r="C413" s="16" t="s">
        <v>37</v>
      </c>
      <c r="D413" s="16" t="s">
        <v>23</v>
      </c>
      <c r="E413" s="16" t="s">
        <v>19</v>
      </c>
      <c r="F413" s="16" t="s">
        <v>20</v>
      </c>
      <c r="G413" s="16" t="s">
        <v>28</v>
      </c>
      <c r="H413" s="17">
        <v>34096.050000000003</v>
      </c>
      <c r="I413" s="16">
        <v>5</v>
      </c>
      <c r="J413" s="18">
        <v>8352.9</v>
      </c>
      <c r="K413" s="17" t="str" cm="1">
        <f t="array" ref="K413">_xlfn.IFS(Table43[[#This Row],[Sales]]&gt;40000,"Best Sales",Table43[[#This Row],[Sales]]&gt;20000,"Average Sales",Table43[[#This Row],[Sales]]&gt;0,"Poor Sales")</f>
        <v>Average Sales</v>
      </c>
      <c r="L413" s="12">
        <f>YEAR(Table43[[#This Row],[Date]])</f>
        <v>2023</v>
      </c>
      <c r="M413" s="12">
        <f>MONTH(Table43[[#This Row],[Date]])</f>
        <v>6</v>
      </c>
      <c r="N413" s="13">
        <f>DAY(Table43[[#This Row],[Date]])</f>
        <v>30</v>
      </c>
      <c r="O413" s="13" t="str">
        <f>TEXT(DATE(2023,Table43[[#This Row],[Month]],1),"mmm")</f>
        <v>Jun</v>
      </c>
      <c r="P413" s="13"/>
      <c r="Q413" s="13"/>
    </row>
    <row r="414" spans="1:17" x14ac:dyDescent="0.3">
      <c r="A414" s="6">
        <v>413</v>
      </c>
      <c r="B414" s="7">
        <v>44985</v>
      </c>
      <c r="C414" s="8" t="s">
        <v>45</v>
      </c>
      <c r="D414" s="8" t="s">
        <v>34</v>
      </c>
      <c r="E414" s="8" t="s">
        <v>24</v>
      </c>
      <c r="F414" s="8" t="s">
        <v>31</v>
      </c>
      <c r="G414" s="8" t="s">
        <v>36</v>
      </c>
      <c r="H414" s="9">
        <v>21431.4</v>
      </c>
      <c r="I414" s="8">
        <v>6</v>
      </c>
      <c r="J414" s="10">
        <v>3110.02</v>
      </c>
      <c r="K414" s="17" t="str" cm="1">
        <f t="array" ref="K414">_xlfn.IFS(Table43[[#This Row],[Sales]]&gt;40000,"Best Sales",Table43[[#This Row],[Sales]]&gt;20000,"Average Sales",Table43[[#This Row],[Sales]]&gt;0,"Poor Sales")</f>
        <v>Average Sales</v>
      </c>
      <c r="L414" s="12">
        <f>YEAR(Table43[[#This Row],[Date]])</f>
        <v>2023</v>
      </c>
      <c r="M414" s="12">
        <f>MONTH(Table43[[#This Row],[Date]])</f>
        <v>2</v>
      </c>
      <c r="N414" s="13">
        <f>DAY(Table43[[#This Row],[Date]])</f>
        <v>28</v>
      </c>
      <c r="O414" s="13" t="str">
        <f>TEXT(DATE(2023,Table43[[#This Row],[Month]],1),"mmm")</f>
        <v>Feb</v>
      </c>
      <c r="P414" s="13"/>
      <c r="Q414" s="13"/>
    </row>
    <row r="415" spans="1:17" x14ac:dyDescent="0.3">
      <c r="A415" s="14">
        <v>414</v>
      </c>
      <c r="B415" s="15">
        <v>45197</v>
      </c>
      <c r="C415" s="16" t="s">
        <v>29</v>
      </c>
      <c r="D415" s="16" t="s">
        <v>29</v>
      </c>
      <c r="E415" s="16" t="s">
        <v>27</v>
      </c>
      <c r="F415" s="16" t="s">
        <v>38</v>
      </c>
      <c r="G415" s="16" t="s">
        <v>40</v>
      </c>
      <c r="H415" s="17">
        <v>49809.53</v>
      </c>
      <c r="I415" s="16">
        <v>10</v>
      </c>
      <c r="J415" s="18">
        <v>12615.9</v>
      </c>
      <c r="K415" s="17" t="str" cm="1">
        <f t="array" ref="K415">_xlfn.IFS(Table43[[#This Row],[Sales]]&gt;40000,"Best Sales",Table43[[#This Row],[Sales]]&gt;20000,"Average Sales",Table43[[#This Row],[Sales]]&gt;0,"Poor Sales")</f>
        <v>Best Sales</v>
      </c>
      <c r="L415" s="12">
        <f>YEAR(Table43[[#This Row],[Date]])</f>
        <v>2023</v>
      </c>
      <c r="M415" s="12">
        <f>MONTH(Table43[[#This Row],[Date]])</f>
        <v>9</v>
      </c>
      <c r="N415" s="13">
        <f>DAY(Table43[[#This Row],[Date]])</f>
        <v>28</v>
      </c>
      <c r="O415" s="13" t="str">
        <f>TEXT(DATE(2023,Table43[[#This Row],[Month]],1),"mmm")</f>
        <v>Sep</v>
      </c>
      <c r="P415" s="13"/>
      <c r="Q415" s="13"/>
    </row>
    <row r="416" spans="1:17" x14ac:dyDescent="0.3">
      <c r="A416" s="6">
        <v>415</v>
      </c>
      <c r="B416" s="7">
        <v>45168</v>
      </c>
      <c r="C416" s="8" t="s">
        <v>17</v>
      </c>
      <c r="D416" s="8" t="s">
        <v>18</v>
      </c>
      <c r="E416" s="8" t="s">
        <v>27</v>
      </c>
      <c r="F416" s="8" t="s">
        <v>20</v>
      </c>
      <c r="G416" s="8" t="s">
        <v>28</v>
      </c>
      <c r="H416" s="9">
        <v>37457.269999999997</v>
      </c>
      <c r="I416" s="8">
        <v>2</v>
      </c>
      <c r="J416" s="10">
        <v>2038.02</v>
      </c>
      <c r="K416" s="17" t="str" cm="1">
        <f t="array" ref="K416">_xlfn.IFS(Table43[[#This Row],[Sales]]&gt;40000,"Best Sales",Table43[[#This Row],[Sales]]&gt;20000,"Average Sales",Table43[[#This Row],[Sales]]&gt;0,"Poor Sales")</f>
        <v>Average Sales</v>
      </c>
      <c r="L416" s="12">
        <f>YEAR(Table43[[#This Row],[Date]])</f>
        <v>2023</v>
      </c>
      <c r="M416" s="12">
        <f>MONTH(Table43[[#This Row],[Date]])</f>
        <v>8</v>
      </c>
      <c r="N416" s="13">
        <f>DAY(Table43[[#This Row],[Date]])</f>
        <v>30</v>
      </c>
      <c r="O416" s="13" t="str">
        <f>TEXT(DATE(2023,Table43[[#This Row],[Month]],1),"mmm")</f>
        <v>Aug</v>
      </c>
      <c r="P416" s="13"/>
      <c r="Q416" s="13"/>
    </row>
    <row r="417" spans="1:17" x14ac:dyDescent="0.3">
      <c r="A417" s="14">
        <v>416</v>
      </c>
      <c r="B417" s="15">
        <v>45265</v>
      </c>
      <c r="C417" s="16" t="s">
        <v>25</v>
      </c>
      <c r="D417" s="16" t="s">
        <v>26</v>
      </c>
      <c r="E417" s="16" t="s">
        <v>19</v>
      </c>
      <c r="F417" s="16" t="s">
        <v>31</v>
      </c>
      <c r="G417" s="16" t="s">
        <v>32</v>
      </c>
      <c r="H417" s="17">
        <v>9482.2900000000009</v>
      </c>
      <c r="I417" s="16">
        <v>8</v>
      </c>
      <c r="J417" s="18">
        <v>1193.25</v>
      </c>
      <c r="K417" s="17" t="str" cm="1">
        <f t="array" ref="K417">_xlfn.IFS(Table43[[#This Row],[Sales]]&gt;40000,"Best Sales",Table43[[#This Row],[Sales]]&gt;20000,"Average Sales",Table43[[#This Row],[Sales]]&gt;0,"Poor Sales")</f>
        <v>Poor Sales</v>
      </c>
      <c r="L417" s="12">
        <f>YEAR(Table43[[#This Row],[Date]])</f>
        <v>2023</v>
      </c>
      <c r="M417" s="12">
        <f>MONTH(Table43[[#This Row],[Date]])</f>
        <v>12</v>
      </c>
      <c r="N417" s="13">
        <f>DAY(Table43[[#This Row],[Date]])</f>
        <v>5</v>
      </c>
      <c r="O417" s="13" t="str">
        <f>TEXT(DATE(2023,Table43[[#This Row],[Month]],1),"mmm")</f>
        <v>Dec</v>
      </c>
      <c r="P417" s="13"/>
      <c r="Q417" s="13"/>
    </row>
    <row r="418" spans="1:17" x14ac:dyDescent="0.3">
      <c r="A418" s="6">
        <v>417</v>
      </c>
      <c r="B418" s="7">
        <v>45099</v>
      </c>
      <c r="C418" s="8" t="s">
        <v>33</v>
      </c>
      <c r="D418" s="8" t="s">
        <v>34</v>
      </c>
      <c r="E418" s="8" t="s">
        <v>24</v>
      </c>
      <c r="F418" s="8" t="s">
        <v>31</v>
      </c>
      <c r="G418" s="8" t="s">
        <v>35</v>
      </c>
      <c r="H418" s="9">
        <v>35623</v>
      </c>
      <c r="I418" s="8">
        <v>7</v>
      </c>
      <c r="J418" s="10">
        <v>6475.03</v>
      </c>
      <c r="K418" s="17" t="str" cm="1">
        <f t="array" ref="K418">_xlfn.IFS(Table43[[#This Row],[Sales]]&gt;40000,"Best Sales",Table43[[#This Row],[Sales]]&gt;20000,"Average Sales",Table43[[#This Row],[Sales]]&gt;0,"Poor Sales")</f>
        <v>Average Sales</v>
      </c>
      <c r="L418" s="12">
        <f>YEAR(Table43[[#This Row],[Date]])</f>
        <v>2023</v>
      </c>
      <c r="M418" s="12">
        <f>MONTH(Table43[[#This Row],[Date]])</f>
        <v>6</v>
      </c>
      <c r="N418" s="13">
        <f>DAY(Table43[[#This Row],[Date]])</f>
        <v>22</v>
      </c>
      <c r="O418" s="13" t="str">
        <f>TEXT(DATE(2023,Table43[[#This Row],[Month]],1),"mmm")</f>
        <v>Jun</v>
      </c>
      <c r="P418" s="13"/>
      <c r="Q418" s="13"/>
    </row>
    <row r="419" spans="1:17" x14ac:dyDescent="0.3">
      <c r="A419" s="14">
        <v>418</v>
      </c>
      <c r="B419" s="15">
        <v>44953</v>
      </c>
      <c r="C419" s="16" t="s">
        <v>29</v>
      </c>
      <c r="D419" s="16" t="s">
        <v>29</v>
      </c>
      <c r="E419" s="16" t="s">
        <v>19</v>
      </c>
      <c r="F419" s="16" t="s">
        <v>38</v>
      </c>
      <c r="G419" s="16" t="s">
        <v>46</v>
      </c>
      <c r="H419" s="17">
        <v>46161.55</v>
      </c>
      <c r="I419" s="16">
        <v>8</v>
      </c>
      <c r="J419" s="18">
        <v>11578.56</v>
      </c>
      <c r="K419" s="17" t="str" cm="1">
        <f t="array" ref="K419">_xlfn.IFS(Table43[[#This Row],[Sales]]&gt;40000,"Best Sales",Table43[[#This Row],[Sales]]&gt;20000,"Average Sales",Table43[[#This Row],[Sales]]&gt;0,"Poor Sales")</f>
        <v>Best Sales</v>
      </c>
      <c r="L419" s="12">
        <f>YEAR(Table43[[#This Row],[Date]])</f>
        <v>2023</v>
      </c>
      <c r="M419" s="12">
        <f>MONTH(Table43[[#This Row],[Date]])</f>
        <v>1</v>
      </c>
      <c r="N419" s="13">
        <f>DAY(Table43[[#This Row],[Date]])</f>
        <v>27</v>
      </c>
      <c r="O419" s="13" t="str">
        <f>TEXT(DATE(2023,Table43[[#This Row],[Month]],1),"mmm")</f>
        <v>Jan</v>
      </c>
      <c r="P419" s="13"/>
      <c r="Q419" s="13"/>
    </row>
    <row r="420" spans="1:17" x14ac:dyDescent="0.3">
      <c r="A420" s="6">
        <v>419</v>
      </c>
      <c r="B420" s="7">
        <v>45039</v>
      </c>
      <c r="C420" s="8" t="s">
        <v>22</v>
      </c>
      <c r="D420" s="8" t="s">
        <v>23</v>
      </c>
      <c r="E420" s="8" t="s">
        <v>24</v>
      </c>
      <c r="F420" s="8" t="s">
        <v>31</v>
      </c>
      <c r="G420" s="8" t="s">
        <v>32</v>
      </c>
      <c r="H420" s="9">
        <v>14247.34</v>
      </c>
      <c r="I420" s="8">
        <v>8</v>
      </c>
      <c r="J420" s="10">
        <v>837.69</v>
      </c>
      <c r="K420" s="17" t="str" cm="1">
        <f t="array" ref="K420">_xlfn.IFS(Table43[[#This Row],[Sales]]&gt;40000,"Best Sales",Table43[[#This Row],[Sales]]&gt;20000,"Average Sales",Table43[[#This Row],[Sales]]&gt;0,"Poor Sales")</f>
        <v>Poor Sales</v>
      </c>
      <c r="L420" s="12">
        <f>YEAR(Table43[[#This Row],[Date]])</f>
        <v>2023</v>
      </c>
      <c r="M420" s="12">
        <f>MONTH(Table43[[#This Row],[Date]])</f>
        <v>4</v>
      </c>
      <c r="N420" s="13">
        <f>DAY(Table43[[#This Row],[Date]])</f>
        <v>23</v>
      </c>
      <c r="O420" s="13" t="str">
        <f>TEXT(DATE(2023,Table43[[#This Row],[Month]],1),"mmm")</f>
        <v>Apr</v>
      </c>
      <c r="P420" s="13"/>
      <c r="Q420" s="13"/>
    </row>
    <row r="421" spans="1:17" x14ac:dyDescent="0.3">
      <c r="A421" s="14">
        <v>420</v>
      </c>
      <c r="B421" s="15">
        <v>45292</v>
      </c>
      <c r="C421" s="16" t="s">
        <v>29</v>
      </c>
      <c r="D421" s="16" t="s">
        <v>29</v>
      </c>
      <c r="E421" s="16" t="s">
        <v>27</v>
      </c>
      <c r="F421" s="16" t="s">
        <v>38</v>
      </c>
      <c r="G421" s="16" t="s">
        <v>40</v>
      </c>
      <c r="H421" s="17">
        <v>2003.36</v>
      </c>
      <c r="I421" s="16">
        <v>5</v>
      </c>
      <c r="J421" s="18">
        <v>300.98</v>
      </c>
      <c r="K421" s="17" t="str" cm="1">
        <f t="array" ref="K421">_xlfn.IFS(Table43[[#This Row],[Sales]]&gt;40000,"Best Sales",Table43[[#This Row],[Sales]]&gt;20000,"Average Sales",Table43[[#This Row],[Sales]]&gt;0,"Poor Sales")</f>
        <v>Poor Sales</v>
      </c>
      <c r="L421" s="12">
        <f>YEAR(Table43[[#This Row],[Date]])</f>
        <v>2024</v>
      </c>
      <c r="M421" s="12">
        <f>MONTH(Table43[[#This Row],[Date]])</f>
        <v>1</v>
      </c>
      <c r="N421" s="13">
        <f>DAY(Table43[[#This Row],[Date]])</f>
        <v>1</v>
      </c>
      <c r="O421" s="13" t="str">
        <f>TEXT(DATE(2023,Table43[[#This Row],[Month]],1),"mmm")</f>
        <v>Jan</v>
      </c>
      <c r="P421" s="13"/>
      <c r="Q421" s="13"/>
    </row>
    <row r="422" spans="1:17" x14ac:dyDescent="0.3">
      <c r="A422" s="6">
        <v>421</v>
      </c>
      <c r="B422" s="7">
        <v>45029</v>
      </c>
      <c r="C422" s="8" t="s">
        <v>42</v>
      </c>
      <c r="D422" s="8" t="s">
        <v>43</v>
      </c>
      <c r="E422" s="8" t="s">
        <v>27</v>
      </c>
      <c r="F422" s="8" t="s">
        <v>20</v>
      </c>
      <c r="G422" s="8" t="s">
        <v>21</v>
      </c>
      <c r="H422" s="9">
        <v>25271.97</v>
      </c>
      <c r="I422" s="8">
        <v>5</v>
      </c>
      <c r="J422" s="10">
        <v>7144.62</v>
      </c>
      <c r="K422" s="17" t="str" cm="1">
        <f t="array" ref="K422">_xlfn.IFS(Table43[[#This Row],[Sales]]&gt;40000,"Best Sales",Table43[[#This Row],[Sales]]&gt;20000,"Average Sales",Table43[[#This Row],[Sales]]&gt;0,"Poor Sales")</f>
        <v>Average Sales</v>
      </c>
      <c r="L422" s="12">
        <f>YEAR(Table43[[#This Row],[Date]])</f>
        <v>2023</v>
      </c>
      <c r="M422" s="12">
        <f>MONTH(Table43[[#This Row],[Date]])</f>
        <v>4</v>
      </c>
      <c r="N422" s="13">
        <f>DAY(Table43[[#This Row],[Date]])</f>
        <v>13</v>
      </c>
      <c r="O422" s="13" t="str">
        <f>TEXT(DATE(2023,Table43[[#This Row],[Month]],1),"mmm")</f>
        <v>Apr</v>
      </c>
      <c r="P422" s="13"/>
      <c r="Q422" s="13"/>
    </row>
    <row r="423" spans="1:17" x14ac:dyDescent="0.3">
      <c r="A423" s="14">
        <v>422</v>
      </c>
      <c r="B423" s="15">
        <v>44987</v>
      </c>
      <c r="C423" s="16" t="s">
        <v>42</v>
      </c>
      <c r="D423" s="16" t="s">
        <v>43</v>
      </c>
      <c r="E423" s="16" t="s">
        <v>19</v>
      </c>
      <c r="F423" s="16" t="s">
        <v>31</v>
      </c>
      <c r="G423" s="16" t="s">
        <v>32</v>
      </c>
      <c r="H423" s="17">
        <v>37101.279999999999</v>
      </c>
      <c r="I423" s="16">
        <v>10</v>
      </c>
      <c r="J423" s="18">
        <v>7469.11</v>
      </c>
      <c r="K423" s="17" t="str" cm="1">
        <f t="array" ref="K423">_xlfn.IFS(Table43[[#This Row],[Sales]]&gt;40000,"Best Sales",Table43[[#This Row],[Sales]]&gt;20000,"Average Sales",Table43[[#This Row],[Sales]]&gt;0,"Poor Sales")</f>
        <v>Average Sales</v>
      </c>
      <c r="L423" s="12">
        <f>YEAR(Table43[[#This Row],[Date]])</f>
        <v>2023</v>
      </c>
      <c r="M423" s="12">
        <f>MONTH(Table43[[#This Row],[Date]])</f>
        <v>3</v>
      </c>
      <c r="N423" s="13">
        <f>DAY(Table43[[#This Row],[Date]])</f>
        <v>2</v>
      </c>
      <c r="O423" s="13" t="str">
        <f>TEXT(DATE(2023,Table43[[#This Row],[Month]],1),"mmm")</f>
        <v>Mar</v>
      </c>
      <c r="P423" s="13"/>
      <c r="Q423" s="13"/>
    </row>
    <row r="424" spans="1:17" x14ac:dyDescent="0.3">
      <c r="A424" s="6">
        <v>423</v>
      </c>
      <c r="B424" s="7">
        <v>44979</v>
      </c>
      <c r="C424" s="8" t="s">
        <v>44</v>
      </c>
      <c r="D424" s="8" t="s">
        <v>34</v>
      </c>
      <c r="E424" s="8" t="s">
        <v>24</v>
      </c>
      <c r="F424" s="8" t="s">
        <v>38</v>
      </c>
      <c r="G424" s="8" t="s">
        <v>40</v>
      </c>
      <c r="H424" s="9">
        <v>42041.48</v>
      </c>
      <c r="I424" s="8">
        <v>3</v>
      </c>
      <c r="J424" s="10">
        <v>3319.44</v>
      </c>
      <c r="K424" s="17" t="str" cm="1">
        <f t="array" ref="K424">_xlfn.IFS(Table43[[#This Row],[Sales]]&gt;40000,"Best Sales",Table43[[#This Row],[Sales]]&gt;20000,"Average Sales",Table43[[#This Row],[Sales]]&gt;0,"Poor Sales")</f>
        <v>Best Sales</v>
      </c>
      <c r="L424" s="12">
        <f>YEAR(Table43[[#This Row],[Date]])</f>
        <v>2023</v>
      </c>
      <c r="M424" s="12">
        <f>MONTH(Table43[[#This Row],[Date]])</f>
        <v>2</v>
      </c>
      <c r="N424" s="13">
        <f>DAY(Table43[[#This Row],[Date]])</f>
        <v>22</v>
      </c>
      <c r="O424" s="13" t="str">
        <f>TEXT(DATE(2023,Table43[[#This Row],[Month]],1),"mmm")</f>
        <v>Feb</v>
      </c>
      <c r="P424" s="13"/>
      <c r="Q424" s="13"/>
    </row>
    <row r="425" spans="1:17" x14ac:dyDescent="0.3">
      <c r="A425" s="14">
        <v>424</v>
      </c>
      <c r="B425" s="15">
        <v>45179</v>
      </c>
      <c r="C425" s="16" t="s">
        <v>25</v>
      </c>
      <c r="D425" s="16" t="s">
        <v>26</v>
      </c>
      <c r="E425" s="16" t="s">
        <v>19</v>
      </c>
      <c r="F425" s="16" t="s">
        <v>31</v>
      </c>
      <c r="G425" s="16" t="s">
        <v>35</v>
      </c>
      <c r="H425" s="17">
        <v>20704.54</v>
      </c>
      <c r="I425" s="16">
        <v>3</v>
      </c>
      <c r="J425" s="18">
        <v>2503.7199999999998</v>
      </c>
      <c r="K425" s="17" t="str" cm="1">
        <f t="array" ref="K425">_xlfn.IFS(Table43[[#This Row],[Sales]]&gt;40000,"Best Sales",Table43[[#This Row],[Sales]]&gt;20000,"Average Sales",Table43[[#This Row],[Sales]]&gt;0,"Poor Sales")</f>
        <v>Average Sales</v>
      </c>
      <c r="L425" s="12">
        <f>YEAR(Table43[[#This Row],[Date]])</f>
        <v>2023</v>
      </c>
      <c r="M425" s="12">
        <f>MONTH(Table43[[#This Row],[Date]])</f>
        <v>9</v>
      </c>
      <c r="N425" s="13">
        <f>DAY(Table43[[#This Row],[Date]])</f>
        <v>10</v>
      </c>
      <c r="O425" s="13" t="str">
        <f>TEXT(DATE(2023,Table43[[#This Row],[Month]],1),"mmm")</f>
        <v>Sep</v>
      </c>
      <c r="P425" s="13"/>
      <c r="Q425" s="13"/>
    </row>
    <row r="426" spans="1:17" x14ac:dyDescent="0.3">
      <c r="A426" s="6">
        <v>425</v>
      </c>
      <c r="B426" s="7">
        <v>45045</v>
      </c>
      <c r="C426" s="8" t="s">
        <v>37</v>
      </c>
      <c r="D426" s="8" t="s">
        <v>23</v>
      </c>
      <c r="E426" s="8" t="s">
        <v>24</v>
      </c>
      <c r="F426" s="8" t="s">
        <v>31</v>
      </c>
      <c r="G426" s="8" t="s">
        <v>32</v>
      </c>
      <c r="H426" s="9">
        <v>22455.3</v>
      </c>
      <c r="I426" s="8">
        <v>10</v>
      </c>
      <c r="J426" s="10">
        <v>3904.62</v>
      </c>
      <c r="K426" s="17" t="str" cm="1">
        <f t="array" ref="K426">_xlfn.IFS(Table43[[#This Row],[Sales]]&gt;40000,"Best Sales",Table43[[#This Row],[Sales]]&gt;20000,"Average Sales",Table43[[#This Row],[Sales]]&gt;0,"Poor Sales")</f>
        <v>Average Sales</v>
      </c>
      <c r="L426" s="12">
        <f>YEAR(Table43[[#This Row],[Date]])</f>
        <v>2023</v>
      </c>
      <c r="M426" s="12">
        <f>MONTH(Table43[[#This Row],[Date]])</f>
        <v>4</v>
      </c>
      <c r="N426" s="13">
        <f>DAY(Table43[[#This Row],[Date]])</f>
        <v>29</v>
      </c>
      <c r="O426" s="13" t="str">
        <f>TEXT(DATE(2023,Table43[[#This Row],[Month]],1),"mmm")</f>
        <v>Apr</v>
      </c>
      <c r="P426" s="13"/>
      <c r="Q426" s="13"/>
    </row>
    <row r="427" spans="1:17" x14ac:dyDescent="0.3">
      <c r="A427" s="14">
        <v>426</v>
      </c>
      <c r="B427" s="15">
        <v>44991</v>
      </c>
      <c r="C427" s="16" t="s">
        <v>42</v>
      </c>
      <c r="D427" s="16" t="s">
        <v>43</v>
      </c>
      <c r="E427" s="16" t="s">
        <v>27</v>
      </c>
      <c r="F427" s="16" t="s">
        <v>38</v>
      </c>
      <c r="G427" s="16" t="s">
        <v>40</v>
      </c>
      <c r="H427" s="17">
        <v>6038.12</v>
      </c>
      <c r="I427" s="16">
        <v>3</v>
      </c>
      <c r="J427" s="18">
        <v>525.65</v>
      </c>
      <c r="K427" s="17" t="str" cm="1">
        <f t="array" ref="K427">_xlfn.IFS(Table43[[#This Row],[Sales]]&gt;40000,"Best Sales",Table43[[#This Row],[Sales]]&gt;20000,"Average Sales",Table43[[#This Row],[Sales]]&gt;0,"Poor Sales")</f>
        <v>Poor Sales</v>
      </c>
      <c r="L427" s="12">
        <f>YEAR(Table43[[#This Row],[Date]])</f>
        <v>2023</v>
      </c>
      <c r="M427" s="12">
        <f>MONTH(Table43[[#This Row],[Date]])</f>
        <v>3</v>
      </c>
      <c r="N427" s="13">
        <f>DAY(Table43[[#This Row],[Date]])</f>
        <v>6</v>
      </c>
      <c r="O427" s="13" t="str">
        <f>TEXT(DATE(2023,Table43[[#This Row],[Month]],1),"mmm")</f>
        <v>Mar</v>
      </c>
      <c r="P427" s="13"/>
      <c r="Q427" s="13"/>
    </row>
    <row r="428" spans="1:17" x14ac:dyDescent="0.3">
      <c r="A428" s="6">
        <v>427</v>
      </c>
      <c r="B428" s="7">
        <v>45058</v>
      </c>
      <c r="C428" s="8" t="s">
        <v>42</v>
      </c>
      <c r="D428" s="8" t="s">
        <v>43</v>
      </c>
      <c r="E428" s="8" t="s">
        <v>27</v>
      </c>
      <c r="F428" s="8" t="s">
        <v>38</v>
      </c>
      <c r="G428" s="8" t="s">
        <v>40</v>
      </c>
      <c r="H428" s="9">
        <v>48326.83</v>
      </c>
      <c r="I428" s="8">
        <v>4</v>
      </c>
      <c r="J428" s="10">
        <v>3436.06</v>
      </c>
      <c r="K428" s="17" t="str" cm="1">
        <f t="array" ref="K428">_xlfn.IFS(Table43[[#This Row],[Sales]]&gt;40000,"Best Sales",Table43[[#This Row],[Sales]]&gt;20000,"Average Sales",Table43[[#This Row],[Sales]]&gt;0,"Poor Sales")</f>
        <v>Best Sales</v>
      </c>
      <c r="L428" s="12">
        <f>YEAR(Table43[[#This Row],[Date]])</f>
        <v>2023</v>
      </c>
      <c r="M428" s="12">
        <f>MONTH(Table43[[#This Row],[Date]])</f>
        <v>5</v>
      </c>
      <c r="N428" s="13">
        <f>DAY(Table43[[#This Row],[Date]])</f>
        <v>12</v>
      </c>
      <c r="O428" s="13" t="str">
        <f>TEXT(DATE(2023,Table43[[#This Row],[Month]],1),"mmm")</f>
        <v>May</v>
      </c>
      <c r="P428" s="13"/>
      <c r="Q428" s="13"/>
    </row>
    <row r="429" spans="1:17" x14ac:dyDescent="0.3">
      <c r="A429" s="14">
        <v>428</v>
      </c>
      <c r="B429" s="15">
        <v>45284</v>
      </c>
      <c r="C429" s="16" t="s">
        <v>37</v>
      </c>
      <c r="D429" s="16" t="s">
        <v>23</v>
      </c>
      <c r="E429" s="16" t="s">
        <v>19</v>
      </c>
      <c r="F429" s="16" t="s">
        <v>31</v>
      </c>
      <c r="G429" s="16" t="s">
        <v>32</v>
      </c>
      <c r="H429" s="17">
        <v>9672.61</v>
      </c>
      <c r="I429" s="16">
        <v>2</v>
      </c>
      <c r="J429" s="18">
        <v>984.08</v>
      </c>
      <c r="K429" s="17" t="str" cm="1">
        <f t="array" ref="K429">_xlfn.IFS(Table43[[#This Row],[Sales]]&gt;40000,"Best Sales",Table43[[#This Row],[Sales]]&gt;20000,"Average Sales",Table43[[#This Row],[Sales]]&gt;0,"Poor Sales")</f>
        <v>Poor Sales</v>
      </c>
      <c r="L429" s="12">
        <f>YEAR(Table43[[#This Row],[Date]])</f>
        <v>2023</v>
      </c>
      <c r="M429" s="12">
        <f>MONTH(Table43[[#This Row],[Date]])</f>
        <v>12</v>
      </c>
      <c r="N429" s="13">
        <f>DAY(Table43[[#This Row],[Date]])</f>
        <v>24</v>
      </c>
      <c r="O429" s="13" t="str">
        <f>TEXT(DATE(2023,Table43[[#This Row],[Month]],1),"mmm")</f>
        <v>Dec</v>
      </c>
      <c r="P429" s="13"/>
      <c r="Q429" s="13"/>
    </row>
    <row r="430" spans="1:17" x14ac:dyDescent="0.3">
      <c r="A430" s="6">
        <v>429</v>
      </c>
      <c r="B430" s="7">
        <v>45247</v>
      </c>
      <c r="C430" s="8" t="s">
        <v>17</v>
      </c>
      <c r="D430" s="8" t="s">
        <v>18</v>
      </c>
      <c r="E430" s="8" t="s">
        <v>24</v>
      </c>
      <c r="F430" s="8" t="s">
        <v>38</v>
      </c>
      <c r="G430" s="8" t="s">
        <v>46</v>
      </c>
      <c r="H430" s="9">
        <v>19904.45</v>
      </c>
      <c r="I430" s="8">
        <v>9</v>
      </c>
      <c r="J430" s="10">
        <v>5096.17</v>
      </c>
      <c r="K430" s="17" t="str" cm="1">
        <f t="array" ref="K430">_xlfn.IFS(Table43[[#This Row],[Sales]]&gt;40000,"Best Sales",Table43[[#This Row],[Sales]]&gt;20000,"Average Sales",Table43[[#This Row],[Sales]]&gt;0,"Poor Sales")</f>
        <v>Poor Sales</v>
      </c>
      <c r="L430" s="12">
        <f>YEAR(Table43[[#This Row],[Date]])</f>
        <v>2023</v>
      </c>
      <c r="M430" s="12">
        <f>MONTH(Table43[[#This Row],[Date]])</f>
        <v>11</v>
      </c>
      <c r="N430" s="13">
        <f>DAY(Table43[[#This Row],[Date]])</f>
        <v>17</v>
      </c>
      <c r="O430" s="13" t="str">
        <f>TEXT(DATE(2023,Table43[[#This Row],[Month]],1),"mmm")</f>
        <v>Nov</v>
      </c>
      <c r="P430" s="13"/>
      <c r="Q430" s="13"/>
    </row>
    <row r="431" spans="1:17" x14ac:dyDescent="0.3">
      <c r="A431" s="14">
        <v>430</v>
      </c>
      <c r="B431" s="15">
        <v>45076</v>
      </c>
      <c r="C431" s="16" t="s">
        <v>22</v>
      </c>
      <c r="D431" s="16" t="s">
        <v>23</v>
      </c>
      <c r="E431" s="16" t="s">
        <v>19</v>
      </c>
      <c r="F431" s="16" t="s">
        <v>38</v>
      </c>
      <c r="G431" s="16" t="s">
        <v>46</v>
      </c>
      <c r="H431" s="17">
        <v>16944.29</v>
      </c>
      <c r="I431" s="16">
        <v>4</v>
      </c>
      <c r="J431" s="18">
        <v>3322.86</v>
      </c>
      <c r="K431" s="17" t="str" cm="1">
        <f t="array" ref="K431">_xlfn.IFS(Table43[[#This Row],[Sales]]&gt;40000,"Best Sales",Table43[[#This Row],[Sales]]&gt;20000,"Average Sales",Table43[[#This Row],[Sales]]&gt;0,"Poor Sales")</f>
        <v>Poor Sales</v>
      </c>
      <c r="L431" s="12">
        <f>YEAR(Table43[[#This Row],[Date]])</f>
        <v>2023</v>
      </c>
      <c r="M431" s="12">
        <f>MONTH(Table43[[#This Row],[Date]])</f>
        <v>5</v>
      </c>
      <c r="N431" s="13">
        <f>DAY(Table43[[#This Row],[Date]])</f>
        <v>30</v>
      </c>
      <c r="O431" s="13" t="str">
        <f>TEXT(DATE(2023,Table43[[#This Row],[Month]],1),"mmm")</f>
        <v>May</v>
      </c>
      <c r="P431" s="13"/>
      <c r="Q431" s="13"/>
    </row>
    <row r="432" spans="1:17" x14ac:dyDescent="0.3">
      <c r="A432" s="6">
        <v>431</v>
      </c>
      <c r="B432" s="7">
        <v>44987</v>
      </c>
      <c r="C432" s="8" t="s">
        <v>33</v>
      </c>
      <c r="D432" s="8" t="s">
        <v>34</v>
      </c>
      <c r="E432" s="8" t="s">
        <v>24</v>
      </c>
      <c r="F432" s="8" t="s">
        <v>38</v>
      </c>
      <c r="G432" s="8" t="s">
        <v>40</v>
      </c>
      <c r="H432" s="9">
        <v>26079.08</v>
      </c>
      <c r="I432" s="8">
        <v>4</v>
      </c>
      <c r="J432" s="10">
        <v>4882.3900000000003</v>
      </c>
      <c r="K432" s="17" t="str" cm="1">
        <f t="array" ref="K432">_xlfn.IFS(Table43[[#This Row],[Sales]]&gt;40000,"Best Sales",Table43[[#This Row],[Sales]]&gt;20000,"Average Sales",Table43[[#This Row],[Sales]]&gt;0,"Poor Sales")</f>
        <v>Average Sales</v>
      </c>
      <c r="L432" s="12">
        <f>YEAR(Table43[[#This Row],[Date]])</f>
        <v>2023</v>
      </c>
      <c r="M432" s="12">
        <f>MONTH(Table43[[#This Row],[Date]])</f>
        <v>3</v>
      </c>
      <c r="N432" s="13">
        <f>DAY(Table43[[#This Row],[Date]])</f>
        <v>2</v>
      </c>
      <c r="O432" s="13" t="str">
        <f>TEXT(DATE(2023,Table43[[#This Row],[Month]],1),"mmm")</f>
        <v>Mar</v>
      </c>
      <c r="P432" s="13"/>
      <c r="Q432" s="13"/>
    </row>
    <row r="433" spans="1:17" x14ac:dyDescent="0.3">
      <c r="A433" s="14">
        <v>432</v>
      </c>
      <c r="B433" s="15">
        <v>45119</v>
      </c>
      <c r="C433" s="16" t="s">
        <v>45</v>
      </c>
      <c r="D433" s="16" t="s">
        <v>34</v>
      </c>
      <c r="E433" s="16" t="s">
        <v>27</v>
      </c>
      <c r="F433" s="16" t="s">
        <v>20</v>
      </c>
      <c r="G433" s="16" t="s">
        <v>28</v>
      </c>
      <c r="H433" s="17">
        <v>7671.29</v>
      </c>
      <c r="I433" s="16">
        <v>2</v>
      </c>
      <c r="J433" s="18">
        <v>1004.67</v>
      </c>
      <c r="K433" s="17" t="str" cm="1">
        <f t="array" ref="K433">_xlfn.IFS(Table43[[#This Row],[Sales]]&gt;40000,"Best Sales",Table43[[#This Row],[Sales]]&gt;20000,"Average Sales",Table43[[#This Row],[Sales]]&gt;0,"Poor Sales")</f>
        <v>Poor Sales</v>
      </c>
      <c r="L433" s="12">
        <f>YEAR(Table43[[#This Row],[Date]])</f>
        <v>2023</v>
      </c>
      <c r="M433" s="12">
        <f>MONTH(Table43[[#This Row],[Date]])</f>
        <v>7</v>
      </c>
      <c r="N433" s="13">
        <f>DAY(Table43[[#This Row],[Date]])</f>
        <v>12</v>
      </c>
      <c r="O433" s="13" t="str">
        <f>TEXT(DATE(2023,Table43[[#This Row],[Month]],1),"mmm")</f>
        <v>Jul</v>
      </c>
      <c r="P433" s="13"/>
      <c r="Q433" s="13"/>
    </row>
    <row r="434" spans="1:17" x14ac:dyDescent="0.3">
      <c r="A434" s="6">
        <v>433</v>
      </c>
      <c r="B434" s="7">
        <v>45015</v>
      </c>
      <c r="C434" s="8" t="s">
        <v>45</v>
      </c>
      <c r="D434" s="8" t="s">
        <v>34</v>
      </c>
      <c r="E434" s="8" t="s">
        <v>27</v>
      </c>
      <c r="F434" s="8" t="s">
        <v>20</v>
      </c>
      <c r="G434" s="8" t="s">
        <v>41</v>
      </c>
      <c r="H434" s="9">
        <v>1166.95</v>
      </c>
      <c r="I434" s="8">
        <v>8</v>
      </c>
      <c r="J434" s="10">
        <v>238.76</v>
      </c>
      <c r="K434" s="17" t="str" cm="1">
        <f t="array" ref="K434">_xlfn.IFS(Table43[[#This Row],[Sales]]&gt;40000,"Best Sales",Table43[[#This Row],[Sales]]&gt;20000,"Average Sales",Table43[[#This Row],[Sales]]&gt;0,"Poor Sales")</f>
        <v>Poor Sales</v>
      </c>
      <c r="L434" s="12">
        <f>YEAR(Table43[[#This Row],[Date]])</f>
        <v>2023</v>
      </c>
      <c r="M434" s="12">
        <f>MONTH(Table43[[#This Row],[Date]])</f>
        <v>3</v>
      </c>
      <c r="N434" s="13">
        <f>DAY(Table43[[#This Row],[Date]])</f>
        <v>30</v>
      </c>
      <c r="O434" s="13" t="str">
        <f>TEXT(DATE(2023,Table43[[#This Row],[Month]],1),"mmm")</f>
        <v>Mar</v>
      </c>
      <c r="P434" s="13"/>
      <c r="Q434" s="13"/>
    </row>
    <row r="435" spans="1:17" x14ac:dyDescent="0.3">
      <c r="A435" s="14">
        <v>434</v>
      </c>
      <c r="B435" s="15">
        <v>45026</v>
      </c>
      <c r="C435" s="16" t="s">
        <v>17</v>
      </c>
      <c r="D435" s="16" t="s">
        <v>18</v>
      </c>
      <c r="E435" s="16" t="s">
        <v>19</v>
      </c>
      <c r="F435" s="16" t="s">
        <v>31</v>
      </c>
      <c r="G435" s="16" t="s">
        <v>36</v>
      </c>
      <c r="H435" s="17">
        <v>35047.11</v>
      </c>
      <c r="I435" s="16">
        <v>5</v>
      </c>
      <c r="J435" s="18">
        <v>8499.74</v>
      </c>
      <c r="K435" s="17" t="str" cm="1">
        <f t="array" ref="K435">_xlfn.IFS(Table43[[#This Row],[Sales]]&gt;40000,"Best Sales",Table43[[#This Row],[Sales]]&gt;20000,"Average Sales",Table43[[#This Row],[Sales]]&gt;0,"Poor Sales")</f>
        <v>Average Sales</v>
      </c>
      <c r="L435" s="12">
        <f>YEAR(Table43[[#This Row],[Date]])</f>
        <v>2023</v>
      </c>
      <c r="M435" s="12">
        <f>MONTH(Table43[[#This Row],[Date]])</f>
        <v>4</v>
      </c>
      <c r="N435" s="13">
        <f>DAY(Table43[[#This Row],[Date]])</f>
        <v>10</v>
      </c>
      <c r="O435" s="13" t="str">
        <f>TEXT(DATE(2023,Table43[[#This Row],[Month]],1),"mmm")</f>
        <v>Apr</v>
      </c>
      <c r="P435" s="13"/>
      <c r="Q435" s="13"/>
    </row>
    <row r="436" spans="1:17" x14ac:dyDescent="0.3">
      <c r="A436" s="6">
        <v>435</v>
      </c>
      <c r="B436" s="7">
        <v>45076</v>
      </c>
      <c r="C436" s="8" t="s">
        <v>37</v>
      </c>
      <c r="D436" s="8" t="s">
        <v>23</v>
      </c>
      <c r="E436" s="8" t="s">
        <v>24</v>
      </c>
      <c r="F436" s="8" t="s">
        <v>31</v>
      </c>
      <c r="G436" s="8" t="s">
        <v>32</v>
      </c>
      <c r="H436" s="9">
        <v>40670.42</v>
      </c>
      <c r="I436" s="8">
        <v>2</v>
      </c>
      <c r="J436" s="10">
        <v>2326.37</v>
      </c>
      <c r="K436" s="17" t="str" cm="1">
        <f t="array" ref="K436">_xlfn.IFS(Table43[[#This Row],[Sales]]&gt;40000,"Best Sales",Table43[[#This Row],[Sales]]&gt;20000,"Average Sales",Table43[[#This Row],[Sales]]&gt;0,"Poor Sales")</f>
        <v>Best Sales</v>
      </c>
      <c r="L436" s="12">
        <f>YEAR(Table43[[#This Row],[Date]])</f>
        <v>2023</v>
      </c>
      <c r="M436" s="12">
        <f>MONTH(Table43[[#This Row],[Date]])</f>
        <v>5</v>
      </c>
      <c r="N436" s="13">
        <f>DAY(Table43[[#This Row],[Date]])</f>
        <v>30</v>
      </c>
      <c r="O436" s="13" t="str">
        <f>TEXT(DATE(2023,Table43[[#This Row],[Month]],1),"mmm")</f>
        <v>May</v>
      </c>
      <c r="P436" s="13"/>
      <c r="Q436" s="13"/>
    </row>
    <row r="437" spans="1:17" x14ac:dyDescent="0.3">
      <c r="A437" s="14">
        <v>436</v>
      </c>
      <c r="B437" s="15">
        <v>45269</v>
      </c>
      <c r="C437" s="16" t="s">
        <v>29</v>
      </c>
      <c r="D437" s="16" t="s">
        <v>29</v>
      </c>
      <c r="E437" s="16" t="s">
        <v>19</v>
      </c>
      <c r="F437" s="16" t="s">
        <v>31</v>
      </c>
      <c r="G437" s="16" t="s">
        <v>36</v>
      </c>
      <c r="H437" s="17">
        <v>24434.99</v>
      </c>
      <c r="I437" s="16">
        <v>6</v>
      </c>
      <c r="J437" s="18">
        <v>4352.29</v>
      </c>
      <c r="K437" s="17" t="str" cm="1">
        <f t="array" ref="K437">_xlfn.IFS(Table43[[#This Row],[Sales]]&gt;40000,"Best Sales",Table43[[#This Row],[Sales]]&gt;20000,"Average Sales",Table43[[#This Row],[Sales]]&gt;0,"Poor Sales")</f>
        <v>Average Sales</v>
      </c>
      <c r="L437" s="12">
        <f>YEAR(Table43[[#This Row],[Date]])</f>
        <v>2023</v>
      </c>
      <c r="M437" s="12">
        <f>MONTH(Table43[[#This Row],[Date]])</f>
        <v>12</v>
      </c>
      <c r="N437" s="13">
        <f>DAY(Table43[[#This Row],[Date]])</f>
        <v>9</v>
      </c>
      <c r="O437" s="13" t="str">
        <f>TEXT(DATE(2023,Table43[[#This Row],[Month]],1),"mmm")</f>
        <v>Dec</v>
      </c>
      <c r="P437" s="13"/>
      <c r="Q437" s="13"/>
    </row>
    <row r="438" spans="1:17" x14ac:dyDescent="0.3">
      <c r="A438" s="6">
        <v>437</v>
      </c>
      <c r="B438" s="7">
        <v>45292</v>
      </c>
      <c r="C438" s="8" t="s">
        <v>42</v>
      </c>
      <c r="D438" s="8" t="s">
        <v>43</v>
      </c>
      <c r="E438" s="8" t="s">
        <v>24</v>
      </c>
      <c r="F438" s="8" t="s">
        <v>31</v>
      </c>
      <c r="G438" s="8" t="s">
        <v>32</v>
      </c>
      <c r="H438" s="9">
        <v>46015.08</v>
      </c>
      <c r="I438" s="8">
        <v>6</v>
      </c>
      <c r="J438" s="10">
        <v>11461.24</v>
      </c>
      <c r="K438" s="17" t="str" cm="1">
        <f t="array" ref="K438">_xlfn.IFS(Table43[[#This Row],[Sales]]&gt;40000,"Best Sales",Table43[[#This Row],[Sales]]&gt;20000,"Average Sales",Table43[[#This Row],[Sales]]&gt;0,"Poor Sales")</f>
        <v>Best Sales</v>
      </c>
      <c r="L438" s="12">
        <f>YEAR(Table43[[#This Row],[Date]])</f>
        <v>2024</v>
      </c>
      <c r="M438" s="12">
        <f>MONTH(Table43[[#This Row],[Date]])</f>
        <v>1</v>
      </c>
      <c r="N438" s="13">
        <f>DAY(Table43[[#This Row],[Date]])</f>
        <v>1</v>
      </c>
      <c r="O438" s="13" t="str">
        <f>TEXT(DATE(2023,Table43[[#This Row],[Month]],1),"mmm")</f>
        <v>Jan</v>
      </c>
      <c r="P438" s="13"/>
      <c r="Q438" s="13"/>
    </row>
    <row r="439" spans="1:17" x14ac:dyDescent="0.3">
      <c r="A439" s="14">
        <v>438</v>
      </c>
      <c r="B439" s="15">
        <v>45219</v>
      </c>
      <c r="C439" s="16" t="s">
        <v>42</v>
      </c>
      <c r="D439" s="16" t="s">
        <v>43</v>
      </c>
      <c r="E439" s="16" t="s">
        <v>27</v>
      </c>
      <c r="F439" s="16" t="s">
        <v>38</v>
      </c>
      <c r="G439" s="16" t="s">
        <v>40</v>
      </c>
      <c r="H439" s="17">
        <v>1292.73</v>
      </c>
      <c r="I439" s="16">
        <v>7</v>
      </c>
      <c r="J439" s="18">
        <v>383.69</v>
      </c>
      <c r="K439" s="17" t="str" cm="1">
        <f t="array" ref="K439">_xlfn.IFS(Table43[[#This Row],[Sales]]&gt;40000,"Best Sales",Table43[[#This Row],[Sales]]&gt;20000,"Average Sales",Table43[[#This Row],[Sales]]&gt;0,"Poor Sales")</f>
        <v>Poor Sales</v>
      </c>
      <c r="L439" s="12">
        <f>YEAR(Table43[[#This Row],[Date]])</f>
        <v>2023</v>
      </c>
      <c r="M439" s="12">
        <f>MONTH(Table43[[#This Row],[Date]])</f>
        <v>10</v>
      </c>
      <c r="N439" s="13">
        <f>DAY(Table43[[#This Row],[Date]])</f>
        <v>20</v>
      </c>
      <c r="O439" s="13" t="str">
        <f>TEXT(DATE(2023,Table43[[#This Row],[Month]],1),"mmm")</f>
        <v>Oct</v>
      </c>
      <c r="P439" s="13"/>
      <c r="Q439" s="13"/>
    </row>
    <row r="440" spans="1:17" x14ac:dyDescent="0.3">
      <c r="A440" s="6">
        <v>439</v>
      </c>
      <c r="B440" s="7">
        <v>45081</v>
      </c>
      <c r="C440" s="8" t="s">
        <v>37</v>
      </c>
      <c r="D440" s="8" t="s">
        <v>23</v>
      </c>
      <c r="E440" s="8" t="s">
        <v>27</v>
      </c>
      <c r="F440" s="8" t="s">
        <v>31</v>
      </c>
      <c r="G440" s="8" t="s">
        <v>36</v>
      </c>
      <c r="H440" s="9">
        <v>9874.76</v>
      </c>
      <c r="I440" s="8">
        <v>3</v>
      </c>
      <c r="J440" s="10">
        <v>1358.17</v>
      </c>
      <c r="K440" s="17" t="str" cm="1">
        <f t="array" ref="K440">_xlfn.IFS(Table43[[#This Row],[Sales]]&gt;40000,"Best Sales",Table43[[#This Row],[Sales]]&gt;20000,"Average Sales",Table43[[#This Row],[Sales]]&gt;0,"Poor Sales")</f>
        <v>Poor Sales</v>
      </c>
      <c r="L440" s="12">
        <f>YEAR(Table43[[#This Row],[Date]])</f>
        <v>2023</v>
      </c>
      <c r="M440" s="12">
        <f>MONTH(Table43[[#This Row],[Date]])</f>
        <v>6</v>
      </c>
      <c r="N440" s="13">
        <f>DAY(Table43[[#This Row],[Date]])</f>
        <v>4</v>
      </c>
      <c r="O440" s="13" t="str">
        <f>TEXT(DATE(2023,Table43[[#This Row],[Month]],1),"mmm")</f>
        <v>Jun</v>
      </c>
      <c r="P440" s="13"/>
      <c r="Q440" s="13"/>
    </row>
    <row r="441" spans="1:17" x14ac:dyDescent="0.3">
      <c r="A441" s="14">
        <v>440</v>
      </c>
      <c r="B441" s="15">
        <v>45137</v>
      </c>
      <c r="C441" s="16" t="s">
        <v>29</v>
      </c>
      <c r="D441" s="16" t="s">
        <v>29</v>
      </c>
      <c r="E441" s="16" t="s">
        <v>19</v>
      </c>
      <c r="F441" s="16" t="s">
        <v>31</v>
      </c>
      <c r="G441" s="16" t="s">
        <v>36</v>
      </c>
      <c r="H441" s="17">
        <v>15146.54</v>
      </c>
      <c r="I441" s="16">
        <v>2</v>
      </c>
      <c r="J441" s="18">
        <v>2336.02</v>
      </c>
      <c r="K441" s="17" t="str" cm="1">
        <f t="array" ref="K441">_xlfn.IFS(Table43[[#This Row],[Sales]]&gt;40000,"Best Sales",Table43[[#This Row],[Sales]]&gt;20000,"Average Sales",Table43[[#This Row],[Sales]]&gt;0,"Poor Sales")</f>
        <v>Poor Sales</v>
      </c>
      <c r="L441" s="12">
        <f>YEAR(Table43[[#This Row],[Date]])</f>
        <v>2023</v>
      </c>
      <c r="M441" s="12">
        <f>MONTH(Table43[[#This Row],[Date]])</f>
        <v>7</v>
      </c>
      <c r="N441" s="13">
        <f>DAY(Table43[[#This Row],[Date]])</f>
        <v>30</v>
      </c>
      <c r="O441" s="13" t="str">
        <f>TEXT(DATE(2023,Table43[[#This Row],[Month]],1),"mmm")</f>
        <v>Jul</v>
      </c>
      <c r="P441" s="13"/>
      <c r="Q441" s="13"/>
    </row>
    <row r="442" spans="1:17" x14ac:dyDescent="0.3">
      <c r="A442" s="6">
        <v>441</v>
      </c>
      <c r="B442" s="7">
        <v>44959</v>
      </c>
      <c r="C442" s="8" t="s">
        <v>45</v>
      </c>
      <c r="D442" s="8" t="s">
        <v>34</v>
      </c>
      <c r="E442" s="8" t="s">
        <v>24</v>
      </c>
      <c r="F442" s="8" t="s">
        <v>38</v>
      </c>
      <c r="G442" s="8" t="s">
        <v>39</v>
      </c>
      <c r="H442" s="9">
        <v>34618.480000000003</v>
      </c>
      <c r="I442" s="8">
        <v>3</v>
      </c>
      <c r="J442" s="10">
        <v>5814.36</v>
      </c>
      <c r="K442" s="17" t="str" cm="1">
        <f t="array" ref="K442">_xlfn.IFS(Table43[[#This Row],[Sales]]&gt;40000,"Best Sales",Table43[[#This Row],[Sales]]&gt;20000,"Average Sales",Table43[[#This Row],[Sales]]&gt;0,"Poor Sales")</f>
        <v>Average Sales</v>
      </c>
      <c r="L442" s="12">
        <f>YEAR(Table43[[#This Row],[Date]])</f>
        <v>2023</v>
      </c>
      <c r="M442" s="12">
        <f>MONTH(Table43[[#This Row],[Date]])</f>
        <v>2</v>
      </c>
      <c r="N442" s="13">
        <f>DAY(Table43[[#This Row],[Date]])</f>
        <v>2</v>
      </c>
      <c r="O442" s="13" t="str">
        <f>TEXT(DATE(2023,Table43[[#This Row],[Month]],1),"mmm")</f>
        <v>Feb</v>
      </c>
      <c r="P442" s="13"/>
      <c r="Q442" s="13"/>
    </row>
    <row r="443" spans="1:17" x14ac:dyDescent="0.3">
      <c r="A443" s="14">
        <v>442</v>
      </c>
      <c r="B443" s="15">
        <v>45167</v>
      </c>
      <c r="C443" s="16" t="s">
        <v>29</v>
      </c>
      <c r="D443" s="16" t="s">
        <v>29</v>
      </c>
      <c r="E443" s="16" t="s">
        <v>19</v>
      </c>
      <c r="F443" s="16" t="s">
        <v>38</v>
      </c>
      <c r="G443" s="16" t="s">
        <v>46</v>
      </c>
      <c r="H443" s="17">
        <v>46015.64</v>
      </c>
      <c r="I443" s="16">
        <v>2</v>
      </c>
      <c r="J443" s="18">
        <v>6821.68</v>
      </c>
      <c r="K443" s="17" t="str" cm="1">
        <f t="array" ref="K443">_xlfn.IFS(Table43[[#This Row],[Sales]]&gt;40000,"Best Sales",Table43[[#This Row],[Sales]]&gt;20000,"Average Sales",Table43[[#This Row],[Sales]]&gt;0,"Poor Sales")</f>
        <v>Best Sales</v>
      </c>
      <c r="L443" s="12">
        <f>YEAR(Table43[[#This Row],[Date]])</f>
        <v>2023</v>
      </c>
      <c r="M443" s="12">
        <f>MONTH(Table43[[#This Row],[Date]])</f>
        <v>8</v>
      </c>
      <c r="N443" s="13">
        <f>DAY(Table43[[#This Row],[Date]])</f>
        <v>29</v>
      </c>
      <c r="O443" s="13" t="str">
        <f>TEXT(DATE(2023,Table43[[#This Row],[Month]],1),"mmm")</f>
        <v>Aug</v>
      </c>
      <c r="P443" s="13"/>
      <c r="Q443" s="13"/>
    </row>
    <row r="444" spans="1:17" x14ac:dyDescent="0.3">
      <c r="A444" s="6">
        <v>443</v>
      </c>
      <c r="B444" s="7">
        <v>45056</v>
      </c>
      <c r="C444" s="8" t="s">
        <v>45</v>
      </c>
      <c r="D444" s="8" t="s">
        <v>34</v>
      </c>
      <c r="E444" s="8" t="s">
        <v>24</v>
      </c>
      <c r="F444" s="8" t="s">
        <v>31</v>
      </c>
      <c r="G444" s="8" t="s">
        <v>32</v>
      </c>
      <c r="H444" s="9">
        <v>43471.73</v>
      </c>
      <c r="I444" s="8">
        <v>4</v>
      </c>
      <c r="J444" s="10">
        <v>9929.52</v>
      </c>
      <c r="K444" s="17" t="str" cm="1">
        <f t="array" ref="K444">_xlfn.IFS(Table43[[#This Row],[Sales]]&gt;40000,"Best Sales",Table43[[#This Row],[Sales]]&gt;20000,"Average Sales",Table43[[#This Row],[Sales]]&gt;0,"Poor Sales")</f>
        <v>Best Sales</v>
      </c>
      <c r="L444" s="12">
        <f>YEAR(Table43[[#This Row],[Date]])</f>
        <v>2023</v>
      </c>
      <c r="M444" s="12">
        <f>MONTH(Table43[[#This Row],[Date]])</f>
        <v>5</v>
      </c>
      <c r="N444" s="13">
        <f>DAY(Table43[[#This Row],[Date]])</f>
        <v>10</v>
      </c>
      <c r="O444" s="13" t="str">
        <f>TEXT(DATE(2023,Table43[[#This Row],[Month]],1),"mmm")</f>
        <v>May</v>
      </c>
      <c r="P444" s="13"/>
      <c r="Q444" s="13"/>
    </row>
    <row r="445" spans="1:17" x14ac:dyDescent="0.3">
      <c r="A445" s="14">
        <v>444</v>
      </c>
      <c r="B445" s="15">
        <v>45108</v>
      </c>
      <c r="C445" s="16" t="s">
        <v>17</v>
      </c>
      <c r="D445" s="16" t="s">
        <v>18</v>
      </c>
      <c r="E445" s="16" t="s">
        <v>27</v>
      </c>
      <c r="F445" s="16" t="s">
        <v>20</v>
      </c>
      <c r="G445" s="16" t="s">
        <v>21</v>
      </c>
      <c r="H445" s="17">
        <v>27516.51</v>
      </c>
      <c r="I445" s="16">
        <v>9</v>
      </c>
      <c r="J445" s="18">
        <v>3418.86</v>
      </c>
      <c r="K445" s="17" t="str" cm="1">
        <f t="array" ref="K445">_xlfn.IFS(Table43[[#This Row],[Sales]]&gt;40000,"Best Sales",Table43[[#This Row],[Sales]]&gt;20000,"Average Sales",Table43[[#This Row],[Sales]]&gt;0,"Poor Sales")</f>
        <v>Average Sales</v>
      </c>
      <c r="L445" s="12">
        <f>YEAR(Table43[[#This Row],[Date]])</f>
        <v>2023</v>
      </c>
      <c r="M445" s="12">
        <f>MONTH(Table43[[#This Row],[Date]])</f>
        <v>7</v>
      </c>
      <c r="N445" s="13">
        <f>DAY(Table43[[#This Row],[Date]])</f>
        <v>1</v>
      </c>
      <c r="O445" s="13" t="str">
        <f>TEXT(DATE(2023,Table43[[#This Row],[Month]],1),"mmm")</f>
        <v>Jul</v>
      </c>
      <c r="P445" s="13"/>
      <c r="Q445" s="13"/>
    </row>
    <row r="446" spans="1:17" x14ac:dyDescent="0.3">
      <c r="A446" s="6">
        <v>445</v>
      </c>
      <c r="B446" s="7">
        <v>45260</v>
      </c>
      <c r="C446" s="8" t="s">
        <v>17</v>
      </c>
      <c r="D446" s="8" t="s">
        <v>18</v>
      </c>
      <c r="E446" s="8" t="s">
        <v>27</v>
      </c>
      <c r="F446" s="8" t="s">
        <v>20</v>
      </c>
      <c r="G446" s="8" t="s">
        <v>41</v>
      </c>
      <c r="H446" s="9">
        <v>48032.71</v>
      </c>
      <c r="I446" s="8">
        <v>4</v>
      </c>
      <c r="J446" s="10">
        <v>6135.71</v>
      </c>
      <c r="K446" s="17" t="str" cm="1">
        <f t="array" ref="K446">_xlfn.IFS(Table43[[#This Row],[Sales]]&gt;40000,"Best Sales",Table43[[#This Row],[Sales]]&gt;20000,"Average Sales",Table43[[#This Row],[Sales]]&gt;0,"Poor Sales")</f>
        <v>Best Sales</v>
      </c>
      <c r="L446" s="12">
        <f>YEAR(Table43[[#This Row],[Date]])</f>
        <v>2023</v>
      </c>
      <c r="M446" s="12">
        <f>MONTH(Table43[[#This Row],[Date]])</f>
        <v>11</v>
      </c>
      <c r="N446" s="13">
        <f>DAY(Table43[[#This Row],[Date]])</f>
        <v>30</v>
      </c>
      <c r="O446" s="13" t="str">
        <f>TEXT(DATE(2023,Table43[[#This Row],[Month]],1),"mmm")</f>
        <v>Nov</v>
      </c>
      <c r="P446" s="13"/>
      <c r="Q446" s="13"/>
    </row>
    <row r="447" spans="1:17" x14ac:dyDescent="0.3">
      <c r="A447" s="14">
        <v>446</v>
      </c>
      <c r="B447" s="15">
        <v>44976</v>
      </c>
      <c r="C447" s="16" t="s">
        <v>42</v>
      </c>
      <c r="D447" s="16" t="s">
        <v>43</v>
      </c>
      <c r="E447" s="16" t="s">
        <v>19</v>
      </c>
      <c r="F447" s="16" t="s">
        <v>31</v>
      </c>
      <c r="G447" s="16" t="s">
        <v>35</v>
      </c>
      <c r="H447" s="17">
        <v>7864.34</v>
      </c>
      <c r="I447" s="16">
        <v>10</v>
      </c>
      <c r="J447" s="18">
        <v>820.53</v>
      </c>
      <c r="K447" s="17" t="str" cm="1">
        <f t="array" ref="K447">_xlfn.IFS(Table43[[#This Row],[Sales]]&gt;40000,"Best Sales",Table43[[#This Row],[Sales]]&gt;20000,"Average Sales",Table43[[#This Row],[Sales]]&gt;0,"Poor Sales")</f>
        <v>Poor Sales</v>
      </c>
      <c r="L447" s="12">
        <f>YEAR(Table43[[#This Row],[Date]])</f>
        <v>2023</v>
      </c>
      <c r="M447" s="12">
        <f>MONTH(Table43[[#This Row],[Date]])</f>
        <v>2</v>
      </c>
      <c r="N447" s="13">
        <f>DAY(Table43[[#This Row],[Date]])</f>
        <v>19</v>
      </c>
      <c r="O447" s="13" t="str">
        <f>TEXT(DATE(2023,Table43[[#This Row],[Month]],1),"mmm")</f>
        <v>Feb</v>
      </c>
      <c r="P447" s="13"/>
      <c r="Q447" s="13"/>
    </row>
    <row r="448" spans="1:17" x14ac:dyDescent="0.3">
      <c r="A448" s="6">
        <v>447</v>
      </c>
      <c r="B448" s="7">
        <v>44953</v>
      </c>
      <c r="C448" s="8" t="s">
        <v>33</v>
      </c>
      <c r="D448" s="8" t="s">
        <v>34</v>
      </c>
      <c r="E448" s="8" t="s">
        <v>24</v>
      </c>
      <c r="F448" s="8" t="s">
        <v>20</v>
      </c>
      <c r="G448" s="8" t="s">
        <v>28</v>
      </c>
      <c r="H448" s="9">
        <v>27123.54</v>
      </c>
      <c r="I448" s="8">
        <v>2</v>
      </c>
      <c r="J448" s="10">
        <v>2817.45</v>
      </c>
      <c r="K448" s="17" t="str" cm="1">
        <f t="array" ref="K448">_xlfn.IFS(Table43[[#This Row],[Sales]]&gt;40000,"Best Sales",Table43[[#This Row],[Sales]]&gt;20000,"Average Sales",Table43[[#This Row],[Sales]]&gt;0,"Poor Sales")</f>
        <v>Average Sales</v>
      </c>
      <c r="L448" s="12">
        <f>YEAR(Table43[[#This Row],[Date]])</f>
        <v>2023</v>
      </c>
      <c r="M448" s="12">
        <f>MONTH(Table43[[#This Row],[Date]])</f>
        <v>1</v>
      </c>
      <c r="N448" s="13">
        <f>DAY(Table43[[#This Row],[Date]])</f>
        <v>27</v>
      </c>
      <c r="O448" s="13" t="str">
        <f>TEXT(DATE(2023,Table43[[#This Row],[Month]],1),"mmm")</f>
        <v>Jan</v>
      </c>
      <c r="P448" s="13"/>
      <c r="Q448" s="13"/>
    </row>
    <row r="449" spans="1:17" x14ac:dyDescent="0.3">
      <c r="A449" s="14">
        <v>448</v>
      </c>
      <c r="B449" s="15">
        <v>45062</v>
      </c>
      <c r="C449" s="16" t="s">
        <v>33</v>
      </c>
      <c r="D449" s="16" t="s">
        <v>34</v>
      </c>
      <c r="E449" s="16" t="s">
        <v>19</v>
      </c>
      <c r="F449" s="16" t="s">
        <v>20</v>
      </c>
      <c r="G449" s="16" t="s">
        <v>41</v>
      </c>
      <c r="H449" s="17">
        <v>24573.8</v>
      </c>
      <c r="I449" s="16">
        <v>6</v>
      </c>
      <c r="J449" s="18">
        <v>3674.62</v>
      </c>
      <c r="K449" s="17" t="str" cm="1">
        <f t="array" ref="K449">_xlfn.IFS(Table43[[#This Row],[Sales]]&gt;40000,"Best Sales",Table43[[#This Row],[Sales]]&gt;20000,"Average Sales",Table43[[#This Row],[Sales]]&gt;0,"Poor Sales")</f>
        <v>Average Sales</v>
      </c>
      <c r="L449" s="12">
        <f>YEAR(Table43[[#This Row],[Date]])</f>
        <v>2023</v>
      </c>
      <c r="M449" s="12">
        <f>MONTH(Table43[[#This Row],[Date]])</f>
        <v>5</v>
      </c>
      <c r="N449" s="13">
        <f>DAY(Table43[[#This Row],[Date]])</f>
        <v>16</v>
      </c>
      <c r="O449" s="13" t="str">
        <f>TEXT(DATE(2023,Table43[[#This Row],[Month]],1),"mmm")</f>
        <v>May</v>
      </c>
      <c r="P449" s="13"/>
      <c r="Q449" s="13"/>
    </row>
    <row r="450" spans="1:17" x14ac:dyDescent="0.3">
      <c r="A450" s="6">
        <v>449</v>
      </c>
      <c r="B450" s="7">
        <v>44978</v>
      </c>
      <c r="C450" s="8" t="s">
        <v>25</v>
      </c>
      <c r="D450" s="8" t="s">
        <v>26</v>
      </c>
      <c r="E450" s="8" t="s">
        <v>24</v>
      </c>
      <c r="F450" s="8" t="s">
        <v>31</v>
      </c>
      <c r="G450" s="8" t="s">
        <v>36</v>
      </c>
      <c r="H450" s="9">
        <v>24662.23</v>
      </c>
      <c r="I450" s="8">
        <v>3</v>
      </c>
      <c r="J450" s="10">
        <v>3744.45</v>
      </c>
      <c r="K450" s="17" t="str" cm="1">
        <f t="array" ref="K450">_xlfn.IFS(Table43[[#This Row],[Sales]]&gt;40000,"Best Sales",Table43[[#This Row],[Sales]]&gt;20000,"Average Sales",Table43[[#This Row],[Sales]]&gt;0,"Poor Sales")</f>
        <v>Average Sales</v>
      </c>
      <c r="L450" s="12">
        <f>YEAR(Table43[[#This Row],[Date]])</f>
        <v>2023</v>
      </c>
      <c r="M450" s="12">
        <f>MONTH(Table43[[#This Row],[Date]])</f>
        <v>2</v>
      </c>
      <c r="N450" s="13">
        <f>DAY(Table43[[#This Row],[Date]])</f>
        <v>21</v>
      </c>
      <c r="O450" s="13" t="str">
        <f>TEXT(DATE(2023,Table43[[#This Row],[Month]],1),"mmm")</f>
        <v>Feb</v>
      </c>
      <c r="P450" s="13"/>
      <c r="Q450" s="13"/>
    </row>
    <row r="451" spans="1:17" x14ac:dyDescent="0.3">
      <c r="A451" s="14">
        <v>450</v>
      </c>
      <c r="B451" s="15">
        <v>45214</v>
      </c>
      <c r="C451" s="16" t="s">
        <v>37</v>
      </c>
      <c r="D451" s="16" t="s">
        <v>23</v>
      </c>
      <c r="E451" s="16" t="s">
        <v>27</v>
      </c>
      <c r="F451" s="16" t="s">
        <v>31</v>
      </c>
      <c r="G451" s="16" t="s">
        <v>32</v>
      </c>
      <c r="H451" s="17">
        <v>22932.71</v>
      </c>
      <c r="I451" s="16">
        <v>1</v>
      </c>
      <c r="J451" s="18">
        <v>1770.13</v>
      </c>
      <c r="K451" s="17" t="str" cm="1">
        <f t="array" ref="K451">_xlfn.IFS(Table43[[#This Row],[Sales]]&gt;40000,"Best Sales",Table43[[#This Row],[Sales]]&gt;20000,"Average Sales",Table43[[#This Row],[Sales]]&gt;0,"Poor Sales")</f>
        <v>Average Sales</v>
      </c>
      <c r="L451" s="12">
        <f>YEAR(Table43[[#This Row],[Date]])</f>
        <v>2023</v>
      </c>
      <c r="M451" s="12">
        <f>MONTH(Table43[[#This Row],[Date]])</f>
        <v>10</v>
      </c>
      <c r="N451" s="13">
        <f>DAY(Table43[[#This Row],[Date]])</f>
        <v>15</v>
      </c>
      <c r="O451" s="13" t="str">
        <f>TEXT(DATE(2023,Table43[[#This Row],[Month]],1),"mmm")</f>
        <v>Oct</v>
      </c>
      <c r="P451" s="13"/>
      <c r="Q451" s="13"/>
    </row>
    <row r="452" spans="1:17" x14ac:dyDescent="0.3">
      <c r="A452" s="6">
        <v>451</v>
      </c>
      <c r="B452" s="7">
        <v>45241</v>
      </c>
      <c r="C452" s="8" t="s">
        <v>17</v>
      </c>
      <c r="D452" s="8" t="s">
        <v>18</v>
      </c>
      <c r="E452" s="8" t="s">
        <v>27</v>
      </c>
      <c r="F452" s="8" t="s">
        <v>38</v>
      </c>
      <c r="G452" s="8" t="s">
        <v>40</v>
      </c>
      <c r="H452" s="9">
        <v>2101.9299999999998</v>
      </c>
      <c r="I452" s="8">
        <v>6</v>
      </c>
      <c r="J452" s="10">
        <v>507.01</v>
      </c>
      <c r="K452" s="17" t="str" cm="1">
        <f t="array" ref="K452">_xlfn.IFS(Table43[[#This Row],[Sales]]&gt;40000,"Best Sales",Table43[[#This Row],[Sales]]&gt;20000,"Average Sales",Table43[[#This Row],[Sales]]&gt;0,"Poor Sales")</f>
        <v>Poor Sales</v>
      </c>
      <c r="L452" s="12">
        <f>YEAR(Table43[[#This Row],[Date]])</f>
        <v>2023</v>
      </c>
      <c r="M452" s="12">
        <f>MONTH(Table43[[#This Row],[Date]])</f>
        <v>11</v>
      </c>
      <c r="N452" s="13">
        <f>DAY(Table43[[#This Row],[Date]])</f>
        <v>11</v>
      </c>
      <c r="O452" s="13" t="str">
        <f>TEXT(DATE(2023,Table43[[#This Row],[Month]],1),"mmm")</f>
        <v>Nov</v>
      </c>
      <c r="P452" s="13"/>
      <c r="Q452" s="13"/>
    </row>
    <row r="453" spans="1:17" x14ac:dyDescent="0.3">
      <c r="A453" s="14">
        <v>452</v>
      </c>
      <c r="B453" s="15">
        <v>45192</v>
      </c>
      <c r="C453" s="16" t="s">
        <v>33</v>
      </c>
      <c r="D453" s="16" t="s">
        <v>34</v>
      </c>
      <c r="E453" s="16" t="s">
        <v>19</v>
      </c>
      <c r="F453" s="16" t="s">
        <v>31</v>
      </c>
      <c r="G453" s="16" t="s">
        <v>36</v>
      </c>
      <c r="H453" s="17">
        <v>23897.96</v>
      </c>
      <c r="I453" s="16">
        <v>7</v>
      </c>
      <c r="J453" s="18">
        <v>4085.47</v>
      </c>
      <c r="K453" s="17" t="str" cm="1">
        <f t="array" ref="K453">_xlfn.IFS(Table43[[#This Row],[Sales]]&gt;40000,"Best Sales",Table43[[#This Row],[Sales]]&gt;20000,"Average Sales",Table43[[#This Row],[Sales]]&gt;0,"Poor Sales")</f>
        <v>Average Sales</v>
      </c>
      <c r="L453" s="12">
        <f>YEAR(Table43[[#This Row],[Date]])</f>
        <v>2023</v>
      </c>
      <c r="M453" s="12">
        <f>MONTH(Table43[[#This Row],[Date]])</f>
        <v>9</v>
      </c>
      <c r="N453" s="13">
        <f>DAY(Table43[[#This Row],[Date]])</f>
        <v>23</v>
      </c>
      <c r="O453" s="13" t="str">
        <f>TEXT(DATE(2023,Table43[[#This Row],[Month]],1),"mmm")</f>
        <v>Sep</v>
      </c>
      <c r="P453" s="13"/>
      <c r="Q453" s="13"/>
    </row>
    <row r="454" spans="1:17" x14ac:dyDescent="0.3">
      <c r="A454" s="6">
        <v>453</v>
      </c>
      <c r="B454" s="7">
        <v>45018</v>
      </c>
      <c r="C454" s="8" t="s">
        <v>42</v>
      </c>
      <c r="D454" s="8" t="s">
        <v>43</v>
      </c>
      <c r="E454" s="8" t="s">
        <v>24</v>
      </c>
      <c r="F454" s="8" t="s">
        <v>31</v>
      </c>
      <c r="G454" s="8" t="s">
        <v>36</v>
      </c>
      <c r="H454" s="9">
        <v>32507.15</v>
      </c>
      <c r="I454" s="8">
        <v>10</v>
      </c>
      <c r="J454" s="10">
        <v>4890.71</v>
      </c>
      <c r="K454" s="17" t="str" cm="1">
        <f t="array" ref="K454">_xlfn.IFS(Table43[[#This Row],[Sales]]&gt;40000,"Best Sales",Table43[[#This Row],[Sales]]&gt;20000,"Average Sales",Table43[[#This Row],[Sales]]&gt;0,"Poor Sales")</f>
        <v>Average Sales</v>
      </c>
      <c r="L454" s="12">
        <f>YEAR(Table43[[#This Row],[Date]])</f>
        <v>2023</v>
      </c>
      <c r="M454" s="12">
        <f>MONTH(Table43[[#This Row],[Date]])</f>
        <v>4</v>
      </c>
      <c r="N454" s="13">
        <f>DAY(Table43[[#This Row],[Date]])</f>
        <v>2</v>
      </c>
      <c r="O454" s="13" t="str">
        <f>TEXT(DATE(2023,Table43[[#This Row],[Month]],1),"mmm")</f>
        <v>Apr</v>
      </c>
      <c r="P454" s="13"/>
      <c r="Q454" s="13"/>
    </row>
    <row r="455" spans="1:17" x14ac:dyDescent="0.3">
      <c r="A455" s="14">
        <v>454</v>
      </c>
      <c r="B455" s="15">
        <v>45053</v>
      </c>
      <c r="C455" s="16" t="s">
        <v>37</v>
      </c>
      <c r="D455" s="16" t="s">
        <v>23</v>
      </c>
      <c r="E455" s="16" t="s">
        <v>19</v>
      </c>
      <c r="F455" s="16" t="s">
        <v>20</v>
      </c>
      <c r="G455" s="16" t="s">
        <v>21</v>
      </c>
      <c r="H455" s="17">
        <v>8584.92</v>
      </c>
      <c r="I455" s="16">
        <v>1</v>
      </c>
      <c r="J455" s="18">
        <v>2560.9699999999998</v>
      </c>
      <c r="K455" s="17" t="str" cm="1">
        <f t="array" ref="K455">_xlfn.IFS(Table43[[#This Row],[Sales]]&gt;40000,"Best Sales",Table43[[#This Row],[Sales]]&gt;20000,"Average Sales",Table43[[#This Row],[Sales]]&gt;0,"Poor Sales")</f>
        <v>Poor Sales</v>
      </c>
      <c r="L455" s="12">
        <f>YEAR(Table43[[#This Row],[Date]])</f>
        <v>2023</v>
      </c>
      <c r="M455" s="12">
        <f>MONTH(Table43[[#This Row],[Date]])</f>
        <v>5</v>
      </c>
      <c r="N455" s="13">
        <f>DAY(Table43[[#This Row],[Date]])</f>
        <v>7</v>
      </c>
      <c r="O455" s="13" t="str">
        <f>TEXT(DATE(2023,Table43[[#This Row],[Month]],1),"mmm")</f>
        <v>May</v>
      </c>
      <c r="P455" s="13"/>
      <c r="Q455" s="13"/>
    </row>
    <row r="456" spans="1:17" x14ac:dyDescent="0.3">
      <c r="A456" s="6">
        <v>455</v>
      </c>
      <c r="B456" s="7">
        <v>45069</v>
      </c>
      <c r="C456" s="8" t="s">
        <v>29</v>
      </c>
      <c r="D456" s="8" t="s">
        <v>29</v>
      </c>
      <c r="E456" s="8" t="s">
        <v>24</v>
      </c>
      <c r="F456" s="8" t="s">
        <v>31</v>
      </c>
      <c r="G456" s="8" t="s">
        <v>35</v>
      </c>
      <c r="H456" s="9">
        <v>17850.810000000001</v>
      </c>
      <c r="I456" s="8">
        <v>9</v>
      </c>
      <c r="J456" s="10">
        <v>4605.67</v>
      </c>
      <c r="K456" s="17" t="str" cm="1">
        <f t="array" ref="K456">_xlfn.IFS(Table43[[#This Row],[Sales]]&gt;40000,"Best Sales",Table43[[#This Row],[Sales]]&gt;20000,"Average Sales",Table43[[#This Row],[Sales]]&gt;0,"Poor Sales")</f>
        <v>Poor Sales</v>
      </c>
      <c r="L456" s="12">
        <f>YEAR(Table43[[#This Row],[Date]])</f>
        <v>2023</v>
      </c>
      <c r="M456" s="12">
        <f>MONTH(Table43[[#This Row],[Date]])</f>
        <v>5</v>
      </c>
      <c r="N456" s="13">
        <f>DAY(Table43[[#This Row],[Date]])</f>
        <v>23</v>
      </c>
      <c r="O456" s="13" t="str">
        <f>TEXT(DATE(2023,Table43[[#This Row],[Month]],1),"mmm")</f>
        <v>May</v>
      </c>
      <c r="P456" s="13"/>
      <c r="Q456" s="13"/>
    </row>
    <row r="457" spans="1:17" x14ac:dyDescent="0.3">
      <c r="A457" s="14">
        <v>456</v>
      </c>
      <c r="B457" s="15">
        <v>44976</v>
      </c>
      <c r="C457" s="16" t="s">
        <v>17</v>
      </c>
      <c r="D457" s="16" t="s">
        <v>18</v>
      </c>
      <c r="E457" s="16" t="s">
        <v>27</v>
      </c>
      <c r="F457" s="16" t="s">
        <v>20</v>
      </c>
      <c r="G457" s="16" t="s">
        <v>28</v>
      </c>
      <c r="H457" s="17">
        <v>33800.74</v>
      </c>
      <c r="I457" s="16">
        <v>2</v>
      </c>
      <c r="J457" s="18">
        <v>2747.6</v>
      </c>
      <c r="K457" s="17" t="str" cm="1">
        <f t="array" ref="K457">_xlfn.IFS(Table43[[#This Row],[Sales]]&gt;40000,"Best Sales",Table43[[#This Row],[Sales]]&gt;20000,"Average Sales",Table43[[#This Row],[Sales]]&gt;0,"Poor Sales")</f>
        <v>Average Sales</v>
      </c>
      <c r="L457" s="12">
        <f>YEAR(Table43[[#This Row],[Date]])</f>
        <v>2023</v>
      </c>
      <c r="M457" s="12">
        <f>MONTH(Table43[[#This Row],[Date]])</f>
        <v>2</v>
      </c>
      <c r="N457" s="13">
        <f>DAY(Table43[[#This Row],[Date]])</f>
        <v>19</v>
      </c>
      <c r="O457" s="13" t="str">
        <f>TEXT(DATE(2023,Table43[[#This Row],[Month]],1),"mmm")</f>
        <v>Feb</v>
      </c>
      <c r="P457" s="13"/>
      <c r="Q457" s="13"/>
    </row>
    <row r="458" spans="1:17" x14ac:dyDescent="0.3">
      <c r="A458" s="6">
        <v>457</v>
      </c>
      <c r="B458" s="7">
        <v>45264</v>
      </c>
      <c r="C458" s="8" t="s">
        <v>22</v>
      </c>
      <c r="D458" s="8" t="s">
        <v>23</v>
      </c>
      <c r="E458" s="8" t="s">
        <v>27</v>
      </c>
      <c r="F458" s="8" t="s">
        <v>31</v>
      </c>
      <c r="G458" s="8" t="s">
        <v>32</v>
      </c>
      <c r="H458" s="9">
        <v>5414.74</v>
      </c>
      <c r="I458" s="8">
        <v>4</v>
      </c>
      <c r="J458" s="10">
        <v>976.86</v>
      </c>
      <c r="K458" s="17" t="str" cm="1">
        <f t="array" ref="K458">_xlfn.IFS(Table43[[#This Row],[Sales]]&gt;40000,"Best Sales",Table43[[#This Row],[Sales]]&gt;20000,"Average Sales",Table43[[#This Row],[Sales]]&gt;0,"Poor Sales")</f>
        <v>Poor Sales</v>
      </c>
      <c r="L458" s="12">
        <f>YEAR(Table43[[#This Row],[Date]])</f>
        <v>2023</v>
      </c>
      <c r="M458" s="12">
        <f>MONTH(Table43[[#This Row],[Date]])</f>
        <v>12</v>
      </c>
      <c r="N458" s="13">
        <f>DAY(Table43[[#This Row],[Date]])</f>
        <v>4</v>
      </c>
      <c r="O458" s="13" t="str">
        <f>TEXT(DATE(2023,Table43[[#This Row],[Month]],1),"mmm")</f>
        <v>Dec</v>
      </c>
      <c r="P458" s="13"/>
      <c r="Q458" s="13"/>
    </row>
    <row r="459" spans="1:17" x14ac:dyDescent="0.3">
      <c r="A459" s="14">
        <v>458</v>
      </c>
      <c r="B459" s="15">
        <v>44952</v>
      </c>
      <c r="C459" s="16" t="s">
        <v>44</v>
      </c>
      <c r="D459" s="16" t="s">
        <v>34</v>
      </c>
      <c r="E459" s="16" t="s">
        <v>19</v>
      </c>
      <c r="F459" s="16" t="s">
        <v>31</v>
      </c>
      <c r="G459" s="16" t="s">
        <v>35</v>
      </c>
      <c r="H459" s="17">
        <v>12452.06</v>
      </c>
      <c r="I459" s="16">
        <v>2</v>
      </c>
      <c r="J459" s="18">
        <v>2412.8200000000002</v>
      </c>
      <c r="K459" s="17" t="str" cm="1">
        <f t="array" ref="K459">_xlfn.IFS(Table43[[#This Row],[Sales]]&gt;40000,"Best Sales",Table43[[#This Row],[Sales]]&gt;20000,"Average Sales",Table43[[#This Row],[Sales]]&gt;0,"Poor Sales")</f>
        <v>Poor Sales</v>
      </c>
      <c r="L459" s="12">
        <f>YEAR(Table43[[#This Row],[Date]])</f>
        <v>2023</v>
      </c>
      <c r="M459" s="12">
        <f>MONTH(Table43[[#This Row],[Date]])</f>
        <v>1</v>
      </c>
      <c r="N459" s="13">
        <f>DAY(Table43[[#This Row],[Date]])</f>
        <v>26</v>
      </c>
      <c r="O459" s="13" t="str">
        <f>TEXT(DATE(2023,Table43[[#This Row],[Month]],1),"mmm")</f>
        <v>Jan</v>
      </c>
      <c r="P459" s="13"/>
      <c r="Q459" s="13"/>
    </row>
    <row r="460" spans="1:17" x14ac:dyDescent="0.3">
      <c r="A460" s="6">
        <v>459</v>
      </c>
      <c r="B460" s="7">
        <v>45132</v>
      </c>
      <c r="C460" s="8" t="s">
        <v>17</v>
      </c>
      <c r="D460" s="8" t="s">
        <v>18</v>
      </c>
      <c r="E460" s="8" t="s">
        <v>24</v>
      </c>
      <c r="F460" s="8" t="s">
        <v>31</v>
      </c>
      <c r="G460" s="8" t="s">
        <v>36</v>
      </c>
      <c r="H460" s="9">
        <v>15764.96</v>
      </c>
      <c r="I460" s="8">
        <v>4</v>
      </c>
      <c r="J460" s="10">
        <v>2352.7399999999998</v>
      </c>
      <c r="K460" s="17" t="str" cm="1">
        <f t="array" ref="K460">_xlfn.IFS(Table43[[#This Row],[Sales]]&gt;40000,"Best Sales",Table43[[#This Row],[Sales]]&gt;20000,"Average Sales",Table43[[#This Row],[Sales]]&gt;0,"Poor Sales")</f>
        <v>Poor Sales</v>
      </c>
      <c r="L460" s="12">
        <f>YEAR(Table43[[#This Row],[Date]])</f>
        <v>2023</v>
      </c>
      <c r="M460" s="12">
        <f>MONTH(Table43[[#This Row],[Date]])</f>
        <v>7</v>
      </c>
      <c r="N460" s="13">
        <f>DAY(Table43[[#This Row],[Date]])</f>
        <v>25</v>
      </c>
      <c r="O460" s="13" t="str">
        <f>TEXT(DATE(2023,Table43[[#This Row],[Month]],1),"mmm")</f>
        <v>Jul</v>
      </c>
      <c r="P460" s="13"/>
      <c r="Q460" s="13"/>
    </row>
    <row r="461" spans="1:17" x14ac:dyDescent="0.3">
      <c r="A461" s="14">
        <v>460</v>
      </c>
      <c r="B461" s="15">
        <v>45239</v>
      </c>
      <c r="C461" s="16" t="s">
        <v>44</v>
      </c>
      <c r="D461" s="16" t="s">
        <v>34</v>
      </c>
      <c r="E461" s="16" t="s">
        <v>19</v>
      </c>
      <c r="F461" s="16" t="s">
        <v>31</v>
      </c>
      <c r="G461" s="16" t="s">
        <v>32</v>
      </c>
      <c r="H461" s="17">
        <v>41835.79</v>
      </c>
      <c r="I461" s="16">
        <v>1</v>
      </c>
      <c r="J461" s="18">
        <v>2744.23</v>
      </c>
      <c r="K461" s="17" t="str" cm="1">
        <f t="array" ref="K461">_xlfn.IFS(Table43[[#This Row],[Sales]]&gt;40000,"Best Sales",Table43[[#This Row],[Sales]]&gt;20000,"Average Sales",Table43[[#This Row],[Sales]]&gt;0,"Poor Sales")</f>
        <v>Best Sales</v>
      </c>
      <c r="L461" s="12">
        <f>YEAR(Table43[[#This Row],[Date]])</f>
        <v>2023</v>
      </c>
      <c r="M461" s="12">
        <f>MONTH(Table43[[#This Row],[Date]])</f>
        <v>11</v>
      </c>
      <c r="N461" s="13">
        <f>DAY(Table43[[#This Row],[Date]])</f>
        <v>9</v>
      </c>
      <c r="O461" s="13" t="str">
        <f>TEXT(DATE(2023,Table43[[#This Row],[Month]],1),"mmm")</f>
        <v>Nov</v>
      </c>
      <c r="P461" s="13"/>
      <c r="Q461" s="13"/>
    </row>
    <row r="462" spans="1:17" x14ac:dyDescent="0.3">
      <c r="A462" s="6">
        <v>461</v>
      </c>
      <c r="B462" s="7">
        <v>45075</v>
      </c>
      <c r="C462" s="8" t="s">
        <v>25</v>
      </c>
      <c r="D462" s="8" t="s">
        <v>26</v>
      </c>
      <c r="E462" s="8" t="s">
        <v>24</v>
      </c>
      <c r="F462" s="8" t="s">
        <v>38</v>
      </c>
      <c r="G462" s="8" t="s">
        <v>40</v>
      </c>
      <c r="H462" s="9">
        <v>23801.25</v>
      </c>
      <c r="I462" s="8">
        <v>2</v>
      </c>
      <c r="J462" s="10">
        <v>6445.33</v>
      </c>
      <c r="K462" s="17" t="str" cm="1">
        <f t="array" ref="K462">_xlfn.IFS(Table43[[#This Row],[Sales]]&gt;40000,"Best Sales",Table43[[#This Row],[Sales]]&gt;20000,"Average Sales",Table43[[#This Row],[Sales]]&gt;0,"Poor Sales")</f>
        <v>Average Sales</v>
      </c>
      <c r="L462" s="12">
        <f>YEAR(Table43[[#This Row],[Date]])</f>
        <v>2023</v>
      </c>
      <c r="M462" s="12">
        <f>MONTH(Table43[[#This Row],[Date]])</f>
        <v>5</v>
      </c>
      <c r="N462" s="13">
        <f>DAY(Table43[[#This Row],[Date]])</f>
        <v>29</v>
      </c>
      <c r="O462" s="13" t="str">
        <f>TEXT(DATE(2023,Table43[[#This Row],[Month]],1),"mmm")</f>
        <v>May</v>
      </c>
      <c r="P462" s="13"/>
      <c r="Q462" s="13"/>
    </row>
    <row r="463" spans="1:17" x14ac:dyDescent="0.3">
      <c r="A463" s="14">
        <v>462</v>
      </c>
      <c r="B463" s="15">
        <v>45252</v>
      </c>
      <c r="C463" s="16" t="s">
        <v>33</v>
      </c>
      <c r="D463" s="16" t="s">
        <v>34</v>
      </c>
      <c r="E463" s="16" t="s">
        <v>27</v>
      </c>
      <c r="F463" s="16" t="s">
        <v>31</v>
      </c>
      <c r="G463" s="16" t="s">
        <v>32</v>
      </c>
      <c r="H463" s="17">
        <v>15461.71</v>
      </c>
      <c r="I463" s="16">
        <v>3</v>
      </c>
      <c r="J463" s="18">
        <v>3314.59</v>
      </c>
      <c r="K463" s="17" t="str" cm="1">
        <f t="array" ref="K463">_xlfn.IFS(Table43[[#This Row],[Sales]]&gt;40000,"Best Sales",Table43[[#This Row],[Sales]]&gt;20000,"Average Sales",Table43[[#This Row],[Sales]]&gt;0,"Poor Sales")</f>
        <v>Poor Sales</v>
      </c>
      <c r="L463" s="12">
        <f>YEAR(Table43[[#This Row],[Date]])</f>
        <v>2023</v>
      </c>
      <c r="M463" s="12">
        <f>MONTH(Table43[[#This Row],[Date]])</f>
        <v>11</v>
      </c>
      <c r="N463" s="13">
        <f>DAY(Table43[[#This Row],[Date]])</f>
        <v>22</v>
      </c>
      <c r="O463" s="13" t="str">
        <f>TEXT(DATE(2023,Table43[[#This Row],[Month]],1),"mmm")</f>
        <v>Nov</v>
      </c>
      <c r="P463" s="13"/>
      <c r="Q463" s="13"/>
    </row>
    <row r="464" spans="1:17" x14ac:dyDescent="0.3">
      <c r="A464" s="6">
        <v>463</v>
      </c>
      <c r="B464" s="7">
        <v>45076</v>
      </c>
      <c r="C464" s="8" t="s">
        <v>42</v>
      </c>
      <c r="D464" s="8" t="s">
        <v>43</v>
      </c>
      <c r="E464" s="8" t="s">
        <v>27</v>
      </c>
      <c r="F464" s="8" t="s">
        <v>31</v>
      </c>
      <c r="G464" s="8" t="s">
        <v>36</v>
      </c>
      <c r="H464" s="9">
        <v>45619.47</v>
      </c>
      <c r="I464" s="8">
        <v>10</v>
      </c>
      <c r="J464" s="10">
        <v>10134.75</v>
      </c>
      <c r="K464" s="17" t="str" cm="1">
        <f t="array" ref="K464">_xlfn.IFS(Table43[[#This Row],[Sales]]&gt;40000,"Best Sales",Table43[[#This Row],[Sales]]&gt;20000,"Average Sales",Table43[[#This Row],[Sales]]&gt;0,"Poor Sales")</f>
        <v>Best Sales</v>
      </c>
      <c r="L464" s="12">
        <f>YEAR(Table43[[#This Row],[Date]])</f>
        <v>2023</v>
      </c>
      <c r="M464" s="12">
        <f>MONTH(Table43[[#This Row],[Date]])</f>
        <v>5</v>
      </c>
      <c r="N464" s="13">
        <f>DAY(Table43[[#This Row],[Date]])</f>
        <v>30</v>
      </c>
      <c r="O464" s="13" t="str">
        <f>TEXT(DATE(2023,Table43[[#This Row],[Month]],1),"mmm")</f>
        <v>May</v>
      </c>
      <c r="P464" s="13"/>
      <c r="Q464" s="13"/>
    </row>
    <row r="465" spans="1:17" x14ac:dyDescent="0.3">
      <c r="A465" s="14">
        <v>464</v>
      </c>
      <c r="B465" s="15">
        <v>45000</v>
      </c>
      <c r="C465" s="16" t="s">
        <v>17</v>
      </c>
      <c r="D465" s="16" t="s">
        <v>18</v>
      </c>
      <c r="E465" s="16" t="s">
        <v>19</v>
      </c>
      <c r="F465" s="16" t="s">
        <v>38</v>
      </c>
      <c r="G465" s="16" t="s">
        <v>40</v>
      </c>
      <c r="H465" s="17">
        <v>15028.38</v>
      </c>
      <c r="I465" s="16">
        <v>7</v>
      </c>
      <c r="J465" s="18">
        <v>2910.42</v>
      </c>
      <c r="K465" s="17" t="str" cm="1">
        <f t="array" ref="K465">_xlfn.IFS(Table43[[#This Row],[Sales]]&gt;40000,"Best Sales",Table43[[#This Row],[Sales]]&gt;20000,"Average Sales",Table43[[#This Row],[Sales]]&gt;0,"Poor Sales")</f>
        <v>Poor Sales</v>
      </c>
      <c r="L465" s="12">
        <f>YEAR(Table43[[#This Row],[Date]])</f>
        <v>2023</v>
      </c>
      <c r="M465" s="12">
        <f>MONTH(Table43[[#This Row],[Date]])</f>
        <v>3</v>
      </c>
      <c r="N465" s="13">
        <f>DAY(Table43[[#This Row],[Date]])</f>
        <v>15</v>
      </c>
      <c r="O465" s="13" t="str">
        <f>TEXT(DATE(2023,Table43[[#This Row],[Month]],1),"mmm")</f>
        <v>Mar</v>
      </c>
      <c r="P465" s="13"/>
      <c r="Q465" s="13"/>
    </row>
    <row r="466" spans="1:17" x14ac:dyDescent="0.3">
      <c r="A466" s="6">
        <v>465</v>
      </c>
      <c r="B466" s="7">
        <v>45205</v>
      </c>
      <c r="C466" s="8" t="s">
        <v>29</v>
      </c>
      <c r="D466" s="8" t="s">
        <v>29</v>
      </c>
      <c r="E466" s="8" t="s">
        <v>24</v>
      </c>
      <c r="F466" s="8" t="s">
        <v>20</v>
      </c>
      <c r="G466" s="8" t="s">
        <v>41</v>
      </c>
      <c r="H466" s="9">
        <v>30842.46</v>
      </c>
      <c r="I466" s="8">
        <v>1</v>
      </c>
      <c r="J466" s="10">
        <v>3773.49</v>
      </c>
      <c r="K466" s="17" t="str" cm="1">
        <f t="array" ref="K466">_xlfn.IFS(Table43[[#This Row],[Sales]]&gt;40000,"Best Sales",Table43[[#This Row],[Sales]]&gt;20000,"Average Sales",Table43[[#This Row],[Sales]]&gt;0,"Poor Sales")</f>
        <v>Average Sales</v>
      </c>
      <c r="L466" s="12">
        <f>YEAR(Table43[[#This Row],[Date]])</f>
        <v>2023</v>
      </c>
      <c r="M466" s="12">
        <f>MONTH(Table43[[#This Row],[Date]])</f>
        <v>10</v>
      </c>
      <c r="N466" s="13">
        <f>DAY(Table43[[#This Row],[Date]])</f>
        <v>6</v>
      </c>
      <c r="O466" s="13" t="str">
        <f>TEXT(DATE(2023,Table43[[#This Row],[Month]],1),"mmm")</f>
        <v>Oct</v>
      </c>
      <c r="P466" s="13"/>
      <c r="Q466" s="13"/>
    </row>
    <row r="467" spans="1:17" x14ac:dyDescent="0.3">
      <c r="A467" s="14">
        <v>466</v>
      </c>
      <c r="B467" s="15">
        <v>45222</v>
      </c>
      <c r="C467" s="16" t="s">
        <v>17</v>
      </c>
      <c r="D467" s="16" t="s">
        <v>18</v>
      </c>
      <c r="E467" s="16" t="s">
        <v>19</v>
      </c>
      <c r="F467" s="16" t="s">
        <v>20</v>
      </c>
      <c r="G467" s="16" t="s">
        <v>28</v>
      </c>
      <c r="H467" s="17">
        <v>6318.79</v>
      </c>
      <c r="I467" s="16">
        <v>4</v>
      </c>
      <c r="J467" s="18">
        <v>1551.93</v>
      </c>
      <c r="K467" s="17" t="str" cm="1">
        <f t="array" ref="K467">_xlfn.IFS(Table43[[#This Row],[Sales]]&gt;40000,"Best Sales",Table43[[#This Row],[Sales]]&gt;20000,"Average Sales",Table43[[#This Row],[Sales]]&gt;0,"Poor Sales")</f>
        <v>Poor Sales</v>
      </c>
      <c r="L467" s="12">
        <f>YEAR(Table43[[#This Row],[Date]])</f>
        <v>2023</v>
      </c>
      <c r="M467" s="12">
        <f>MONTH(Table43[[#This Row],[Date]])</f>
        <v>10</v>
      </c>
      <c r="N467" s="13">
        <f>DAY(Table43[[#This Row],[Date]])</f>
        <v>23</v>
      </c>
      <c r="O467" s="13" t="str">
        <f>TEXT(DATE(2023,Table43[[#This Row],[Month]],1),"mmm")</f>
        <v>Oct</v>
      </c>
      <c r="P467" s="13"/>
      <c r="Q467" s="13"/>
    </row>
    <row r="468" spans="1:17" x14ac:dyDescent="0.3">
      <c r="A468" s="6">
        <v>467</v>
      </c>
      <c r="B468" s="7">
        <v>44974</v>
      </c>
      <c r="C468" s="8" t="s">
        <v>45</v>
      </c>
      <c r="D468" s="8" t="s">
        <v>34</v>
      </c>
      <c r="E468" s="8" t="s">
        <v>24</v>
      </c>
      <c r="F468" s="8" t="s">
        <v>38</v>
      </c>
      <c r="G468" s="8" t="s">
        <v>40</v>
      </c>
      <c r="H468" s="9">
        <v>14828.09</v>
      </c>
      <c r="I468" s="8">
        <v>7</v>
      </c>
      <c r="J468" s="10">
        <v>2884.42</v>
      </c>
      <c r="K468" s="17" t="str" cm="1">
        <f t="array" ref="K468">_xlfn.IFS(Table43[[#This Row],[Sales]]&gt;40000,"Best Sales",Table43[[#This Row],[Sales]]&gt;20000,"Average Sales",Table43[[#This Row],[Sales]]&gt;0,"Poor Sales")</f>
        <v>Poor Sales</v>
      </c>
      <c r="L468" s="12">
        <f>YEAR(Table43[[#This Row],[Date]])</f>
        <v>2023</v>
      </c>
      <c r="M468" s="12">
        <f>MONTH(Table43[[#This Row],[Date]])</f>
        <v>2</v>
      </c>
      <c r="N468" s="13">
        <f>DAY(Table43[[#This Row],[Date]])</f>
        <v>17</v>
      </c>
      <c r="O468" s="13" t="str">
        <f>TEXT(DATE(2023,Table43[[#This Row],[Month]],1),"mmm")</f>
        <v>Feb</v>
      </c>
      <c r="P468" s="13"/>
      <c r="Q468" s="13"/>
    </row>
    <row r="469" spans="1:17" x14ac:dyDescent="0.3">
      <c r="A469" s="14">
        <v>468</v>
      </c>
      <c r="B469" s="15">
        <v>45137</v>
      </c>
      <c r="C469" s="16" t="s">
        <v>44</v>
      </c>
      <c r="D469" s="16" t="s">
        <v>34</v>
      </c>
      <c r="E469" s="16" t="s">
        <v>27</v>
      </c>
      <c r="F469" s="16" t="s">
        <v>31</v>
      </c>
      <c r="G469" s="16" t="s">
        <v>35</v>
      </c>
      <c r="H469" s="17">
        <v>16069.37</v>
      </c>
      <c r="I469" s="16">
        <v>2</v>
      </c>
      <c r="J469" s="18">
        <v>3976.35</v>
      </c>
      <c r="K469" s="17" t="str" cm="1">
        <f t="array" ref="K469">_xlfn.IFS(Table43[[#This Row],[Sales]]&gt;40000,"Best Sales",Table43[[#This Row],[Sales]]&gt;20000,"Average Sales",Table43[[#This Row],[Sales]]&gt;0,"Poor Sales")</f>
        <v>Poor Sales</v>
      </c>
      <c r="L469" s="12">
        <f>YEAR(Table43[[#This Row],[Date]])</f>
        <v>2023</v>
      </c>
      <c r="M469" s="12">
        <f>MONTH(Table43[[#This Row],[Date]])</f>
        <v>7</v>
      </c>
      <c r="N469" s="13">
        <f>DAY(Table43[[#This Row],[Date]])</f>
        <v>30</v>
      </c>
      <c r="O469" s="13" t="str">
        <f>TEXT(DATE(2023,Table43[[#This Row],[Month]],1),"mmm")</f>
        <v>Jul</v>
      </c>
      <c r="P469" s="13"/>
      <c r="Q469" s="13"/>
    </row>
    <row r="470" spans="1:17" x14ac:dyDescent="0.3">
      <c r="A470" s="6">
        <v>469</v>
      </c>
      <c r="B470" s="7">
        <v>45213</v>
      </c>
      <c r="C470" s="8" t="s">
        <v>37</v>
      </c>
      <c r="D470" s="8" t="s">
        <v>23</v>
      </c>
      <c r="E470" s="8" t="s">
        <v>27</v>
      </c>
      <c r="F470" s="8" t="s">
        <v>20</v>
      </c>
      <c r="G470" s="8" t="s">
        <v>28</v>
      </c>
      <c r="H470" s="9">
        <v>13770.88</v>
      </c>
      <c r="I470" s="8">
        <v>9</v>
      </c>
      <c r="J470" s="10">
        <v>1110.72</v>
      </c>
      <c r="K470" s="17" t="str" cm="1">
        <f t="array" ref="K470">_xlfn.IFS(Table43[[#This Row],[Sales]]&gt;40000,"Best Sales",Table43[[#This Row],[Sales]]&gt;20000,"Average Sales",Table43[[#This Row],[Sales]]&gt;0,"Poor Sales")</f>
        <v>Poor Sales</v>
      </c>
      <c r="L470" s="12">
        <f>YEAR(Table43[[#This Row],[Date]])</f>
        <v>2023</v>
      </c>
      <c r="M470" s="12">
        <f>MONTH(Table43[[#This Row],[Date]])</f>
        <v>10</v>
      </c>
      <c r="N470" s="13">
        <f>DAY(Table43[[#This Row],[Date]])</f>
        <v>14</v>
      </c>
      <c r="O470" s="13" t="str">
        <f>TEXT(DATE(2023,Table43[[#This Row],[Month]],1),"mmm")</f>
        <v>Oct</v>
      </c>
      <c r="P470" s="13"/>
      <c r="Q470" s="13"/>
    </row>
    <row r="471" spans="1:17" x14ac:dyDescent="0.3">
      <c r="A471" s="14">
        <v>470</v>
      </c>
      <c r="B471" s="15">
        <v>45016</v>
      </c>
      <c r="C471" s="16" t="s">
        <v>44</v>
      </c>
      <c r="D471" s="16" t="s">
        <v>34</v>
      </c>
      <c r="E471" s="16" t="s">
        <v>19</v>
      </c>
      <c r="F471" s="16" t="s">
        <v>31</v>
      </c>
      <c r="G471" s="16" t="s">
        <v>36</v>
      </c>
      <c r="H471" s="17">
        <v>24821.75</v>
      </c>
      <c r="I471" s="16">
        <v>4</v>
      </c>
      <c r="J471" s="18">
        <v>4789.5600000000004</v>
      </c>
      <c r="K471" s="17" t="str" cm="1">
        <f t="array" ref="K471">_xlfn.IFS(Table43[[#This Row],[Sales]]&gt;40000,"Best Sales",Table43[[#This Row],[Sales]]&gt;20000,"Average Sales",Table43[[#This Row],[Sales]]&gt;0,"Poor Sales")</f>
        <v>Average Sales</v>
      </c>
      <c r="L471" s="12">
        <f>YEAR(Table43[[#This Row],[Date]])</f>
        <v>2023</v>
      </c>
      <c r="M471" s="12">
        <f>MONTH(Table43[[#This Row],[Date]])</f>
        <v>3</v>
      </c>
      <c r="N471" s="13">
        <f>DAY(Table43[[#This Row],[Date]])</f>
        <v>31</v>
      </c>
      <c r="O471" s="13" t="str">
        <f>TEXT(DATE(2023,Table43[[#This Row],[Month]],1),"mmm")</f>
        <v>Mar</v>
      </c>
      <c r="P471" s="13"/>
      <c r="Q471" s="13"/>
    </row>
    <row r="472" spans="1:17" x14ac:dyDescent="0.3">
      <c r="A472" s="6">
        <v>471</v>
      </c>
      <c r="B472" s="7">
        <v>45038</v>
      </c>
      <c r="C472" s="8" t="s">
        <v>22</v>
      </c>
      <c r="D472" s="8" t="s">
        <v>23</v>
      </c>
      <c r="E472" s="8" t="s">
        <v>24</v>
      </c>
      <c r="F472" s="8" t="s">
        <v>20</v>
      </c>
      <c r="G472" s="8" t="s">
        <v>21</v>
      </c>
      <c r="H472" s="9">
        <v>19819</v>
      </c>
      <c r="I472" s="8">
        <v>9</v>
      </c>
      <c r="J472" s="10">
        <v>4493.47</v>
      </c>
      <c r="K472" s="17" t="str" cm="1">
        <f t="array" ref="K472">_xlfn.IFS(Table43[[#This Row],[Sales]]&gt;40000,"Best Sales",Table43[[#This Row],[Sales]]&gt;20000,"Average Sales",Table43[[#This Row],[Sales]]&gt;0,"Poor Sales")</f>
        <v>Poor Sales</v>
      </c>
      <c r="L472" s="12">
        <f>YEAR(Table43[[#This Row],[Date]])</f>
        <v>2023</v>
      </c>
      <c r="M472" s="12">
        <f>MONTH(Table43[[#This Row],[Date]])</f>
        <v>4</v>
      </c>
      <c r="N472" s="13">
        <f>DAY(Table43[[#This Row],[Date]])</f>
        <v>22</v>
      </c>
      <c r="O472" s="13" t="str">
        <f>TEXT(DATE(2023,Table43[[#This Row],[Month]],1),"mmm")</f>
        <v>Apr</v>
      </c>
      <c r="P472" s="13"/>
      <c r="Q472" s="13"/>
    </row>
    <row r="473" spans="1:17" x14ac:dyDescent="0.3">
      <c r="A473" s="14">
        <v>472</v>
      </c>
      <c r="B473" s="15">
        <v>45211</v>
      </c>
      <c r="C473" s="16" t="s">
        <v>44</v>
      </c>
      <c r="D473" s="16" t="s">
        <v>34</v>
      </c>
      <c r="E473" s="16" t="s">
        <v>19</v>
      </c>
      <c r="F473" s="16" t="s">
        <v>20</v>
      </c>
      <c r="G473" s="16" t="s">
        <v>28</v>
      </c>
      <c r="H473" s="17">
        <v>7807.18</v>
      </c>
      <c r="I473" s="16">
        <v>9</v>
      </c>
      <c r="J473" s="18">
        <v>893.09</v>
      </c>
      <c r="K473" s="17" t="str" cm="1">
        <f t="array" ref="K473">_xlfn.IFS(Table43[[#This Row],[Sales]]&gt;40000,"Best Sales",Table43[[#This Row],[Sales]]&gt;20000,"Average Sales",Table43[[#This Row],[Sales]]&gt;0,"Poor Sales")</f>
        <v>Poor Sales</v>
      </c>
      <c r="L473" s="12">
        <f>YEAR(Table43[[#This Row],[Date]])</f>
        <v>2023</v>
      </c>
      <c r="M473" s="12">
        <f>MONTH(Table43[[#This Row],[Date]])</f>
        <v>10</v>
      </c>
      <c r="N473" s="13">
        <f>DAY(Table43[[#This Row],[Date]])</f>
        <v>12</v>
      </c>
      <c r="O473" s="13" t="str">
        <f>TEXT(DATE(2023,Table43[[#This Row],[Month]],1),"mmm")</f>
        <v>Oct</v>
      </c>
      <c r="P473" s="13"/>
      <c r="Q473" s="13"/>
    </row>
    <row r="474" spans="1:17" x14ac:dyDescent="0.3">
      <c r="A474" s="6">
        <v>473</v>
      </c>
      <c r="B474" s="7">
        <v>45158</v>
      </c>
      <c r="C474" s="8" t="s">
        <v>42</v>
      </c>
      <c r="D474" s="8" t="s">
        <v>43</v>
      </c>
      <c r="E474" s="8" t="s">
        <v>24</v>
      </c>
      <c r="F474" s="8" t="s">
        <v>20</v>
      </c>
      <c r="G474" s="8" t="s">
        <v>21</v>
      </c>
      <c r="H474" s="9">
        <v>29187.5</v>
      </c>
      <c r="I474" s="8">
        <v>3</v>
      </c>
      <c r="J474" s="10">
        <v>2048.9699999999998</v>
      </c>
      <c r="K474" s="17" t="str" cm="1">
        <f t="array" ref="K474">_xlfn.IFS(Table43[[#This Row],[Sales]]&gt;40000,"Best Sales",Table43[[#This Row],[Sales]]&gt;20000,"Average Sales",Table43[[#This Row],[Sales]]&gt;0,"Poor Sales")</f>
        <v>Average Sales</v>
      </c>
      <c r="L474" s="12">
        <f>YEAR(Table43[[#This Row],[Date]])</f>
        <v>2023</v>
      </c>
      <c r="M474" s="12">
        <f>MONTH(Table43[[#This Row],[Date]])</f>
        <v>8</v>
      </c>
      <c r="N474" s="13">
        <f>DAY(Table43[[#This Row],[Date]])</f>
        <v>20</v>
      </c>
      <c r="O474" s="13" t="str">
        <f>TEXT(DATE(2023,Table43[[#This Row],[Month]],1),"mmm")</f>
        <v>Aug</v>
      </c>
      <c r="P474" s="13"/>
      <c r="Q474" s="13"/>
    </row>
    <row r="475" spans="1:17" x14ac:dyDescent="0.3">
      <c r="A475" s="14">
        <v>474</v>
      </c>
      <c r="B475" s="15">
        <v>45287</v>
      </c>
      <c r="C475" s="16" t="s">
        <v>17</v>
      </c>
      <c r="D475" s="16" t="s">
        <v>18</v>
      </c>
      <c r="E475" s="16" t="s">
        <v>27</v>
      </c>
      <c r="F475" s="16" t="s">
        <v>31</v>
      </c>
      <c r="G475" s="16" t="s">
        <v>35</v>
      </c>
      <c r="H475" s="17">
        <v>30736.28</v>
      </c>
      <c r="I475" s="16">
        <v>6</v>
      </c>
      <c r="J475" s="18">
        <v>6419.01</v>
      </c>
      <c r="K475" s="17" t="str" cm="1">
        <f t="array" ref="K475">_xlfn.IFS(Table43[[#This Row],[Sales]]&gt;40000,"Best Sales",Table43[[#This Row],[Sales]]&gt;20000,"Average Sales",Table43[[#This Row],[Sales]]&gt;0,"Poor Sales")</f>
        <v>Average Sales</v>
      </c>
      <c r="L475" s="12">
        <f>YEAR(Table43[[#This Row],[Date]])</f>
        <v>2023</v>
      </c>
      <c r="M475" s="12">
        <f>MONTH(Table43[[#This Row],[Date]])</f>
        <v>12</v>
      </c>
      <c r="N475" s="13">
        <f>DAY(Table43[[#This Row],[Date]])</f>
        <v>27</v>
      </c>
      <c r="O475" s="13" t="str">
        <f>TEXT(DATE(2023,Table43[[#This Row],[Month]],1),"mmm")</f>
        <v>Dec</v>
      </c>
      <c r="P475" s="13"/>
      <c r="Q475" s="13"/>
    </row>
    <row r="476" spans="1:17" x14ac:dyDescent="0.3">
      <c r="A476" s="6">
        <v>475</v>
      </c>
      <c r="B476" s="7">
        <v>44988</v>
      </c>
      <c r="C476" s="8" t="s">
        <v>37</v>
      </c>
      <c r="D476" s="8" t="s">
        <v>23</v>
      </c>
      <c r="E476" s="8" t="s">
        <v>27</v>
      </c>
      <c r="F476" s="8" t="s">
        <v>31</v>
      </c>
      <c r="G476" s="8" t="s">
        <v>32</v>
      </c>
      <c r="H476" s="9">
        <v>14023.91</v>
      </c>
      <c r="I476" s="8">
        <v>7</v>
      </c>
      <c r="J476" s="10">
        <v>1687.3</v>
      </c>
      <c r="K476" s="17" t="str" cm="1">
        <f t="array" ref="K476">_xlfn.IFS(Table43[[#This Row],[Sales]]&gt;40000,"Best Sales",Table43[[#This Row],[Sales]]&gt;20000,"Average Sales",Table43[[#This Row],[Sales]]&gt;0,"Poor Sales")</f>
        <v>Poor Sales</v>
      </c>
      <c r="L476" s="12">
        <f>YEAR(Table43[[#This Row],[Date]])</f>
        <v>2023</v>
      </c>
      <c r="M476" s="12">
        <f>MONTH(Table43[[#This Row],[Date]])</f>
        <v>3</v>
      </c>
      <c r="N476" s="13">
        <f>DAY(Table43[[#This Row],[Date]])</f>
        <v>3</v>
      </c>
      <c r="O476" s="13" t="str">
        <f>TEXT(DATE(2023,Table43[[#This Row],[Month]],1),"mmm")</f>
        <v>Mar</v>
      </c>
      <c r="P476" s="13"/>
      <c r="Q476" s="13"/>
    </row>
    <row r="477" spans="1:17" x14ac:dyDescent="0.3">
      <c r="A477" s="14">
        <v>476</v>
      </c>
      <c r="B477" s="15">
        <v>45029</v>
      </c>
      <c r="C477" s="16" t="s">
        <v>25</v>
      </c>
      <c r="D477" s="16" t="s">
        <v>26</v>
      </c>
      <c r="E477" s="16" t="s">
        <v>19</v>
      </c>
      <c r="F477" s="16" t="s">
        <v>31</v>
      </c>
      <c r="G477" s="16" t="s">
        <v>36</v>
      </c>
      <c r="H477" s="17">
        <v>16267.75</v>
      </c>
      <c r="I477" s="16">
        <v>3</v>
      </c>
      <c r="J477" s="18">
        <v>3928.17</v>
      </c>
      <c r="K477" s="17" t="str" cm="1">
        <f t="array" ref="K477">_xlfn.IFS(Table43[[#This Row],[Sales]]&gt;40000,"Best Sales",Table43[[#This Row],[Sales]]&gt;20000,"Average Sales",Table43[[#This Row],[Sales]]&gt;0,"Poor Sales")</f>
        <v>Poor Sales</v>
      </c>
      <c r="L477" s="12">
        <f>YEAR(Table43[[#This Row],[Date]])</f>
        <v>2023</v>
      </c>
      <c r="M477" s="12">
        <f>MONTH(Table43[[#This Row],[Date]])</f>
        <v>4</v>
      </c>
      <c r="N477" s="13">
        <f>DAY(Table43[[#This Row],[Date]])</f>
        <v>13</v>
      </c>
      <c r="O477" s="13" t="str">
        <f>TEXT(DATE(2023,Table43[[#This Row],[Month]],1),"mmm")</f>
        <v>Apr</v>
      </c>
      <c r="P477" s="13"/>
      <c r="Q477" s="13"/>
    </row>
    <row r="478" spans="1:17" x14ac:dyDescent="0.3">
      <c r="A478" s="6">
        <v>477</v>
      </c>
      <c r="B478" s="7">
        <v>45129</v>
      </c>
      <c r="C478" s="8" t="s">
        <v>45</v>
      </c>
      <c r="D478" s="8" t="s">
        <v>34</v>
      </c>
      <c r="E478" s="8" t="s">
        <v>24</v>
      </c>
      <c r="F478" s="8" t="s">
        <v>38</v>
      </c>
      <c r="G478" s="8" t="s">
        <v>46</v>
      </c>
      <c r="H478" s="9">
        <v>17638.95</v>
      </c>
      <c r="I478" s="8">
        <v>1</v>
      </c>
      <c r="J478" s="10">
        <v>5267.64</v>
      </c>
      <c r="K478" s="17" t="str" cm="1">
        <f t="array" ref="K478">_xlfn.IFS(Table43[[#This Row],[Sales]]&gt;40000,"Best Sales",Table43[[#This Row],[Sales]]&gt;20000,"Average Sales",Table43[[#This Row],[Sales]]&gt;0,"Poor Sales")</f>
        <v>Poor Sales</v>
      </c>
      <c r="L478" s="12">
        <f>YEAR(Table43[[#This Row],[Date]])</f>
        <v>2023</v>
      </c>
      <c r="M478" s="12">
        <f>MONTH(Table43[[#This Row],[Date]])</f>
        <v>7</v>
      </c>
      <c r="N478" s="13">
        <f>DAY(Table43[[#This Row],[Date]])</f>
        <v>22</v>
      </c>
      <c r="O478" s="13" t="str">
        <f>TEXT(DATE(2023,Table43[[#This Row],[Month]],1),"mmm")</f>
        <v>Jul</v>
      </c>
      <c r="P478" s="13"/>
      <c r="Q478" s="13"/>
    </row>
    <row r="479" spans="1:17" x14ac:dyDescent="0.3">
      <c r="A479" s="14">
        <v>478</v>
      </c>
      <c r="B479" s="15">
        <v>45019</v>
      </c>
      <c r="C479" s="16" t="s">
        <v>42</v>
      </c>
      <c r="D479" s="16" t="s">
        <v>43</v>
      </c>
      <c r="E479" s="16" t="s">
        <v>19</v>
      </c>
      <c r="F479" s="16" t="s">
        <v>38</v>
      </c>
      <c r="G479" s="16" t="s">
        <v>46</v>
      </c>
      <c r="H479" s="17">
        <v>4634.8100000000004</v>
      </c>
      <c r="I479" s="16">
        <v>5</v>
      </c>
      <c r="J479" s="18">
        <v>1129.28</v>
      </c>
      <c r="K479" s="17" t="str" cm="1">
        <f t="array" ref="K479">_xlfn.IFS(Table43[[#This Row],[Sales]]&gt;40000,"Best Sales",Table43[[#This Row],[Sales]]&gt;20000,"Average Sales",Table43[[#This Row],[Sales]]&gt;0,"Poor Sales")</f>
        <v>Poor Sales</v>
      </c>
      <c r="L479" s="12">
        <f>YEAR(Table43[[#This Row],[Date]])</f>
        <v>2023</v>
      </c>
      <c r="M479" s="12">
        <f>MONTH(Table43[[#This Row],[Date]])</f>
        <v>4</v>
      </c>
      <c r="N479" s="13">
        <f>DAY(Table43[[#This Row],[Date]])</f>
        <v>3</v>
      </c>
      <c r="O479" s="13" t="str">
        <f>TEXT(DATE(2023,Table43[[#This Row],[Month]],1),"mmm")</f>
        <v>Apr</v>
      </c>
      <c r="P479" s="13"/>
      <c r="Q479" s="13"/>
    </row>
    <row r="480" spans="1:17" x14ac:dyDescent="0.3">
      <c r="A480" s="6">
        <v>479</v>
      </c>
      <c r="B480" s="7">
        <v>44994</v>
      </c>
      <c r="C480" s="8" t="s">
        <v>45</v>
      </c>
      <c r="D480" s="8" t="s">
        <v>34</v>
      </c>
      <c r="E480" s="8" t="s">
        <v>24</v>
      </c>
      <c r="F480" s="8" t="s">
        <v>38</v>
      </c>
      <c r="G480" s="8" t="s">
        <v>39</v>
      </c>
      <c r="H480" s="9">
        <v>38025.67</v>
      </c>
      <c r="I480" s="8">
        <v>8</v>
      </c>
      <c r="J480" s="10">
        <v>2827.8</v>
      </c>
      <c r="K480" s="17" t="str" cm="1">
        <f t="array" ref="K480">_xlfn.IFS(Table43[[#This Row],[Sales]]&gt;40000,"Best Sales",Table43[[#This Row],[Sales]]&gt;20000,"Average Sales",Table43[[#This Row],[Sales]]&gt;0,"Poor Sales")</f>
        <v>Average Sales</v>
      </c>
      <c r="L480" s="12">
        <f>YEAR(Table43[[#This Row],[Date]])</f>
        <v>2023</v>
      </c>
      <c r="M480" s="12">
        <f>MONTH(Table43[[#This Row],[Date]])</f>
        <v>3</v>
      </c>
      <c r="N480" s="13">
        <f>DAY(Table43[[#This Row],[Date]])</f>
        <v>9</v>
      </c>
      <c r="O480" s="13" t="str">
        <f>TEXT(DATE(2023,Table43[[#This Row],[Month]],1),"mmm")</f>
        <v>Mar</v>
      </c>
      <c r="P480" s="13"/>
      <c r="Q480" s="13"/>
    </row>
    <row r="481" spans="1:17" x14ac:dyDescent="0.3">
      <c r="A481" s="14">
        <v>480</v>
      </c>
      <c r="B481" s="15">
        <v>45024</v>
      </c>
      <c r="C481" s="16" t="s">
        <v>45</v>
      </c>
      <c r="D481" s="16" t="s">
        <v>34</v>
      </c>
      <c r="E481" s="16" t="s">
        <v>27</v>
      </c>
      <c r="F481" s="16" t="s">
        <v>20</v>
      </c>
      <c r="G481" s="16" t="s">
        <v>41</v>
      </c>
      <c r="H481" s="17">
        <v>2127.65</v>
      </c>
      <c r="I481" s="16">
        <v>9</v>
      </c>
      <c r="J481" s="18">
        <v>181.46</v>
      </c>
      <c r="K481" s="17" t="str" cm="1">
        <f t="array" ref="K481">_xlfn.IFS(Table43[[#This Row],[Sales]]&gt;40000,"Best Sales",Table43[[#This Row],[Sales]]&gt;20000,"Average Sales",Table43[[#This Row],[Sales]]&gt;0,"Poor Sales")</f>
        <v>Poor Sales</v>
      </c>
      <c r="L481" s="12">
        <f>YEAR(Table43[[#This Row],[Date]])</f>
        <v>2023</v>
      </c>
      <c r="M481" s="12">
        <f>MONTH(Table43[[#This Row],[Date]])</f>
        <v>4</v>
      </c>
      <c r="N481" s="13">
        <f>DAY(Table43[[#This Row],[Date]])</f>
        <v>8</v>
      </c>
      <c r="O481" s="13" t="str">
        <f>TEXT(DATE(2023,Table43[[#This Row],[Month]],1),"mmm")</f>
        <v>Apr</v>
      </c>
      <c r="P481" s="13"/>
      <c r="Q481" s="13"/>
    </row>
    <row r="482" spans="1:17" x14ac:dyDescent="0.3">
      <c r="A482" s="6">
        <v>481</v>
      </c>
      <c r="B482" s="7">
        <v>44936</v>
      </c>
      <c r="C482" s="8" t="s">
        <v>44</v>
      </c>
      <c r="D482" s="8" t="s">
        <v>34</v>
      </c>
      <c r="E482" s="8" t="s">
        <v>27</v>
      </c>
      <c r="F482" s="8" t="s">
        <v>38</v>
      </c>
      <c r="G482" s="8" t="s">
        <v>40</v>
      </c>
      <c r="H482" s="9">
        <v>45815.93</v>
      </c>
      <c r="I482" s="8">
        <v>8</v>
      </c>
      <c r="J482" s="10">
        <v>2496.91</v>
      </c>
      <c r="K482" s="17" t="str" cm="1">
        <f t="array" ref="K482">_xlfn.IFS(Table43[[#This Row],[Sales]]&gt;40000,"Best Sales",Table43[[#This Row],[Sales]]&gt;20000,"Average Sales",Table43[[#This Row],[Sales]]&gt;0,"Poor Sales")</f>
        <v>Best Sales</v>
      </c>
      <c r="L482" s="12">
        <f>YEAR(Table43[[#This Row],[Date]])</f>
        <v>2023</v>
      </c>
      <c r="M482" s="12">
        <f>MONTH(Table43[[#This Row],[Date]])</f>
        <v>1</v>
      </c>
      <c r="N482" s="13">
        <f>DAY(Table43[[#This Row],[Date]])</f>
        <v>10</v>
      </c>
      <c r="O482" s="13" t="str">
        <f>TEXT(DATE(2023,Table43[[#This Row],[Month]],1),"mmm")</f>
        <v>Jan</v>
      </c>
      <c r="P482" s="13"/>
      <c r="Q482" s="13"/>
    </row>
    <row r="483" spans="1:17" x14ac:dyDescent="0.3">
      <c r="A483" s="14">
        <v>482</v>
      </c>
      <c r="B483" s="15">
        <v>45291</v>
      </c>
      <c r="C483" s="16" t="s">
        <v>29</v>
      </c>
      <c r="D483" s="16" t="s">
        <v>29</v>
      </c>
      <c r="E483" s="16" t="s">
        <v>19</v>
      </c>
      <c r="F483" s="16" t="s">
        <v>20</v>
      </c>
      <c r="G483" s="16" t="s">
        <v>21</v>
      </c>
      <c r="H483" s="17">
        <v>15944.17</v>
      </c>
      <c r="I483" s="16">
        <v>3</v>
      </c>
      <c r="J483" s="18">
        <v>1241.5</v>
      </c>
      <c r="K483" s="17" t="str" cm="1">
        <f t="array" ref="K483">_xlfn.IFS(Table43[[#This Row],[Sales]]&gt;40000,"Best Sales",Table43[[#This Row],[Sales]]&gt;20000,"Average Sales",Table43[[#This Row],[Sales]]&gt;0,"Poor Sales")</f>
        <v>Poor Sales</v>
      </c>
      <c r="L483" s="12">
        <f>YEAR(Table43[[#This Row],[Date]])</f>
        <v>2023</v>
      </c>
      <c r="M483" s="12">
        <f>MONTH(Table43[[#This Row],[Date]])</f>
        <v>12</v>
      </c>
      <c r="N483" s="13">
        <f>DAY(Table43[[#This Row],[Date]])</f>
        <v>31</v>
      </c>
      <c r="O483" s="13" t="str">
        <f>TEXT(DATE(2023,Table43[[#This Row],[Month]],1),"mmm")</f>
        <v>Dec</v>
      </c>
      <c r="P483" s="13"/>
      <c r="Q483" s="13"/>
    </row>
    <row r="484" spans="1:17" x14ac:dyDescent="0.3">
      <c r="A484" s="6">
        <v>483</v>
      </c>
      <c r="B484" s="7">
        <v>45127</v>
      </c>
      <c r="C484" s="8" t="s">
        <v>37</v>
      </c>
      <c r="D484" s="8" t="s">
        <v>23</v>
      </c>
      <c r="E484" s="8" t="s">
        <v>24</v>
      </c>
      <c r="F484" s="8" t="s">
        <v>38</v>
      </c>
      <c r="G484" s="8" t="s">
        <v>46</v>
      </c>
      <c r="H484" s="9">
        <v>13865.4</v>
      </c>
      <c r="I484" s="8">
        <v>7</v>
      </c>
      <c r="J484" s="10">
        <v>1146.8599999999999</v>
      </c>
      <c r="K484" s="17" t="str" cm="1">
        <f t="array" ref="K484">_xlfn.IFS(Table43[[#This Row],[Sales]]&gt;40000,"Best Sales",Table43[[#This Row],[Sales]]&gt;20000,"Average Sales",Table43[[#This Row],[Sales]]&gt;0,"Poor Sales")</f>
        <v>Poor Sales</v>
      </c>
      <c r="L484" s="12">
        <f>YEAR(Table43[[#This Row],[Date]])</f>
        <v>2023</v>
      </c>
      <c r="M484" s="12">
        <f>MONTH(Table43[[#This Row],[Date]])</f>
        <v>7</v>
      </c>
      <c r="N484" s="13">
        <f>DAY(Table43[[#This Row],[Date]])</f>
        <v>20</v>
      </c>
      <c r="O484" s="13" t="str">
        <f>TEXT(DATE(2023,Table43[[#This Row],[Month]],1),"mmm")</f>
        <v>Jul</v>
      </c>
      <c r="P484" s="13"/>
      <c r="Q484" s="13"/>
    </row>
    <row r="485" spans="1:17" x14ac:dyDescent="0.3">
      <c r="A485" s="14">
        <v>484</v>
      </c>
      <c r="B485" s="15">
        <v>45219</v>
      </c>
      <c r="C485" s="16" t="s">
        <v>17</v>
      </c>
      <c r="D485" s="16" t="s">
        <v>18</v>
      </c>
      <c r="E485" s="16" t="s">
        <v>19</v>
      </c>
      <c r="F485" s="16" t="s">
        <v>38</v>
      </c>
      <c r="G485" s="16" t="s">
        <v>40</v>
      </c>
      <c r="H485" s="17">
        <v>49401.07</v>
      </c>
      <c r="I485" s="16">
        <v>7</v>
      </c>
      <c r="J485" s="18">
        <v>13668.97</v>
      </c>
      <c r="K485" s="17" t="str" cm="1">
        <f t="array" ref="K485">_xlfn.IFS(Table43[[#This Row],[Sales]]&gt;40000,"Best Sales",Table43[[#This Row],[Sales]]&gt;20000,"Average Sales",Table43[[#This Row],[Sales]]&gt;0,"Poor Sales")</f>
        <v>Best Sales</v>
      </c>
      <c r="L485" s="12">
        <f>YEAR(Table43[[#This Row],[Date]])</f>
        <v>2023</v>
      </c>
      <c r="M485" s="12">
        <f>MONTH(Table43[[#This Row],[Date]])</f>
        <v>10</v>
      </c>
      <c r="N485" s="13">
        <f>DAY(Table43[[#This Row],[Date]])</f>
        <v>20</v>
      </c>
      <c r="O485" s="13" t="str">
        <f>TEXT(DATE(2023,Table43[[#This Row],[Month]],1),"mmm")</f>
        <v>Oct</v>
      </c>
      <c r="P485" s="13"/>
      <c r="Q485" s="13"/>
    </row>
    <row r="486" spans="1:17" x14ac:dyDescent="0.3">
      <c r="A486" s="6">
        <v>485</v>
      </c>
      <c r="B486" s="7">
        <v>45222</v>
      </c>
      <c r="C486" s="8" t="s">
        <v>45</v>
      </c>
      <c r="D486" s="8" t="s">
        <v>34</v>
      </c>
      <c r="E486" s="8" t="s">
        <v>24</v>
      </c>
      <c r="F486" s="8" t="s">
        <v>31</v>
      </c>
      <c r="G486" s="8" t="s">
        <v>35</v>
      </c>
      <c r="H486" s="9">
        <v>6564.48</v>
      </c>
      <c r="I486" s="8">
        <v>1</v>
      </c>
      <c r="J486" s="10">
        <v>522.54999999999995</v>
      </c>
      <c r="K486" s="17" t="str" cm="1">
        <f t="array" ref="K486">_xlfn.IFS(Table43[[#This Row],[Sales]]&gt;40000,"Best Sales",Table43[[#This Row],[Sales]]&gt;20000,"Average Sales",Table43[[#This Row],[Sales]]&gt;0,"Poor Sales")</f>
        <v>Poor Sales</v>
      </c>
      <c r="L486" s="12">
        <f>YEAR(Table43[[#This Row],[Date]])</f>
        <v>2023</v>
      </c>
      <c r="M486" s="12">
        <f>MONTH(Table43[[#This Row],[Date]])</f>
        <v>10</v>
      </c>
      <c r="N486" s="13">
        <f>DAY(Table43[[#This Row],[Date]])</f>
        <v>23</v>
      </c>
      <c r="O486" s="13" t="str">
        <f>TEXT(DATE(2023,Table43[[#This Row],[Month]],1),"mmm")</f>
        <v>Oct</v>
      </c>
      <c r="P486" s="13"/>
      <c r="Q486" s="13"/>
    </row>
    <row r="487" spans="1:17" x14ac:dyDescent="0.3">
      <c r="A487" s="14">
        <v>486</v>
      </c>
      <c r="B487" s="15">
        <v>45109</v>
      </c>
      <c r="C487" s="16" t="s">
        <v>44</v>
      </c>
      <c r="D487" s="16" t="s">
        <v>34</v>
      </c>
      <c r="E487" s="16" t="s">
        <v>27</v>
      </c>
      <c r="F487" s="16" t="s">
        <v>20</v>
      </c>
      <c r="G487" s="16" t="s">
        <v>21</v>
      </c>
      <c r="H487" s="17">
        <v>5283.9</v>
      </c>
      <c r="I487" s="16">
        <v>9</v>
      </c>
      <c r="J487" s="18">
        <v>1226.3399999999999</v>
      </c>
      <c r="K487" s="17" t="str" cm="1">
        <f t="array" ref="K487">_xlfn.IFS(Table43[[#This Row],[Sales]]&gt;40000,"Best Sales",Table43[[#This Row],[Sales]]&gt;20000,"Average Sales",Table43[[#This Row],[Sales]]&gt;0,"Poor Sales")</f>
        <v>Poor Sales</v>
      </c>
      <c r="L487" s="12">
        <f>YEAR(Table43[[#This Row],[Date]])</f>
        <v>2023</v>
      </c>
      <c r="M487" s="12">
        <f>MONTH(Table43[[#This Row],[Date]])</f>
        <v>7</v>
      </c>
      <c r="N487" s="13">
        <f>DAY(Table43[[#This Row],[Date]])</f>
        <v>2</v>
      </c>
      <c r="O487" s="13" t="str">
        <f>TEXT(DATE(2023,Table43[[#This Row],[Month]],1),"mmm")</f>
        <v>Jul</v>
      </c>
      <c r="P487" s="13"/>
      <c r="Q487" s="13"/>
    </row>
    <row r="488" spans="1:17" x14ac:dyDescent="0.3">
      <c r="A488" s="6">
        <v>487</v>
      </c>
      <c r="B488" s="7">
        <v>45011</v>
      </c>
      <c r="C488" s="8" t="s">
        <v>22</v>
      </c>
      <c r="D488" s="8" t="s">
        <v>23</v>
      </c>
      <c r="E488" s="8" t="s">
        <v>27</v>
      </c>
      <c r="F488" s="8" t="s">
        <v>31</v>
      </c>
      <c r="G488" s="8" t="s">
        <v>36</v>
      </c>
      <c r="H488" s="9">
        <v>36607.199999999997</v>
      </c>
      <c r="I488" s="8">
        <v>7</v>
      </c>
      <c r="J488" s="10">
        <v>3454.39</v>
      </c>
      <c r="K488" s="17" t="str" cm="1">
        <f t="array" ref="K488">_xlfn.IFS(Table43[[#This Row],[Sales]]&gt;40000,"Best Sales",Table43[[#This Row],[Sales]]&gt;20000,"Average Sales",Table43[[#This Row],[Sales]]&gt;0,"Poor Sales")</f>
        <v>Average Sales</v>
      </c>
      <c r="L488" s="12">
        <f>YEAR(Table43[[#This Row],[Date]])</f>
        <v>2023</v>
      </c>
      <c r="M488" s="12">
        <f>MONTH(Table43[[#This Row],[Date]])</f>
        <v>3</v>
      </c>
      <c r="N488" s="13">
        <f>DAY(Table43[[#This Row],[Date]])</f>
        <v>26</v>
      </c>
      <c r="O488" s="13" t="str">
        <f>TEXT(DATE(2023,Table43[[#This Row],[Month]],1),"mmm")</f>
        <v>Mar</v>
      </c>
      <c r="P488" s="13"/>
      <c r="Q488" s="13"/>
    </row>
    <row r="489" spans="1:17" x14ac:dyDescent="0.3">
      <c r="A489" s="14">
        <v>488</v>
      </c>
      <c r="B489" s="15">
        <v>44986</v>
      </c>
      <c r="C489" s="16" t="s">
        <v>44</v>
      </c>
      <c r="D489" s="16" t="s">
        <v>34</v>
      </c>
      <c r="E489" s="16" t="s">
        <v>19</v>
      </c>
      <c r="F489" s="16" t="s">
        <v>31</v>
      </c>
      <c r="G489" s="16" t="s">
        <v>35</v>
      </c>
      <c r="H489" s="17">
        <v>17654.32</v>
      </c>
      <c r="I489" s="16">
        <v>9</v>
      </c>
      <c r="J489" s="18">
        <v>1231.93</v>
      </c>
      <c r="K489" s="17" t="str" cm="1">
        <f t="array" ref="K489">_xlfn.IFS(Table43[[#This Row],[Sales]]&gt;40000,"Best Sales",Table43[[#This Row],[Sales]]&gt;20000,"Average Sales",Table43[[#This Row],[Sales]]&gt;0,"Poor Sales")</f>
        <v>Poor Sales</v>
      </c>
      <c r="L489" s="12">
        <f>YEAR(Table43[[#This Row],[Date]])</f>
        <v>2023</v>
      </c>
      <c r="M489" s="12">
        <f>MONTH(Table43[[#This Row],[Date]])</f>
        <v>3</v>
      </c>
      <c r="N489" s="13">
        <f>DAY(Table43[[#This Row],[Date]])</f>
        <v>1</v>
      </c>
      <c r="O489" s="13" t="str">
        <f>TEXT(DATE(2023,Table43[[#This Row],[Month]],1),"mmm")</f>
        <v>Mar</v>
      </c>
      <c r="P489" s="13"/>
      <c r="Q489" s="13"/>
    </row>
    <row r="490" spans="1:17" x14ac:dyDescent="0.3">
      <c r="A490" s="6">
        <v>489</v>
      </c>
      <c r="B490" s="7">
        <v>45143</v>
      </c>
      <c r="C490" s="8" t="s">
        <v>33</v>
      </c>
      <c r="D490" s="8" t="s">
        <v>34</v>
      </c>
      <c r="E490" s="8" t="s">
        <v>24</v>
      </c>
      <c r="F490" s="8" t="s">
        <v>38</v>
      </c>
      <c r="G490" s="8" t="s">
        <v>46</v>
      </c>
      <c r="H490" s="9">
        <v>9433.0400000000009</v>
      </c>
      <c r="I490" s="8">
        <v>8</v>
      </c>
      <c r="J490" s="10">
        <v>2046</v>
      </c>
      <c r="K490" s="17" t="str" cm="1">
        <f t="array" ref="K490">_xlfn.IFS(Table43[[#This Row],[Sales]]&gt;40000,"Best Sales",Table43[[#This Row],[Sales]]&gt;20000,"Average Sales",Table43[[#This Row],[Sales]]&gt;0,"Poor Sales")</f>
        <v>Poor Sales</v>
      </c>
      <c r="L490" s="12">
        <f>YEAR(Table43[[#This Row],[Date]])</f>
        <v>2023</v>
      </c>
      <c r="M490" s="12">
        <f>MONTH(Table43[[#This Row],[Date]])</f>
        <v>8</v>
      </c>
      <c r="N490" s="13">
        <f>DAY(Table43[[#This Row],[Date]])</f>
        <v>5</v>
      </c>
      <c r="O490" s="13" t="str">
        <f>TEXT(DATE(2023,Table43[[#This Row],[Month]],1),"mmm")</f>
        <v>Aug</v>
      </c>
      <c r="P490" s="13"/>
      <c r="Q490" s="13"/>
    </row>
    <row r="491" spans="1:17" x14ac:dyDescent="0.3">
      <c r="A491" s="14">
        <v>490</v>
      </c>
      <c r="B491" s="15">
        <v>45217</v>
      </c>
      <c r="C491" s="16" t="s">
        <v>44</v>
      </c>
      <c r="D491" s="16" t="s">
        <v>34</v>
      </c>
      <c r="E491" s="16" t="s">
        <v>19</v>
      </c>
      <c r="F491" s="16" t="s">
        <v>31</v>
      </c>
      <c r="G491" s="16" t="s">
        <v>35</v>
      </c>
      <c r="H491" s="17">
        <v>2839.73</v>
      </c>
      <c r="I491" s="16">
        <v>9</v>
      </c>
      <c r="J491" s="18">
        <v>780.48</v>
      </c>
      <c r="K491" s="17" t="str" cm="1">
        <f t="array" ref="K491">_xlfn.IFS(Table43[[#This Row],[Sales]]&gt;40000,"Best Sales",Table43[[#This Row],[Sales]]&gt;20000,"Average Sales",Table43[[#This Row],[Sales]]&gt;0,"Poor Sales")</f>
        <v>Poor Sales</v>
      </c>
      <c r="L491" s="12">
        <f>YEAR(Table43[[#This Row],[Date]])</f>
        <v>2023</v>
      </c>
      <c r="M491" s="12">
        <f>MONTH(Table43[[#This Row],[Date]])</f>
        <v>10</v>
      </c>
      <c r="N491" s="13">
        <f>DAY(Table43[[#This Row],[Date]])</f>
        <v>18</v>
      </c>
      <c r="O491" s="13" t="str">
        <f>TEXT(DATE(2023,Table43[[#This Row],[Month]],1),"mmm")</f>
        <v>Oct</v>
      </c>
      <c r="P491" s="13"/>
      <c r="Q491" s="13"/>
    </row>
    <row r="492" spans="1:17" x14ac:dyDescent="0.3">
      <c r="A492" s="6">
        <v>491</v>
      </c>
      <c r="B492" s="7">
        <v>45187</v>
      </c>
      <c r="C492" s="8" t="s">
        <v>33</v>
      </c>
      <c r="D492" s="8" t="s">
        <v>34</v>
      </c>
      <c r="E492" s="8" t="s">
        <v>24</v>
      </c>
      <c r="F492" s="8" t="s">
        <v>38</v>
      </c>
      <c r="G492" s="8" t="s">
        <v>46</v>
      </c>
      <c r="H492" s="9">
        <v>37729.72</v>
      </c>
      <c r="I492" s="8">
        <v>8</v>
      </c>
      <c r="J492" s="10">
        <v>7417.54</v>
      </c>
      <c r="K492" s="17" t="str" cm="1">
        <f t="array" ref="K492">_xlfn.IFS(Table43[[#This Row],[Sales]]&gt;40000,"Best Sales",Table43[[#This Row],[Sales]]&gt;20000,"Average Sales",Table43[[#This Row],[Sales]]&gt;0,"Poor Sales")</f>
        <v>Average Sales</v>
      </c>
      <c r="L492" s="12">
        <f>YEAR(Table43[[#This Row],[Date]])</f>
        <v>2023</v>
      </c>
      <c r="M492" s="12">
        <f>MONTH(Table43[[#This Row],[Date]])</f>
        <v>9</v>
      </c>
      <c r="N492" s="13">
        <f>DAY(Table43[[#This Row],[Date]])</f>
        <v>18</v>
      </c>
      <c r="O492" s="13" t="str">
        <f>TEXT(DATE(2023,Table43[[#This Row],[Month]],1),"mmm")</f>
        <v>Sep</v>
      </c>
      <c r="P492" s="13"/>
      <c r="Q492" s="13"/>
    </row>
    <row r="493" spans="1:17" x14ac:dyDescent="0.3">
      <c r="A493" s="14">
        <v>492</v>
      </c>
      <c r="B493" s="15">
        <v>45082</v>
      </c>
      <c r="C493" s="16" t="s">
        <v>42</v>
      </c>
      <c r="D493" s="16" t="s">
        <v>43</v>
      </c>
      <c r="E493" s="16" t="s">
        <v>27</v>
      </c>
      <c r="F493" s="16" t="s">
        <v>20</v>
      </c>
      <c r="G493" s="16" t="s">
        <v>21</v>
      </c>
      <c r="H493" s="17">
        <v>42195.65</v>
      </c>
      <c r="I493" s="16">
        <v>8</v>
      </c>
      <c r="J493" s="18">
        <v>7879.74</v>
      </c>
      <c r="K493" s="17" t="str" cm="1">
        <f t="array" ref="K493">_xlfn.IFS(Table43[[#This Row],[Sales]]&gt;40000,"Best Sales",Table43[[#This Row],[Sales]]&gt;20000,"Average Sales",Table43[[#This Row],[Sales]]&gt;0,"Poor Sales")</f>
        <v>Best Sales</v>
      </c>
      <c r="L493" s="12">
        <f>YEAR(Table43[[#This Row],[Date]])</f>
        <v>2023</v>
      </c>
      <c r="M493" s="12">
        <f>MONTH(Table43[[#This Row],[Date]])</f>
        <v>6</v>
      </c>
      <c r="N493" s="13">
        <f>DAY(Table43[[#This Row],[Date]])</f>
        <v>5</v>
      </c>
      <c r="O493" s="13" t="str">
        <f>TEXT(DATE(2023,Table43[[#This Row],[Month]],1),"mmm")</f>
        <v>Jun</v>
      </c>
      <c r="P493" s="13"/>
      <c r="Q493" s="13"/>
    </row>
    <row r="494" spans="1:17" x14ac:dyDescent="0.3">
      <c r="A494" s="6">
        <v>493</v>
      </c>
      <c r="B494" s="7">
        <v>45163</v>
      </c>
      <c r="C494" s="8" t="s">
        <v>25</v>
      </c>
      <c r="D494" s="8" t="s">
        <v>26</v>
      </c>
      <c r="E494" s="8" t="s">
        <v>27</v>
      </c>
      <c r="F494" s="8" t="s">
        <v>31</v>
      </c>
      <c r="G494" s="8" t="s">
        <v>35</v>
      </c>
      <c r="H494" s="9">
        <v>43878.42</v>
      </c>
      <c r="I494" s="8">
        <v>7</v>
      </c>
      <c r="J494" s="10">
        <v>6784.49</v>
      </c>
      <c r="K494" s="17" t="str" cm="1">
        <f t="array" ref="K494">_xlfn.IFS(Table43[[#This Row],[Sales]]&gt;40000,"Best Sales",Table43[[#This Row],[Sales]]&gt;20000,"Average Sales",Table43[[#This Row],[Sales]]&gt;0,"Poor Sales")</f>
        <v>Best Sales</v>
      </c>
      <c r="L494" s="12">
        <f>YEAR(Table43[[#This Row],[Date]])</f>
        <v>2023</v>
      </c>
      <c r="M494" s="12">
        <f>MONTH(Table43[[#This Row],[Date]])</f>
        <v>8</v>
      </c>
      <c r="N494" s="13">
        <f>DAY(Table43[[#This Row],[Date]])</f>
        <v>25</v>
      </c>
      <c r="O494" s="13" t="str">
        <f>TEXT(DATE(2023,Table43[[#This Row],[Month]],1),"mmm")</f>
        <v>Aug</v>
      </c>
      <c r="P494" s="13"/>
      <c r="Q494" s="13"/>
    </row>
    <row r="495" spans="1:17" x14ac:dyDescent="0.3">
      <c r="A495" s="14">
        <v>494</v>
      </c>
      <c r="B495" s="15">
        <v>45203</v>
      </c>
      <c r="C495" s="16" t="s">
        <v>29</v>
      </c>
      <c r="D495" s="16" t="s">
        <v>29</v>
      </c>
      <c r="E495" s="16" t="s">
        <v>19</v>
      </c>
      <c r="F495" s="16" t="s">
        <v>31</v>
      </c>
      <c r="G495" s="16" t="s">
        <v>36</v>
      </c>
      <c r="H495" s="17">
        <v>38660.239999999998</v>
      </c>
      <c r="I495" s="16">
        <v>10</v>
      </c>
      <c r="J495" s="18">
        <v>4376.5</v>
      </c>
      <c r="K495" s="17" t="str" cm="1">
        <f t="array" ref="K495">_xlfn.IFS(Table43[[#This Row],[Sales]]&gt;40000,"Best Sales",Table43[[#This Row],[Sales]]&gt;20000,"Average Sales",Table43[[#This Row],[Sales]]&gt;0,"Poor Sales")</f>
        <v>Average Sales</v>
      </c>
      <c r="L495" s="12">
        <f>YEAR(Table43[[#This Row],[Date]])</f>
        <v>2023</v>
      </c>
      <c r="M495" s="12">
        <f>MONTH(Table43[[#This Row],[Date]])</f>
        <v>10</v>
      </c>
      <c r="N495" s="13">
        <f>DAY(Table43[[#This Row],[Date]])</f>
        <v>4</v>
      </c>
      <c r="O495" s="13" t="str">
        <f>TEXT(DATE(2023,Table43[[#This Row],[Month]],1),"mmm")</f>
        <v>Oct</v>
      </c>
      <c r="P495" s="13"/>
      <c r="Q495" s="13"/>
    </row>
    <row r="496" spans="1:17" x14ac:dyDescent="0.3">
      <c r="A496" s="6">
        <v>495</v>
      </c>
      <c r="B496" s="7">
        <v>45086</v>
      </c>
      <c r="C496" s="8" t="s">
        <v>45</v>
      </c>
      <c r="D496" s="8" t="s">
        <v>34</v>
      </c>
      <c r="E496" s="8" t="s">
        <v>24</v>
      </c>
      <c r="F496" s="8" t="s">
        <v>38</v>
      </c>
      <c r="G496" s="8" t="s">
        <v>39</v>
      </c>
      <c r="H496" s="9">
        <v>21116.26</v>
      </c>
      <c r="I496" s="8">
        <v>4</v>
      </c>
      <c r="J496" s="10">
        <v>5256.29</v>
      </c>
      <c r="K496" s="17" t="str" cm="1">
        <f t="array" ref="K496">_xlfn.IFS(Table43[[#This Row],[Sales]]&gt;40000,"Best Sales",Table43[[#This Row],[Sales]]&gt;20000,"Average Sales",Table43[[#This Row],[Sales]]&gt;0,"Poor Sales")</f>
        <v>Average Sales</v>
      </c>
      <c r="L496" s="12">
        <f>YEAR(Table43[[#This Row],[Date]])</f>
        <v>2023</v>
      </c>
      <c r="M496" s="12">
        <f>MONTH(Table43[[#This Row],[Date]])</f>
        <v>6</v>
      </c>
      <c r="N496" s="13">
        <f>DAY(Table43[[#This Row],[Date]])</f>
        <v>9</v>
      </c>
      <c r="O496" s="13" t="str">
        <f>TEXT(DATE(2023,Table43[[#This Row],[Month]],1),"mmm")</f>
        <v>Jun</v>
      </c>
      <c r="P496" s="13"/>
      <c r="Q496" s="13"/>
    </row>
    <row r="497" spans="1:17" x14ac:dyDescent="0.3">
      <c r="A497" s="14">
        <v>496</v>
      </c>
      <c r="B497" s="15">
        <v>45079</v>
      </c>
      <c r="C497" s="16" t="s">
        <v>45</v>
      </c>
      <c r="D497" s="16" t="s">
        <v>34</v>
      </c>
      <c r="E497" s="16" t="s">
        <v>19</v>
      </c>
      <c r="F497" s="16" t="s">
        <v>31</v>
      </c>
      <c r="G497" s="16" t="s">
        <v>36</v>
      </c>
      <c r="H497" s="17">
        <v>4757.99</v>
      </c>
      <c r="I497" s="16">
        <v>10</v>
      </c>
      <c r="J497" s="18">
        <v>1164.3900000000001</v>
      </c>
      <c r="K497" s="17" t="str" cm="1">
        <f t="array" ref="K497">_xlfn.IFS(Table43[[#This Row],[Sales]]&gt;40000,"Best Sales",Table43[[#This Row],[Sales]]&gt;20000,"Average Sales",Table43[[#This Row],[Sales]]&gt;0,"Poor Sales")</f>
        <v>Poor Sales</v>
      </c>
      <c r="L497" s="12">
        <f>YEAR(Table43[[#This Row],[Date]])</f>
        <v>2023</v>
      </c>
      <c r="M497" s="12">
        <f>MONTH(Table43[[#This Row],[Date]])</f>
        <v>6</v>
      </c>
      <c r="N497" s="13">
        <f>DAY(Table43[[#This Row],[Date]])</f>
        <v>2</v>
      </c>
      <c r="O497" s="13" t="str">
        <f>TEXT(DATE(2023,Table43[[#This Row],[Month]],1),"mmm")</f>
        <v>Jun</v>
      </c>
      <c r="P497" s="13"/>
      <c r="Q497" s="13"/>
    </row>
    <row r="498" spans="1:17" x14ac:dyDescent="0.3">
      <c r="A498" s="6">
        <v>497</v>
      </c>
      <c r="B498" s="7">
        <v>45195</v>
      </c>
      <c r="C498" s="8" t="s">
        <v>37</v>
      </c>
      <c r="D498" s="8" t="s">
        <v>23</v>
      </c>
      <c r="E498" s="8" t="s">
        <v>24</v>
      </c>
      <c r="F498" s="8" t="s">
        <v>38</v>
      </c>
      <c r="G498" s="8" t="s">
        <v>40</v>
      </c>
      <c r="H498" s="9">
        <v>8870.2800000000007</v>
      </c>
      <c r="I498" s="8">
        <v>2</v>
      </c>
      <c r="J498" s="10">
        <v>1105.6300000000001</v>
      </c>
      <c r="K498" s="17" t="str" cm="1">
        <f t="array" ref="K498">_xlfn.IFS(Table43[[#This Row],[Sales]]&gt;40000,"Best Sales",Table43[[#This Row],[Sales]]&gt;20000,"Average Sales",Table43[[#This Row],[Sales]]&gt;0,"Poor Sales")</f>
        <v>Poor Sales</v>
      </c>
      <c r="L498" s="12">
        <f>YEAR(Table43[[#This Row],[Date]])</f>
        <v>2023</v>
      </c>
      <c r="M498" s="12">
        <f>MONTH(Table43[[#This Row],[Date]])</f>
        <v>9</v>
      </c>
      <c r="N498" s="13">
        <f>DAY(Table43[[#This Row],[Date]])</f>
        <v>26</v>
      </c>
      <c r="O498" s="13" t="str">
        <f>TEXT(DATE(2023,Table43[[#This Row],[Month]],1),"mmm")</f>
        <v>Sep</v>
      </c>
      <c r="P498" s="13"/>
      <c r="Q498" s="13"/>
    </row>
    <row r="499" spans="1:17" x14ac:dyDescent="0.3">
      <c r="A499" s="14">
        <v>498</v>
      </c>
      <c r="B499" s="15">
        <v>45252</v>
      </c>
      <c r="C499" s="16" t="s">
        <v>37</v>
      </c>
      <c r="D499" s="16" t="s">
        <v>23</v>
      </c>
      <c r="E499" s="16" t="s">
        <v>27</v>
      </c>
      <c r="F499" s="16" t="s">
        <v>38</v>
      </c>
      <c r="G499" s="16" t="s">
        <v>40</v>
      </c>
      <c r="H499" s="17">
        <v>46482.94</v>
      </c>
      <c r="I499" s="16">
        <v>10</v>
      </c>
      <c r="J499" s="18">
        <v>7712.88</v>
      </c>
      <c r="K499" s="17" t="str" cm="1">
        <f t="array" ref="K499">_xlfn.IFS(Table43[[#This Row],[Sales]]&gt;40000,"Best Sales",Table43[[#This Row],[Sales]]&gt;20000,"Average Sales",Table43[[#This Row],[Sales]]&gt;0,"Poor Sales")</f>
        <v>Best Sales</v>
      </c>
      <c r="L499" s="12">
        <f>YEAR(Table43[[#This Row],[Date]])</f>
        <v>2023</v>
      </c>
      <c r="M499" s="12">
        <f>MONTH(Table43[[#This Row],[Date]])</f>
        <v>11</v>
      </c>
      <c r="N499" s="13">
        <f>DAY(Table43[[#This Row],[Date]])</f>
        <v>22</v>
      </c>
      <c r="O499" s="13" t="str">
        <f>TEXT(DATE(2023,Table43[[#This Row],[Month]],1),"mmm")</f>
        <v>Nov</v>
      </c>
      <c r="P499" s="13"/>
      <c r="Q499" s="13"/>
    </row>
    <row r="500" spans="1:17" x14ac:dyDescent="0.3">
      <c r="A500" s="6">
        <v>499</v>
      </c>
      <c r="B500" s="7">
        <v>45042</v>
      </c>
      <c r="C500" s="8" t="s">
        <v>37</v>
      </c>
      <c r="D500" s="8" t="s">
        <v>23</v>
      </c>
      <c r="E500" s="8" t="s">
        <v>27</v>
      </c>
      <c r="F500" s="8" t="s">
        <v>20</v>
      </c>
      <c r="G500" s="8" t="s">
        <v>21</v>
      </c>
      <c r="H500" s="9">
        <v>43505.83</v>
      </c>
      <c r="I500" s="8">
        <v>7</v>
      </c>
      <c r="J500" s="10">
        <v>7809.91</v>
      </c>
      <c r="K500" s="17" t="str" cm="1">
        <f t="array" ref="K500">_xlfn.IFS(Table43[[#This Row],[Sales]]&gt;40000,"Best Sales",Table43[[#This Row],[Sales]]&gt;20000,"Average Sales",Table43[[#This Row],[Sales]]&gt;0,"Poor Sales")</f>
        <v>Best Sales</v>
      </c>
      <c r="L500" s="12">
        <f>YEAR(Table43[[#This Row],[Date]])</f>
        <v>2023</v>
      </c>
      <c r="M500" s="12">
        <f>MONTH(Table43[[#This Row],[Date]])</f>
        <v>4</v>
      </c>
      <c r="N500" s="13">
        <f>DAY(Table43[[#This Row],[Date]])</f>
        <v>26</v>
      </c>
      <c r="O500" s="13" t="str">
        <f>TEXT(DATE(2023,Table43[[#This Row],[Month]],1),"mmm")</f>
        <v>Apr</v>
      </c>
      <c r="P500" s="13"/>
      <c r="Q500" s="13"/>
    </row>
    <row r="501" spans="1:17" x14ac:dyDescent="0.3">
      <c r="A501" s="19">
        <v>500</v>
      </c>
      <c r="B501" s="20">
        <v>45224</v>
      </c>
      <c r="C501" s="21" t="s">
        <v>22</v>
      </c>
      <c r="D501" s="21" t="s">
        <v>23</v>
      </c>
      <c r="E501" s="21" t="s">
        <v>19</v>
      </c>
      <c r="F501" s="21" t="s">
        <v>38</v>
      </c>
      <c r="G501" s="21" t="s">
        <v>39</v>
      </c>
      <c r="H501" s="22">
        <v>33463.57</v>
      </c>
      <c r="I501" s="21">
        <v>6</v>
      </c>
      <c r="J501" s="23">
        <v>6469.01</v>
      </c>
      <c r="K501" s="22" t="str" cm="1">
        <f t="array" ref="K501">_xlfn.IFS(Table43[[#This Row],[Sales]]&gt;40000,"Best Sales",Table43[[#This Row],[Sales]]&gt;20000,"Average Sales",Table43[[#This Row],[Sales]]&gt;0,"Poor Sales")</f>
        <v>Average Sales</v>
      </c>
      <c r="L501" s="12">
        <f>YEAR(Table43[[#This Row],[Date]])</f>
        <v>2023</v>
      </c>
      <c r="M501" s="12">
        <f>MONTH(Table43[[#This Row],[Date]])</f>
        <v>10</v>
      </c>
      <c r="N501" s="13">
        <f>DAY(Table43[[#This Row],[Date]])</f>
        <v>25</v>
      </c>
      <c r="O501" s="13" t="str">
        <f>TEXT(DATE(2023,Table43[[#This Row],[Month]],1),"mmm")</f>
        <v>Oct</v>
      </c>
      <c r="P501" s="13"/>
      <c r="Q501" s="13"/>
    </row>
  </sheetData>
  <conditionalFormatting sqref="H2:H501">
    <cfRule type="expression" dxfId="5" priority="4">
      <formula>AND($S$9="ON",$H2&gt;20000)</formula>
    </cfRule>
    <cfRule type="expression" dxfId="4" priority="5">
      <formula>AND($U$6="ON",$H2&gt;50000)</formula>
    </cfRule>
    <cfRule type="expression" dxfId="3" priority="6">
      <formula>AND($S$6="ON",$H2&gt;40000)</formula>
    </cfRule>
  </conditionalFormatting>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2FF2FB8B-546C-43EA-BA54-383DC34F056D}">
          <x14:colorSeries rgb="FF376092"/>
          <x14:colorNegative rgb="FFD00000"/>
          <x14:colorAxis rgb="FF000000"/>
          <x14:colorMarkers rgb="FFD00000"/>
          <x14:colorFirst rgb="FFD00000"/>
          <x14:colorLast rgb="FFD00000"/>
          <x14:colorHigh rgb="FFD00000"/>
          <x14:colorLow rgb="FFD00000"/>
          <x14:sparklines>
            <x14:sparkline>
              <xm:f>'Main Data'!J2:J3</xm:f>
              <xm:sqref>P2</xm:sqref>
            </x14:sparkline>
            <x14:sparkline>
              <xm:f>'Main Data'!J3:J4</xm:f>
              <xm:sqref>P3</xm:sqref>
            </x14:sparkline>
            <x14:sparkline>
              <xm:f>'Main Data'!J4:J5</xm:f>
              <xm:sqref>P4</xm:sqref>
            </x14:sparkline>
            <x14:sparkline>
              <xm:f>'Main Data'!J5:J6</xm:f>
              <xm:sqref>P5</xm:sqref>
            </x14:sparkline>
            <x14:sparkline>
              <xm:f>'Main Data'!J6:J7</xm:f>
              <xm:sqref>P6</xm:sqref>
            </x14:sparkline>
            <x14:sparkline>
              <xm:f>'Main Data'!J7:J8</xm:f>
              <xm:sqref>P7</xm:sqref>
            </x14:sparkline>
            <x14:sparkline>
              <xm:f>'Main Data'!J8:J9</xm:f>
              <xm:sqref>P8</xm:sqref>
            </x14:sparkline>
            <x14:sparkline>
              <xm:f>'Main Data'!J9:J10</xm:f>
              <xm:sqref>P9</xm:sqref>
            </x14:sparkline>
            <x14:sparkline>
              <xm:f>'Main Data'!J10:J11</xm:f>
              <xm:sqref>P10</xm:sqref>
            </x14:sparkline>
            <x14:sparkline>
              <xm:f>'Main Data'!J11:J12</xm:f>
              <xm:sqref>P11</xm:sqref>
            </x14:sparkline>
            <x14:sparkline>
              <xm:f>'Main Data'!J12:J13</xm:f>
              <xm:sqref>P12</xm:sqref>
            </x14:sparkline>
            <x14:sparkline>
              <xm:f>'Main Data'!J13:J14</xm:f>
              <xm:sqref>P13</xm:sqref>
            </x14:sparkline>
            <x14:sparkline>
              <xm:f>'Main Data'!J14:J15</xm:f>
              <xm:sqref>P14</xm:sqref>
            </x14:sparkline>
            <x14:sparkline>
              <xm:f>'Main Data'!J15:J16</xm:f>
              <xm:sqref>P15</xm:sqref>
            </x14:sparkline>
            <x14:sparkline>
              <xm:f>'Main Data'!J16:J17</xm:f>
              <xm:sqref>P16</xm:sqref>
            </x14:sparkline>
            <x14:sparkline>
              <xm:f>'Main Data'!J17:J18</xm:f>
              <xm:sqref>P17</xm:sqref>
            </x14:sparkline>
            <x14:sparkline>
              <xm:f>'Main Data'!J18:J19</xm:f>
              <xm:sqref>P18</xm:sqref>
            </x14:sparkline>
            <x14:sparkline>
              <xm:f>'Main Data'!J19:J20</xm:f>
              <xm:sqref>P19</xm:sqref>
            </x14:sparkline>
            <x14:sparkline>
              <xm:f>'Main Data'!J20:J21</xm:f>
              <xm:sqref>P20</xm:sqref>
            </x14:sparkline>
            <x14:sparkline>
              <xm:f>'Main Data'!J21:J22</xm:f>
              <xm:sqref>P21</xm:sqref>
            </x14:sparkline>
            <x14:sparkline>
              <xm:f>'Main Data'!J22:J23</xm:f>
              <xm:sqref>P22</xm:sqref>
            </x14:sparkline>
            <x14:sparkline>
              <xm:f>'Main Data'!J23:J24</xm:f>
              <xm:sqref>P23</xm:sqref>
            </x14:sparkline>
            <x14:sparkline>
              <xm:f>'Main Data'!J24:J25</xm:f>
              <xm:sqref>P24</xm:sqref>
            </x14:sparkline>
            <x14:sparkline>
              <xm:f>'Main Data'!J25:J26</xm:f>
              <xm:sqref>P25</xm:sqref>
            </x14:sparkline>
            <x14:sparkline>
              <xm:f>'Main Data'!J26:J27</xm:f>
              <xm:sqref>P26</xm:sqref>
            </x14:sparkline>
            <x14:sparkline>
              <xm:f>'Main Data'!J27:J28</xm:f>
              <xm:sqref>P27</xm:sqref>
            </x14:sparkline>
            <x14:sparkline>
              <xm:f>'Main Data'!J28:J29</xm:f>
              <xm:sqref>P28</xm:sqref>
            </x14:sparkline>
            <x14:sparkline>
              <xm:f>'Main Data'!J29:J30</xm:f>
              <xm:sqref>P29</xm:sqref>
            </x14:sparkline>
            <x14:sparkline>
              <xm:f>'Main Data'!J30:J31</xm:f>
              <xm:sqref>P30</xm:sqref>
            </x14:sparkline>
            <x14:sparkline>
              <xm:f>'Main Data'!J31:J32</xm:f>
              <xm:sqref>P31</xm:sqref>
            </x14:sparkline>
            <x14:sparkline>
              <xm:f>'Main Data'!J32:J33</xm:f>
              <xm:sqref>P32</xm:sqref>
            </x14:sparkline>
            <x14:sparkline>
              <xm:f>'Main Data'!J33:J34</xm:f>
              <xm:sqref>P33</xm:sqref>
            </x14:sparkline>
            <x14:sparkline>
              <xm:f>'Main Data'!J34:J35</xm:f>
              <xm:sqref>P34</xm:sqref>
            </x14:sparkline>
            <x14:sparkline>
              <xm:f>'Main Data'!J35:J36</xm:f>
              <xm:sqref>P35</xm:sqref>
            </x14:sparkline>
            <x14:sparkline>
              <xm:f>'Main Data'!J36:J37</xm:f>
              <xm:sqref>P36</xm:sqref>
            </x14:sparkline>
            <x14:sparkline>
              <xm:f>'Main Data'!J37:J38</xm:f>
              <xm:sqref>P37</xm:sqref>
            </x14:sparkline>
            <x14:sparkline>
              <xm:f>'Main Data'!J38:J39</xm:f>
              <xm:sqref>P38</xm:sqref>
            </x14:sparkline>
            <x14:sparkline>
              <xm:f>'Main Data'!J39:J40</xm:f>
              <xm:sqref>P39</xm:sqref>
            </x14:sparkline>
            <x14:sparkline>
              <xm:f>'Main Data'!J40:J41</xm:f>
              <xm:sqref>P40</xm:sqref>
            </x14:sparkline>
            <x14:sparkline>
              <xm:f>'Main Data'!J41:J42</xm:f>
              <xm:sqref>P41</xm:sqref>
            </x14:sparkline>
            <x14:sparkline>
              <xm:f>'Main Data'!J42:J43</xm:f>
              <xm:sqref>P42</xm:sqref>
            </x14:sparkline>
            <x14:sparkline>
              <xm:f>'Main Data'!J43:J44</xm:f>
              <xm:sqref>P43</xm:sqref>
            </x14:sparkline>
            <x14:sparkline>
              <xm:f>'Main Data'!J44:J45</xm:f>
              <xm:sqref>P44</xm:sqref>
            </x14:sparkline>
            <x14:sparkline>
              <xm:f>'Main Data'!J45:J46</xm:f>
              <xm:sqref>P45</xm:sqref>
            </x14:sparkline>
            <x14:sparkline>
              <xm:f>'Main Data'!J46:J47</xm:f>
              <xm:sqref>P46</xm:sqref>
            </x14:sparkline>
            <x14:sparkline>
              <xm:f>'Main Data'!J47:J48</xm:f>
              <xm:sqref>P47</xm:sqref>
            </x14:sparkline>
            <x14:sparkline>
              <xm:f>'Main Data'!J48:J49</xm:f>
              <xm:sqref>P48</xm:sqref>
            </x14:sparkline>
            <x14:sparkline>
              <xm:f>'Main Data'!J49:J50</xm:f>
              <xm:sqref>P49</xm:sqref>
            </x14:sparkline>
            <x14:sparkline>
              <xm:f>'Main Data'!J50:J51</xm:f>
              <xm:sqref>P50</xm:sqref>
            </x14:sparkline>
            <x14:sparkline>
              <xm:f>'Main Data'!J51:J52</xm:f>
              <xm:sqref>P51</xm:sqref>
            </x14:sparkline>
            <x14:sparkline>
              <xm:f>'Main Data'!J52:J53</xm:f>
              <xm:sqref>P52</xm:sqref>
            </x14:sparkline>
            <x14:sparkline>
              <xm:f>'Main Data'!J53:J54</xm:f>
              <xm:sqref>P53</xm:sqref>
            </x14:sparkline>
            <x14:sparkline>
              <xm:f>'Main Data'!J54:J55</xm:f>
              <xm:sqref>P54</xm:sqref>
            </x14:sparkline>
            <x14:sparkline>
              <xm:f>'Main Data'!J55:J56</xm:f>
              <xm:sqref>P55</xm:sqref>
            </x14:sparkline>
            <x14:sparkline>
              <xm:f>'Main Data'!J56:J57</xm:f>
              <xm:sqref>P56</xm:sqref>
            </x14:sparkline>
            <x14:sparkline>
              <xm:f>'Main Data'!J57:J58</xm:f>
              <xm:sqref>P57</xm:sqref>
            </x14:sparkline>
            <x14:sparkline>
              <xm:f>'Main Data'!J58:J59</xm:f>
              <xm:sqref>P58</xm:sqref>
            </x14:sparkline>
            <x14:sparkline>
              <xm:f>'Main Data'!J59:J60</xm:f>
              <xm:sqref>P59</xm:sqref>
            </x14:sparkline>
            <x14:sparkline>
              <xm:f>'Main Data'!J60:J61</xm:f>
              <xm:sqref>P60</xm:sqref>
            </x14:sparkline>
            <x14:sparkline>
              <xm:f>'Main Data'!J61:J62</xm:f>
              <xm:sqref>P61</xm:sqref>
            </x14:sparkline>
            <x14:sparkline>
              <xm:f>'Main Data'!J62:J63</xm:f>
              <xm:sqref>P62</xm:sqref>
            </x14:sparkline>
            <x14:sparkline>
              <xm:f>'Main Data'!J63:J64</xm:f>
              <xm:sqref>P63</xm:sqref>
            </x14:sparkline>
            <x14:sparkline>
              <xm:f>'Main Data'!J64:J65</xm:f>
              <xm:sqref>P64</xm:sqref>
            </x14:sparkline>
            <x14:sparkline>
              <xm:f>'Main Data'!J65:J66</xm:f>
              <xm:sqref>P65</xm:sqref>
            </x14:sparkline>
            <x14:sparkline>
              <xm:f>'Main Data'!J66:J67</xm:f>
              <xm:sqref>P66</xm:sqref>
            </x14:sparkline>
            <x14:sparkline>
              <xm:f>'Main Data'!J67:J68</xm:f>
              <xm:sqref>P67</xm:sqref>
            </x14:sparkline>
            <x14:sparkline>
              <xm:f>'Main Data'!J68:J69</xm:f>
              <xm:sqref>P68</xm:sqref>
            </x14:sparkline>
            <x14:sparkline>
              <xm:f>'Main Data'!J69:J70</xm:f>
              <xm:sqref>P69</xm:sqref>
            </x14:sparkline>
            <x14:sparkline>
              <xm:f>'Main Data'!J70:J71</xm:f>
              <xm:sqref>P70</xm:sqref>
            </x14:sparkline>
            <x14:sparkline>
              <xm:f>'Main Data'!J71:J72</xm:f>
              <xm:sqref>P71</xm:sqref>
            </x14:sparkline>
            <x14:sparkline>
              <xm:f>'Main Data'!J72:J73</xm:f>
              <xm:sqref>P72</xm:sqref>
            </x14:sparkline>
            <x14:sparkline>
              <xm:f>'Main Data'!J73:J74</xm:f>
              <xm:sqref>P73</xm:sqref>
            </x14:sparkline>
            <x14:sparkline>
              <xm:f>'Main Data'!J74:J75</xm:f>
              <xm:sqref>P74</xm:sqref>
            </x14:sparkline>
            <x14:sparkline>
              <xm:f>'Main Data'!J75:J76</xm:f>
              <xm:sqref>P75</xm:sqref>
            </x14:sparkline>
            <x14:sparkline>
              <xm:f>'Main Data'!J76:J77</xm:f>
              <xm:sqref>P76</xm:sqref>
            </x14:sparkline>
            <x14:sparkline>
              <xm:f>'Main Data'!J77:J78</xm:f>
              <xm:sqref>P77</xm:sqref>
            </x14:sparkline>
            <x14:sparkline>
              <xm:f>'Main Data'!J78:J79</xm:f>
              <xm:sqref>P78</xm:sqref>
            </x14:sparkline>
            <x14:sparkline>
              <xm:f>'Main Data'!J79:J80</xm:f>
              <xm:sqref>P79</xm:sqref>
            </x14:sparkline>
            <x14:sparkline>
              <xm:f>'Main Data'!J80:J81</xm:f>
              <xm:sqref>P80</xm:sqref>
            </x14:sparkline>
            <x14:sparkline>
              <xm:f>'Main Data'!J81:J82</xm:f>
              <xm:sqref>P81</xm:sqref>
            </x14:sparkline>
            <x14:sparkline>
              <xm:f>'Main Data'!J82:J83</xm:f>
              <xm:sqref>P82</xm:sqref>
            </x14:sparkline>
            <x14:sparkline>
              <xm:f>'Main Data'!J83:J84</xm:f>
              <xm:sqref>P83</xm:sqref>
            </x14:sparkline>
            <x14:sparkline>
              <xm:f>'Main Data'!J84:J85</xm:f>
              <xm:sqref>P84</xm:sqref>
            </x14:sparkline>
            <x14:sparkline>
              <xm:f>'Main Data'!J85:J86</xm:f>
              <xm:sqref>P85</xm:sqref>
            </x14:sparkline>
            <x14:sparkline>
              <xm:f>'Main Data'!J86:J87</xm:f>
              <xm:sqref>P86</xm:sqref>
            </x14:sparkline>
            <x14:sparkline>
              <xm:f>'Main Data'!J87:J88</xm:f>
              <xm:sqref>P87</xm:sqref>
            </x14:sparkline>
            <x14:sparkline>
              <xm:f>'Main Data'!J88:J89</xm:f>
              <xm:sqref>P88</xm:sqref>
            </x14:sparkline>
            <x14:sparkline>
              <xm:f>'Main Data'!J89:J90</xm:f>
              <xm:sqref>P89</xm:sqref>
            </x14:sparkline>
            <x14:sparkline>
              <xm:f>'Main Data'!J90:J91</xm:f>
              <xm:sqref>P90</xm:sqref>
            </x14:sparkline>
            <x14:sparkline>
              <xm:f>'Main Data'!J91:J92</xm:f>
              <xm:sqref>P91</xm:sqref>
            </x14:sparkline>
            <x14:sparkline>
              <xm:f>'Main Data'!J92:J93</xm:f>
              <xm:sqref>P92</xm:sqref>
            </x14:sparkline>
            <x14:sparkline>
              <xm:f>'Main Data'!J93:J94</xm:f>
              <xm:sqref>P93</xm:sqref>
            </x14:sparkline>
            <x14:sparkline>
              <xm:f>'Main Data'!J94:J95</xm:f>
              <xm:sqref>P94</xm:sqref>
            </x14:sparkline>
            <x14:sparkline>
              <xm:f>'Main Data'!J95:J96</xm:f>
              <xm:sqref>P95</xm:sqref>
            </x14:sparkline>
            <x14:sparkline>
              <xm:f>'Main Data'!J96:J97</xm:f>
              <xm:sqref>P96</xm:sqref>
            </x14:sparkline>
            <x14:sparkline>
              <xm:f>'Main Data'!J97:J98</xm:f>
              <xm:sqref>P97</xm:sqref>
            </x14:sparkline>
            <x14:sparkline>
              <xm:f>'Main Data'!J98:J99</xm:f>
              <xm:sqref>P98</xm:sqref>
            </x14:sparkline>
            <x14:sparkline>
              <xm:f>'Main Data'!J99:J100</xm:f>
              <xm:sqref>P99</xm:sqref>
            </x14:sparkline>
            <x14:sparkline>
              <xm:f>'Main Data'!J100:J101</xm:f>
              <xm:sqref>P100</xm:sqref>
            </x14:sparkline>
            <x14:sparkline>
              <xm:f>'Main Data'!J101:J102</xm:f>
              <xm:sqref>P101</xm:sqref>
            </x14:sparkline>
            <x14:sparkline>
              <xm:f>'Main Data'!J102:J103</xm:f>
              <xm:sqref>P102</xm:sqref>
            </x14:sparkline>
            <x14:sparkline>
              <xm:f>'Main Data'!J103:J104</xm:f>
              <xm:sqref>P103</xm:sqref>
            </x14:sparkline>
            <x14:sparkline>
              <xm:f>'Main Data'!J104:J105</xm:f>
              <xm:sqref>P104</xm:sqref>
            </x14:sparkline>
            <x14:sparkline>
              <xm:f>'Main Data'!J105:J106</xm:f>
              <xm:sqref>P105</xm:sqref>
            </x14:sparkline>
            <x14:sparkline>
              <xm:f>'Main Data'!J106:J107</xm:f>
              <xm:sqref>P106</xm:sqref>
            </x14:sparkline>
            <x14:sparkline>
              <xm:f>'Main Data'!J107:J108</xm:f>
              <xm:sqref>P107</xm:sqref>
            </x14:sparkline>
            <x14:sparkline>
              <xm:f>'Main Data'!J108:J109</xm:f>
              <xm:sqref>P108</xm:sqref>
            </x14:sparkline>
            <x14:sparkline>
              <xm:f>'Main Data'!J109:J110</xm:f>
              <xm:sqref>P109</xm:sqref>
            </x14:sparkline>
            <x14:sparkline>
              <xm:f>'Main Data'!J110:J111</xm:f>
              <xm:sqref>P110</xm:sqref>
            </x14:sparkline>
            <x14:sparkline>
              <xm:f>'Main Data'!J111:J112</xm:f>
              <xm:sqref>P111</xm:sqref>
            </x14:sparkline>
            <x14:sparkline>
              <xm:f>'Main Data'!J112:J113</xm:f>
              <xm:sqref>P112</xm:sqref>
            </x14:sparkline>
            <x14:sparkline>
              <xm:f>'Main Data'!J113:J114</xm:f>
              <xm:sqref>P113</xm:sqref>
            </x14:sparkline>
            <x14:sparkline>
              <xm:f>'Main Data'!J114:J115</xm:f>
              <xm:sqref>P114</xm:sqref>
            </x14:sparkline>
            <x14:sparkline>
              <xm:f>'Main Data'!J115:J116</xm:f>
              <xm:sqref>P115</xm:sqref>
            </x14:sparkline>
            <x14:sparkline>
              <xm:f>'Main Data'!J116:J117</xm:f>
              <xm:sqref>P116</xm:sqref>
            </x14:sparkline>
            <x14:sparkline>
              <xm:f>'Main Data'!J117:J118</xm:f>
              <xm:sqref>P117</xm:sqref>
            </x14:sparkline>
            <x14:sparkline>
              <xm:f>'Main Data'!J118:J119</xm:f>
              <xm:sqref>P118</xm:sqref>
            </x14:sparkline>
            <x14:sparkline>
              <xm:f>'Main Data'!J119:J120</xm:f>
              <xm:sqref>P119</xm:sqref>
            </x14:sparkline>
            <x14:sparkline>
              <xm:f>'Main Data'!J120:J121</xm:f>
              <xm:sqref>P120</xm:sqref>
            </x14:sparkline>
            <x14:sparkline>
              <xm:f>'Main Data'!J121:J122</xm:f>
              <xm:sqref>P121</xm:sqref>
            </x14:sparkline>
            <x14:sparkline>
              <xm:f>'Main Data'!J122:J123</xm:f>
              <xm:sqref>P122</xm:sqref>
            </x14:sparkline>
            <x14:sparkline>
              <xm:f>'Main Data'!J123:J124</xm:f>
              <xm:sqref>P123</xm:sqref>
            </x14:sparkline>
            <x14:sparkline>
              <xm:f>'Main Data'!J124:J125</xm:f>
              <xm:sqref>P124</xm:sqref>
            </x14:sparkline>
            <x14:sparkline>
              <xm:f>'Main Data'!J125:J126</xm:f>
              <xm:sqref>P125</xm:sqref>
            </x14:sparkline>
            <x14:sparkline>
              <xm:f>'Main Data'!J126:J127</xm:f>
              <xm:sqref>P126</xm:sqref>
            </x14:sparkline>
            <x14:sparkline>
              <xm:f>'Main Data'!J127:J128</xm:f>
              <xm:sqref>P127</xm:sqref>
            </x14:sparkline>
            <x14:sparkline>
              <xm:f>'Main Data'!J128:J129</xm:f>
              <xm:sqref>P128</xm:sqref>
            </x14:sparkline>
            <x14:sparkline>
              <xm:f>'Main Data'!J129:J130</xm:f>
              <xm:sqref>P129</xm:sqref>
            </x14:sparkline>
            <x14:sparkline>
              <xm:f>'Main Data'!J130:J131</xm:f>
              <xm:sqref>P130</xm:sqref>
            </x14:sparkline>
            <x14:sparkline>
              <xm:f>'Main Data'!J131:J132</xm:f>
              <xm:sqref>P131</xm:sqref>
            </x14:sparkline>
            <x14:sparkline>
              <xm:f>'Main Data'!J132:J133</xm:f>
              <xm:sqref>P132</xm:sqref>
            </x14:sparkline>
            <x14:sparkline>
              <xm:f>'Main Data'!J133:J134</xm:f>
              <xm:sqref>P133</xm:sqref>
            </x14:sparkline>
            <x14:sparkline>
              <xm:f>'Main Data'!J134:J135</xm:f>
              <xm:sqref>P134</xm:sqref>
            </x14:sparkline>
            <x14:sparkline>
              <xm:f>'Main Data'!J135:J136</xm:f>
              <xm:sqref>P135</xm:sqref>
            </x14:sparkline>
            <x14:sparkline>
              <xm:f>'Main Data'!J136:J137</xm:f>
              <xm:sqref>P136</xm:sqref>
            </x14:sparkline>
            <x14:sparkline>
              <xm:f>'Main Data'!J137:J138</xm:f>
              <xm:sqref>P137</xm:sqref>
            </x14:sparkline>
            <x14:sparkline>
              <xm:f>'Main Data'!J138:J139</xm:f>
              <xm:sqref>P138</xm:sqref>
            </x14:sparkline>
            <x14:sparkline>
              <xm:f>'Main Data'!J139:J140</xm:f>
              <xm:sqref>P139</xm:sqref>
            </x14:sparkline>
            <x14:sparkline>
              <xm:f>'Main Data'!J140:J141</xm:f>
              <xm:sqref>P140</xm:sqref>
            </x14:sparkline>
            <x14:sparkline>
              <xm:f>'Main Data'!J141:J142</xm:f>
              <xm:sqref>P141</xm:sqref>
            </x14:sparkline>
            <x14:sparkline>
              <xm:f>'Main Data'!J142:J143</xm:f>
              <xm:sqref>P142</xm:sqref>
            </x14:sparkline>
            <x14:sparkline>
              <xm:f>'Main Data'!J143:J144</xm:f>
              <xm:sqref>P143</xm:sqref>
            </x14:sparkline>
            <x14:sparkline>
              <xm:f>'Main Data'!J144:J145</xm:f>
              <xm:sqref>P144</xm:sqref>
            </x14:sparkline>
            <x14:sparkline>
              <xm:f>'Main Data'!J145:J146</xm:f>
              <xm:sqref>P145</xm:sqref>
            </x14:sparkline>
            <x14:sparkline>
              <xm:f>'Main Data'!J146:J147</xm:f>
              <xm:sqref>P146</xm:sqref>
            </x14:sparkline>
            <x14:sparkline>
              <xm:f>'Main Data'!J147:J148</xm:f>
              <xm:sqref>P147</xm:sqref>
            </x14:sparkline>
            <x14:sparkline>
              <xm:f>'Main Data'!J148:J149</xm:f>
              <xm:sqref>P148</xm:sqref>
            </x14:sparkline>
            <x14:sparkline>
              <xm:f>'Main Data'!J149:J150</xm:f>
              <xm:sqref>P149</xm:sqref>
            </x14:sparkline>
            <x14:sparkline>
              <xm:f>'Main Data'!J150:J151</xm:f>
              <xm:sqref>P150</xm:sqref>
            </x14:sparkline>
            <x14:sparkline>
              <xm:f>'Main Data'!J151:J152</xm:f>
              <xm:sqref>P151</xm:sqref>
            </x14:sparkline>
            <x14:sparkline>
              <xm:f>'Main Data'!J152:J153</xm:f>
              <xm:sqref>P152</xm:sqref>
            </x14:sparkline>
            <x14:sparkline>
              <xm:f>'Main Data'!J153:J154</xm:f>
              <xm:sqref>P153</xm:sqref>
            </x14:sparkline>
            <x14:sparkline>
              <xm:f>'Main Data'!J154:J155</xm:f>
              <xm:sqref>P154</xm:sqref>
            </x14:sparkline>
            <x14:sparkline>
              <xm:f>'Main Data'!J155:J156</xm:f>
              <xm:sqref>P155</xm:sqref>
            </x14:sparkline>
            <x14:sparkline>
              <xm:f>'Main Data'!J156:J157</xm:f>
              <xm:sqref>P156</xm:sqref>
            </x14:sparkline>
            <x14:sparkline>
              <xm:f>'Main Data'!J157:J158</xm:f>
              <xm:sqref>P157</xm:sqref>
            </x14:sparkline>
            <x14:sparkline>
              <xm:f>'Main Data'!J158:J159</xm:f>
              <xm:sqref>P158</xm:sqref>
            </x14:sparkline>
            <x14:sparkline>
              <xm:f>'Main Data'!J159:J160</xm:f>
              <xm:sqref>P159</xm:sqref>
            </x14:sparkline>
            <x14:sparkline>
              <xm:f>'Main Data'!J160:J161</xm:f>
              <xm:sqref>P160</xm:sqref>
            </x14:sparkline>
            <x14:sparkline>
              <xm:f>'Main Data'!J161:J162</xm:f>
              <xm:sqref>P161</xm:sqref>
            </x14:sparkline>
            <x14:sparkline>
              <xm:f>'Main Data'!J162:J163</xm:f>
              <xm:sqref>P162</xm:sqref>
            </x14:sparkline>
            <x14:sparkline>
              <xm:f>'Main Data'!J163:J164</xm:f>
              <xm:sqref>P163</xm:sqref>
            </x14:sparkline>
            <x14:sparkline>
              <xm:f>'Main Data'!J164:J165</xm:f>
              <xm:sqref>P164</xm:sqref>
            </x14:sparkline>
            <x14:sparkline>
              <xm:f>'Main Data'!J165:J166</xm:f>
              <xm:sqref>P165</xm:sqref>
            </x14:sparkline>
            <x14:sparkline>
              <xm:f>'Main Data'!J166:J167</xm:f>
              <xm:sqref>P166</xm:sqref>
            </x14:sparkline>
            <x14:sparkline>
              <xm:f>'Main Data'!J167:J168</xm:f>
              <xm:sqref>P167</xm:sqref>
            </x14:sparkline>
            <x14:sparkline>
              <xm:f>'Main Data'!J168:J169</xm:f>
              <xm:sqref>P168</xm:sqref>
            </x14:sparkline>
            <x14:sparkline>
              <xm:f>'Main Data'!J169:J170</xm:f>
              <xm:sqref>P169</xm:sqref>
            </x14:sparkline>
            <x14:sparkline>
              <xm:f>'Main Data'!J170:J171</xm:f>
              <xm:sqref>P170</xm:sqref>
            </x14:sparkline>
            <x14:sparkline>
              <xm:f>'Main Data'!J171:J172</xm:f>
              <xm:sqref>P171</xm:sqref>
            </x14:sparkline>
            <x14:sparkline>
              <xm:f>'Main Data'!J172:J173</xm:f>
              <xm:sqref>P172</xm:sqref>
            </x14:sparkline>
            <x14:sparkline>
              <xm:f>'Main Data'!J173:J174</xm:f>
              <xm:sqref>P173</xm:sqref>
            </x14:sparkline>
            <x14:sparkline>
              <xm:f>'Main Data'!J174:J175</xm:f>
              <xm:sqref>P174</xm:sqref>
            </x14:sparkline>
            <x14:sparkline>
              <xm:f>'Main Data'!J175:J176</xm:f>
              <xm:sqref>P175</xm:sqref>
            </x14:sparkline>
            <x14:sparkline>
              <xm:f>'Main Data'!J176:J177</xm:f>
              <xm:sqref>P176</xm:sqref>
            </x14:sparkline>
            <x14:sparkline>
              <xm:f>'Main Data'!J177:J178</xm:f>
              <xm:sqref>P177</xm:sqref>
            </x14:sparkline>
            <x14:sparkline>
              <xm:f>'Main Data'!J178:J179</xm:f>
              <xm:sqref>P178</xm:sqref>
            </x14:sparkline>
            <x14:sparkline>
              <xm:f>'Main Data'!J179:J180</xm:f>
              <xm:sqref>P179</xm:sqref>
            </x14:sparkline>
            <x14:sparkline>
              <xm:f>'Main Data'!J180:J181</xm:f>
              <xm:sqref>P180</xm:sqref>
            </x14:sparkline>
            <x14:sparkline>
              <xm:f>'Main Data'!J181:J182</xm:f>
              <xm:sqref>P181</xm:sqref>
            </x14:sparkline>
            <x14:sparkline>
              <xm:f>'Main Data'!J182:J183</xm:f>
              <xm:sqref>P182</xm:sqref>
            </x14:sparkline>
            <x14:sparkline>
              <xm:f>'Main Data'!J183:J184</xm:f>
              <xm:sqref>P183</xm:sqref>
            </x14:sparkline>
            <x14:sparkline>
              <xm:f>'Main Data'!J184:J185</xm:f>
              <xm:sqref>P184</xm:sqref>
            </x14:sparkline>
            <x14:sparkline>
              <xm:f>'Main Data'!J185:J186</xm:f>
              <xm:sqref>P185</xm:sqref>
            </x14:sparkline>
            <x14:sparkline>
              <xm:f>'Main Data'!J186:J187</xm:f>
              <xm:sqref>P186</xm:sqref>
            </x14:sparkline>
            <x14:sparkline>
              <xm:f>'Main Data'!J187:J188</xm:f>
              <xm:sqref>P187</xm:sqref>
            </x14:sparkline>
            <x14:sparkline>
              <xm:f>'Main Data'!J188:J189</xm:f>
              <xm:sqref>P188</xm:sqref>
            </x14:sparkline>
            <x14:sparkline>
              <xm:f>'Main Data'!J189:J190</xm:f>
              <xm:sqref>P189</xm:sqref>
            </x14:sparkline>
            <x14:sparkline>
              <xm:f>'Main Data'!J190:J191</xm:f>
              <xm:sqref>P190</xm:sqref>
            </x14:sparkline>
            <x14:sparkline>
              <xm:f>'Main Data'!J191:J192</xm:f>
              <xm:sqref>P191</xm:sqref>
            </x14:sparkline>
            <x14:sparkline>
              <xm:f>'Main Data'!J192:J193</xm:f>
              <xm:sqref>P192</xm:sqref>
            </x14:sparkline>
            <x14:sparkline>
              <xm:f>'Main Data'!J193:J194</xm:f>
              <xm:sqref>P193</xm:sqref>
            </x14:sparkline>
            <x14:sparkline>
              <xm:f>'Main Data'!J194:J195</xm:f>
              <xm:sqref>P194</xm:sqref>
            </x14:sparkline>
            <x14:sparkline>
              <xm:f>'Main Data'!J195:J196</xm:f>
              <xm:sqref>P195</xm:sqref>
            </x14:sparkline>
            <x14:sparkline>
              <xm:f>'Main Data'!J196:J197</xm:f>
              <xm:sqref>P196</xm:sqref>
            </x14:sparkline>
            <x14:sparkline>
              <xm:f>'Main Data'!J197:J198</xm:f>
              <xm:sqref>P197</xm:sqref>
            </x14:sparkline>
            <x14:sparkline>
              <xm:f>'Main Data'!J198:J199</xm:f>
              <xm:sqref>P198</xm:sqref>
            </x14:sparkline>
            <x14:sparkline>
              <xm:f>'Main Data'!J199:J200</xm:f>
              <xm:sqref>P199</xm:sqref>
            </x14:sparkline>
            <x14:sparkline>
              <xm:f>'Main Data'!J200:J201</xm:f>
              <xm:sqref>P200</xm:sqref>
            </x14:sparkline>
            <x14:sparkline>
              <xm:f>'Main Data'!J201:J202</xm:f>
              <xm:sqref>P201</xm:sqref>
            </x14:sparkline>
            <x14:sparkline>
              <xm:f>'Main Data'!J202:J203</xm:f>
              <xm:sqref>P202</xm:sqref>
            </x14:sparkline>
            <x14:sparkline>
              <xm:f>'Main Data'!J203:J204</xm:f>
              <xm:sqref>P203</xm:sqref>
            </x14:sparkline>
            <x14:sparkline>
              <xm:f>'Main Data'!J204:J205</xm:f>
              <xm:sqref>P204</xm:sqref>
            </x14:sparkline>
            <x14:sparkline>
              <xm:f>'Main Data'!J205:J206</xm:f>
              <xm:sqref>P205</xm:sqref>
            </x14:sparkline>
            <x14:sparkline>
              <xm:f>'Main Data'!J206:J207</xm:f>
              <xm:sqref>P206</xm:sqref>
            </x14:sparkline>
            <x14:sparkline>
              <xm:f>'Main Data'!J207:J208</xm:f>
              <xm:sqref>P207</xm:sqref>
            </x14:sparkline>
            <x14:sparkline>
              <xm:f>'Main Data'!J208:J209</xm:f>
              <xm:sqref>P208</xm:sqref>
            </x14:sparkline>
            <x14:sparkline>
              <xm:f>'Main Data'!J209:J210</xm:f>
              <xm:sqref>P209</xm:sqref>
            </x14:sparkline>
            <x14:sparkline>
              <xm:f>'Main Data'!J210:J211</xm:f>
              <xm:sqref>P210</xm:sqref>
            </x14:sparkline>
            <x14:sparkline>
              <xm:f>'Main Data'!J211:J212</xm:f>
              <xm:sqref>P211</xm:sqref>
            </x14:sparkline>
            <x14:sparkline>
              <xm:f>'Main Data'!J212:J213</xm:f>
              <xm:sqref>P212</xm:sqref>
            </x14:sparkline>
            <x14:sparkline>
              <xm:f>'Main Data'!J213:J214</xm:f>
              <xm:sqref>P213</xm:sqref>
            </x14:sparkline>
            <x14:sparkline>
              <xm:f>'Main Data'!J214:J215</xm:f>
              <xm:sqref>P214</xm:sqref>
            </x14:sparkline>
            <x14:sparkline>
              <xm:f>'Main Data'!J215:J216</xm:f>
              <xm:sqref>P215</xm:sqref>
            </x14:sparkline>
            <x14:sparkline>
              <xm:f>'Main Data'!J216:J217</xm:f>
              <xm:sqref>P216</xm:sqref>
            </x14:sparkline>
            <x14:sparkline>
              <xm:f>'Main Data'!J217:J218</xm:f>
              <xm:sqref>P217</xm:sqref>
            </x14:sparkline>
            <x14:sparkline>
              <xm:f>'Main Data'!J218:J219</xm:f>
              <xm:sqref>P218</xm:sqref>
            </x14:sparkline>
            <x14:sparkline>
              <xm:f>'Main Data'!J219:J220</xm:f>
              <xm:sqref>P219</xm:sqref>
            </x14:sparkline>
            <x14:sparkline>
              <xm:f>'Main Data'!J220:J221</xm:f>
              <xm:sqref>P220</xm:sqref>
            </x14:sparkline>
            <x14:sparkline>
              <xm:f>'Main Data'!J221:J222</xm:f>
              <xm:sqref>P221</xm:sqref>
            </x14:sparkline>
            <x14:sparkline>
              <xm:f>'Main Data'!J222:J223</xm:f>
              <xm:sqref>P222</xm:sqref>
            </x14:sparkline>
            <x14:sparkline>
              <xm:f>'Main Data'!J223:J224</xm:f>
              <xm:sqref>P223</xm:sqref>
            </x14:sparkline>
            <x14:sparkline>
              <xm:f>'Main Data'!J224:J225</xm:f>
              <xm:sqref>P224</xm:sqref>
            </x14:sparkline>
            <x14:sparkline>
              <xm:f>'Main Data'!J225:J226</xm:f>
              <xm:sqref>P225</xm:sqref>
            </x14:sparkline>
            <x14:sparkline>
              <xm:f>'Main Data'!J226:J227</xm:f>
              <xm:sqref>P226</xm:sqref>
            </x14:sparkline>
            <x14:sparkline>
              <xm:f>'Main Data'!J227:J228</xm:f>
              <xm:sqref>P227</xm:sqref>
            </x14:sparkline>
            <x14:sparkline>
              <xm:f>'Main Data'!J228:J229</xm:f>
              <xm:sqref>P228</xm:sqref>
            </x14:sparkline>
            <x14:sparkline>
              <xm:f>'Main Data'!J229:J230</xm:f>
              <xm:sqref>P229</xm:sqref>
            </x14:sparkline>
            <x14:sparkline>
              <xm:f>'Main Data'!J230:J231</xm:f>
              <xm:sqref>P230</xm:sqref>
            </x14:sparkline>
            <x14:sparkline>
              <xm:f>'Main Data'!J231:J232</xm:f>
              <xm:sqref>P231</xm:sqref>
            </x14:sparkline>
            <x14:sparkline>
              <xm:f>'Main Data'!J232:J233</xm:f>
              <xm:sqref>P232</xm:sqref>
            </x14:sparkline>
            <x14:sparkline>
              <xm:f>'Main Data'!J233:J234</xm:f>
              <xm:sqref>P233</xm:sqref>
            </x14:sparkline>
            <x14:sparkline>
              <xm:f>'Main Data'!J234:J235</xm:f>
              <xm:sqref>P234</xm:sqref>
            </x14:sparkline>
            <x14:sparkline>
              <xm:f>'Main Data'!J235:J236</xm:f>
              <xm:sqref>P235</xm:sqref>
            </x14:sparkline>
            <x14:sparkline>
              <xm:f>'Main Data'!J236:J237</xm:f>
              <xm:sqref>P236</xm:sqref>
            </x14:sparkline>
            <x14:sparkline>
              <xm:f>'Main Data'!J237:J238</xm:f>
              <xm:sqref>P237</xm:sqref>
            </x14:sparkline>
            <x14:sparkline>
              <xm:f>'Main Data'!J238:J239</xm:f>
              <xm:sqref>P238</xm:sqref>
            </x14:sparkline>
            <x14:sparkline>
              <xm:f>'Main Data'!J239:J240</xm:f>
              <xm:sqref>P239</xm:sqref>
            </x14:sparkline>
            <x14:sparkline>
              <xm:f>'Main Data'!J240:J241</xm:f>
              <xm:sqref>P240</xm:sqref>
            </x14:sparkline>
            <x14:sparkline>
              <xm:f>'Main Data'!J241:J242</xm:f>
              <xm:sqref>P241</xm:sqref>
            </x14:sparkline>
            <x14:sparkline>
              <xm:f>'Main Data'!J242:J243</xm:f>
              <xm:sqref>P242</xm:sqref>
            </x14:sparkline>
            <x14:sparkline>
              <xm:f>'Main Data'!J243:J244</xm:f>
              <xm:sqref>P243</xm:sqref>
            </x14:sparkline>
            <x14:sparkline>
              <xm:f>'Main Data'!J244:J245</xm:f>
              <xm:sqref>P244</xm:sqref>
            </x14:sparkline>
            <x14:sparkline>
              <xm:f>'Main Data'!J245:J246</xm:f>
              <xm:sqref>P245</xm:sqref>
            </x14:sparkline>
            <x14:sparkline>
              <xm:f>'Main Data'!J246:J247</xm:f>
              <xm:sqref>P246</xm:sqref>
            </x14:sparkline>
            <x14:sparkline>
              <xm:f>'Main Data'!J247:J248</xm:f>
              <xm:sqref>P247</xm:sqref>
            </x14:sparkline>
            <x14:sparkline>
              <xm:f>'Main Data'!J248:J249</xm:f>
              <xm:sqref>P248</xm:sqref>
            </x14:sparkline>
            <x14:sparkline>
              <xm:f>'Main Data'!J249:J250</xm:f>
              <xm:sqref>P249</xm:sqref>
            </x14:sparkline>
            <x14:sparkline>
              <xm:f>'Main Data'!J250:J251</xm:f>
              <xm:sqref>P250</xm:sqref>
            </x14:sparkline>
            <x14:sparkline>
              <xm:f>'Main Data'!J251:J252</xm:f>
              <xm:sqref>P251</xm:sqref>
            </x14:sparkline>
            <x14:sparkline>
              <xm:f>'Main Data'!J252:J253</xm:f>
              <xm:sqref>P252</xm:sqref>
            </x14:sparkline>
            <x14:sparkline>
              <xm:f>'Main Data'!J253:J254</xm:f>
              <xm:sqref>P253</xm:sqref>
            </x14:sparkline>
            <x14:sparkline>
              <xm:f>'Main Data'!J254:J255</xm:f>
              <xm:sqref>P254</xm:sqref>
            </x14:sparkline>
            <x14:sparkline>
              <xm:f>'Main Data'!J255:J256</xm:f>
              <xm:sqref>P255</xm:sqref>
            </x14:sparkline>
            <x14:sparkline>
              <xm:f>'Main Data'!J256:J257</xm:f>
              <xm:sqref>P256</xm:sqref>
            </x14:sparkline>
            <x14:sparkline>
              <xm:f>'Main Data'!J257:J258</xm:f>
              <xm:sqref>P257</xm:sqref>
            </x14:sparkline>
            <x14:sparkline>
              <xm:f>'Main Data'!J258:J259</xm:f>
              <xm:sqref>P258</xm:sqref>
            </x14:sparkline>
            <x14:sparkline>
              <xm:f>'Main Data'!J259:J260</xm:f>
              <xm:sqref>P259</xm:sqref>
            </x14:sparkline>
            <x14:sparkline>
              <xm:f>'Main Data'!J260:J261</xm:f>
              <xm:sqref>P260</xm:sqref>
            </x14:sparkline>
            <x14:sparkline>
              <xm:f>'Main Data'!J261:J262</xm:f>
              <xm:sqref>P261</xm:sqref>
            </x14:sparkline>
            <x14:sparkline>
              <xm:f>'Main Data'!J262:J263</xm:f>
              <xm:sqref>P262</xm:sqref>
            </x14:sparkline>
            <x14:sparkline>
              <xm:f>'Main Data'!J263:J264</xm:f>
              <xm:sqref>P263</xm:sqref>
            </x14:sparkline>
            <x14:sparkline>
              <xm:f>'Main Data'!J264:J265</xm:f>
              <xm:sqref>P264</xm:sqref>
            </x14:sparkline>
            <x14:sparkline>
              <xm:f>'Main Data'!J265:J266</xm:f>
              <xm:sqref>P265</xm:sqref>
            </x14:sparkline>
            <x14:sparkline>
              <xm:f>'Main Data'!J266:J267</xm:f>
              <xm:sqref>P266</xm:sqref>
            </x14:sparkline>
            <x14:sparkline>
              <xm:f>'Main Data'!J267:J268</xm:f>
              <xm:sqref>P267</xm:sqref>
            </x14:sparkline>
            <x14:sparkline>
              <xm:f>'Main Data'!J268:J269</xm:f>
              <xm:sqref>P268</xm:sqref>
            </x14:sparkline>
            <x14:sparkline>
              <xm:f>'Main Data'!J269:J270</xm:f>
              <xm:sqref>P269</xm:sqref>
            </x14:sparkline>
            <x14:sparkline>
              <xm:f>'Main Data'!J270:J271</xm:f>
              <xm:sqref>P270</xm:sqref>
            </x14:sparkline>
            <x14:sparkline>
              <xm:f>'Main Data'!J271:J272</xm:f>
              <xm:sqref>P271</xm:sqref>
            </x14:sparkline>
            <x14:sparkline>
              <xm:f>'Main Data'!J272:J273</xm:f>
              <xm:sqref>P272</xm:sqref>
            </x14:sparkline>
            <x14:sparkline>
              <xm:f>'Main Data'!J273:J274</xm:f>
              <xm:sqref>P273</xm:sqref>
            </x14:sparkline>
            <x14:sparkline>
              <xm:f>'Main Data'!J274:J275</xm:f>
              <xm:sqref>P274</xm:sqref>
            </x14:sparkline>
            <x14:sparkline>
              <xm:f>'Main Data'!J275:J276</xm:f>
              <xm:sqref>P275</xm:sqref>
            </x14:sparkline>
            <x14:sparkline>
              <xm:f>'Main Data'!J276:J277</xm:f>
              <xm:sqref>P276</xm:sqref>
            </x14:sparkline>
            <x14:sparkline>
              <xm:f>'Main Data'!J277:J278</xm:f>
              <xm:sqref>P277</xm:sqref>
            </x14:sparkline>
            <x14:sparkline>
              <xm:f>'Main Data'!J278:J279</xm:f>
              <xm:sqref>P278</xm:sqref>
            </x14:sparkline>
            <x14:sparkline>
              <xm:f>'Main Data'!J279:J280</xm:f>
              <xm:sqref>P279</xm:sqref>
            </x14:sparkline>
            <x14:sparkline>
              <xm:f>'Main Data'!J280:J281</xm:f>
              <xm:sqref>P280</xm:sqref>
            </x14:sparkline>
            <x14:sparkline>
              <xm:f>'Main Data'!J281:J282</xm:f>
              <xm:sqref>P281</xm:sqref>
            </x14:sparkline>
            <x14:sparkline>
              <xm:f>'Main Data'!J282:J283</xm:f>
              <xm:sqref>P282</xm:sqref>
            </x14:sparkline>
            <x14:sparkline>
              <xm:f>'Main Data'!J283:J284</xm:f>
              <xm:sqref>P283</xm:sqref>
            </x14:sparkline>
            <x14:sparkline>
              <xm:f>'Main Data'!J284:J285</xm:f>
              <xm:sqref>P284</xm:sqref>
            </x14:sparkline>
            <x14:sparkline>
              <xm:f>'Main Data'!J285:J286</xm:f>
              <xm:sqref>P285</xm:sqref>
            </x14:sparkline>
            <x14:sparkline>
              <xm:f>'Main Data'!J286:J287</xm:f>
              <xm:sqref>P286</xm:sqref>
            </x14:sparkline>
            <x14:sparkline>
              <xm:f>'Main Data'!J287:J288</xm:f>
              <xm:sqref>P287</xm:sqref>
            </x14:sparkline>
            <x14:sparkline>
              <xm:f>'Main Data'!J288:J289</xm:f>
              <xm:sqref>P288</xm:sqref>
            </x14:sparkline>
            <x14:sparkline>
              <xm:f>'Main Data'!J289:J290</xm:f>
              <xm:sqref>P289</xm:sqref>
            </x14:sparkline>
            <x14:sparkline>
              <xm:f>'Main Data'!J290:J291</xm:f>
              <xm:sqref>P290</xm:sqref>
            </x14:sparkline>
            <x14:sparkline>
              <xm:f>'Main Data'!J291:J292</xm:f>
              <xm:sqref>P291</xm:sqref>
            </x14:sparkline>
            <x14:sparkline>
              <xm:f>'Main Data'!J292:J293</xm:f>
              <xm:sqref>P292</xm:sqref>
            </x14:sparkline>
            <x14:sparkline>
              <xm:f>'Main Data'!J293:J294</xm:f>
              <xm:sqref>P293</xm:sqref>
            </x14:sparkline>
            <x14:sparkline>
              <xm:f>'Main Data'!J294:J295</xm:f>
              <xm:sqref>P294</xm:sqref>
            </x14:sparkline>
            <x14:sparkline>
              <xm:f>'Main Data'!J295:J296</xm:f>
              <xm:sqref>P295</xm:sqref>
            </x14:sparkline>
            <x14:sparkline>
              <xm:f>'Main Data'!J296:J297</xm:f>
              <xm:sqref>P296</xm:sqref>
            </x14:sparkline>
            <x14:sparkline>
              <xm:f>'Main Data'!J297:J298</xm:f>
              <xm:sqref>P297</xm:sqref>
            </x14:sparkline>
            <x14:sparkline>
              <xm:f>'Main Data'!J298:J299</xm:f>
              <xm:sqref>P298</xm:sqref>
            </x14:sparkline>
            <x14:sparkline>
              <xm:f>'Main Data'!J299:J300</xm:f>
              <xm:sqref>P299</xm:sqref>
            </x14:sparkline>
            <x14:sparkline>
              <xm:f>'Main Data'!J300:J301</xm:f>
              <xm:sqref>P300</xm:sqref>
            </x14:sparkline>
            <x14:sparkline>
              <xm:f>'Main Data'!J301:J302</xm:f>
              <xm:sqref>P301</xm:sqref>
            </x14:sparkline>
            <x14:sparkline>
              <xm:f>'Main Data'!J302:J303</xm:f>
              <xm:sqref>P302</xm:sqref>
            </x14:sparkline>
            <x14:sparkline>
              <xm:f>'Main Data'!J303:J304</xm:f>
              <xm:sqref>P303</xm:sqref>
            </x14:sparkline>
            <x14:sparkline>
              <xm:f>'Main Data'!J304:J305</xm:f>
              <xm:sqref>P304</xm:sqref>
            </x14:sparkline>
            <x14:sparkline>
              <xm:f>'Main Data'!J305:J306</xm:f>
              <xm:sqref>P305</xm:sqref>
            </x14:sparkline>
            <x14:sparkline>
              <xm:f>'Main Data'!J306:J307</xm:f>
              <xm:sqref>P306</xm:sqref>
            </x14:sparkline>
            <x14:sparkline>
              <xm:f>'Main Data'!J307:J308</xm:f>
              <xm:sqref>P307</xm:sqref>
            </x14:sparkline>
            <x14:sparkline>
              <xm:f>'Main Data'!J308:J309</xm:f>
              <xm:sqref>P308</xm:sqref>
            </x14:sparkline>
            <x14:sparkline>
              <xm:f>'Main Data'!J309:J310</xm:f>
              <xm:sqref>P309</xm:sqref>
            </x14:sparkline>
            <x14:sparkline>
              <xm:f>'Main Data'!J310:J311</xm:f>
              <xm:sqref>P310</xm:sqref>
            </x14:sparkline>
            <x14:sparkline>
              <xm:f>'Main Data'!J311:J312</xm:f>
              <xm:sqref>P311</xm:sqref>
            </x14:sparkline>
            <x14:sparkline>
              <xm:f>'Main Data'!J312:J313</xm:f>
              <xm:sqref>P312</xm:sqref>
            </x14:sparkline>
            <x14:sparkline>
              <xm:f>'Main Data'!J313:J314</xm:f>
              <xm:sqref>P313</xm:sqref>
            </x14:sparkline>
            <x14:sparkline>
              <xm:f>'Main Data'!J314:J315</xm:f>
              <xm:sqref>P314</xm:sqref>
            </x14:sparkline>
            <x14:sparkline>
              <xm:f>'Main Data'!J315:J316</xm:f>
              <xm:sqref>P315</xm:sqref>
            </x14:sparkline>
            <x14:sparkline>
              <xm:f>'Main Data'!J316:J317</xm:f>
              <xm:sqref>P316</xm:sqref>
            </x14:sparkline>
            <x14:sparkline>
              <xm:f>'Main Data'!J317:J318</xm:f>
              <xm:sqref>P317</xm:sqref>
            </x14:sparkline>
            <x14:sparkline>
              <xm:f>'Main Data'!J318:J319</xm:f>
              <xm:sqref>P318</xm:sqref>
            </x14:sparkline>
            <x14:sparkline>
              <xm:f>'Main Data'!J319:J320</xm:f>
              <xm:sqref>P319</xm:sqref>
            </x14:sparkline>
            <x14:sparkline>
              <xm:f>'Main Data'!J320:J321</xm:f>
              <xm:sqref>P320</xm:sqref>
            </x14:sparkline>
            <x14:sparkline>
              <xm:f>'Main Data'!J321:J322</xm:f>
              <xm:sqref>P321</xm:sqref>
            </x14:sparkline>
            <x14:sparkline>
              <xm:f>'Main Data'!J322:J323</xm:f>
              <xm:sqref>P322</xm:sqref>
            </x14:sparkline>
            <x14:sparkline>
              <xm:f>'Main Data'!J323:J324</xm:f>
              <xm:sqref>P323</xm:sqref>
            </x14:sparkline>
            <x14:sparkline>
              <xm:f>'Main Data'!J324:J325</xm:f>
              <xm:sqref>P324</xm:sqref>
            </x14:sparkline>
            <x14:sparkline>
              <xm:f>'Main Data'!J325:J326</xm:f>
              <xm:sqref>P325</xm:sqref>
            </x14:sparkline>
            <x14:sparkline>
              <xm:f>'Main Data'!J326:J327</xm:f>
              <xm:sqref>P326</xm:sqref>
            </x14:sparkline>
            <x14:sparkline>
              <xm:f>'Main Data'!J327:J328</xm:f>
              <xm:sqref>P327</xm:sqref>
            </x14:sparkline>
            <x14:sparkline>
              <xm:f>'Main Data'!J328:J329</xm:f>
              <xm:sqref>P328</xm:sqref>
            </x14:sparkline>
            <x14:sparkline>
              <xm:f>'Main Data'!J329:J330</xm:f>
              <xm:sqref>P329</xm:sqref>
            </x14:sparkline>
            <x14:sparkline>
              <xm:f>'Main Data'!J330:J331</xm:f>
              <xm:sqref>P330</xm:sqref>
            </x14:sparkline>
            <x14:sparkline>
              <xm:f>'Main Data'!J331:J332</xm:f>
              <xm:sqref>P331</xm:sqref>
            </x14:sparkline>
            <x14:sparkline>
              <xm:f>'Main Data'!J332:J333</xm:f>
              <xm:sqref>P332</xm:sqref>
            </x14:sparkline>
            <x14:sparkline>
              <xm:f>'Main Data'!J333:J334</xm:f>
              <xm:sqref>P333</xm:sqref>
            </x14:sparkline>
            <x14:sparkline>
              <xm:f>'Main Data'!J334:J335</xm:f>
              <xm:sqref>P334</xm:sqref>
            </x14:sparkline>
            <x14:sparkline>
              <xm:f>'Main Data'!J335:J336</xm:f>
              <xm:sqref>P335</xm:sqref>
            </x14:sparkline>
            <x14:sparkline>
              <xm:f>'Main Data'!J336:J337</xm:f>
              <xm:sqref>P336</xm:sqref>
            </x14:sparkline>
            <x14:sparkline>
              <xm:f>'Main Data'!J337:J338</xm:f>
              <xm:sqref>P337</xm:sqref>
            </x14:sparkline>
            <x14:sparkline>
              <xm:f>'Main Data'!J338:J339</xm:f>
              <xm:sqref>P338</xm:sqref>
            </x14:sparkline>
            <x14:sparkline>
              <xm:f>'Main Data'!J339:J340</xm:f>
              <xm:sqref>P339</xm:sqref>
            </x14:sparkline>
            <x14:sparkline>
              <xm:f>'Main Data'!J340:J341</xm:f>
              <xm:sqref>P340</xm:sqref>
            </x14:sparkline>
            <x14:sparkline>
              <xm:f>'Main Data'!J341:J342</xm:f>
              <xm:sqref>P341</xm:sqref>
            </x14:sparkline>
            <x14:sparkline>
              <xm:f>'Main Data'!J342:J343</xm:f>
              <xm:sqref>P342</xm:sqref>
            </x14:sparkline>
            <x14:sparkline>
              <xm:f>'Main Data'!J343:J344</xm:f>
              <xm:sqref>P343</xm:sqref>
            </x14:sparkline>
            <x14:sparkline>
              <xm:f>'Main Data'!J344:J345</xm:f>
              <xm:sqref>P344</xm:sqref>
            </x14:sparkline>
            <x14:sparkline>
              <xm:f>'Main Data'!J345:J346</xm:f>
              <xm:sqref>P345</xm:sqref>
            </x14:sparkline>
            <x14:sparkline>
              <xm:f>'Main Data'!J346:J347</xm:f>
              <xm:sqref>P346</xm:sqref>
            </x14:sparkline>
            <x14:sparkline>
              <xm:f>'Main Data'!J347:J348</xm:f>
              <xm:sqref>P347</xm:sqref>
            </x14:sparkline>
            <x14:sparkline>
              <xm:f>'Main Data'!J348:J349</xm:f>
              <xm:sqref>P348</xm:sqref>
            </x14:sparkline>
            <x14:sparkline>
              <xm:f>'Main Data'!J349:J350</xm:f>
              <xm:sqref>P349</xm:sqref>
            </x14:sparkline>
            <x14:sparkline>
              <xm:f>'Main Data'!J350:J351</xm:f>
              <xm:sqref>P350</xm:sqref>
            </x14:sparkline>
            <x14:sparkline>
              <xm:f>'Main Data'!J351:J352</xm:f>
              <xm:sqref>P351</xm:sqref>
            </x14:sparkline>
            <x14:sparkline>
              <xm:f>'Main Data'!J352:J353</xm:f>
              <xm:sqref>P352</xm:sqref>
            </x14:sparkline>
            <x14:sparkline>
              <xm:f>'Main Data'!J353:J354</xm:f>
              <xm:sqref>P353</xm:sqref>
            </x14:sparkline>
            <x14:sparkline>
              <xm:f>'Main Data'!J354:J355</xm:f>
              <xm:sqref>P354</xm:sqref>
            </x14:sparkline>
            <x14:sparkline>
              <xm:f>'Main Data'!J355:J356</xm:f>
              <xm:sqref>P355</xm:sqref>
            </x14:sparkline>
            <x14:sparkline>
              <xm:f>'Main Data'!J356:J357</xm:f>
              <xm:sqref>P356</xm:sqref>
            </x14:sparkline>
            <x14:sparkline>
              <xm:f>'Main Data'!J357:J358</xm:f>
              <xm:sqref>P357</xm:sqref>
            </x14:sparkline>
            <x14:sparkline>
              <xm:f>'Main Data'!J358:J359</xm:f>
              <xm:sqref>P358</xm:sqref>
            </x14:sparkline>
            <x14:sparkline>
              <xm:f>'Main Data'!J359:J360</xm:f>
              <xm:sqref>P359</xm:sqref>
            </x14:sparkline>
            <x14:sparkline>
              <xm:f>'Main Data'!J360:J361</xm:f>
              <xm:sqref>P360</xm:sqref>
            </x14:sparkline>
            <x14:sparkline>
              <xm:f>'Main Data'!J361:J362</xm:f>
              <xm:sqref>P361</xm:sqref>
            </x14:sparkline>
            <x14:sparkline>
              <xm:f>'Main Data'!J362:J363</xm:f>
              <xm:sqref>P362</xm:sqref>
            </x14:sparkline>
            <x14:sparkline>
              <xm:f>'Main Data'!J363:J364</xm:f>
              <xm:sqref>P363</xm:sqref>
            </x14:sparkline>
            <x14:sparkline>
              <xm:f>'Main Data'!J364:J365</xm:f>
              <xm:sqref>P364</xm:sqref>
            </x14:sparkline>
            <x14:sparkline>
              <xm:f>'Main Data'!J365:J366</xm:f>
              <xm:sqref>P365</xm:sqref>
            </x14:sparkline>
            <x14:sparkline>
              <xm:f>'Main Data'!J366:J367</xm:f>
              <xm:sqref>P366</xm:sqref>
            </x14:sparkline>
            <x14:sparkline>
              <xm:f>'Main Data'!J367:J368</xm:f>
              <xm:sqref>P367</xm:sqref>
            </x14:sparkline>
            <x14:sparkline>
              <xm:f>'Main Data'!J368:J369</xm:f>
              <xm:sqref>P368</xm:sqref>
            </x14:sparkline>
            <x14:sparkline>
              <xm:f>'Main Data'!J369:J370</xm:f>
              <xm:sqref>P369</xm:sqref>
            </x14:sparkline>
            <x14:sparkline>
              <xm:f>'Main Data'!J370:J371</xm:f>
              <xm:sqref>P370</xm:sqref>
            </x14:sparkline>
            <x14:sparkline>
              <xm:f>'Main Data'!J371:J372</xm:f>
              <xm:sqref>P371</xm:sqref>
            </x14:sparkline>
            <x14:sparkline>
              <xm:f>'Main Data'!J372:J373</xm:f>
              <xm:sqref>P372</xm:sqref>
            </x14:sparkline>
            <x14:sparkline>
              <xm:f>'Main Data'!J373:J374</xm:f>
              <xm:sqref>P373</xm:sqref>
            </x14:sparkline>
            <x14:sparkline>
              <xm:f>'Main Data'!J374:J375</xm:f>
              <xm:sqref>P374</xm:sqref>
            </x14:sparkline>
            <x14:sparkline>
              <xm:f>'Main Data'!J375:J376</xm:f>
              <xm:sqref>P375</xm:sqref>
            </x14:sparkline>
            <x14:sparkline>
              <xm:f>'Main Data'!J376:J377</xm:f>
              <xm:sqref>P376</xm:sqref>
            </x14:sparkline>
            <x14:sparkline>
              <xm:f>'Main Data'!J377:J378</xm:f>
              <xm:sqref>P377</xm:sqref>
            </x14:sparkline>
            <x14:sparkline>
              <xm:f>'Main Data'!J378:J379</xm:f>
              <xm:sqref>P378</xm:sqref>
            </x14:sparkline>
            <x14:sparkline>
              <xm:f>'Main Data'!J379:J380</xm:f>
              <xm:sqref>P379</xm:sqref>
            </x14:sparkline>
            <x14:sparkline>
              <xm:f>'Main Data'!J380:J381</xm:f>
              <xm:sqref>P380</xm:sqref>
            </x14:sparkline>
            <x14:sparkline>
              <xm:f>'Main Data'!J381:J382</xm:f>
              <xm:sqref>P381</xm:sqref>
            </x14:sparkline>
            <x14:sparkline>
              <xm:f>'Main Data'!J382:J383</xm:f>
              <xm:sqref>P382</xm:sqref>
            </x14:sparkline>
            <x14:sparkline>
              <xm:f>'Main Data'!J383:J384</xm:f>
              <xm:sqref>P383</xm:sqref>
            </x14:sparkline>
            <x14:sparkline>
              <xm:f>'Main Data'!J384:J385</xm:f>
              <xm:sqref>P384</xm:sqref>
            </x14:sparkline>
            <x14:sparkline>
              <xm:f>'Main Data'!J385:J386</xm:f>
              <xm:sqref>P385</xm:sqref>
            </x14:sparkline>
            <x14:sparkline>
              <xm:f>'Main Data'!J386:J387</xm:f>
              <xm:sqref>P386</xm:sqref>
            </x14:sparkline>
            <x14:sparkline>
              <xm:f>'Main Data'!J387:J388</xm:f>
              <xm:sqref>P387</xm:sqref>
            </x14:sparkline>
            <x14:sparkline>
              <xm:f>'Main Data'!J388:J389</xm:f>
              <xm:sqref>P388</xm:sqref>
            </x14:sparkline>
            <x14:sparkline>
              <xm:f>'Main Data'!J389:J390</xm:f>
              <xm:sqref>P389</xm:sqref>
            </x14:sparkline>
            <x14:sparkline>
              <xm:f>'Main Data'!J390:J391</xm:f>
              <xm:sqref>P390</xm:sqref>
            </x14:sparkline>
            <x14:sparkline>
              <xm:f>'Main Data'!J391:J392</xm:f>
              <xm:sqref>P391</xm:sqref>
            </x14:sparkline>
            <x14:sparkline>
              <xm:f>'Main Data'!J392:J393</xm:f>
              <xm:sqref>P392</xm:sqref>
            </x14:sparkline>
            <x14:sparkline>
              <xm:f>'Main Data'!J393:J394</xm:f>
              <xm:sqref>P393</xm:sqref>
            </x14:sparkline>
            <x14:sparkline>
              <xm:f>'Main Data'!J394:J395</xm:f>
              <xm:sqref>P394</xm:sqref>
            </x14:sparkline>
            <x14:sparkline>
              <xm:f>'Main Data'!J395:J396</xm:f>
              <xm:sqref>P395</xm:sqref>
            </x14:sparkline>
            <x14:sparkline>
              <xm:f>'Main Data'!J396:J397</xm:f>
              <xm:sqref>P396</xm:sqref>
            </x14:sparkline>
            <x14:sparkline>
              <xm:f>'Main Data'!J397:J398</xm:f>
              <xm:sqref>P397</xm:sqref>
            </x14:sparkline>
            <x14:sparkline>
              <xm:f>'Main Data'!J398:J399</xm:f>
              <xm:sqref>P398</xm:sqref>
            </x14:sparkline>
            <x14:sparkline>
              <xm:f>'Main Data'!J399:J400</xm:f>
              <xm:sqref>P399</xm:sqref>
            </x14:sparkline>
            <x14:sparkline>
              <xm:f>'Main Data'!J400:J401</xm:f>
              <xm:sqref>P400</xm:sqref>
            </x14:sparkline>
            <x14:sparkline>
              <xm:f>'Main Data'!J401:J402</xm:f>
              <xm:sqref>P401</xm:sqref>
            </x14:sparkline>
            <x14:sparkline>
              <xm:f>'Main Data'!J402:J403</xm:f>
              <xm:sqref>P402</xm:sqref>
            </x14:sparkline>
            <x14:sparkline>
              <xm:f>'Main Data'!J403:J404</xm:f>
              <xm:sqref>P403</xm:sqref>
            </x14:sparkline>
            <x14:sparkline>
              <xm:f>'Main Data'!J404:J405</xm:f>
              <xm:sqref>P404</xm:sqref>
            </x14:sparkline>
            <x14:sparkline>
              <xm:f>'Main Data'!J405:J406</xm:f>
              <xm:sqref>P405</xm:sqref>
            </x14:sparkline>
            <x14:sparkline>
              <xm:f>'Main Data'!J406:J407</xm:f>
              <xm:sqref>P406</xm:sqref>
            </x14:sparkline>
            <x14:sparkline>
              <xm:f>'Main Data'!J407:J408</xm:f>
              <xm:sqref>P407</xm:sqref>
            </x14:sparkline>
            <x14:sparkline>
              <xm:f>'Main Data'!J408:J409</xm:f>
              <xm:sqref>P408</xm:sqref>
            </x14:sparkline>
            <x14:sparkline>
              <xm:f>'Main Data'!J409:J410</xm:f>
              <xm:sqref>P409</xm:sqref>
            </x14:sparkline>
            <x14:sparkline>
              <xm:f>'Main Data'!J410:J411</xm:f>
              <xm:sqref>P410</xm:sqref>
            </x14:sparkline>
            <x14:sparkline>
              <xm:f>'Main Data'!J411:J412</xm:f>
              <xm:sqref>P411</xm:sqref>
            </x14:sparkline>
            <x14:sparkline>
              <xm:f>'Main Data'!J412:J413</xm:f>
              <xm:sqref>P412</xm:sqref>
            </x14:sparkline>
            <x14:sparkline>
              <xm:f>'Main Data'!J413:J414</xm:f>
              <xm:sqref>P413</xm:sqref>
            </x14:sparkline>
            <x14:sparkline>
              <xm:f>'Main Data'!J414:J415</xm:f>
              <xm:sqref>P414</xm:sqref>
            </x14:sparkline>
            <x14:sparkline>
              <xm:f>'Main Data'!J415:J416</xm:f>
              <xm:sqref>P415</xm:sqref>
            </x14:sparkline>
            <x14:sparkline>
              <xm:f>'Main Data'!J416:J417</xm:f>
              <xm:sqref>P416</xm:sqref>
            </x14:sparkline>
            <x14:sparkline>
              <xm:f>'Main Data'!J417:J418</xm:f>
              <xm:sqref>P417</xm:sqref>
            </x14:sparkline>
            <x14:sparkline>
              <xm:f>'Main Data'!J418:J419</xm:f>
              <xm:sqref>P418</xm:sqref>
            </x14:sparkline>
            <x14:sparkline>
              <xm:f>'Main Data'!J419:J420</xm:f>
              <xm:sqref>P419</xm:sqref>
            </x14:sparkline>
            <x14:sparkline>
              <xm:f>'Main Data'!J420:J421</xm:f>
              <xm:sqref>P420</xm:sqref>
            </x14:sparkline>
            <x14:sparkline>
              <xm:f>'Main Data'!J421:J422</xm:f>
              <xm:sqref>P421</xm:sqref>
            </x14:sparkline>
            <x14:sparkline>
              <xm:f>'Main Data'!J422:J423</xm:f>
              <xm:sqref>P422</xm:sqref>
            </x14:sparkline>
            <x14:sparkline>
              <xm:f>'Main Data'!J423:J424</xm:f>
              <xm:sqref>P423</xm:sqref>
            </x14:sparkline>
            <x14:sparkline>
              <xm:f>'Main Data'!J424:J425</xm:f>
              <xm:sqref>P424</xm:sqref>
            </x14:sparkline>
            <x14:sparkline>
              <xm:f>'Main Data'!J425:J426</xm:f>
              <xm:sqref>P425</xm:sqref>
            </x14:sparkline>
            <x14:sparkline>
              <xm:f>'Main Data'!J426:J427</xm:f>
              <xm:sqref>P426</xm:sqref>
            </x14:sparkline>
            <x14:sparkline>
              <xm:f>'Main Data'!J427:J428</xm:f>
              <xm:sqref>P427</xm:sqref>
            </x14:sparkline>
            <x14:sparkline>
              <xm:f>'Main Data'!J428:J429</xm:f>
              <xm:sqref>P428</xm:sqref>
            </x14:sparkline>
            <x14:sparkline>
              <xm:f>'Main Data'!J429:J430</xm:f>
              <xm:sqref>P429</xm:sqref>
            </x14:sparkline>
            <x14:sparkline>
              <xm:f>'Main Data'!J430:J431</xm:f>
              <xm:sqref>P430</xm:sqref>
            </x14:sparkline>
            <x14:sparkline>
              <xm:f>'Main Data'!J431:J432</xm:f>
              <xm:sqref>P431</xm:sqref>
            </x14:sparkline>
            <x14:sparkline>
              <xm:f>'Main Data'!J432:J433</xm:f>
              <xm:sqref>P432</xm:sqref>
            </x14:sparkline>
            <x14:sparkline>
              <xm:f>'Main Data'!J433:J434</xm:f>
              <xm:sqref>P433</xm:sqref>
            </x14:sparkline>
            <x14:sparkline>
              <xm:f>'Main Data'!J434:J435</xm:f>
              <xm:sqref>P434</xm:sqref>
            </x14:sparkline>
            <x14:sparkline>
              <xm:f>'Main Data'!J435:J436</xm:f>
              <xm:sqref>P435</xm:sqref>
            </x14:sparkline>
            <x14:sparkline>
              <xm:f>'Main Data'!J436:J437</xm:f>
              <xm:sqref>P436</xm:sqref>
            </x14:sparkline>
            <x14:sparkline>
              <xm:f>'Main Data'!J437:J438</xm:f>
              <xm:sqref>P437</xm:sqref>
            </x14:sparkline>
            <x14:sparkline>
              <xm:f>'Main Data'!J438:J439</xm:f>
              <xm:sqref>P438</xm:sqref>
            </x14:sparkline>
            <x14:sparkline>
              <xm:f>'Main Data'!J439:J440</xm:f>
              <xm:sqref>P439</xm:sqref>
            </x14:sparkline>
            <x14:sparkline>
              <xm:f>'Main Data'!J440:J441</xm:f>
              <xm:sqref>P440</xm:sqref>
            </x14:sparkline>
            <x14:sparkline>
              <xm:f>'Main Data'!J441:J442</xm:f>
              <xm:sqref>P441</xm:sqref>
            </x14:sparkline>
            <x14:sparkline>
              <xm:f>'Main Data'!J442:J443</xm:f>
              <xm:sqref>P442</xm:sqref>
            </x14:sparkline>
            <x14:sparkline>
              <xm:f>'Main Data'!J443:J444</xm:f>
              <xm:sqref>P443</xm:sqref>
            </x14:sparkline>
            <x14:sparkline>
              <xm:f>'Main Data'!J444:J445</xm:f>
              <xm:sqref>P444</xm:sqref>
            </x14:sparkline>
            <x14:sparkline>
              <xm:f>'Main Data'!J445:J446</xm:f>
              <xm:sqref>P445</xm:sqref>
            </x14:sparkline>
            <x14:sparkline>
              <xm:f>'Main Data'!J446:J447</xm:f>
              <xm:sqref>P446</xm:sqref>
            </x14:sparkline>
            <x14:sparkline>
              <xm:f>'Main Data'!J447:J448</xm:f>
              <xm:sqref>P447</xm:sqref>
            </x14:sparkline>
            <x14:sparkline>
              <xm:f>'Main Data'!J448:J449</xm:f>
              <xm:sqref>P448</xm:sqref>
            </x14:sparkline>
            <x14:sparkline>
              <xm:f>'Main Data'!J449:J450</xm:f>
              <xm:sqref>P449</xm:sqref>
            </x14:sparkline>
            <x14:sparkline>
              <xm:f>'Main Data'!J450:J451</xm:f>
              <xm:sqref>P450</xm:sqref>
            </x14:sparkline>
            <x14:sparkline>
              <xm:f>'Main Data'!J451:J452</xm:f>
              <xm:sqref>P451</xm:sqref>
            </x14:sparkline>
            <x14:sparkline>
              <xm:f>'Main Data'!J452:J453</xm:f>
              <xm:sqref>P452</xm:sqref>
            </x14:sparkline>
            <x14:sparkline>
              <xm:f>'Main Data'!J453:J454</xm:f>
              <xm:sqref>P453</xm:sqref>
            </x14:sparkline>
            <x14:sparkline>
              <xm:f>'Main Data'!J454:J455</xm:f>
              <xm:sqref>P454</xm:sqref>
            </x14:sparkline>
            <x14:sparkline>
              <xm:f>'Main Data'!J455:J456</xm:f>
              <xm:sqref>P455</xm:sqref>
            </x14:sparkline>
            <x14:sparkline>
              <xm:f>'Main Data'!J456:J457</xm:f>
              <xm:sqref>P456</xm:sqref>
            </x14:sparkline>
            <x14:sparkline>
              <xm:f>'Main Data'!J457:J458</xm:f>
              <xm:sqref>P457</xm:sqref>
            </x14:sparkline>
            <x14:sparkline>
              <xm:f>'Main Data'!J458:J459</xm:f>
              <xm:sqref>P458</xm:sqref>
            </x14:sparkline>
            <x14:sparkline>
              <xm:f>'Main Data'!J459:J460</xm:f>
              <xm:sqref>P459</xm:sqref>
            </x14:sparkline>
            <x14:sparkline>
              <xm:f>'Main Data'!J460:J461</xm:f>
              <xm:sqref>P460</xm:sqref>
            </x14:sparkline>
            <x14:sparkline>
              <xm:f>'Main Data'!J461:J462</xm:f>
              <xm:sqref>P461</xm:sqref>
            </x14:sparkline>
            <x14:sparkline>
              <xm:f>'Main Data'!J462:J463</xm:f>
              <xm:sqref>P462</xm:sqref>
            </x14:sparkline>
            <x14:sparkline>
              <xm:f>'Main Data'!J463:J464</xm:f>
              <xm:sqref>P463</xm:sqref>
            </x14:sparkline>
            <x14:sparkline>
              <xm:f>'Main Data'!J464:J465</xm:f>
              <xm:sqref>P464</xm:sqref>
            </x14:sparkline>
            <x14:sparkline>
              <xm:f>'Main Data'!J465:J466</xm:f>
              <xm:sqref>P465</xm:sqref>
            </x14:sparkline>
            <x14:sparkline>
              <xm:f>'Main Data'!J466:J467</xm:f>
              <xm:sqref>P466</xm:sqref>
            </x14:sparkline>
            <x14:sparkline>
              <xm:f>'Main Data'!J467:J468</xm:f>
              <xm:sqref>P467</xm:sqref>
            </x14:sparkline>
            <x14:sparkline>
              <xm:f>'Main Data'!J468:J469</xm:f>
              <xm:sqref>P468</xm:sqref>
            </x14:sparkline>
            <x14:sparkline>
              <xm:f>'Main Data'!J469:J470</xm:f>
              <xm:sqref>P469</xm:sqref>
            </x14:sparkline>
            <x14:sparkline>
              <xm:f>'Main Data'!J470:J471</xm:f>
              <xm:sqref>P470</xm:sqref>
            </x14:sparkline>
            <x14:sparkline>
              <xm:f>'Main Data'!J471:J472</xm:f>
              <xm:sqref>P471</xm:sqref>
            </x14:sparkline>
            <x14:sparkline>
              <xm:f>'Main Data'!J472:J473</xm:f>
              <xm:sqref>P472</xm:sqref>
            </x14:sparkline>
            <x14:sparkline>
              <xm:f>'Main Data'!J473:J474</xm:f>
              <xm:sqref>P473</xm:sqref>
            </x14:sparkline>
            <x14:sparkline>
              <xm:f>'Main Data'!J474:J475</xm:f>
              <xm:sqref>P474</xm:sqref>
            </x14:sparkline>
            <x14:sparkline>
              <xm:f>'Main Data'!J475:J476</xm:f>
              <xm:sqref>P475</xm:sqref>
            </x14:sparkline>
            <x14:sparkline>
              <xm:f>'Main Data'!J476:J477</xm:f>
              <xm:sqref>P476</xm:sqref>
            </x14:sparkline>
            <x14:sparkline>
              <xm:f>'Main Data'!J477:J478</xm:f>
              <xm:sqref>P477</xm:sqref>
            </x14:sparkline>
            <x14:sparkline>
              <xm:f>'Main Data'!J478:J479</xm:f>
              <xm:sqref>P478</xm:sqref>
            </x14:sparkline>
            <x14:sparkline>
              <xm:f>'Main Data'!J479:J480</xm:f>
              <xm:sqref>P479</xm:sqref>
            </x14:sparkline>
            <x14:sparkline>
              <xm:f>'Main Data'!J480:J481</xm:f>
              <xm:sqref>P480</xm:sqref>
            </x14:sparkline>
            <x14:sparkline>
              <xm:f>'Main Data'!J481:J482</xm:f>
              <xm:sqref>P481</xm:sqref>
            </x14:sparkline>
            <x14:sparkline>
              <xm:f>'Main Data'!J482:J483</xm:f>
              <xm:sqref>P482</xm:sqref>
            </x14:sparkline>
            <x14:sparkline>
              <xm:f>'Main Data'!J483:J484</xm:f>
              <xm:sqref>P483</xm:sqref>
            </x14:sparkline>
            <x14:sparkline>
              <xm:f>'Main Data'!J484:J485</xm:f>
              <xm:sqref>P484</xm:sqref>
            </x14:sparkline>
            <x14:sparkline>
              <xm:f>'Main Data'!J485:J486</xm:f>
              <xm:sqref>P485</xm:sqref>
            </x14:sparkline>
            <x14:sparkline>
              <xm:f>'Main Data'!J486:J487</xm:f>
              <xm:sqref>P486</xm:sqref>
            </x14:sparkline>
            <x14:sparkline>
              <xm:f>'Main Data'!J487:J488</xm:f>
              <xm:sqref>P487</xm:sqref>
            </x14:sparkline>
            <x14:sparkline>
              <xm:f>'Main Data'!J488:J489</xm:f>
              <xm:sqref>P488</xm:sqref>
            </x14:sparkline>
            <x14:sparkline>
              <xm:f>'Main Data'!J489:J490</xm:f>
              <xm:sqref>P489</xm:sqref>
            </x14:sparkline>
            <x14:sparkline>
              <xm:f>'Main Data'!J490:J491</xm:f>
              <xm:sqref>P490</xm:sqref>
            </x14:sparkline>
            <x14:sparkline>
              <xm:f>'Main Data'!J491:J492</xm:f>
              <xm:sqref>P491</xm:sqref>
            </x14:sparkline>
            <x14:sparkline>
              <xm:f>'Main Data'!J492:J493</xm:f>
              <xm:sqref>P492</xm:sqref>
            </x14:sparkline>
            <x14:sparkline>
              <xm:f>'Main Data'!J493:J494</xm:f>
              <xm:sqref>P493</xm:sqref>
            </x14:sparkline>
            <x14:sparkline>
              <xm:f>'Main Data'!J494:J495</xm:f>
              <xm:sqref>P494</xm:sqref>
            </x14:sparkline>
            <x14:sparkline>
              <xm:f>'Main Data'!J495:J496</xm:f>
              <xm:sqref>P495</xm:sqref>
            </x14:sparkline>
            <x14:sparkline>
              <xm:f>'Main Data'!J496:J497</xm:f>
              <xm:sqref>P496</xm:sqref>
            </x14:sparkline>
            <x14:sparkline>
              <xm:f>'Main Data'!J497:J498</xm:f>
              <xm:sqref>P497</xm:sqref>
            </x14:sparkline>
            <x14:sparkline>
              <xm:f>'Main Data'!J498:J499</xm:f>
              <xm:sqref>P498</xm:sqref>
            </x14:sparkline>
            <x14:sparkline>
              <xm:f>'Main Data'!J499:J500</xm:f>
              <xm:sqref>P499</xm:sqref>
            </x14:sparkline>
            <x14:sparkline>
              <xm:f>'Main Data'!J500:J501</xm:f>
              <xm:sqref>P500</xm:sqref>
            </x14:sparkline>
          </x14:sparklines>
        </x14:sparklineGroup>
        <x14:sparklineGroup displayEmptyCellsAs="gap" xr2:uid="{87DF2AFA-8553-4160-952A-D139EBF584F7}">
          <x14:colorSeries rgb="FF376092"/>
          <x14:colorNegative rgb="FFD00000"/>
          <x14:colorAxis rgb="FF000000"/>
          <x14:colorMarkers rgb="FFD00000"/>
          <x14:colorFirst rgb="FFD00000"/>
          <x14:colorLast rgb="FFD00000"/>
          <x14:colorHigh rgb="FFD00000"/>
          <x14:colorLow rgb="FFD00000"/>
          <x14:sparklines>
            <x14:sparkline>
              <xm:f>'Main Data'!J500:J501</xm:f>
              <xm:sqref>P501</xm:sqref>
            </x14:sparkline>
          </x14:sparklines>
        </x14:sparklineGroup>
        <x14:sparklineGroup type="column" displayEmptyCellsAs="gap" xr2:uid="{D443BE3D-2D19-4222-91F9-4429165A6C7E}">
          <x14:colorSeries rgb="FF376092"/>
          <x14:colorNegative rgb="FFD00000"/>
          <x14:colorAxis rgb="FF000000"/>
          <x14:colorMarkers rgb="FFD00000"/>
          <x14:colorFirst rgb="FFD00000"/>
          <x14:colorLast rgb="FFD00000"/>
          <x14:colorHigh rgb="FFD00000"/>
          <x14:colorLow rgb="FFD00000"/>
          <x14:sparklines>
            <x14:sparkline>
              <xm:f>'Main Data'!J2:J3</xm:f>
              <xm:sqref>Q2</xm:sqref>
            </x14:sparkline>
            <x14:sparkline>
              <xm:f>'Main Data'!J3:J4</xm:f>
              <xm:sqref>Q3</xm:sqref>
            </x14:sparkline>
            <x14:sparkline>
              <xm:f>'Main Data'!J4:J5</xm:f>
              <xm:sqref>Q4</xm:sqref>
            </x14:sparkline>
            <x14:sparkline>
              <xm:f>'Main Data'!J5:J6</xm:f>
              <xm:sqref>Q5</xm:sqref>
            </x14:sparkline>
            <x14:sparkline>
              <xm:f>'Main Data'!J6:J7</xm:f>
              <xm:sqref>Q6</xm:sqref>
            </x14:sparkline>
            <x14:sparkline>
              <xm:f>'Main Data'!J7:J8</xm:f>
              <xm:sqref>Q7</xm:sqref>
            </x14:sparkline>
            <x14:sparkline>
              <xm:f>'Main Data'!J8:J9</xm:f>
              <xm:sqref>Q8</xm:sqref>
            </x14:sparkline>
            <x14:sparkline>
              <xm:f>'Main Data'!J9:J10</xm:f>
              <xm:sqref>Q9</xm:sqref>
            </x14:sparkline>
            <x14:sparkline>
              <xm:f>'Main Data'!J10:J11</xm:f>
              <xm:sqref>Q10</xm:sqref>
            </x14:sparkline>
            <x14:sparkline>
              <xm:f>'Main Data'!J11:J12</xm:f>
              <xm:sqref>Q11</xm:sqref>
            </x14:sparkline>
            <x14:sparkline>
              <xm:f>'Main Data'!J12:J13</xm:f>
              <xm:sqref>Q12</xm:sqref>
            </x14:sparkline>
            <x14:sparkline>
              <xm:f>'Main Data'!J13:J14</xm:f>
              <xm:sqref>Q13</xm:sqref>
            </x14:sparkline>
            <x14:sparkline>
              <xm:f>'Main Data'!J14:J15</xm:f>
              <xm:sqref>Q14</xm:sqref>
            </x14:sparkline>
            <x14:sparkline>
              <xm:f>'Main Data'!J15:J16</xm:f>
              <xm:sqref>Q15</xm:sqref>
            </x14:sparkline>
            <x14:sparkline>
              <xm:f>'Main Data'!J16:J17</xm:f>
              <xm:sqref>Q16</xm:sqref>
            </x14:sparkline>
            <x14:sparkline>
              <xm:f>'Main Data'!J17:J18</xm:f>
              <xm:sqref>Q17</xm:sqref>
            </x14:sparkline>
            <x14:sparkline>
              <xm:f>'Main Data'!J18:J19</xm:f>
              <xm:sqref>Q18</xm:sqref>
            </x14:sparkline>
            <x14:sparkline>
              <xm:f>'Main Data'!J19:J20</xm:f>
              <xm:sqref>Q19</xm:sqref>
            </x14:sparkline>
            <x14:sparkline>
              <xm:f>'Main Data'!J20:J21</xm:f>
              <xm:sqref>Q20</xm:sqref>
            </x14:sparkline>
            <x14:sparkline>
              <xm:f>'Main Data'!J21:J22</xm:f>
              <xm:sqref>Q21</xm:sqref>
            </x14:sparkline>
            <x14:sparkline>
              <xm:f>'Main Data'!J22:J23</xm:f>
              <xm:sqref>Q22</xm:sqref>
            </x14:sparkline>
            <x14:sparkline>
              <xm:f>'Main Data'!J23:J24</xm:f>
              <xm:sqref>Q23</xm:sqref>
            </x14:sparkline>
            <x14:sparkline>
              <xm:f>'Main Data'!J24:J25</xm:f>
              <xm:sqref>Q24</xm:sqref>
            </x14:sparkline>
            <x14:sparkline>
              <xm:f>'Main Data'!J25:J26</xm:f>
              <xm:sqref>Q25</xm:sqref>
            </x14:sparkline>
            <x14:sparkline>
              <xm:f>'Main Data'!J26:J27</xm:f>
              <xm:sqref>Q26</xm:sqref>
            </x14:sparkline>
            <x14:sparkline>
              <xm:f>'Main Data'!J27:J28</xm:f>
              <xm:sqref>Q27</xm:sqref>
            </x14:sparkline>
            <x14:sparkline>
              <xm:f>'Main Data'!J28:J29</xm:f>
              <xm:sqref>Q28</xm:sqref>
            </x14:sparkline>
            <x14:sparkline>
              <xm:f>'Main Data'!J29:J30</xm:f>
              <xm:sqref>Q29</xm:sqref>
            </x14:sparkline>
            <x14:sparkline>
              <xm:f>'Main Data'!J30:J31</xm:f>
              <xm:sqref>Q30</xm:sqref>
            </x14:sparkline>
            <x14:sparkline>
              <xm:f>'Main Data'!J31:J32</xm:f>
              <xm:sqref>Q31</xm:sqref>
            </x14:sparkline>
            <x14:sparkline>
              <xm:f>'Main Data'!J32:J33</xm:f>
              <xm:sqref>Q32</xm:sqref>
            </x14:sparkline>
            <x14:sparkline>
              <xm:f>'Main Data'!J33:J34</xm:f>
              <xm:sqref>Q33</xm:sqref>
            </x14:sparkline>
            <x14:sparkline>
              <xm:f>'Main Data'!J34:J35</xm:f>
              <xm:sqref>Q34</xm:sqref>
            </x14:sparkline>
            <x14:sparkline>
              <xm:f>'Main Data'!J35:J36</xm:f>
              <xm:sqref>Q35</xm:sqref>
            </x14:sparkline>
            <x14:sparkline>
              <xm:f>'Main Data'!J36:J37</xm:f>
              <xm:sqref>Q36</xm:sqref>
            </x14:sparkline>
            <x14:sparkline>
              <xm:f>'Main Data'!J37:J38</xm:f>
              <xm:sqref>Q37</xm:sqref>
            </x14:sparkline>
            <x14:sparkline>
              <xm:f>'Main Data'!J38:J39</xm:f>
              <xm:sqref>Q38</xm:sqref>
            </x14:sparkline>
            <x14:sparkline>
              <xm:f>'Main Data'!J39:J40</xm:f>
              <xm:sqref>Q39</xm:sqref>
            </x14:sparkline>
            <x14:sparkline>
              <xm:f>'Main Data'!J40:J41</xm:f>
              <xm:sqref>Q40</xm:sqref>
            </x14:sparkline>
            <x14:sparkline>
              <xm:f>'Main Data'!J41:J42</xm:f>
              <xm:sqref>Q41</xm:sqref>
            </x14:sparkline>
            <x14:sparkline>
              <xm:f>'Main Data'!J42:J43</xm:f>
              <xm:sqref>Q42</xm:sqref>
            </x14:sparkline>
            <x14:sparkline>
              <xm:f>'Main Data'!J43:J44</xm:f>
              <xm:sqref>Q43</xm:sqref>
            </x14:sparkline>
            <x14:sparkline>
              <xm:f>'Main Data'!J44:J45</xm:f>
              <xm:sqref>Q44</xm:sqref>
            </x14:sparkline>
            <x14:sparkline>
              <xm:f>'Main Data'!J45:J46</xm:f>
              <xm:sqref>Q45</xm:sqref>
            </x14:sparkline>
            <x14:sparkline>
              <xm:f>'Main Data'!J46:J47</xm:f>
              <xm:sqref>Q46</xm:sqref>
            </x14:sparkline>
            <x14:sparkline>
              <xm:f>'Main Data'!J47:J48</xm:f>
              <xm:sqref>Q47</xm:sqref>
            </x14:sparkline>
            <x14:sparkline>
              <xm:f>'Main Data'!J48:J49</xm:f>
              <xm:sqref>Q48</xm:sqref>
            </x14:sparkline>
            <x14:sparkline>
              <xm:f>'Main Data'!J49:J50</xm:f>
              <xm:sqref>Q49</xm:sqref>
            </x14:sparkline>
            <x14:sparkline>
              <xm:f>'Main Data'!J50:J51</xm:f>
              <xm:sqref>Q50</xm:sqref>
            </x14:sparkline>
            <x14:sparkline>
              <xm:f>'Main Data'!J51:J52</xm:f>
              <xm:sqref>Q51</xm:sqref>
            </x14:sparkline>
            <x14:sparkline>
              <xm:f>'Main Data'!J52:J53</xm:f>
              <xm:sqref>Q52</xm:sqref>
            </x14:sparkline>
            <x14:sparkline>
              <xm:f>'Main Data'!J53:J54</xm:f>
              <xm:sqref>Q53</xm:sqref>
            </x14:sparkline>
            <x14:sparkline>
              <xm:f>'Main Data'!J54:J55</xm:f>
              <xm:sqref>Q54</xm:sqref>
            </x14:sparkline>
            <x14:sparkline>
              <xm:f>'Main Data'!J55:J56</xm:f>
              <xm:sqref>Q55</xm:sqref>
            </x14:sparkline>
            <x14:sparkline>
              <xm:f>'Main Data'!J56:J57</xm:f>
              <xm:sqref>Q56</xm:sqref>
            </x14:sparkline>
            <x14:sparkline>
              <xm:f>'Main Data'!J57:J58</xm:f>
              <xm:sqref>Q57</xm:sqref>
            </x14:sparkline>
            <x14:sparkline>
              <xm:f>'Main Data'!J58:J59</xm:f>
              <xm:sqref>Q58</xm:sqref>
            </x14:sparkline>
            <x14:sparkline>
              <xm:f>'Main Data'!J59:J60</xm:f>
              <xm:sqref>Q59</xm:sqref>
            </x14:sparkline>
            <x14:sparkline>
              <xm:f>'Main Data'!J60:J61</xm:f>
              <xm:sqref>Q60</xm:sqref>
            </x14:sparkline>
            <x14:sparkline>
              <xm:f>'Main Data'!J61:J62</xm:f>
              <xm:sqref>Q61</xm:sqref>
            </x14:sparkline>
            <x14:sparkline>
              <xm:f>'Main Data'!J62:J63</xm:f>
              <xm:sqref>Q62</xm:sqref>
            </x14:sparkline>
            <x14:sparkline>
              <xm:f>'Main Data'!J63:J64</xm:f>
              <xm:sqref>Q63</xm:sqref>
            </x14:sparkline>
            <x14:sparkline>
              <xm:f>'Main Data'!J64:J65</xm:f>
              <xm:sqref>Q64</xm:sqref>
            </x14:sparkline>
            <x14:sparkline>
              <xm:f>'Main Data'!J65:J66</xm:f>
              <xm:sqref>Q65</xm:sqref>
            </x14:sparkline>
            <x14:sparkline>
              <xm:f>'Main Data'!J66:J67</xm:f>
              <xm:sqref>Q66</xm:sqref>
            </x14:sparkline>
            <x14:sparkline>
              <xm:f>'Main Data'!J67:J68</xm:f>
              <xm:sqref>Q67</xm:sqref>
            </x14:sparkline>
            <x14:sparkline>
              <xm:f>'Main Data'!J68:J69</xm:f>
              <xm:sqref>Q68</xm:sqref>
            </x14:sparkline>
            <x14:sparkline>
              <xm:f>'Main Data'!J69:J70</xm:f>
              <xm:sqref>Q69</xm:sqref>
            </x14:sparkline>
            <x14:sparkline>
              <xm:f>'Main Data'!J70:J71</xm:f>
              <xm:sqref>Q70</xm:sqref>
            </x14:sparkline>
            <x14:sparkline>
              <xm:f>'Main Data'!J71:J72</xm:f>
              <xm:sqref>Q71</xm:sqref>
            </x14:sparkline>
            <x14:sparkline>
              <xm:f>'Main Data'!J72:J73</xm:f>
              <xm:sqref>Q72</xm:sqref>
            </x14:sparkline>
            <x14:sparkline>
              <xm:f>'Main Data'!J73:J74</xm:f>
              <xm:sqref>Q73</xm:sqref>
            </x14:sparkline>
            <x14:sparkline>
              <xm:f>'Main Data'!J74:J75</xm:f>
              <xm:sqref>Q74</xm:sqref>
            </x14:sparkline>
            <x14:sparkline>
              <xm:f>'Main Data'!J75:J76</xm:f>
              <xm:sqref>Q75</xm:sqref>
            </x14:sparkline>
            <x14:sparkline>
              <xm:f>'Main Data'!J76:J77</xm:f>
              <xm:sqref>Q76</xm:sqref>
            </x14:sparkline>
            <x14:sparkline>
              <xm:f>'Main Data'!J77:J78</xm:f>
              <xm:sqref>Q77</xm:sqref>
            </x14:sparkline>
            <x14:sparkline>
              <xm:f>'Main Data'!J78:J79</xm:f>
              <xm:sqref>Q78</xm:sqref>
            </x14:sparkline>
            <x14:sparkline>
              <xm:f>'Main Data'!J79:J80</xm:f>
              <xm:sqref>Q79</xm:sqref>
            </x14:sparkline>
            <x14:sparkline>
              <xm:f>'Main Data'!J80:J81</xm:f>
              <xm:sqref>Q80</xm:sqref>
            </x14:sparkline>
            <x14:sparkline>
              <xm:f>'Main Data'!J81:J82</xm:f>
              <xm:sqref>Q81</xm:sqref>
            </x14:sparkline>
            <x14:sparkline>
              <xm:f>'Main Data'!J82:J83</xm:f>
              <xm:sqref>Q82</xm:sqref>
            </x14:sparkline>
            <x14:sparkline>
              <xm:f>'Main Data'!J83:J84</xm:f>
              <xm:sqref>Q83</xm:sqref>
            </x14:sparkline>
            <x14:sparkline>
              <xm:f>'Main Data'!J84:J85</xm:f>
              <xm:sqref>Q84</xm:sqref>
            </x14:sparkline>
            <x14:sparkline>
              <xm:f>'Main Data'!J85:J86</xm:f>
              <xm:sqref>Q85</xm:sqref>
            </x14:sparkline>
            <x14:sparkline>
              <xm:f>'Main Data'!J86:J87</xm:f>
              <xm:sqref>Q86</xm:sqref>
            </x14:sparkline>
            <x14:sparkline>
              <xm:f>'Main Data'!J87:J88</xm:f>
              <xm:sqref>Q87</xm:sqref>
            </x14:sparkline>
            <x14:sparkline>
              <xm:f>'Main Data'!J88:J89</xm:f>
              <xm:sqref>Q88</xm:sqref>
            </x14:sparkline>
            <x14:sparkline>
              <xm:f>'Main Data'!J89:J90</xm:f>
              <xm:sqref>Q89</xm:sqref>
            </x14:sparkline>
            <x14:sparkline>
              <xm:f>'Main Data'!J90:J91</xm:f>
              <xm:sqref>Q90</xm:sqref>
            </x14:sparkline>
            <x14:sparkline>
              <xm:f>'Main Data'!J91:J92</xm:f>
              <xm:sqref>Q91</xm:sqref>
            </x14:sparkline>
            <x14:sparkline>
              <xm:f>'Main Data'!J92:J93</xm:f>
              <xm:sqref>Q92</xm:sqref>
            </x14:sparkline>
            <x14:sparkline>
              <xm:f>'Main Data'!J93:J94</xm:f>
              <xm:sqref>Q93</xm:sqref>
            </x14:sparkline>
            <x14:sparkline>
              <xm:f>'Main Data'!J94:J95</xm:f>
              <xm:sqref>Q94</xm:sqref>
            </x14:sparkline>
            <x14:sparkline>
              <xm:f>'Main Data'!J95:J96</xm:f>
              <xm:sqref>Q95</xm:sqref>
            </x14:sparkline>
            <x14:sparkline>
              <xm:f>'Main Data'!J96:J97</xm:f>
              <xm:sqref>Q96</xm:sqref>
            </x14:sparkline>
            <x14:sparkline>
              <xm:f>'Main Data'!J97:J98</xm:f>
              <xm:sqref>Q97</xm:sqref>
            </x14:sparkline>
            <x14:sparkline>
              <xm:f>'Main Data'!J98:J99</xm:f>
              <xm:sqref>Q98</xm:sqref>
            </x14:sparkline>
            <x14:sparkline>
              <xm:f>'Main Data'!J99:J100</xm:f>
              <xm:sqref>Q99</xm:sqref>
            </x14:sparkline>
            <x14:sparkline>
              <xm:f>'Main Data'!J100:J101</xm:f>
              <xm:sqref>Q100</xm:sqref>
            </x14:sparkline>
            <x14:sparkline>
              <xm:f>'Main Data'!J101:J102</xm:f>
              <xm:sqref>Q101</xm:sqref>
            </x14:sparkline>
            <x14:sparkline>
              <xm:f>'Main Data'!J102:J103</xm:f>
              <xm:sqref>Q102</xm:sqref>
            </x14:sparkline>
            <x14:sparkline>
              <xm:f>'Main Data'!J103:J104</xm:f>
              <xm:sqref>Q103</xm:sqref>
            </x14:sparkline>
            <x14:sparkline>
              <xm:f>'Main Data'!J104:J105</xm:f>
              <xm:sqref>Q104</xm:sqref>
            </x14:sparkline>
            <x14:sparkline>
              <xm:f>'Main Data'!J105:J106</xm:f>
              <xm:sqref>Q105</xm:sqref>
            </x14:sparkline>
            <x14:sparkline>
              <xm:f>'Main Data'!J106:J107</xm:f>
              <xm:sqref>Q106</xm:sqref>
            </x14:sparkline>
            <x14:sparkline>
              <xm:f>'Main Data'!J107:J108</xm:f>
              <xm:sqref>Q107</xm:sqref>
            </x14:sparkline>
            <x14:sparkline>
              <xm:f>'Main Data'!J108:J109</xm:f>
              <xm:sqref>Q108</xm:sqref>
            </x14:sparkline>
            <x14:sparkline>
              <xm:f>'Main Data'!J109:J110</xm:f>
              <xm:sqref>Q109</xm:sqref>
            </x14:sparkline>
            <x14:sparkline>
              <xm:f>'Main Data'!J110:J111</xm:f>
              <xm:sqref>Q110</xm:sqref>
            </x14:sparkline>
            <x14:sparkline>
              <xm:f>'Main Data'!J111:J112</xm:f>
              <xm:sqref>Q111</xm:sqref>
            </x14:sparkline>
            <x14:sparkline>
              <xm:f>'Main Data'!J112:J113</xm:f>
              <xm:sqref>Q112</xm:sqref>
            </x14:sparkline>
            <x14:sparkline>
              <xm:f>'Main Data'!J113:J114</xm:f>
              <xm:sqref>Q113</xm:sqref>
            </x14:sparkline>
            <x14:sparkline>
              <xm:f>'Main Data'!J114:J115</xm:f>
              <xm:sqref>Q114</xm:sqref>
            </x14:sparkline>
            <x14:sparkline>
              <xm:f>'Main Data'!J115:J116</xm:f>
              <xm:sqref>Q115</xm:sqref>
            </x14:sparkline>
            <x14:sparkline>
              <xm:f>'Main Data'!J116:J117</xm:f>
              <xm:sqref>Q116</xm:sqref>
            </x14:sparkline>
            <x14:sparkline>
              <xm:f>'Main Data'!J117:J118</xm:f>
              <xm:sqref>Q117</xm:sqref>
            </x14:sparkline>
            <x14:sparkline>
              <xm:f>'Main Data'!J118:J119</xm:f>
              <xm:sqref>Q118</xm:sqref>
            </x14:sparkline>
            <x14:sparkline>
              <xm:f>'Main Data'!J119:J120</xm:f>
              <xm:sqref>Q119</xm:sqref>
            </x14:sparkline>
            <x14:sparkline>
              <xm:f>'Main Data'!J120:J121</xm:f>
              <xm:sqref>Q120</xm:sqref>
            </x14:sparkline>
            <x14:sparkline>
              <xm:f>'Main Data'!J121:J122</xm:f>
              <xm:sqref>Q121</xm:sqref>
            </x14:sparkline>
            <x14:sparkline>
              <xm:f>'Main Data'!J122:J123</xm:f>
              <xm:sqref>Q122</xm:sqref>
            </x14:sparkline>
            <x14:sparkline>
              <xm:f>'Main Data'!J123:J124</xm:f>
              <xm:sqref>Q123</xm:sqref>
            </x14:sparkline>
            <x14:sparkline>
              <xm:f>'Main Data'!J124:J125</xm:f>
              <xm:sqref>Q124</xm:sqref>
            </x14:sparkline>
            <x14:sparkline>
              <xm:f>'Main Data'!J125:J126</xm:f>
              <xm:sqref>Q125</xm:sqref>
            </x14:sparkline>
            <x14:sparkline>
              <xm:f>'Main Data'!J126:J127</xm:f>
              <xm:sqref>Q126</xm:sqref>
            </x14:sparkline>
            <x14:sparkline>
              <xm:f>'Main Data'!J127:J128</xm:f>
              <xm:sqref>Q127</xm:sqref>
            </x14:sparkline>
            <x14:sparkline>
              <xm:f>'Main Data'!J128:J129</xm:f>
              <xm:sqref>Q128</xm:sqref>
            </x14:sparkline>
            <x14:sparkline>
              <xm:f>'Main Data'!J129:J130</xm:f>
              <xm:sqref>Q129</xm:sqref>
            </x14:sparkline>
            <x14:sparkline>
              <xm:f>'Main Data'!J130:J131</xm:f>
              <xm:sqref>Q130</xm:sqref>
            </x14:sparkline>
            <x14:sparkline>
              <xm:f>'Main Data'!J131:J132</xm:f>
              <xm:sqref>Q131</xm:sqref>
            </x14:sparkline>
            <x14:sparkline>
              <xm:f>'Main Data'!J132:J133</xm:f>
              <xm:sqref>Q132</xm:sqref>
            </x14:sparkline>
            <x14:sparkline>
              <xm:f>'Main Data'!J133:J134</xm:f>
              <xm:sqref>Q133</xm:sqref>
            </x14:sparkline>
            <x14:sparkline>
              <xm:f>'Main Data'!J134:J135</xm:f>
              <xm:sqref>Q134</xm:sqref>
            </x14:sparkline>
            <x14:sparkline>
              <xm:f>'Main Data'!J135:J136</xm:f>
              <xm:sqref>Q135</xm:sqref>
            </x14:sparkline>
            <x14:sparkline>
              <xm:f>'Main Data'!J136:J137</xm:f>
              <xm:sqref>Q136</xm:sqref>
            </x14:sparkline>
            <x14:sparkline>
              <xm:f>'Main Data'!J137:J138</xm:f>
              <xm:sqref>Q137</xm:sqref>
            </x14:sparkline>
            <x14:sparkline>
              <xm:f>'Main Data'!J138:J139</xm:f>
              <xm:sqref>Q138</xm:sqref>
            </x14:sparkline>
            <x14:sparkline>
              <xm:f>'Main Data'!J139:J140</xm:f>
              <xm:sqref>Q139</xm:sqref>
            </x14:sparkline>
            <x14:sparkline>
              <xm:f>'Main Data'!J140:J141</xm:f>
              <xm:sqref>Q140</xm:sqref>
            </x14:sparkline>
            <x14:sparkline>
              <xm:f>'Main Data'!J141:J142</xm:f>
              <xm:sqref>Q141</xm:sqref>
            </x14:sparkline>
            <x14:sparkline>
              <xm:f>'Main Data'!J142:J143</xm:f>
              <xm:sqref>Q142</xm:sqref>
            </x14:sparkline>
            <x14:sparkline>
              <xm:f>'Main Data'!J143:J144</xm:f>
              <xm:sqref>Q143</xm:sqref>
            </x14:sparkline>
            <x14:sparkline>
              <xm:f>'Main Data'!J144:J145</xm:f>
              <xm:sqref>Q144</xm:sqref>
            </x14:sparkline>
            <x14:sparkline>
              <xm:f>'Main Data'!J145:J146</xm:f>
              <xm:sqref>Q145</xm:sqref>
            </x14:sparkline>
            <x14:sparkline>
              <xm:f>'Main Data'!J146:J147</xm:f>
              <xm:sqref>Q146</xm:sqref>
            </x14:sparkline>
            <x14:sparkline>
              <xm:f>'Main Data'!J147:J148</xm:f>
              <xm:sqref>Q147</xm:sqref>
            </x14:sparkline>
            <x14:sparkline>
              <xm:f>'Main Data'!J148:J149</xm:f>
              <xm:sqref>Q148</xm:sqref>
            </x14:sparkline>
            <x14:sparkline>
              <xm:f>'Main Data'!J149:J150</xm:f>
              <xm:sqref>Q149</xm:sqref>
            </x14:sparkline>
            <x14:sparkline>
              <xm:f>'Main Data'!J150:J151</xm:f>
              <xm:sqref>Q150</xm:sqref>
            </x14:sparkline>
            <x14:sparkline>
              <xm:f>'Main Data'!J151:J152</xm:f>
              <xm:sqref>Q151</xm:sqref>
            </x14:sparkline>
            <x14:sparkline>
              <xm:f>'Main Data'!J152:J153</xm:f>
              <xm:sqref>Q152</xm:sqref>
            </x14:sparkline>
            <x14:sparkline>
              <xm:f>'Main Data'!J153:J154</xm:f>
              <xm:sqref>Q153</xm:sqref>
            </x14:sparkline>
            <x14:sparkline>
              <xm:f>'Main Data'!J154:J155</xm:f>
              <xm:sqref>Q154</xm:sqref>
            </x14:sparkline>
            <x14:sparkline>
              <xm:f>'Main Data'!J155:J156</xm:f>
              <xm:sqref>Q155</xm:sqref>
            </x14:sparkline>
            <x14:sparkline>
              <xm:f>'Main Data'!J156:J157</xm:f>
              <xm:sqref>Q156</xm:sqref>
            </x14:sparkline>
            <x14:sparkline>
              <xm:f>'Main Data'!J157:J158</xm:f>
              <xm:sqref>Q157</xm:sqref>
            </x14:sparkline>
            <x14:sparkline>
              <xm:f>'Main Data'!J158:J159</xm:f>
              <xm:sqref>Q158</xm:sqref>
            </x14:sparkline>
            <x14:sparkline>
              <xm:f>'Main Data'!J159:J160</xm:f>
              <xm:sqref>Q159</xm:sqref>
            </x14:sparkline>
            <x14:sparkline>
              <xm:f>'Main Data'!J160:J161</xm:f>
              <xm:sqref>Q160</xm:sqref>
            </x14:sparkline>
            <x14:sparkline>
              <xm:f>'Main Data'!J161:J162</xm:f>
              <xm:sqref>Q161</xm:sqref>
            </x14:sparkline>
            <x14:sparkline>
              <xm:f>'Main Data'!J162:J163</xm:f>
              <xm:sqref>Q162</xm:sqref>
            </x14:sparkline>
            <x14:sparkline>
              <xm:f>'Main Data'!J163:J164</xm:f>
              <xm:sqref>Q163</xm:sqref>
            </x14:sparkline>
            <x14:sparkline>
              <xm:f>'Main Data'!J164:J165</xm:f>
              <xm:sqref>Q164</xm:sqref>
            </x14:sparkline>
            <x14:sparkline>
              <xm:f>'Main Data'!J165:J166</xm:f>
              <xm:sqref>Q165</xm:sqref>
            </x14:sparkline>
            <x14:sparkline>
              <xm:f>'Main Data'!J166:J167</xm:f>
              <xm:sqref>Q166</xm:sqref>
            </x14:sparkline>
            <x14:sparkline>
              <xm:f>'Main Data'!J167:J168</xm:f>
              <xm:sqref>Q167</xm:sqref>
            </x14:sparkline>
            <x14:sparkline>
              <xm:f>'Main Data'!J168:J169</xm:f>
              <xm:sqref>Q168</xm:sqref>
            </x14:sparkline>
            <x14:sparkline>
              <xm:f>'Main Data'!J169:J170</xm:f>
              <xm:sqref>Q169</xm:sqref>
            </x14:sparkline>
            <x14:sparkline>
              <xm:f>'Main Data'!J170:J171</xm:f>
              <xm:sqref>Q170</xm:sqref>
            </x14:sparkline>
            <x14:sparkline>
              <xm:f>'Main Data'!J171:J172</xm:f>
              <xm:sqref>Q171</xm:sqref>
            </x14:sparkline>
            <x14:sparkline>
              <xm:f>'Main Data'!J172:J173</xm:f>
              <xm:sqref>Q172</xm:sqref>
            </x14:sparkline>
            <x14:sparkline>
              <xm:f>'Main Data'!J173:J174</xm:f>
              <xm:sqref>Q173</xm:sqref>
            </x14:sparkline>
            <x14:sparkline>
              <xm:f>'Main Data'!J174:J175</xm:f>
              <xm:sqref>Q174</xm:sqref>
            </x14:sparkline>
            <x14:sparkline>
              <xm:f>'Main Data'!J175:J176</xm:f>
              <xm:sqref>Q175</xm:sqref>
            </x14:sparkline>
            <x14:sparkline>
              <xm:f>'Main Data'!J176:J177</xm:f>
              <xm:sqref>Q176</xm:sqref>
            </x14:sparkline>
            <x14:sparkline>
              <xm:f>'Main Data'!J177:J178</xm:f>
              <xm:sqref>Q177</xm:sqref>
            </x14:sparkline>
            <x14:sparkline>
              <xm:f>'Main Data'!J178:J179</xm:f>
              <xm:sqref>Q178</xm:sqref>
            </x14:sparkline>
            <x14:sparkline>
              <xm:f>'Main Data'!J179:J180</xm:f>
              <xm:sqref>Q179</xm:sqref>
            </x14:sparkline>
            <x14:sparkline>
              <xm:f>'Main Data'!J180:J181</xm:f>
              <xm:sqref>Q180</xm:sqref>
            </x14:sparkline>
            <x14:sparkline>
              <xm:f>'Main Data'!J181:J182</xm:f>
              <xm:sqref>Q181</xm:sqref>
            </x14:sparkline>
            <x14:sparkline>
              <xm:f>'Main Data'!J182:J183</xm:f>
              <xm:sqref>Q182</xm:sqref>
            </x14:sparkline>
            <x14:sparkline>
              <xm:f>'Main Data'!J183:J184</xm:f>
              <xm:sqref>Q183</xm:sqref>
            </x14:sparkline>
            <x14:sparkline>
              <xm:f>'Main Data'!J184:J185</xm:f>
              <xm:sqref>Q184</xm:sqref>
            </x14:sparkline>
            <x14:sparkline>
              <xm:f>'Main Data'!J185:J186</xm:f>
              <xm:sqref>Q185</xm:sqref>
            </x14:sparkline>
            <x14:sparkline>
              <xm:f>'Main Data'!J186:J187</xm:f>
              <xm:sqref>Q186</xm:sqref>
            </x14:sparkline>
            <x14:sparkline>
              <xm:f>'Main Data'!J187:J188</xm:f>
              <xm:sqref>Q187</xm:sqref>
            </x14:sparkline>
            <x14:sparkline>
              <xm:f>'Main Data'!J188:J189</xm:f>
              <xm:sqref>Q188</xm:sqref>
            </x14:sparkline>
            <x14:sparkline>
              <xm:f>'Main Data'!J189:J190</xm:f>
              <xm:sqref>Q189</xm:sqref>
            </x14:sparkline>
            <x14:sparkline>
              <xm:f>'Main Data'!J190:J191</xm:f>
              <xm:sqref>Q190</xm:sqref>
            </x14:sparkline>
            <x14:sparkline>
              <xm:f>'Main Data'!J191:J192</xm:f>
              <xm:sqref>Q191</xm:sqref>
            </x14:sparkline>
            <x14:sparkline>
              <xm:f>'Main Data'!J192:J193</xm:f>
              <xm:sqref>Q192</xm:sqref>
            </x14:sparkline>
            <x14:sparkline>
              <xm:f>'Main Data'!J193:J194</xm:f>
              <xm:sqref>Q193</xm:sqref>
            </x14:sparkline>
            <x14:sparkline>
              <xm:f>'Main Data'!J194:J195</xm:f>
              <xm:sqref>Q194</xm:sqref>
            </x14:sparkline>
            <x14:sparkline>
              <xm:f>'Main Data'!J195:J196</xm:f>
              <xm:sqref>Q195</xm:sqref>
            </x14:sparkline>
            <x14:sparkline>
              <xm:f>'Main Data'!J196:J197</xm:f>
              <xm:sqref>Q196</xm:sqref>
            </x14:sparkline>
            <x14:sparkline>
              <xm:f>'Main Data'!J197:J198</xm:f>
              <xm:sqref>Q197</xm:sqref>
            </x14:sparkline>
            <x14:sparkline>
              <xm:f>'Main Data'!J198:J199</xm:f>
              <xm:sqref>Q198</xm:sqref>
            </x14:sparkline>
            <x14:sparkline>
              <xm:f>'Main Data'!J199:J200</xm:f>
              <xm:sqref>Q199</xm:sqref>
            </x14:sparkline>
            <x14:sparkline>
              <xm:f>'Main Data'!J200:J201</xm:f>
              <xm:sqref>Q200</xm:sqref>
            </x14:sparkline>
            <x14:sparkline>
              <xm:f>'Main Data'!J201:J202</xm:f>
              <xm:sqref>Q201</xm:sqref>
            </x14:sparkline>
            <x14:sparkline>
              <xm:f>'Main Data'!J202:J203</xm:f>
              <xm:sqref>Q202</xm:sqref>
            </x14:sparkline>
            <x14:sparkline>
              <xm:f>'Main Data'!J203:J204</xm:f>
              <xm:sqref>Q203</xm:sqref>
            </x14:sparkline>
            <x14:sparkline>
              <xm:f>'Main Data'!J204:J205</xm:f>
              <xm:sqref>Q204</xm:sqref>
            </x14:sparkline>
            <x14:sparkline>
              <xm:f>'Main Data'!J205:J206</xm:f>
              <xm:sqref>Q205</xm:sqref>
            </x14:sparkline>
            <x14:sparkline>
              <xm:f>'Main Data'!J206:J207</xm:f>
              <xm:sqref>Q206</xm:sqref>
            </x14:sparkline>
            <x14:sparkline>
              <xm:f>'Main Data'!J207:J208</xm:f>
              <xm:sqref>Q207</xm:sqref>
            </x14:sparkline>
            <x14:sparkline>
              <xm:f>'Main Data'!J208:J209</xm:f>
              <xm:sqref>Q208</xm:sqref>
            </x14:sparkline>
            <x14:sparkline>
              <xm:f>'Main Data'!J209:J210</xm:f>
              <xm:sqref>Q209</xm:sqref>
            </x14:sparkline>
            <x14:sparkline>
              <xm:f>'Main Data'!J210:J211</xm:f>
              <xm:sqref>Q210</xm:sqref>
            </x14:sparkline>
            <x14:sparkline>
              <xm:f>'Main Data'!J211:J212</xm:f>
              <xm:sqref>Q211</xm:sqref>
            </x14:sparkline>
            <x14:sparkline>
              <xm:f>'Main Data'!J212:J213</xm:f>
              <xm:sqref>Q212</xm:sqref>
            </x14:sparkline>
            <x14:sparkline>
              <xm:f>'Main Data'!J213:J214</xm:f>
              <xm:sqref>Q213</xm:sqref>
            </x14:sparkline>
            <x14:sparkline>
              <xm:f>'Main Data'!J214:J215</xm:f>
              <xm:sqref>Q214</xm:sqref>
            </x14:sparkline>
            <x14:sparkline>
              <xm:f>'Main Data'!J215:J216</xm:f>
              <xm:sqref>Q215</xm:sqref>
            </x14:sparkline>
            <x14:sparkline>
              <xm:f>'Main Data'!J216:J217</xm:f>
              <xm:sqref>Q216</xm:sqref>
            </x14:sparkline>
            <x14:sparkline>
              <xm:f>'Main Data'!J217:J218</xm:f>
              <xm:sqref>Q217</xm:sqref>
            </x14:sparkline>
            <x14:sparkline>
              <xm:f>'Main Data'!J218:J219</xm:f>
              <xm:sqref>Q218</xm:sqref>
            </x14:sparkline>
            <x14:sparkline>
              <xm:f>'Main Data'!J219:J220</xm:f>
              <xm:sqref>Q219</xm:sqref>
            </x14:sparkline>
            <x14:sparkline>
              <xm:f>'Main Data'!J220:J221</xm:f>
              <xm:sqref>Q220</xm:sqref>
            </x14:sparkline>
            <x14:sparkline>
              <xm:f>'Main Data'!J221:J222</xm:f>
              <xm:sqref>Q221</xm:sqref>
            </x14:sparkline>
            <x14:sparkline>
              <xm:f>'Main Data'!J222:J223</xm:f>
              <xm:sqref>Q222</xm:sqref>
            </x14:sparkline>
            <x14:sparkline>
              <xm:f>'Main Data'!J223:J224</xm:f>
              <xm:sqref>Q223</xm:sqref>
            </x14:sparkline>
            <x14:sparkline>
              <xm:f>'Main Data'!J224:J225</xm:f>
              <xm:sqref>Q224</xm:sqref>
            </x14:sparkline>
            <x14:sparkline>
              <xm:f>'Main Data'!J225:J226</xm:f>
              <xm:sqref>Q225</xm:sqref>
            </x14:sparkline>
            <x14:sparkline>
              <xm:f>'Main Data'!J226:J227</xm:f>
              <xm:sqref>Q226</xm:sqref>
            </x14:sparkline>
            <x14:sparkline>
              <xm:f>'Main Data'!J227:J228</xm:f>
              <xm:sqref>Q227</xm:sqref>
            </x14:sparkline>
            <x14:sparkline>
              <xm:f>'Main Data'!J228:J229</xm:f>
              <xm:sqref>Q228</xm:sqref>
            </x14:sparkline>
            <x14:sparkline>
              <xm:f>'Main Data'!J229:J230</xm:f>
              <xm:sqref>Q229</xm:sqref>
            </x14:sparkline>
            <x14:sparkline>
              <xm:f>'Main Data'!J230:J231</xm:f>
              <xm:sqref>Q230</xm:sqref>
            </x14:sparkline>
            <x14:sparkline>
              <xm:f>'Main Data'!J231:J232</xm:f>
              <xm:sqref>Q231</xm:sqref>
            </x14:sparkline>
            <x14:sparkline>
              <xm:f>'Main Data'!J232:J233</xm:f>
              <xm:sqref>Q232</xm:sqref>
            </x14:sparkline>
            <x14:sparkline>
              <xm:f>'Main Data'!J233:J234</xm:f>
              <xm:sqref>Q233</xm:sqref>
            </x14:sparkline>
            <x14:sparkline>
              <xm:f>'Main Data'!J234:J235</xm:f>
              <xm:sqref>Q234</xm:sqref>
            </x14:sparkline>
            <x14:sparkline>
              <xm:f>'Main Data'!J235:J236</xm:f>
              <xm:sqref>Q235</xm:sqref>
            </x14:sparkline>
            <x14:sparkline>
              <xm:f>'Main Data'!J236:J237</xm:f>
              <xm:sqref>Q236</xm:sqref>
            </x14:sparkline>
            <x14:sparkline>
              <xm:f>'Main Data'!J237:J238</xm:f>
              <xm:sqref>Q237</xm:sqref>
            </x14:sparkline>
            <x14:sparkline>
              <xm:f>'Main Data'!J238:J239</xm:f>
              <xm:sqref>Q238</xm:sqref>
            </x14:sparkline>
            <x14:sparkline>
              <xm:f>'Main Data'!J239:J240</xm:f>
              <xm:sqref>Q239</xm:sqref>
            </x14:sparkline>
            <x14:sparkline>
              <xm:f>'Main Data'!J240:J241</xm:f>
              <xm:sqref>Q240</xm:sqref>
            </x14:sparkline>
            <x14:sparkline>
              <xm:f>'Main Data'!J241:J242</xm:f>
              <xm:sqref>Q241</xm:sqref>
            </x14:sparkline>
            <x14:sparkline>
              <xm:f>'Main Data'!J242:J243</xm:f>
              <xm:sqref>Q242</xm:sqref>
            </x14:sparkline>
            <x14:sparkline>
              <xm:f>'Main Data'!J243:J244</xm:f>
              <xm:sqref>Q243</xm:sqref>
            </x14:sparkline>
            <x14:sparkline>
              <xm:f>'Main Data'!J244:J245</xm:f>
              <xm:sqref>Q244</xm:sqref>
            </x14:sparkline>
            <x14:sparkline>
              <xm:f>'Main Data'!J245:J246</xm:f>
              <xm:sqref>Q245</xm:sqref>
            </x14:sparkline>
            <x14:sparkline>
              <xm:f>'Main Data'!J246:J247</xm:f>
              <xm:sqref>Q246</xm:sqref>
            </x14:sparkline>
            <x14:sparkline>
              <xm:f>'Main Data'!J247:J248</xm:f>
              <xm:sqref>Q247</xm:sqref>
            </x14:sparkline>
            <x14:sparkline>
              <xm:f>'Main Data'!J248:J249</xm:f>
              <xm:sqref>Q248</xm:sqref>
            </x14:sparkline>
            <x14:sparkline>
              <xm:f>'Main Data'!J249:J250</xm:f>
              <xm:sqref>Q249</xm:sqref>
            </x14:sparkline>
            <x14:sparkline>
              <xm:f>'Main Data'!J250:J251</xm:f>
              <xm:sqref>Q250</xm:sqref>
            </x14:sparkline>
            <x14:sparkline>
              <xm:f>'Main Data'!J251:J252</xm:f>
              <xm:sqref>Q251</xm:sqref>
            </x14:sparkline>
            <x14:sparkline>
              <xm:f>'Main Data'!J252:J253</xm:f>
              <xm:sqref>Q252</xm:sqref>
            </x14:sparkline>
            <x14:sparkline>
              <xm:f>'Main Data'!J253:J254</xm:f>
              <xm:sqref>Q253</xm:sqref>
            </x14:sparkline>
            <x14:sparkline>
              <xm:f>'Main Data'!J254:J255</xm:f>
              <xm:sqref>Q254</xm:sqref>
            </x14:sparkline>
            <x14:sparkline>
              <xm:f>'Main Data'!J255:J256</xm:f>
              <xm:sqref>Q255</xm:sqref>
            </x14:sparkline>
            <x14:sparkline>
              <xm:f>'Main Data'!J256:J257</xm:f>
              <xm:sqref>Q256</xm:sqref>
            </x14:sparkline>
            <x14:sparkline>
              <xm:f>'Main Data'!J257:J258</xm:f>
              <xm:sqref>Q257</xm:sqref>
            </x14:sparkline>
            <x14:sparkline>
              <xm:f>'Main Data'!J258:J259</xm:f>
              <xm:sqref>Q258</xm:sqref>
            </x14:sparkline>
            <x14:sparkline>
              <xm:f>'Main Data'!J259:J260</xm:f>
              <xm:sqref>Q259</xm:sqref>
            </x14:sparkline>
            <x14:sparkline>
              <xm:f>'Main Data'!J260:J261</xm:f>
              <xm:sqref>Q260</xm:sqref>
            </x14:sparkline>
            <x14:sparkline>
              <xm:f>'Main Data'!J261:J262</xm:f>
              <xm:sqref>Q261</xm:sqref>
            </x14:sparkline>
            <x14:sparkline>
              <xm:f>'Main Data'!J262:J263</xm:f>
              <xm:sqref>Q262</xm:sqref>
            </x14:sparkline>
            <x14:sparkline>
              <xm:f>'Main Data'!J263:J264</xm:f>
              <xm:sqref>Q263</xm:sqref>
            </x14:sparkline>
            <x14:sparkline>
              <xm:f>'Main Data'!J264:J265</xm:f>
              <xm:sqref>Q264</xm:sqref>
            </x14:sparkline>
            <x14:sparkline>
              <xm:f>'Main Data'!J265:J266</xm:f>
              <xm:sqref>Q265</xm:sqref>
            </x14:sparkline>
            <x14:sparkline>
              <xm:f>'Main Data'!J266:J267</xm:f>
              <xm:sqref>Q266</xm:sqref>
            </x14:sparkline>
            <x14:sparkline>
              <xm:f>'Main Data'!J267:J268</xm:f>
              <xm:sqref>Q267</xm:sqref>
            </x14:sparkline>
            <x14:sparkline>
              <xm:f>'Main Data'!J268:J269</xm:f>
              <xm:sqref>Q268</xm:sqref>
            </x14:sparkline>
            <x14:sparkline>
              <xm:f>'Main Data'!J269:J270</xm:f>
              <xm:sqref>Q269</xm:sqref>
            </x14:sparkline>
            <x14:sparkline>
              <xm:f>'Main Data'!J270:J271</xm:f>
              <xm:sqref>Q270</xm:sqref>
            </x14:sparkline>
            <x14:sparkline>
              <xm:f>'Main Data'!J271:J272</xm:f>
              <xm:sqref>Q271</xm:sqref>
            </x14:sparkline>
            <x14:sparkline>
              <xm:f>'Main Data'!J272:J273</xm:f>
              <xm:sqref>Q272</xm:sqref>
            </x14:sparkline>
            <x14:sparkline>
              <xm:f>'Main Data'!J273:J274</xm:f>
              <xm:sqref>Q273</xm:sqref>
            </x14:sparkline>
            <x14:sparkline>
              <xm:f>'Main Data'!J274:J275</xm:f>
              <xm:sqref>Q274</xm:sqref>
            </x14:sparkline>
            <x14:sparkline>
              <xm:f>'Main Data'!J275:J276</xm:f>
              <xm:sqref>Q275</xm:sqref>
            </x14:sparkline>
            <x14:sparkline>
              <xm:f>'Main Data'!J276:J277</xm:f>
              <xm:sqref>Q276</xm:sqref>
            </x14:sparkline>
            <x14:sparkline>
              <xm:f>'Main Data'!J277:J278</xm:f>
              <xm:sqref>Q277</xm:sqref>
            </x14:sparkline>
            <x14:sparkline>
              <xm:f>'Main Data'!J278:J279</xm:f>
              <xm:sqref>Q278</xm:sqref>
            </x14:sparkline>
            <x14:sparkline>
              <xm:f>'Main Data'!J279:J280</xm:f>
              <xm:sqref>Q279</xm:sqref>
            </x14:sparkline>
            <x14:sparkline>
              <xm:f>'Main Data'!J280:J281</xm:f>
              <xm:sqref>Q280</xm:sqref>
            </x14:sparkline>
            <x14:sparkline>
              <xm:f>'Main Data'!J281:J282</xm:f>
              <xm:sqref>Q281</xm:sqref>
            </x14:sparkline>
            <x14:sparkline>
              <xm:f>'Main Data'!J282:J283</xm:f>
              <xm:sqref>Q282</xm:sqref>
            </x14:sparkline>
            <x14:sparkline>
              <xm:f>'Main Data'!J283:J284</xm:f>
              <xm:sqref>Q283</xm:sqref>
            </x14:sparkline>
            <x14:sparkline>
              <xm:f>'Main Data'!J284:J285</xm:f>
              <xm:sqref>Q284</xm:sqref>
            </x14:sparkline>
            <x14:sparkline>
              <xm:f>'Main Data'!J285:J286</xm:f>
              <xm:sqref>Q285</xm:sqref>
            </x14:sparkline>
            <x14:sparkline>
              <xm:f>'Main Data'!J286:J287</xm:f>
              <xm:sqref>Q286</xm:sqref>
            </x14:sparkline>
            <x14:sparkline>
              <xm:f>'Main Data'!J287:J288</xm:f>
              <xm:sqref>Q287</xm:sqref>
            </x14:sparkline>
            <x14:sparkline>
              <xm:f>'Main Data'!J288:J289</xm:f>
              <xm:sqref>Q288</xm:sqref>
            </x14:sparkline>
            <x14:sparkline>
              <xm:f>'Main Data'!J289:J290</xm:f>
              <xm:sqref>Q289</xm:sqref>
            </x14:sparkline>
            <x14:sparkline>
              <xm:f>'Main Data'!J290:J291</xm:f>
              <xm:sqref>Q290</xm:sqref>
            </x14:sparkline>
            <x14:sparkline>
              <xm:f>'Main Data'!J291:J292</xm:f>
              <xm:sqref>Q291</xm:sqref>
            </x14:sparkline>
            <x14:sparkline>
              <xm:f>'Main Data'!J292:J293</xm:f>
              <xm:sqref>Q292</xm:sqref>
            </x14:sparkline>
            <x14:sparkline>
              <xm:f>'Main Data'!J293:J294</xm:f>
              <xm:sqref>Q293</xm:sqref>
            </x14:sparkline>
            <x14:sparkline>
              <xm:f>'Main Data'!J294:J295</xm:f>
              <xm:sqref>Q294</xm:sqref>
            </x14:sparkline>
            <x14:sparkline>
              <xm:f>'Main Data'!J295:J296</xm:f>
              <xm:sqref>Q295</xm:sqref>
            </x14:sparkline>
            <x14:sparkline>
              <xm:f>'Main Data'!J296:J297</xm:f>
              <xm:sqref>Q296</xm:sqref>
            </x14:sparkline>
            <x14:sparkline>
              <xm:f>'Main Data'!J297:J298</xm:f>
              <xm:sqref>Q297</xm:sqref>
            </x14:sparkline>
            <x14:sparkline>
              <xm:f>'Main Data'!J298:J299</xm:f>
              <xm:sqref>Q298</xm:sqref>
            </x14:sparkline>
            <x14:sparkline>
              <xm:f>'Main Data'!J299:J300</xm:f>
              <xm:sqref>Q299</xm:sqref>
            </x14:sparkline>
            <x14:sparkline>
              <xm:f>'Main Data'!J300:J301</xm:f>
              <xm:sqref>Q300</xm:sqref>
            </x14:sparkline>
            <x14:sparkline>
              <xm:f>'Main Data'!J301:J302</xm:f>
              <xm:sqref>Q301</xm:sqref>
            </x14:sparkline>
            <x14:sparkline>
              <xm:f>'Main Data'!J302:J303</xm:f>
              <xm:sqref>Q302</xm:sqref>
            </x14:sparkline>
            <x14:sparkline>
              <xm:f>'Main Data'!J303:J304</xm:f>
              <xm:sqref>Q303</xm:sqref>
            </x14:sparkline>
            <x14:sparkline>
              <xm:f>'Main Data'!J304:J305</xm:f>
              <xm:sqref>Q304</xm:sqref>
            </x14:sparkline>
            <x14:sparkline>
              <xm:f>'Main Data'!J305:J306</xm:f>
              <xm:sqref>Q305</xm:sqref>
            </x14:sparkline>
            <x14:sparkline>
              <xm:f>'Main Data'!J306:J307</xm:f>
              <xm:sqref>Q306</xm:sqref>
            </x14:sparkline>
            <x14:sparkline>
              <xm:f>'Main Data'!J307:J308</xm:f>
              <xm:sqref>Q307</xm:sqref>
            </x14:sparkline>
            <x14:sparkline>
              <xm:f>'Main Data'!J308:J309</xm:f>
              <xm:sqref>Q308</xm:sqref>
            </x14:sparkline>
            <x14:sparkline>
              <xm:f>'Main Data'!J309:J310</xm:f>
              <xm:sqref>Q309</xm:sqref>
            </x14:sparkline>
            <x14:sparkline>
              <xm:f>'Main Data'!J310:J311</xm:f>
              <xm:sqref>Q310</xm:sqref>
            </x14:sparkline>
            <x14:sparkline>
              <xm:f>'Main Data'!J311:J312</xm:f>
              <xm:sqref>Q311</xm:sqref>
            </x14:sparkline>
            <x14:sparkline>
              <xm:f>'Main Data'!J312:J313</xm:f>
              <xm:sqref>Q312</xm:sqref>
            </x14:sparkline>
            <x14:sparkline>
              <xm:f>'Main Data'!J313:J314</xm:f>
              <xm:sqref>Q313</xm:sqref>
            </x14:sparkline>
            <x14:sparkline>
              <xm:f>'Main Data'!J314:J315</xm:f>
              <xm:sqref>Q314</xm:sqref>
            </x14:sparkline>
            <x14:sparkline>
              <xm:f>'Main Data'!J315:J316</xm:f>
              <xm:sqref>Q315</xm:sqref>
            </x14:sparkline>
            <x14:sparkline>
              <xm:f>'Main Data'!J316:J317</xm:f>
              <xm:sqref>Q316</xm:sqref>
            </x14:sparkline>
            <x14:sparkline>
              <xm:f>'Main Data'!J317:J318</xm:f>
              <xm:sqref>Q317</xm:sqref>
            </x14:sparkline>
            <x14:sparkline>
              <xm:f>'Main Data'!J318:J319</xm:f>
              <xm:sqref>Q318</xm:sqref>
            </x14:sparkline>
            <x14:sparkline>
              <xm:f>'Main Data'!J319:J320</xm:f>
              <xm:sqref>Q319</xm:sqref>
            </x14:sparkline>
            <x14:sparkline>
              <xm:f>'Main Data'!J320:J321</xm:f>
              <xm:sqref>Q320</xm:sqref>
            </x14:sparkline>
            <x14:sparkline>
              <xm:f>'Main Data'!J321:J322</xm:f>
              <xm:sqref>Q321</xm:sqref>
            </x14:sparkline>
            <x14:sparkline>
              <xm:f>'Main Data'!J322:J323</xm:f>
              <xm:sqref>Q322</xm:sqref>
            </x14:sparkline>
            <x14:sparkline>
              <xm:f>'Main Data'!J323:J324</xm:f>
              <xm:sqref>Q323</xm:sqref>
            </x14:sparkline>
            <x14:sparkline>
              <xm:f>'Main Data'!J324:J325</xm:f>
              <xm:sqref>Q324</xm:sqref>
            </x14:sparkline>
            <x14:sparkline>
              <xm:f>'Main Data'!J325:J326</xm:f>
              <xm:sqref>Q325</xm:sqref>
            </x14:sparkline>
            <x14:sparkline>
              <xm:f>'Main Data'!J326:J327</xm:f>
              <xm:sqref>Q326</xm:sqref>
            </x14:sparkline>
            <x14:sparkline>
              <xm:f>'Main Data'!J327:J328</xm:f>
              <xm:sqref>Q327</xm:sqref>
            </x14:sparkline>
            <x14:sparkline>
              <xm:f>'Main Data'!J328:J329</xm:f>
              <xm:sqref>Q328</xm:sqref>
            </x14:sparkline>
            <x14:sparkline>
              <xm:f>'Main Data'!J329:J330</xm:f>
              <xm:sqref>Q329</xm:sqref>
            </x14:sparkline>
            <x14:sparkline>
              <xm:f>'Main Data'!J330:J331</xm:f>
              <xm:sqref>Q330</xm:sqref>
            </x14:sparkline>
            <x14:sparkline>
              <xm:f>'Main Data'!J331:J332</xm:f>
              <xm:sqref>Q331</xm:sqref>
            </x14:sparkline>
            <x14:sparkline>
              <xm:f>'Main Data'!J332:J333</xm:f>
              <xm:sqref>Q332</xm:sqref>
            </x14:sparkline>
            <x14:sparkline>
              <xm:f>'Main Data'!J333:J334</xm:f>
              <xm:sqref>Q333</xm:sqref>
            </x14:sparkline>
            <x14:sparkline>
              <xm:f>'Main Data'!J334:J335</xm:f>
              <xm:sqref>Q334</xm:sqref>
            </x14:sparkline>
            <x14:sparkline>
              <xm:f>'Main Data'!J335:J336</xm:f>
              <xm:sqref>Q335</xm:sqref>
            </x14:sparkline>
            <x14:sparkline>
              <xm:f>'Main Data'!J336:J337</xm:f>
              <xm:sqref>Q336</xm:sqref>
            </x14:sparkline>
            <x14:sparkline>
              <xm:f>'Main Data'!J337:J338</xm:f>
              <xm:sqref>Q337</xm:sqref>
            </x14:sparkline>
            <x14:sparkline>
              <xm:f>'Main Data'!J338:J339</xm:f>
              <xm:sqref>Q338</xm:sqref>
            </x14:sparkline>
            <x14:sparkline>
              <xm:f>'Main Data'!J339:J340</xm:f>
              <xm:sqref>Q339</xm:sqref>
            </x14:sparkline>
            <x14:sparkline>
              <xm:f>'Main Data'!J340:J341</xm:f>
              <xm:sqref>Q340</xm:sqref>
            </x14:sparkline>
            <x14:sparkline>
              <xm:f>'Main Data'!J341:J342</xm:f>
              <xm:sqref>Q341</xm:sqref>
            </x14:sparkline>
            <x14:sparkline>
              <xm:f>'Main Data'!J342:J343</xm:f>
              <xm:sqref>Q342</xm:sqref>
            </x14:sparkline>
            <x14:sparkline>
              <xm:f>'Main Data'!J343:J344</xm:f>
              <xm:sqref>Q343</xm:sqref>
            </x14:sparkline>
            <x14:sparkline>
              <xm:f>'Main Data'!J344:J345</xm:f>
              <xm:sqref>Q344</xm:sqref>
            </x14:sparkline>
            <x14:sparkline>
              <xm:f>'Main Data'!J345:J346</xm:f>
              <xm:sqref>Q345</xm:sqref>
            </x14:sparkline>
            <x14:sparkline>
              <xm:f>'Main Data'!J346:J347</xm:f>
              <xm:sqref>Q346</xm:sqref>
            </x14:sparkline>
            <x14:sparkline>
              <xm:f>'Main Data'!J347:J348</xm:f>
              <xm:sqref>Q347</xm:sqref>
            </x14:sparkline>
            <x14:sparkline>
              <xm:f>'Main Data'!J348:J349</xm:f>
              <xm:sqref>Q348</xm:sqref>
            </x14:sparkline>
            <x14:sparkline>
              <xm:f>'Main Data'!J349:J350</xm:f>
              <xm:sqref>Q349</xm:sqref>
            </x14:sparkline>
            <x14:sparkline>
              <xm:f>'Main Data'!J350:J351</xm:f>
              <xm:sqref>Q350</xm:sqref>
            </x14:sparkline>
            <x14:sparkline>
              <xm:f>'Main Data'!J351:J352</xm:f>
              <xm:sqref>Q351</xm:sqref>
            </x14:sparkline>
            <x14:sparkline>
              <xm:f>'Main Data'!J352:J353</xm:f>
              <xm:sqref>Q352</xm:sqref>
            </x14:sparkline>
            <x14:sparkline>
              <xm:f>'Main Data'!J353:J354</xm:f>
              <xm:sqref>Q353</xm:sqref>
            </x14:sparkline>
            <x14:sparkline>
              <xm:f>'Main Data'!J354:J355</xm:f>
              <xm:sqref>Q354</xm:sqref>
            </x14:sparkline>
            <x14:sparkline>
              <xm:f>'Main Data'!J355:J356</xm:f>
              <xm:sqref>Q355</xm:sqref>
            </x14:sparkline>
            <x14:sparkline>
              <xm:f>'Main Data'!J356:J357</xm:f>
              <xm:sqref>Q356</xm:sqref>
            </x14:sparkline>
            <x14:sparkline>
              <xm:f>'Main Data'!J357:J358</xm:f>
              <xm:sqref>Q357</xm:sqref>
            </x14:sparkline>
            <x14:sparkline>
              <xm:f>'Main Data'!J358:J359</xm:f>
              <xm:sqref>Q358</xm:sqref>
            </x14:sparkline>
            <x14:sparkline>
              <xm:f>'Main Data'!J359:J360</xm:f>
              <xm:sqref>Q359</xm:sqref>
            </x14:sparkline>
            <x14:sparkline>
              <xm:f>'Main Data'!J360:J361</xm:f>
              <xm:sqref>Q360</xm:sqref>
            </x14:sparkline>
            <x14:sparkline>
              <xm:f>'Main Data'!J361:J362</xm:f>
              <xm:sqref>Q361</xm:sqref>
            </x14:sparkline>
            <x14:sparkline>
              <xm:f>'Main Data'!J362:J363</xm:f>
              <xm:sqref>Q362</xm:sqref>
            </x14:sparkline>
            <x14:sparkline>
              <xm:f>'Main Data'!J363:J364</xm:f>
              <xm:sqref>Q363</xm:sqref>
            </x14:sparkline>
            <x14:sparkline>
              <xm:f>'Main Data'!J364:J365</xm:f>
              <xm:sqref>Q364</xm:sqref>
            </x14:sparkline>
            <x14:sparkline>
              <xm:f>'Main Data'!J365:J366</xm:f>
              <xm:sqref>Q365</xm:sqref>
            </x14:sparkline>
            <x14:sparkline>
              <xm:f>'Main Data'!J366:J367</xm:f>
              <xm:sqref>Q366</xm:sqref>
            </x14:sparkline>
            <x14:sparkline>
              <xm:f>'Main Data'!J367:J368</xm:f>
              <xm:sqref>Q367</xm:sqref>
            </x14:sparkline>
            <x14:sparkline>
              <xm:f>'Main Data'!J368:J369</xm:f>
              <xm:sqref>Q368</xm:sqref>
            </x14:sparkline>
            <x14:sparkline>
              <xm:f>'Main Data'!J369:J370</xm:f>
              <xm:sqref>Q369</xm:sqref>
            </x14:sparkline>
            <x14:sparkline>
              <xm:f>'Main Data'!J370:J371</xm:f>
              <xm:sqref>Q370</xm:sqref>
            </x14:sparkline>
            <x14:sparkline>
              <xm:f>'Main Data'!J371:J372</xm:f>
              <xm:sqref>Q371</xm:sqref>
            </x14:sparkline>
            <x14:sparkline>
              <xm:f>'Main Data'!J372:J373</xm:f>
              <xm:sqref>Q372</xm:sqref>
            </x14:sparkline>
            <x14:sparkline>
              <xm:f>'Main Data'!J373:J374</xm:f>
              <xm:sqref>Q373</xm:sqref>
            </x14:sparkline>
            <x14:sparkline>
              <xm:f>'Main Data'!J374:J375</xm:f>
              <xm:sqref>Q374</xm:sqref>
            </x14:sparkline>
            <x14:sparkline>
              <xm:f>'Main Data'!J375:J376</xm:f>
              <xm:sqref>Q375</xm:sqref>
            </x14:sparkline>
            <x14:sparkline>
              <xm:f>'Main Data'!J376:J377</xm:f>
              <xm:sqref>Q376</xm:sqref>
            </x14:sparkline>
            <x14:sparkline>
              <xm:f>'Main Data'!J377:J378</xm:f>
              <xm:sqref>Q377</xm:sqref>
            </x14:sparkline>
            <x14:sparkline>
              <xm:f>'Main Data'!J378:J379</xm:f>
              <xm:sqref>Q378</xm:sqref>
            </x14:sparkline>
            <x14:sparkline>
              <xm:f>'Main Data'!J379:J380</xm:f>
              <xm:sqref>Q379</xm:sqref>
            </x14:sparkline>
            <x14:sparkline>
              <xm:f>'Main Data'!J380:J381</xm:f>
              <xm:sqref>Q380</xm:sqref>
            </x14:sparkline>
            <x14:sparkline>
              <xm:f>'Main Data'!J381:J382</xm:f>
              <xm:sqref>Q381</xm:sqref>
            </x14:sparkline>
            <x14:sparkline>
              <xm:f>'Main Data'!J382:J383</xm:f>
              <xm:sqref>Q382</xm:sqref>
            </x14:sparkline>
            <x14:sparkline>
              <xm:f>'Main Data'!J383:J384</xm:f>
              <xm:sqref>Q383</xm:sqref>
            </x14:sparkline>
            <x14:sparkline>
              <xm:f>'Main Data'!J384:J385</xm:f>
              <xm:sqref>Q384</xm:sqref>
            </x14:sparkline>
            <x14:sparkline>
              <xm:f>'Main Data'!J385:J386</xm:f>
              <xm:sqref>Q385</xm:sqref>
            </x14:sparkline>
            <x14:sparkline>
              <xm:f>'Main Data'!J386:J387</xm:f>
              <xm:sqref>Q386</xm:sqref>
            </x14:sparkline>
            <x14:sparkline>
              <xm:f>'Main Data'!J387:J388</xm:f>
              <xm:sqref>Q387</xm:sqref>
            </x14:sparkline>
            <x14:sparkline>
              <xm:f>'Main Data'!J388:J389</xm:f>
              <xm:sqref>Q388</xm:sqref>
            </x14:sparkline>
            <x14:sparkline>
              <xm:f>'Main Data'!J389:J390</xm:f>
              <xm:sqref>Q389</xm:sqref>
            </x14:sparkline>
            <x14:sparkline>
              <xm:f>'Main Data'!J390:J391</xm:f>
              <xm:sqref>Q390</xm:sqref>
            </x14:sparkline>
            <x14:sparkline>
              <xm:f>'Main Data'!J391:J392</xm:f>
              <xm:sqref>Q391</xm:sqref>
            </x14:sparkline>
            <x14:sparkline>
              <xm:f>'Main Data'!J392:J393</xm:f>
              <xm:sqref>Q392</xm:sqref>
            </x14:sparkline>
            <x14:sparkline>
              <xm:f>'Main Data'!J393:J394</xm:f>
              <xm:sqref>Q393</xm:sqref>
            </x14:sparkline>
            <x14:sparkline>
              <xm:f>'Main Data'!J394:J395</xm:f>
              <xm:sqref>Q394</xm:sqref>
            </x14:sparkline>
            <x14:sparkline>
              <xm:f>'Main Data'!J395:J396</xm:f>
              <xm:sqref>Q395</xm:sqref>
            </x14:sparkline>
            <x14:sparkline>
              <xm:f>'Main Data'!J396:J397</xm:f>
              <xm:sqref>Q396</xm:sqref>
            </x14:sparkline>
            <x14:sparkline>
              <xm:f>'Main Data'!J397:J398</xm:f>
              <xm:sqref>Q397</xm:sqref>
            </x14:sparkline>
            <x14:sparkline>
              <xm:f>'Main Data'!J398:J399</xm:f>
              <xm:sqref>Q398</xm:sqref>
            </x14:sparkline>
            <x14:sparkline>
              <xm:f>'Main Data'!J399:J400</xm:f>
              <xm:sqref>Q399</xm:sqref>
            </x14:sparkline>
            <x14:sparkline>
              <xm:f>'Main Data'!J400:J401</xm:f>
              <xm:sqref>Q400</xm:sqref>
            </x14:sparkline>
            <x14:sparkline>
              <xm:f>'Main Data'!J401:J402</xm:f>
              <xm:sqref>Q401</xm:sqref>
            </x14:sparkline>
            <x14:sparkline>
              <xm:f>'Main Data'!J402:J403</xm:f>
              <xm:sqref>Q402</xm:sqref>
            </x14:sparkline>
            <x14:sparkline>
              <xm:f>'Main Data'!J403:J404</xm:f>
              <xm:sqref>Q403</xm:sqref>
            </x14:sparkline>
            <x14:sparkline>
              <xm:f>'Main Data'!J404:J405</xm:f>
              <xm:sqref>Q404</xm:sqref>
            </x14:sparkline>
            <x14:sparkline>
              <xm:f>'Main Data'!J405:J406</xm:f>
              <xm:sqref>Q405</xm:sqref>
            </x14:sparkline>
            <x14:sparkline>
              <xm:f>'Main Data'!J406:J407</xm:f>
              <xm:sqref>Q406</xm:sqref>
            </x14:sparkline>
            <x14:sparkline>
              <xm:f>'Main Data'!J407:J408</xm:f>
              <xm:sqref>Q407</xm:sqref>
            </x14:sparkline>
            <x14:sparkline>
              <xm:f>'Main Data'!J408:J409</xm:f>
              <xm:sqref>Q408</xm:sqref>
            </x14:sparkline>
            <x14:sparkline>
              <xm:f>'Main Data'!J409:J410</xm:f>
              <xm:sqref>Q409</xm:sqref>
            </x14:sparkline>
            <x14:sparkline>
              <xm:f>'Main Data'!J410:J411</xm:f>
              <xm:sqref>Q410</xm:sqref>
            </x14:sparkline>
            <x14:sparkline>
              <xm:f>'Main Data'!J411:J412</xm:f>
              <xm:sqref>Q411</xm:sqref>
            </x14:sparkline>
            <x14:sparkline>
              <xm:f>'Main Data'!J412:J413</xm:f>
              <xm:sqref>Q412</xm:sqref>
            </x14:sparkline>
            <x14:sparkline>
              <xm:f>'Main Data'!J413:J414</xm:f>
              <xm:sqref>Q413</xm:sqref>
            </x14:sparkline>
            <x14:sparkline>
              <xm:f>'Main Data'!J414:J415</xm:f>
              <xm:sqref>Q414</xm:sqref>
            </x14:sparkline>
            <x14:sparkline>
              <xm:f>'Main Data'!J415:J416</xm:f>
              <xm:sqref>Q415</xm:sqref>
            </x14:sparkline>
            <x14:sparkline>
              <xm:f>'Main Data'!J416:J417</xm:f>
              <xm:sqref>Q416</xm:sqref>
            </x14:sparkline>
            <x14:sparkline>
              <xm:f>'Main Data'!J417:J418</xm:f>
              <xm:sqref>Q417</xm:sqref>
            </x14:sparkline>
            <x14:sparkline>
              <xm:f>'Main Data'!J418:J419</xm:f>
              <xm:sqref>Q418</xm:sqref>
            </x14:sparkline>
            <x14:sparkline>
              <xm:f>'Main Data'!J419:J420</xm:f>
              <xm:sqref>Q419</xm:sqref>
            </x14:sparkline>
            <x14:sparkline>
              <xm:f>'Main Data'!J420:J421</xm:f>
              <xm:sqref>Q420</xm:sqref>
            </x14:sparkline>
            <x14:sparkline>
              <xm:f>'Main Data'!J421:J422</xm:f>
              <xm:sqref>Q421</xm:sqref>
            </x14:sparkline>
            <x14:sparkline>
              <xm:f>'Main Data'!J422:J423</xm:f>
              <xm:sqref>Q422</xm:sqref>
            </x14:sparkline>
            <x14:sparkline>
              <xm:f>'Main Data'!J423:J424</xm:f>
              <xm:sqref>Q423</xm:sqref>
            </x14:sparkline>
            <x14:sparkline>
              <xm:f>'Main Data'!J424:J425</xm:f>
              <xm:sqref>Q424</xm:sqref>
            </x14:sparkline>
            <x14:sparkline>
              <xm:f>'Main Data'!J425:J426</xm:f>
              <xm:sqref>Q425</xm:sqref>
            </x14:sparkline>
            <x14:sparkline>
              <xm:f>'Main Data'!J426:J427</xm:f>
              <xm:sqref>Q426</xm:sqref>
            </x14:sparkline>
            <x14:sparkline>
              <xm:f>'Main Data'!J427:J428</xm:f>
              <xm:sqref>Q427</xm:sqref>
            </x14:sparkline>
            <x14:sparkline>
              <xm:f>'Main Data'!J428:J429</xm:f>
              <xm:sqref>Q428</xm:sqref>
            </x14:sparkline>
            <x14:sparkline>
              <xm:f>'Main Data'!J429:J430</xm:f>
              <xm:sqref>Q429</xm:sqref>
            </x14:sparkline>
            <x14:sparkline>
              <xm:f>'Main Data'!J430:J431</xm:f>
              <xm:sqref>Q430</xm:sqref>
            </x14:sparkline>
            <x14:sparkline>
              <xm:f>'Main Data'!J431:J432</xm:f>
              <xm:sqref>Q431</xm:sqref>
            </x14:sparkline>
            <x14:sparkline>
              <xm:f>'Main Data'!J432:J433</xm:f>
              <xm:sqref>Q432</xm:sqref>
            </x14:sparkline>
            <x14:sparkline>
              <xm:f>'Main Data'!J433:J434</xm:f>
              <xm:sqref>Q433</xm:sqref>
            </x14:sparkline>
            <x14:sparkline>
              <xm:f>'Main Data'!J434:J435</xm:f>
              <xm:sqref>Q434</xm:sqref>
            </x14:sparkline>
            <x14:sparkline>
              <xm:f>'Main Data'!J435:J436</xm:f>
              <xm:sqref>Q435</xm:sqref>
            </x14:sparkline>
            <x14:sparkline>
              <xm:f>'Main Data'!J436:J437</xm:f>
              <xm:sqref>Q436</xm:sqref>
            </x14:sparkline>
            <x14:sparkline>
              <xm:f>'Main Data'!J437:J438</xm:f>
              <xm:sqref>Q437</xm:sqref>
            </x14:sparkline>
            <x14:sparkline>
              <xm:f>'Main Data'!J438:J439</xm:f>
              <xm:sqref>Q438</xm:sqref>
            </x14:sparkline>
            <x14:sparkline>
              <xm:f>'Main Data'!J439:J440</xm:f>
              <xm:sqref>Q439</xm:sqref>
            </x14:sparkline>
            <x14:sparkline>
              <xm:f>'Main Data'!J440:J441</xm:f>
              <xm:sqref>Q440</xm:sqref>
            </x14:sparkline>
            <x14:sparkline>
              <xm:f>'Main Data'!J441:J442</xm:f>
              <xm:sqref>Q441</xm:sqref>
            </x14:sparkline>
            <x14:sparkline>
              <xm:f>'Main Data'!J442:J443</xm:f>
              <xm:sqref>Q442</xm:sqref>
            </x14:sparkline>
            <x14:sparkline>
              <xm:f>'Main Data'!J443:J444</xm:f>
              <xm:sqref>Q443</xm:sqref>
            </x14:sparkline>
            <x14:sparkline>
              <xm:f>'Main Data'!J444:J445</xm:f>
              <xm:sqref>Q444</xm:sqref>
            </x14:sparkline>
            <x14:sparkline>
              <xm:f>'Main Data'!J445:J446</xm:f>
              <xm:sqref>Q445</xm:sqref>
            </x14:sparkline>
            <x14:sparkline>
              <xm:f>'Main Data'!J446:J447</xm:f>
              <xm:sqref>Q446</xm:sqref>
            </x14:sparkline>
            <x14:sparkline>
              <xm:f>'Main Data'!J447:J448</xm:f>
              <xm:sqref>Q447</xm:sqref>
            </x14:sparkline>
            <x14:sparkline>
              <xm:f>'Main Data'!J448:J449</xm:f>
              <xm:sqref>Q448</xm:sqref>
            </x14:sparkline>
            <x14:sparkline>
              <xm:f>'Main Data'!J449:J450</xm:f>
              <xm:sqref>Q449</xm:sqref>
            </x14:sparkline>
            <x14:sparkline>
              <xm:f>'Main Data'!J450:J451</xm:f>
              <xm:sqref>Q450</xm:sqref>
            </x14:sparkline>
            <x14:sparkline>
              <xm:f>'Main Data'!J451:J452</xm:f>
              <xm:sqref>Q451</xm:sqref>
            </x14:sparkline>
            <x14:sparkline>
              <xm:f>'Main Data'!J452:J453</xm:f>
              <xm:sqref>Q452</xm:sqref>
            </x14:sparkline>
            <x14:sparkline>
              <xm:f>'Main Data'!J453:J454</xm:f>
              <xm:sqref>Q453</xm:sqref>
            </x14:sparkline>
            <x14:sparkline>
              <xm:f>'Main Data'!J454:J455</xm:f>
              <xm:sqref>Q454</xm:sqref>
            </x14:sparkline>
            <x14:sparkline>
              <xm:f>'Main Data'!J455:J456</xm:f>
              <xm:sqref>Q455</xm:sqref>
            </x14:sparkline>
            <x14:sparkline>
              <xm:f>'Main Data'!J456:J457</xm:f>
              <xm:sqref>Q456</xm:sqref>
            </x14:sparkline>
            <x14:sparkline>
              <xm:f>'Main Data'!J457:J458</xm:f>
              <xm:sqref>Q457</xm:sqref>
            </x14:sparkline>
            <x14:sparkline>
              <xm:f>'Main Data'!J458:J459</xm:f>
              <xm:sqref>Q458</xm:sqref>
            </x14:sparkline>
            <x14:sparkline>
              <xm:f>'Main Data'!J459:J460</xm:f>
              <xm:sqref>Q459</xm:sqref>
            </x14:sparkline>
            <x14:sparkline>
              <xm:f>'Main Data'!J460:J461</xm:f>
              <xm:sqref>Q460</xm:sqref>
            </x14:sparkline>
            <x14:sparkline>
              <xm:f>'Main Data'!J461:J462</xm:f>
              <xm:sqref>Q461</xm:sqref>
            </x14:sparkline>
            <x14:sparkline>
              <xm:f>'Main Data'!J462:J463</xm:f>
              <xm:sqref>Q462</xm:sqref>
            </x14:sparkline>
            <x14:sparkline>
              <xm:f>'Main Data'!J463:J464</xm:f>
              <xm:sqref>Q463</xm:sqref>
            </x14:sparkline>
            <x14:sparkline>
              <xm:f>'Main Data'!J464:J465</xm:f>
              <xm:sqref>Q464</xm:sqref>
            </x14:sparkline>
            <x14:sparkline>
              <xm:f>'Main Data'!J465:J466</xm:f>
              <xm:sqref>Q465</xm:sqref>
            </x14:sparkline>
            <x14:sparkline>
              <xm:f>'Main Data'!J466:J467</xm:f>
              <xm:sqref>Q466</xm:sqref>
            </x14:sparkline>
            <x14:sparkline>
              <xm:f>'Main Data'!J467:J468</xm:f>
              <xm:sqref>Q467</xm:sqref>
            </x14:sparkline>
            <x14:sparkline>
              <xm:f>'Main Data'!J468:J469</xm:f>
              <xm:sqref>Q468</xm:sqref>
            </x14:sparkline>
            <x14:sparkline>
              <xm:f>'Main Data'!J469:J470</xm:f>
              <xm:sqref>Q469</xm:sqref>
            </x14:sparkline>
            <x14:sparkline>
              <xm:f>'Main Data'!J470:J471</xm:f>
              <xm:sqref>Q470</xm:sqref>
            </x14:sparkline>
            <x14:sparkline>
              <xm:f>'Main Data'!J471:J472</xm:f>
              <xm:sqref>Q471</xm:sqref>
            </x14:sparkline>
            <x14:sparkline>
              <xm:f>'Main Data'!J472:J473</xm:f>
              <xm:sqref>Q472</xm:sqref>
            </x14:sparkline>
            <x14:sparkline>
              <xm:f>'Main Data'!J473:J474</xm:f>
              <xm:sqref>Q473</xm:sqref>
            </x14:sparkline>
            <x14:sparkline>
              <xm:f>'Main Data'!J474:J475</xm:f>
              <xm:sqref>Q474</xm:sqref>
            </x14:sparkline>
            <x14:sparkline>
              <xm:f>'Main Data'!J475:J476</xm:f>
              <xm:sqref>Q475</xm:sqref>
            </x14:sparkline>
            <x14:sparkline>
              <xm:f>'Main Data'!J476:J477</xm:f>
              <xm:sqref>Q476</xm:sqref>
            </x14:sparkline>
            <x14:sparkline>
              <xm:f>'Main Data'!J477:J478</xm:f>
              <xm:sqref>Q477</xm:sqref>
            </x14:sparkline>
            <x14:sparkline>
              <xm:f>'Main Data'!J478:J479</xm:f>
              <xm:sqref>Q478</xm:sqref>
            </x14:sparkline>
            <x14:sparkline>
              <xm:f>'Main Data'!J479:J480</xm:f>
              <xm:sqref>Q479</xm:sqref>
            </x14:sparkline>
            <x14:sparkline>
              <xm:f>'Main Data'!J480:J481</xm:f>
              <xm:sqref>Q480</xm:sqref>
            </x14:sparkline>
            <x14:sparkline>
              <xm:f>'Main Data'!J481:J482</xm:f>
              <xm:sqref>Q481</xm:sqref>
            </x14:sparkline>
            <x14:sparkline>
              <xm:f>'Main Data'!J482:J483</xm:f>
              <xm:sqref>Q482</xm:sqref>
            </x14:sparkline>
            <x14:sparkline>
              <xm:f>'Main Data'!J483:J484</xm:f>
              <xm:sqref>Q483</xm:sqref>
            </x14:sparkline>
            <x14:sparkline>
              <xm:f>'Main Data'!J484:J485</xm:f>
              <xm:sqref>Q484</xm:sqref>
            </x14:sparkline>
            <x14:sparkline>
              <xm:f>'Main Data'!J485:J486</xm:f>
              <xm:sqref>Q485</xm:sqref>
            </x14:sparkline>
            <x14:sparkline>
              <xm:f>'Main Data'!J486:J487</xm:f>
              <xm:sqref>Q486</xm:sqref>
            </x14:sparkline>
            <x14:sparkline>
              <xm:f>'Main Data'!J487:J488</xm:f>
              <xm:sqref>Q487</xm:sqref>
            </x14:sparkline>
            <x14:sparkline>
              <xm:f>'Main Data'!J488:J489</xm:f>
              <xm:sqref>Q488</xm:sqref>
            </x14:sparkline>
            <x14:sparkline>
              <xm:f>'Main Data'!J489:J490</xm:f>
              <xm:sqref>Q489</xm:sqref>
            </x14:sparkline>
            <x14:sparkline>
              <xm:f>'Main Data'!J490:J491</xm:f>
              <xm:sqref>Q490</xm:sqref>
            </x14:sparkline>
            <x14:sparkline>
              <xm:f>'Main Data'!J491:J492</xm:f>
              <xm:sqref>Q491</xm:sqref>
            </x14:sparkline>
            <x14:sparkline>
              <xm:f>'Main Data'!J492:J493</xm:f>
              <xm:sqref>Q492</xm:sqref>
            </x14:sparkline>
            <x14:sparkline>
              <xm:f>'Main Data'!J493:J494</xm:f>
              <xm:sqref>Q493</xm:sqref>
            </x14:sparkline>
            <x14:sparkline>
              <xm:f>'Main Data'!J494:J495</xm:f>
              <xm:sqref>Q494</xm:sqref>
            </x14:sparkline>
            <x14:sparkline>
              <xm:f>'Main Data'!J495:J496</xm:f>
              <xm:sqref>Q495</xm:sqref>
            </x14:sparkline>
            <x14:sparkline>
              <xm:f>'Main Data'!J496:J497</xm:f>
              <xm:sqref>Q496</xm:sqref>
            </x14:sparkline>
            <x14:sparkline>
              <xm:f>'Main Data'!J497:J498</xm:f>
              <xm:sqref>Q497</xm:sqref>
            </x14:sparkline>
            <x14:sparkline>
              <xm:f>'Main Data'!J498:J499</xm:f>
              <xm:sqref>Q498</xm:sqref>
            </x14:sparkline>
            <x14:sparkline>
              <xm:f>'Main Data'!J499:J500</xm:f>
              <xm:sqref>Q499</xm:sqref>
            </x14:sparkline>
            <x14:sparkline>
              <xm:f>'Main Data'!J500:J501</xm:f>
              <xm:sqref>Q500</xm:sqref>
            </x14:sparkline>
            <x14:sparkline>
              <xm:f>'Main Data'!J501:J501</xm:f>
              <xm:sqref>Q501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B0E69-05CC-4298-8F7F-7FCE6E2AA541}">
  <dimension ref="B1:CA57"/>
  <sheetViews>
    <sheetView topLeftCell="AZ1" zoomScale="99" workbookViewId="0">
      <selection activeCell="BE4" sqref="BE4:BF9"/>
    </sheetView>
  </sheetViews>
  <sheetFormatPr defaultRowHeight="14.4" x14ac:dyDescent="0.3"/>
  <cols>
    <col min="10" max="10" width="12.5546875" bestFit="1" customWidth="1"/>
    <col min="11" max="11" width="11.6640625" bestFit="1" customWidth="1"/>
    <col min="12" max="12" width="12.6640625" bestFit="1" customWidth="1"/>
    <col min="13" max="13" width="11.77734375" bestFit="1" customWidth="1"/>
    <col min="14" max="14" width="12.5546875" bestFit="1" customWidth="1"/>
    <col min="15" max="15" width="12.6640625" bestFit="1" customWidth="1"/>
    <col min="16" max="16" width="11.77734375" bestFit="1" customWidth="1"/>
    <col min="17" max="17" width="6" bestFit="1" customWidth="1"/>
    <col min="18" max="18" width="12.6640625" bestFit="1" customWidth="1"/>
    <col min="19" max="19" width="12.21875" bestFit="1" customWidth="1"/>
    <col min="20" max="20" width="6.21875" bestFit="1" customWidth="1"/>
    <col min="21" max="21" width="12.6640625" bestFit="1" customWidth="1"/>
    <col min="22" max="22" width="15" bestFit="1" customWidth="1"/>
    <col min="23" max="23" width="6.88671875" bestFit="1" customWidth="1"/>
    <col min="24" max="24" width="12.6640625" bestFit="1" customWidth="1"/>
    <col min="25" max="25" width="11.77734375" bestFit="1" customWidth="1"/>
    <col min="26" max="26" width="5.5546875" bestFit="1" customWidth="1"/>
    <col min="27" max="27" width="12.6640625" bestFit="1" customWidth="1"/>
    <col min="28" max="28" width="12.21875" bestFit="1" customWidth="1"/>
    <col min="30" max="30" width="12.6640625" bestFit="1" customWidth="1"/>
    <col min="31" max="31" width="15" bestFit="1" customWidth="1"/>
    <col min="33" max="33" width="12.6640625" bestFit="1" customWidth="1"/>
    <col min="34" max="34" width="11.77734375" bestFit="1" customWidth="1"/>
    <col min="35" max="35" width="11.6640625" bestFit="1" customWidth="1"/>
    <col min="36" max="36" width="12.6640625" bestFit="1" customWidth="1"/>
    <col min="37" max="37" width="12.21875" bestFit="1" customWidth="1"/>
    <col min="39" max="39" width="12.6640625" bestFit="1" customWidth="1"/>
    <col min="40" max="40" width="11.77734375" bestFit="1" customWidth="1"/>
    <col min="41" max="41" width="11.6640625" bestFit="1" customWidth="1"/>
    <col min="42" max="42" width="12.6640625" bestFit="1" customWidth="1"/>
    <col min="43" max="43" width="12.21875" bestFit="1" customWidth="1"/>
    <col min="45" max="45" width="15.109375" bestFit="1" customWidth="1"/>
    <col min="46" max="46" width="15.5546875" bestFit="1" customWidth="1"/>
    <col min="47" max="47" width="5.77734375" customWidth="1"/>
    <col min="48" max="48" width="12.6640625" bestFit="1" customWidth="1"/>
    <col min="49" max="49" width="12.21875" bestFit="1" customWidth="1"/>
    <col min="50" max="50" width="3" bestFit="1" customWidth="1"/>
    <col min="51" max="51" width="12.6640625" bestFit="1" customWidth="1"/>
    <col min="52" max="52" width="11.77734375" bestFit="1" customWidth="1"/>
    <col min="53" max="53" width="3" bestFit="1" customWidth="1"/>
    <col min="54" max="54" width="12.6640625" bestFit="1" customWidth="1"/>
    <col min="55" max="55" width="12.21875" bestFit="1" customWidth="1"/>
    <col min="56" max="56" width="3" bestFit="1" customWidth="1"/>
    <col min="57" max="57" width="12.6640625" bestFit="1" customWidth="1"/>
    <col min="58" max="58" width="11.77734375" bestFit="1" customWidth="1"/>
    <col min="59" max="59" width="3" bestFit="1" customWidth="1"/>
    <col min="60" max="60" width="12.5546875" bestFit="1" customWidth="1"/>
    <col min="61" max="61" width="15.5546875" bestFit="1" customWidth="1"/>
    <col min="62" max="62" width="16.5546875" bestFit="1" customWidth="1"/>
    <col min="63" max="63" width="12.5546875" bestFit="1" customWidth="1"/>
    <col min="64" max="64" width="14.88671875" bestFit="1" customWidth="1"/>
    <col min="65" max="65" width="6.88671875" bestFit="1" customWidth="1"/>
    <col min="66" max="66" width="12.6640625" bestFit="1" customWidth="1"/>
    <col min="67" max="67" width="13.21875" bestFit="1" customWidth="1"/>
    <col min="68" max="68" width="11.6640625" bestFit="1" customWidth="1"/>
    <col min="69" max="69" width="12.6640625" bestFit="1" customWidth="1"/>
    <col min="70" max="70" width="13.21875" bestFit="1" customWidth="1"/>
    <col min="71" max="71" width="4" bestFit="1" customWidth="1"/>
    <col min="72" max="72" width="12.5546875" bestFit="1" customWidth="1"/>
    <col min="73" max="73" width="16.44140625" bestFit="1" customWidth="1"/>
    <col min="74" max="74" width="4" bestFit="1" customWidth="1"/>
    <col min="75" max="75" width="15" bestFit="1" customWidth="1"/>
    <col min="76" max="76" width="14.88671875" bestFit="1" customWidth="1"/>
    <col min="77" max="77" width="4" bestFit="1" customWidth="1"/>
    <col min="78" max="78" width="12.5546875" bestFit="1" customWidth="1"/>
    <col min="79" max="79" width="15" bestFit="1" customWidth="1"/>
    <col min="80" max="97" width="4" bestFit="1" customWidth="1"/>
    <col min="98" max="98" width="11.109375" bestFit="1" customWidth="1"/>
  </cols>
  <sheetData>
    <row r="1" spans="2:79" x14ac:dyDescent="0.3">
      <c r="BN1" s="53" t="s">
        <v>327</v>
      </c>
      <c r="BO1" s="53"/>
      <c r="BQ1" s="53" t="s">
        <v>328</v>
      </c>
      <c r="BR1" s="53"/>
      <c r="BT1" s="53" t="s">
        <v>329</v>
      </c>
      <c r="BU1" s="53"/>
      <c r="BW1" t="s">
        <v>330</v>
      </c>
      <c r="BZ1" t="s">
        <v>332</v>
      </c>
    </row>
    <row r="2" spans="2:79" x14ac:dyDescent="0.3">
      <c r="B2" s="55" t="s">
        <v>64</v>
      </c>
      <c r="C2" s="55"/>
      <c r="D2" s="55"/>
      <c r="E2" s="55"/>
      <c r="F2" s="55"/>
      <c r="G2" s="55"/>
      <c r="H2" s="55"/>
      <c r="I2" s="55"/>
      <c r="L2" s="53" t="s">
        <v>285</v>
      </c>
      <c r="M2" s="53"/>
      <c r="O2" s="53" t="s">
        <v>286</v>
      </c>
      <c r="P2" s="53"/>
      <c r="R2" s="53" t="s">
        <v>287</v>
      </c>
      <c r="S2" s="53"/>
      <c r="U2" s="53" t="s">
        <v>289</v>
      </c>
      <c r="V2" s="53"/>
      <c r="X2" s="53" t="s">
        <v>291</v>
      </c>
      <c r="Y2" s="53"/>
      <c r="AA2" s="53" t="s">
        <v>292</v>
      </c>
      <c r="AB2" s="53"/>
      <c r="AD2" s="53" t="s">
        <v>293</v>
      </c>
      <c r="AE2" s="53"/>
      <c r="AG2" s="53" t="s">
        <v>295</v>
      </c>
      <c r="AH2" s="53"/>
      <c r="AJ2" s="53" t="s">
        <v>298</v>
      </c>
      <c r="AK2" s="53"/>
      <c r="AM2" s="53" t="s">
        <v>299</v>
      </c>
      <c r="AN2" s="53"/>
      <c r="AP2" s="53" t="s">
        <v>316</v>
      </c>
      <c r="AQ2" s="53"/>
      <c r="AS2" s="53" t="s">
        <v>317</v>
      </c>
      <c r="AT2" s="53"/>
      <c r="AV2" s="53" t="s">
        <v>318</v>
      </c>
      <c r="AW2" s="53"/>
      <c r="AY2" s="53" t="s">
        <v>319</v>
      </c>
      <c r="AZ2" s="53"/>
      <c r="BB2" s="53" t="s">
        <v>320</v>
      </c>
      <c r="BC2" s="53"/>
      <c r="BE2" s="53" t="s">
        <v>321</v>
      </c>
      <c r="BF2" s="53"/>
      <c r="BH2" s="53" t="s">
        <v>322</v>
      </c>
      <c r="BI2" s="53"/>
      <c r="BK2" s="53" t="s">
        <v>323</v>
      </c>
      <c r="BL2" s="53"/>
      <c r="BN2" s="50" t="s">
        <v>10</v>
      </c>
      <c r="BO2" t="s">
        <v>339</v>
      </c>
      <c r="BQ2" s="50" t="s">
        <v>10</v>
      </c>
      <c r="BR2" t="s">
        <v>325</v>
      </c>
      <c r="BT2" s="50" t="s">
        <v>283</v>
      </c>
      <c r="BU2" t="s">
        <v>294</v>
      </c>
    </row>
    <row r="3" spans="2:79" x14ac:dyDescent="0.3">
      <c r="BT3" s="35" t="s">
        <v>313</v>
      </c>
      <c r="BU3" s="73">
        <v>312</v>
      </c>
    </row>
    <row r="4" spans="2:79" x14ac:dyDescent="0.3">
      <c r="B4" s="54" t="s">
        <v>47</v>
      </c>
      <c r="C4" s="54"/>
      <c r="D4" s="54"/>
      <c r="E4" s="54"/>
      <c r="F4" s="54"/>
      <c r="G4" s="54"/>
      <c r="H4" s="54"/>
      <c r="I4" s="54"/>
      <c r="J4" s="24"/>
      <c r="L4" s="50" t="s">
        <v>283</v>
      </c>
      <c r="M4" t="s">
        <v>282</v>
      </c>
      <c r="O4" s="50" t="s">
        <v>283</v>
      </c>
      <c r="P4" t="s">
        <v>282</v>
      </c>
      <c r="R4" s="50" t="s">
        <v>283</v>
      </c>
      <c r="S4" t="s">
        <v>288</v>
      </c>
      <c r="U4" s="50" t="s">
        <v>283</v>
      </c>
      <c r="V4" t="s">
        <v>290</v>
      </c>
      <c r="X4" s="50" t="s">
        <v>283</v>
      </c>
      <c r="Y4" t="s">
        <v>282</v>
      </c>
      <c r="AA4" s="50" t="s">
        <v>283</v>
      </c>
      <c r="AB4" t="s">
        <v>288</v>
      </c>
      <c r="AD4" s="50" t="s">
        <v>283</v>
      </c>
      <c r="AE4" t="s">
        <v>294</v>
      </c>
      <c r="AG4" s="50" t="s">
        <v>283</v>
      </c>
      <c r="AH4" t="s">
        <v>282</v>
      </c>
      <c r="AJ4" s="50" t="s">
        <v>283</v>
      </c>
      <c r="AK4" t="s">
        <v>288</v>
      </c>
      <c r="AM4" s="50" t="s">
        <v>283</v>
      </c>
      <c r="AN4" t="s">
        <v>282</v>
      </c>
      <c r="AP4" s="50" t="s">
        <v>283</v>
      </c>
      <c r="AQ4" t="s">
        <v>288</v>
      </c>
      <c r="AS4" s="50" t="s">
        <v>283</v>
      </c>
      <c r="AT4" t="s">
        <v>294</v>
      </c>
      <c r="AV4" s="50" t="s">
        <v>283</v>
      </c>
      <c r="AW4" t="s">
        <v>288</v>
      </c>
      <c r="AY4" s="50" t="s">
        <v>283</v>
      </c>
      <c r="AZ4" t="s">
        <v>282</v>
      </c>
      <c r="BB4" s="50" t="s">
        <v>283</v>
      </c>
      <c r="BC4" t="s">
        <v>288</v>
      </c>
      <c r="BE4" s="50" t="s">
        <v>283</v>
      </c>
      <c r="BF4" t="s">
        <v>282</v>
      </c>
      <c r="BH4" s="50" t="s">
        <v>283</v>
      </c>
      <c r="BI4" t="s">
        <v>294</v>
      </c>
      <c r="BK4" s="50" t="s">
        <v>283</v>
      </c>
      <c r="BL4" t="s">
        <v>326</v>
      </c>
      <c r="BN4" s="50" t="s">
        <v>283</v>
      </c>
      <c r="BO4" t="s">
        <v>326</v>
      </c>
      <c r="BQ4" s="50" t="s">
        <v>283</v>
      </c>
      <c r="BR4" t="s">
        <v>326</v>
      </c>
      <c r="BT4" s="35" t="s">
        <v>284</v>
      </c>
      <c r="BU4" s="73">
        <v>312</v>
      </c>
      <c r="BW4" s="50" t="s">
        <v>6</v>
      </c>
      <c r="BX4" t="s">
        <v>339</v>
      </c>
      <c r="BZ4" s="50" t="s">
        <v>6</v>
      </c>
      <c r="CA4" t="s">
        <v>339</v>
      </c>
    </row>
    <row r="5" spans="2:79" x14ac:dyDescent="0.3">
      <c r="B5" s="54" t="s">
        <v>48</v>
      </c>
      <c r="C5" s="54"/>
      <c r="D5" s="54"/>
      <c r="E5" s="54"/>
      <c r="F5" s="54"/>
      <c r="G5" s="54"/>
      <c r="H5" s="54"/>
      <c r="I5" s="54"/>
      <c r="J5" s="24"/>
      <c r="L5" s="35" t="s">
        <v>33</v>
      </c>
      <c r="M5" s="33">
        <v>1472628.77</v>
      </c>
      <c r="O5" s="35" t="s">
        <v>24</v>
      </c>
      <c r="P5" s="33">
        <v>4221808.6800000006</v>
      </c>
      <c r="R5" s="35" t="s">
        <v>38</v>
      </c>
      <c r="S5" s="33">
        <v>781766.86000000022</v>
      </c>
      <c r="U5" s="35" t="s">
        <v>29</v>
      </c>
      <c r="V5" s="33">
        <v>25106.940151515148</v>
      </c>
      <c r="X5" s="35" t="s">
        <v>36</v>
      </c>
      <c r="Y5" s="33">
        <v>2116845.9499999997</v>
      </c>
      <c r="AA5" s="35" t="s">
        <v>36</v>
      </c>
      <c r="AB5" s="33">
        <v>271124.65999999997</v>
      </c>
      <c r="AD5" s="35" t="s">
        <v>36</v>
      </c>
      <c r="AE5" s="73">
        <v>355</v>
      </c>
      <c r="AG5" s="35" t="s">
        <v>296</v>
      </c>
      <c r="AH5" s="33">
        <v>13599415.799999999</v>
      </c>
      <c r="AJ5" s="35" t="s">
        <v>296</v>
      </c>
      <c r="AK5" s="33">
        <v>2330796.8500000015</v>
      </c>
      <c r="AM5" s="35" t="s">
        <v>307</v>
      </c>
      <c r="AN5" s="33">
        <v>1453190.49</v>
      </c>
      <c r="AP5" s="35" t="s">
        <v>315</v>
      </c>
      <c r="AQ5" s="33">
        <v>163093.54</v>
      </c>
      <c r="AS5" s="35">
        <v>2</v>
      </c>
      <c r="AT5" s="73">
        <v>10</v>
      </c>
      <c r="AV5" s="35">
        <v>133</v>
      </c>
      <c r="AW5" s="33">
        <v>13847.81</v>
      </c>
      <c r="AY5" s="35">
        <v>19</v>
      </c>
      <c r="AZ5" s="33">
        <v>1239.49</v>
      </c>
      <c r="BB5" s="35">
        <v>201</v>
      </c>
      <c r="BC5" s="33">
        <v>185.88</v>
      </c>
      <c r="BE5" s="35" t="s">
        <v>300</v>
      </c>
      <c r="BF5" s="33">
        <v>3760489.9200000013</v>
      </c>
      <c r="BH5" s="35" t="s">
        <v>300</v>
      </c>
      <c r="BI5" s="73">
        <v>765</v>
      </c>
      <c r="BK5" s="35" t="s">
        <v>324</v>
      </c>
      <c r="BL5" s="73">
        <v>198</v>
      </c>
      <c r="BN5" s="35" t="s">
        <v>38</v>
      </c>
      <c r="BO5" s="73">
        <v>162</v>
      </c>
      <c r="BQ5" s="35" t="s">
        <v>44</v>
      </c>
      <c r="BR5" s="73">
        <v>28</v>
      </c>
      <c r="BW5" s="50" t="s">
        <v>331</v>
      </c>
      <c r="BX5" t="s">
        <v>307</v>
      </c>
      <c r="BZ5" s="50" t="s">
        <v>331</v>
      </c>
      <c r="CA5" t="s">
        <v>304</v>
      </c>
    </row>
    <row r="6" spans="2:79" x14ac:dyDescent="0.3">
      <c r="B6" s="54" t="s">
        <v>49</v>
      </c>
      <c r="C6" s="54"/>
      <c r="D6" s="54"/>
      <c r="E6" s="54"/>
      <c r="F6" s="54"/>
      <c r="G6" s="54"/>
      <c r="H6" s="54"/>
      <c r="I6" s="54"/>
      <c r="J6" s="24"/>
      <c r="L6" s="35" t="s">
        <v>42</v>
      </c>
      <c r="M6" s="33">
        <v>1223319.7</v>
      </c>
      <c r="O6" s="35" t="s">
        <v>27</v>
      </c>
      <c r="P6" s="33">
        <v>3708046.1200000006</v>
      </c>
      <c r="R6" s="35" t="s">
        <v>20</v>
      </c>
      <c r="S6" s="33">
        <v>812769.9299999997</v>
      </c>
      <c r="U6" s="35" t="s">
        <v>34</v>
      </c>
      <c r="V6" s="33">
        <v>24373.463273809521</v>
      </c>
      <c r="X6" s="35" t="s">
        <v>41</v>
      </c>
      <c r="Y6" s="33">
        <v>1645664.5499999996</v>
      </c>
      <c r="AA6" s="35" t="s">
        <v>46</v>
      </c>
      <c r="AB6" s="33">
        <v>271882.18999999994</v>
      </c>
      <c r="AD6" s="35" t="s">
        <v>46</v>
      </c>
      <c r="AE6" s="73">
        <v>296</v>
      </c>
      <c r="AG6" s="35" t="s">
        <v>297</v>
      </c>
      <c r="AH6" s="33">
        <v>48018.44</v>
      </c>
      <c r="AJ6" s="35" t="s">
        <v>297</v>
      </c>
      <c r="AK6" s="33">
        <v>11762.22</v>
      </c>
      <c r="AM6" s="35" t="s">
        <v>305</v>
      </c>
      <c r="AN6" s="33">
        <v>1356253.6600000001</v>
      </c>
      <c r="AP6" s="35" t="s">
        <v>284</v>
      </c>
      <c r="AQ6" s="33">
        <v>163093.54</v>
      </c>
      <c r="AS6" s="35">
        <v>12</v>
      </c>
      <c r="AT6" s="73">
        <v>10</v>
      </c>
      <c r="AV6" s="35">
        <v>255</v>
      </c>
      <c r="AW6" s="33">
        <v>14199.96</v>
      </c>
      <c r="AY6" s="35">
        <v>229</v>
      </c>
      <c r="AZ6" s="33">
        <v>1156.72</v>
      </c>
      <c r="BB6" s="35">
        <v>216</v>
      </c>
      <c r="BC6" s="33">
        <v>166.33</v>
      </c>
      <c r="BE6" s="35" t="s">
        <v>301</v>
      </c>
      <c r="BF6" s="33">
        <v>3406040.1099999989</v>
      </c>
      <c r="BH6" s="52" t="s">
        <v>36</v>
      </c>
      <c r="BI6" s="73">
        <v>103</v>
      </c>
      <c r="BK6" s="35" t="s">
        <v>275</v>
      </c>
      <c r="BL6" s="73">
        <v>116</v>
      </c>
      <c r="BN6" s="35" t="s">
        <v>20</v>
      </c>
      <c r="BO6" s="73">
        <v>172</v>
      </c>
      <c r="BQ6" s="35" t="s">
        <v>284</v>
      </c>
      <c r="BR6" s="73">
        <v>28</v>
      </c>
    </row>
    <row r="7" spans="2:79" x14ac:dyDescent="0.3">
      <c r="B7" s="54" t="s">
        <v>50</v>
      </c>
      <c r="C7" s="54"/>
      <c r="D7" s="54"/>
      <c r="E7" s="54"/>
      <c r="F7" s="54"/>
      <c r="G7" s="54"/>
      <c r="H7" s="54"/>
      <c r="I7" s="54"/>
      <c r="J7" s="24"/>
      <c r="L7" s="35" t="s">
        <v>25</v>
      </c>
      <c r="M7" s="33">
        <v>1242819.0999999999</v>
      </c>
      <c r="O7" s="35" t="s">
        <v>19</v>
      </c>
      <c r="P7" s="33">
        <v>5289298.0600000024</v>
      </c>
      <c r="R7" s="35" t="s">
        <v>31</v>
      </c>
      <c r="S7" s="33">
        <v>748022.28000000026</v>
      </c>
      <c r="U7" s="35" t="s">
        <v>43</v>
      </c>
      <c r="V7" s="33">
        <v>28449.295348837208</v>
      </c>
      <c r="X7" s="35" t="s">
        <v>40</v>
      </c>
      <c r="Y7" s="33">
        <v>1576500.4400000004</v>
      </c>
      <c r="AA7" s="35" t="s">
        <v>39</v>
      </c>
      <c r="AB7" s="33">
        <v>241587.26000000004</v>
      </c>
      <c r="AD7" s="35" t="s">
        <v>39</v>
      </c>
      <c r="AE7" s="73">
        <v>248</v>
      </c>
      <c r="AG7" s="35" t="s">
        <v>284</v>
      </c>
      <c r="AH7" s="33">
        <v>13647434.239999998</v>
      </c>
      <c r="AJ7" s="35" t="s">
        <v>284</v>
      </c>
      <c r="AK7" s="33">
        <v>2342559.0700000017</v>
      </c>
      <c r="AM7" s="35" t="s">
        <v>313</v>
      </c>
      <c r="AN7" s="33">
        <v>1320122.6999999997</v>
      </c>
      <c r="AS7" s="35">
        <v>16</v>
      </c>
      <c r="AT7" s="73">
        <v>10</v>
      </c>
      <c r="AV7" s="35">
        <v>332</v>
      </c>
      <c r="AW7" s="33">
        <v>14334.62</v>
      </c>
      <c r="AY7" s="35">
        <v>411</v>
      </c>
      <c r="AZ7" s="33">
        <v>1072.04</v>
      </c>
      <c r="BB7" s="35">
        <v>356</v>
      </c>
      <c r="BC7" s="33">
        <v>152.43</v>
      </c>
      <c r="BE7" s="35" t="s">
        <v>302</v>
      </c>
      <c r="BF7" s="33">
        <v>3133788.14</v>
      </c>
      <c r="BH7" s="52" t="s">
        <v>46</v>
      </c>
      <c r="BI7" s="73">
        <v>94</v>
      </c>
      <c r="BK7" s="35" t="s">
        <v>325</v>
      </c>
      <c r="BL7" s="73">
        <v>186</v>
      </c>
      <c r="BN7" s="35" t="s">
        <v>31</v>
      </c>
      <c r="BO7" s="73">
        <v>166</v>
      </c>
      <c r="BW7" t="s">
        <v>294</v>
      </c>
      <c r="BZ7" s="50" t="s">
        <v>283</v>
      </c>
      <c r="CA7" t="s">
        <v>294</v>
      </c>
    </row>
    <row r="8" spans="2:79" x14ac:dyDescent="0.3">
      <c r="B8" s="54" t="s">
        <v>51</v>
      </c>
      <c r="C8" s="54"/>
      <c r="D8" s="54"/>
      <c r="E8" s="54"/>
      <c r="F8" s="54"/>
      <c r="G8" s="54"/>
      <c r="H8" s="54"/>
      <c r="I8" s="54"/>
      <c r="J8" s="24"/>
      <c r="L8" s="35" t="s">
        <v>29</v>
      </c>
      <c r="M8" s="33">
        <v>1657058.0499999998</v>
      </c>
      <c r="O8" s="35" t="s">
        <v>30</v>
      </c>
      <c r="P8" s="33">
        <v>428281.38000000012</v>
      </c>
      <c r="R8" s="35" t="s">
        <v>284</v>
      </c>
      <c r="S8" s="33">
        <v>2342559.0700000003</v>
      </c>
      <c r="U8" s="35" t="s">
        <v>23</v>
      </c>
      <c r="V8" s="33">
        <v>31883.334596774188</v>
      </c>
      <c r="X8" s="35" t="s">
        <v>46</v>
      </c>
      <c r="Y8" s="33">
        <v>1454766.4799999997</v>
      </c>
      <c r="AA8" s="35" t="s">
        <v>41</v>
      </c>
      <c r="AB8" s="33">
        <v>293616.65000000008</v>
      </c>
      <c r="AD8" s="35" t="s">
        <v>41</v>
      </c>
      <c r="AE8" s="73">
        <v>330</v>
      </c>
      <c r="AM8" s="35" t="s">
        <v>311</v>
      </c>
      <c r="AN8" s="33">
        <v>1256575.9099999997</v>
      </c>
      <c r="AS8" s="35">
        <v>18</v>
      </c>
      <c r="AT8" s="73">
        <v>10</v>
      </c>
      <c r="AV8" s="35">
        <v>360</v>
      </c>
      <c r="AW8" s="33">
        <v>13700.82</v>
      </c>
      <c r="AY8" s="35">
        <v>433</v>
      </c>
      <c r="AZ8" s="33">
        <v>1166.95</v>
      </c>
      <c r="BB8" s="35">
        <v>433</v>
      </c>
      <c r="BC8" s="33">
        <v>238.76</v>
      </c>
      <c r="BE8" s="35" t="s">
        <v>303</v>
      </c>
      <c r="BF8" s="33">
        <v>3347116.07</v>
      </c>
      <c r="BH8" s="52" t="s">
        <v>39</v>
      </c>
      <c r="BI8" s="73">
        <v>67</v>
      </c>
      <c r="BK8" s="35" t="s">
        <v>284</v>
      </c>
      <c r="BL8" s="73">
        <v>500</v>
      </c>
      <c r="BN8" s="35" t="s">
        <v>284</v>
      </c>
      <c r="BO8" s="73">
        <v>500</v>
      </c>
      <c r="BW8" s="73">
        <v>203</v>
      </c>
      <c r="BZ8" s="51">
        <v>44930</v>
      </c>
      <c r="CA8" s="73">
        <v>27</v>
      </c>
    </row>
    <row r="9" spans="2:79" x14ac:dyDescent="0.3">
      <c r="B9" s="54" t="s">
        <v>52</v>
      </c>
      <c r="C9" s="54"/>
      <c r="D9" s="54"/>
      <c r="E9" s="54"/>
      <c r="F9" s="54"/>
      <c r="G9" s="54"/>
      <c r="H9" s="54"/>
      <c r="I9" s="54"/>
      <c r="J9" s="24"/>
      <c r="L9" s="35" t="s">
        <v>17</v>
      </c>
      <c r="M9" s="33">
        <v>1475962.0699999996</v>
      </c>
      <c r="O9" s="35" t="s">
        <v>284</v>
      </c>
      <c r="P9" s="33">
        <v>13647434.240000004</v>
      </c>
      <c r="U9" s="35" t="s">
        <v>18</v>
      </c>
      <c r="V9" s="33">
        <v>27848.340943396219</v>
      </c>
      <c r="X9" s="35" t="s">
        <v>32</v>
      </c>
      <c r="Y9" s="33">
        <v>1447395.4199999997</v>
      </c>
      <c r="AA9" s="35" t="s">
        <v>21</v>
      </c>
      <c r="AB9" s="33">
        <v>271457.8899999999</v>
      </c>
      <c r="AD9" s="35" t="s">
        <v>21</v>
      </c>
      <c r="AE9" s="73">
        <v>311</v>
      </c>
      <c r="AM9" s="35" t="s">
        <v>306</v>
      </c>
      <c r="AN9" s="33">
        <v>1209713.7199999997</v>
      </c>
      <c r="AS9" s="35">
        <v>21</v>
      </c>
      <c r="AT9" s="73">
        <v>10</v>
      </c>
      <c r="AV9" s="35">
        <v>484</v>
      </c>
      <c r="AW9" s="33">
        <v>13668.97</v>
      </c>
      <c r="AY9" s="35">
        <v>438</v>
      </c>
      <c r="AZ9" s="33">
        <v>1292.73</v>
      </c>
      <c r="BB9" s="35">
        <v>480</v>
      </c>
      <c r="BC9" s="33">
        <v>181.46</v>
      </c>
      <c r="BE9" s="35" t="s">
        <v>284</v>
      </c>
      <c r="BF9" s="33">
        <v>13647434.24</v>
      </c>
      <c r="BH9" s="52" t="s">
        <v>41</v>
      </c>
      <c r="BI9" s="73">
        <v>93</v>
      </c>
      <c r="BZ9" s="51" t="s">
        <v>284</v>
      </c>
      <c r="CA9" s="73">
        <v>27</v>
      </c>
    </row>
    <row r="10" spans="2:79" x14ac:dyDescent="0.3">
      <c r="B10" s="54" t="s">
        <v>53</v>
      </c>
      <c r="C10" s="54"/>
      <c r="D10" s="54"/>
      <c r="E10" s="54"/>
      <c r="F10" s="54"/>
      <c r="G10" s="54"/>
      <c r="H10" s="54"/>
      <c r="I10" s="54"/>
      <c r="J10" s="24"/>
      <c r="L10" s="35" t="s">
        <v>37</v>
      </c>
      <c r="M10" s="33">
        <v>1724319.2</v>
      </c>
      <c r="U10" s="35" t="s">
        <v>26</v>
      </c>
      <c r="V10" s="33">
        <v>27017.806521739127</v>
      </c>
      <c r="X10" s="35" t="s">
        <v>21</v>
      </c>
      <c r="Y10" s="33">
        <v>1432151.2599999998</v>
      </c>
      <c r="AA10" s="35" t="s">
        <v>40</v>
      </c>
      <c r="AB10" s="33">
        <v>268297.41000000009</v>
      </c>
      <c r="AD10" s="35" t="s">
        <v>40</v>
      </c>
      <c r="AE10" s="73">
        <v>304</v>
      </c>
      <c r="AM10" s="35" t="s">
        <v>304</v>
      </c>
      <c r="AN10" s="33">
        <v>1194522.54</v>
      </c>
      <c r="AS10" s="35">
        <v>22</v>
      </c>
      <c r="AT10" s="73">
        <v>10</v>
      </c>
      <c r="AV10" s="35" t="s">
        <v>284</v>
      </c>
      <c r="AW10" s="33">
        <v>69752.179999999993</v>
      </c>
      <c r="AY10" s="35" t="s">
        <v>284</v>
      </c>
      <c r="AZ10" s="33">
        <v>5927.93</v>
      </c>
      <c r="BB10" s="35" t="s">
        <v>284</v>
      </c>
      <c r="BC10" s="33">
        <v>924.86000000000013</v>
      </c>
      <c r="BH10" s="52" t="s">
        <v>21</v>
      </c>
      <c r="BI10" s="73">
        <v>70</v>
      </c>
    </row>
    <row r="11" spans="2:79" x14ac:dyDescent="0.3">
      <c r="B11" s="54" t="s">
        <v>54</v>
      </c>
      <c r="C11" s="54"/>
      <c r="D11" s="54"/>
      <c r="E11" s="54"/>
      <c r="F11" s="54"/>
      <c r="G11" s="54"/>
      <c r="H11" s="54"/>
      <c r="I11" s="54"/>
      <c r="J11" s="24"/>
      <c r="L11" s="35" t="s">
        <v>22</v>
      </c>
      <c r="M11" s="33">
        <v>2229214.29</v>
      </c>
      <c r="U11" s="35" t="s">
        <v>284</v>
      </c>
      <c r="V11" s="33">
        <v>27294.868480000001</v>
      </c>
      <c r="X11" s="35" t="s">
        <v>28</v>
      </c>
      <c r="Y11" s="33">
        <v>1424052.8199999998</v>
      </c>
      <c r="AA11" s="35" t="s">
        <v>32</v>
      </c>
      <c r="AB11" s="33">
        <v>244717.38999999996</v>
      </c>
      <c r="AD11" s="35" t="s">
        <v>32</v>
      </c>
      <c r="AE11" s="73">
        <v>303</v>
      </c>
      <c r="AM11" s="35" t="s">
        <v>314</v>
      </c>
      <c r="AN11" s="33">
        <v>1100997.0999999999</v>
      </c>
      <c r="AS11" s="35">
        <v>26</v>
      </c>
      <c r="AT11" s="73">
        <v>10</v>
      </c>
      <c r="BH11" s="52" t="s">
        <v>40</v>
      </c>
      <c r="BI11" s="73">
        <v>77</v>
      </c>
    </row>
    <row r="12" spans="2:79" x14ac:dyDescent="0.3">
      <c r="B12" s="54" t="s">
        <v>58</v>
      </c>
      <c r="C12" s="54"/>
      <c r="D12" s="54"/>
      <c r="E12" s="54"/>
      <c r="F12" s="54"/>
      <c r="G12" s="54"/>
      <c r="H12" s="54"/>
      <c r="I12" s="54"/>
      <c r="J12" s="24"/>
      <c r="L12" s="35" t="s">
        <v>44</v>
      </c>
      <c r="M12" s="33">
        <v>1408814.7300000002</v>
      </c>
      <c r="X12" s="35" t="s">
        <v>35</v>
      </c>
      <c r="Y12" s="33">
        <v>1338398.5200000003</v>
      </c>
      <c r="AA12" s="35" t="s">
        <v>35</v>
      </c>
      <c r="AB12" s="33">
        <v>232180.22999999998</v>
      </c>
      <c r="AD12" s="35" t="s">
        <v>35</v>
      </c>
      <c r="AE12" s="73">
        <v>279</v>
      </c>
      <c r="AM12" s="35" t="s">
        <v>309</v>
      </c>
      <c r="AN12" s="33">
        <v>1023551.7900000002</v>
      </c>
      <c r="AS12" s="35">
        <v>38</v>
      </c>
      <c r="AT12" s="73">
        <v>10</v>
      </c>
      <c r="BH12" s="52" t="s">
        <v>32</v>
      </c>
      <c r="BI12" s="73">
        <v>84</v>
      </c>
    </row>
    <row r="13" spans="2:79" x14ac:dyDescent="0.3">
      <c r="B13" s="54" t="s">
        <v>55</v>
      </c>
      <c r="C13" s="54"/>
      <c r="D13" s="54"/>
      <c r="E13" s="54"/>
      <c r="F13" s="54"/>
      <c r="G13" s="54"/>
      <c r="H13" s="54"/>
      <c r="I13" s="54"/>
      <c r="J13" s="24"/>
      <c r="L13" s="35" t="s">
        <v>45</v>
      </c>
      <c r="M13" s="33">
        <v>1213298.3299999996</v>
      </c>
      <c r="X13" s="35" t="s">
        <v>39</v>
      </c>
      <c r="Y13" s="33">
        <v>1211658.8</v>
      </c>
      <c r="AA13" s="35" t="s">
        <v>28</v>
      </c>
      <c r="AB13" s="33">
        <v>247695.39000000004</v>
      </c>
      <c r="AD13" s="35" t="s">
        <v>28</v>
      </c>
      <c r="AE13" s="73">
        <v>283</v>
      </c>
      <c r="AM13" s="35" t="s">
        <v>310</v>
      </c>
      <c r="AN13" s="33">
        <v>967581.05999999994</v>
      </c>
      <c r="AS13" s="35">
        <v>41</v>
      </c>
      <c r="AT13" s="73">
        <v>10</v>
      </c>
      <c r="BH13" s="52" t="s">
        <v>35</v>
      </c>
      <c r="BI13" s="73">
        <v>77</v>
      </c>
    </row>
    <row r="14" spans="2:79" x14ac:dyDescent="0.3">
      <c r="B14" s="54" t="s">
        <v>56</v>
      </c>
      <c r="C14" s="54"/>
      <c r="D14" s="54"/>
      <c r="E14" s="54"/>
      <c r="F14" s="54"/>
      <c r="G14" s="54"/>
      <c r="H14" s="54"/>
      <c r="I14" s="54"/>
      <c r="J14" s="24"/>
      <c r="L14" s="35" t="s">
        <v>284</v>
      </c>
      <c r="M14" s="33">
        <v>13647434.24</v>
      </c>
      <c r="X14" s="35" t="s">
        <v>284</v>
      </c>
      <c r="Y14" s="33">
        <v>13647434.24</v>
      </c>
      <c r="AA14" s="35" t="s">
        <v>284</v>
      </c>
      <c r="AB14" s="33">
        <v>2342559.0699999998</v>
      </c>
      <c r="AD14" s="35" t="s">
        <v>284</v>
      </c>
      <c r="AE14" s="73">
        <v>2709</v>
      </c>
      <c r="AM14" s="35" t="s">
        <v>308</v>
      </c>
      <c r="AN14" s="33">
        <v>929297.83000000007</v>
      </c>
      <c r="AS14" s="35">
        <v>44</v>
      </c>
      <c r="AT14" s="73">
        <v>10</v>
      </c>
      <c r="BH14" s="52" t="s">
        <v>28</v>
      </c>
      <c r="BI14" s="73">
        <v>100</v>
      </c>
    </row>
    <row r="15" spans="2:79" x14ac:dyDescent="0.3">
      <c r="B15" s="54" t="s">
        <v>57</v>
      </c>
      <c r="C15" s="54"/>
      <c r="D15" s="54"/>
      <c r="E15" s="54"/>
      <c r="F15" s="54"/>
      <c r="G15" s="54"/>
      <c r="H15" s="54"/>
      <c r="I15" s="54"/>
      <c r="J15" s="24"/>
      <c r="AM15" s="35" t="s">
        <v>315</v>
      </c>
      <c r="AN15" s="33">
        <v>925996.27000000025</v>
      </c>
      <c r="AS15" s="35">
        <v>49</v>
      </c>
      <c r="AT15" s="73">
        <v>10</v>
      </c>
      <c r="BH15" s="35" t="s">
        <v>301</v>
      </c>
      <c r="BI15" s="73">
        <v>596</v>
      </c>
    </row>
    <row r="16" spans="2:79" x14ac:dyDescent="0.3">
      <c r="B16" s="54" t="s">
        <v>59</v>
      </c>
      <c r="C16" s="54"/>
      <c r="D16" s="54"/>
      <c r="E16" s="54"/>
      <c r="F16" s="54"/>
      <c r="G16" s="54"/>
      <c r="H16" s="54"/>
      <c r="I16" s="54"/>
      <c r="J16" s="24"/>
      <c r="AM16" s="35" t="s">
        <v>312</v>
      </c>
      <c r="AN16" s="33">
        <v>909631.16999999993</v>
      </c>
      <c r="AS16" s="35">
        <v>62</v>
      </c>
      <c r="AT16" s="73">
        <v>10</v>
      </c>
      <c r="BH16" s="52" t="s">
        <v>36</v>
      </c>
      <c r="BI16" s="73">
        <v>95</v>
      </c>
    </row>
    <row r="17" spans="2:61" x14ac:dyDescent="0.3">
      <c r="B17" s="54" t="s">
        <v>60</v>
      </c>
      <c r="C17" s="54"/>
      <c r="D17" s="54"/>
      <c r="E17" s="54"/>
      <c r="F17" s="54"/>
      <c r="G17" s="54"/>
      <c r="H17" s="54"/>
      <c r="I17" s="54"/>
      <c r="J17" s="24"/>
      <c r="AM17" s="35" t="s">
        <v>284</v>
      </c>
      <c r="AN17" s="33">
        <v>13647434.239999998</v>
      </c>
      <c r="AS17" s="35">
        <v>68</v>
      </c>
      <c r="AT17" s="73">
        <v>10</v>
      </c>
      <c r="BH17" s="52" t="s">
        <v>46</v>
      </c>
      <c r="BI17" s="73">
        <v>57</v>
      </c>
    </row>
    <row r="18" spans="2:61" x14ac:dyDescent="0.3">
      <c r="B18" s="54" t="s">
        <v>61</v>
      </c>
      <c r="C18" s="54"/>
      <c r="D18" s="54"/>
      <c r="E18" s="54"/>
      <c r="F18" s="54"/>
      <c r="G18" s="54"/>
      <c r="H18" s="54"/>
      <c r="I18" s="54"/>
      <c r="J18" s="24"/>
      <c r="AS18" s="35">
        <v>72</v>
      </c>
      <c r="AT18" s="73">
        <v>10</v>
      </c>
      <c r="BH18" s="52" t="s">
        <v>39</v>
      </c>
      <c r="BI18" s="73">
        <v>87</v>
      </c>
    </row>
    <row r="19" spans="2:61" x14ac:dyDescent="0.3">
      <c r="B19" s="54" t="s">
        <v>62</v>
      </c>
      <c r="C19" s="54"/>
      <c r="D19" s="54"/>
      <c r="E19" s="54"/>
      <c r="F19" s="54"/>
      <c r="G19" s="54"/>
      <c r="H19" s="54"/>
      <c r="I19" s="54"/>
      <c r="J19" s="24"/>
      <c r="AS19" s="35">
        <v>84</v>
      </c>
      <c r="AT19" s="73">
        <v>10</v>
      </c>
      <c r="BH19" s="52" t="s">
        <v>41</v>
      </c>
      <c r="BI19" s="73">
        <v>89</v>
      </c>
    </row>
    <row r="20" spans="2:61" x14ac:dyDescent="0.3">
      <c r="B20" s="54" t="s">
        <v>63</v>
      </c>
      <c r="C20" s="54"/>
      <c r="D20" s="54"/>
      <c r="E20" s="54"/>
      <c r="F20" s="54"/>
      <c r="G20" s="54"/>
      <c r="H20" s="54"/>
      <c r="I20" s="54"/>
      <c r="J20" s="24"/>
      <c r="AS20" s="35">
        <v>117</v>
      </c>
      <c r="AT20" s="73">
        <v>10</v>
      </c>
      <c r="BH20" s="52" t="s">
        <v>21</v>
      </c>
      <c r="BI20" s="73">
        <v>58</v>
      </c>
    </row>
    <row r="21" spans="2:61" x14ac:dyDescent="0.3">
      <c r="B21" s="54" t="s">
        <v>65</v>
      </c>
      <c r="C21" s="54"/>
      <c r="D21" s="54"/>
      <c r="E21" s="54"/>
      <c r="F21" s="54"/>
      <c r="G21" s="54"/>
      <c r="H21" s="54"/>
      <c r="I21" s="54"/>
      <c r="J21" s="24"/>
      <c r="AS21" s="35">
        <v>136</v>
      </c>
      <c r="AT21" s="73">
        <v>10</v>
      </c>
      <c r="BH21" s="52" t="s">
        <v>40</v>
      </c>
      <c r="BI21" s="73">
        <v>56</v>
      </c>
    </row>
    <row r="22" spans="2:61" x14ac:dyDescent="0.3">
      <c r="B22" s="54" t="s">
        <v>66</v>
      </c>
      <c r="C22" s="54"/>
      <c r="D22" s="54"/>
      <c r="E22" s="54"/>
      <c r="F22" s="54"/>
      <c r="G22" s="54"/>
      <c r="H22" s="54"/>
      <c r="I22" s="54"/>
      <c r="J22" s="24"/>
      <c r="AS22" s="35">
        <v>152</v>
      </c>
      <c r="AT22" s="73">
        <v>10</v>
      </c>
      <c r="BH22" s="52" t="s">
        <v>32</v>
      </c>
      <c r="BI22" s="73">
        <v>78</v>
      </c>
    </row>
    <row r="23" spans="2:61" x14ac:dyDescent="0.3">
      <c r="B23" s="54" t="s">
        <v>67</v>
      </c>
      <c r="C23" s="54"/>
      <c r="D23" s="54"/>
      <c r="E23" s="54"/>
      <c r="F23" s="54"/>
      <c r="G23" s="54"/>
      <c r="H23" s="54"/>
      <c r="I23" s="54"/>
      <c r="J23" s="24"/>
      <c r="AS23" s="35">
        <v>155</v>
      </c>
      <c r="AT23" s="73">
        <v>10</v>
      </c>
      <c r="BH23" s="52" t="s">
        <v>35</v>
      </c>
      <c r="BI23" s="73">
        <v>48</v>
      </c>
    </row>
    <row r="24" spans="2:61" x14ac:dyDescent="0.3">
      <c r="B24" s="54" t="s">
        <v>68</v>
      </c>
      <c r="C24" s="54"/>
      <c r="D24" s="54"/>
      <c r="E24" s="54"/>
      <c r="F24" s="54"/>
      <c r="G24" s="54"/>
      <c r="H24" s="54"/>
      <c r="I24" s="54"/>
      <c r="J24" s="24"/>
      <c r="AS24" s="35">
        <v>171</v>
      </c>
      <c r="AT24" s="73">
        <v>10</v>
      </c>
      <c r="BH24" s="52" t="s">
        <v>28</v>
      </c>
      <c r="BI24" s="73">
        <v>28</v>
      </c>
    </row>
    <row r="25" spans="2:61" x14ac:dyDescent="0.3">
      <c r="B25" s="54" t="s">
        <v>69</v>
      </c>
      <c r="C25" s="54"/>
      <c r="D25" s="54"/>
      <c r="E25" s="54"/>
      <c r="F25" s="54"/>
      <c r="G25" s="54"/>
      <c r="H25" s="54"/>
      <c r="I25" s="54"/>
      <c r="J25" s="24"/>
      <c r="AS25" s="35">
        <v>178</v>
      </c>
      <c r="AT25" s="73">
        <v>10</v>
      </c>
      <c r="BH25" s="35" t="s">
        <v>302</v>
      </c>
      <c r="BI25" s="73">
        <v>620</v>
      </c>
    </row>
    <row r="26" spans="2:61" x14ac:dyDescent="0.3">
      <c r="B26" s="54" t="s">
        <v>70</v>
      </c>
      <c r="C26" s="54"/>
      <c r="D26" s="54"/>
      <c r="E26" s="54"/>
      <c r="F26" s="54"/>
      <c r="G26" s="54"/>
      <c r="H26" s="54"/>
      <c r="I26" s="54"/>
      <c r="J26" s="24"/>
      <c r="AS26" s="35">
        <v>185</v>
      </c>
      <c r="AT26" s="73">
        <v>10</v>
      </c>
      <c r="BH26" s="52" t="s">
        <v>36</v>
      </c>
      <c r="BI26" s="73">
        <v>80</v>
      </c>
    </row>
    <row r="27" spans="2:61" x14ac:dyDescent="0.3">
      <c r="AS27" s="35">
        <v>191</v>
      </c>
      <c r="AT27" s="73">
        <v>10</v>
      </c>
      <c r="BH27" s="52" t="s">
        <v>46</v>
      </c>
      <c r="BI27" s="73">
        <v>60</v>
      </c>
    </row>
    <row r="28" spans="2:61" x14ac:dyDescent="0.3">
      <c r="AS28" s="35">
        <v>195</v>
      </c>
      <c r="AT28" s="73">
        <v>10</v>
      </c>
      <c r="BH28" s="52" t="s">
        <v>39</v>
      </c>
      <c r="BI28" s="73">
        <v>40</v>
      </c>
    </row>
    <row r="29" spans="2:61" x14ac:dyDescent="0.3">
      <c r="AS29" s="35">
        <v>215</v>
      </c>
      <c r="AT29" s="73">
        <v>10</v>
      </c>
      <c r="BH29" s="52" t="s">
        <v>41</v>
      </c>
      <c r="BI29" s="73">
        <v>64</v>
      </c>
    </row>
    <row r="30" spans="2:61" x14ac:dyDescent="0.3">
      <c r="AS30" s="35">
        <v>222</v>
      </c>
      <c r="AT30" s="73">
        <v>10</v>
      </c>
      <c r="BH30" s="52" t="s">
        <v>21</v>
      </c>
      <c r="BI30" s="73">
        <v>95</v>
      </c>
    </row>
    <row r="31" spans="2:61" x14ac:dyDescent="0.3">
      <c r="AS31" s="35">
        <v>225</v>
      </c>
      <c r="AT31" s="73">
        <v>10</v>
      </c>
      <c r="BH31" s="52" t="s">
        <v>40</v>
      </c>
      <c r="BI31" s="73">
        <v>76</v>
      </c>
    </row>
    <row r="32" spans="2:61" x14ac:dyDescent="0.3">
      <c r="AS32" s="35">
        <v>238</v>
      </c>
      <c r="AT32" s="73">
        <v>10</v>
      </c>
      <c r="BH32" s="52" t="s">
        <v>32</v>
      </c>
      <c r="BI32" s="73">
        <v>37</v>
      </c>
    </row>
    <row r="33" spans="45:61" x14ac:dyDescent="0.3">
      <c r="AS33" s="35">
        <v>253</v>
      </c>
      <c r="AT33" s="73">
        <v>10</v>
      </c>
      <c r="BH33" s="52" t="s">
        <v>35</v>
      </c>
      <c r="BI33" s="73">
        <v>83</v>
      </c>
    </row>
    <row r="34" spans="45:61" x14ac:dyDescent="0.3">
      <c r="AS34" s="35">
        <v>258</v>
      </c>
      <c r="AT34" s="73">
        <v>10</v>
      </c>
      <c r="BH34" s="52" t="s">
        <v>28</v>
      </c>
      <c r="BI34" s="73">
        <v>85</v>
      </c>
    </row>
    <row r="35" spans="45:61" x14ac:dyDescent="0.3">
      <c r="AS35" s="35">
        <v>265</v>
      </c>
      <c r="AT35" s="73">
        <v>10</v>
      </c>
      <c r="BH35" s="35" t="s">
        <v>303</v>
      </c>
      <c r="BI35" s="73">
        <v>728</v>
      </c>
    </row>
    <row r="36" spans="45:61" x14ac:dyDescent="0.3">
      <c r="AS36" s="35">
        <v>288</v>
      </c>
      <c r="AT36" s="73">
        <v>10</v>
      </c>
      <c r="BH36" s="52" t="s">
        <v>36</v>
      </c>
      <c r="BI36" s="73">
        <v>77</v>
      </c>
    </row>
    <row r="37" spans="45:61" x14ac:dyDescent="0.3">
      <c r="AS37" s="35">
        <v>292</v>
      </c>
      <c r="AT37" s="73">
        <v>10</v>
      </c>
      <c r="BH37" s="52" t="s">
        <v>46</v>
      </c>
      <c r="BI37" s="73">
        <v>85</v>
      </c>
    </row>
    <row r="38" spans="45:61" x14ac:dyDescent="0.3">
      <c r="AS38" s="35">
        <v>294</v>
      </c>
      <c r="AT38" s="73">
        <v>10</v>
      </c>
      <c r="BH38" s="52" t="s">
        <v>39</v>
      </c>
      <c r="BI38" s="73">
        <v>54</v>
      </c>
    </row>
    <row r="39" spans="45:61" x14ac:dyDescent="0.3">
      <c r="AS39" s="35">
        <v>295</v>
      </c>
      <c r="AT39" s="73">
        <v>10</v>
      </c>
      <c r="BH39" s="52" t="s">
        <v>41</v>
      </c>
      <c r="BI39" s="73">
        <v>84</v>
      </c>
    </row>
    <row r="40" spans="45:61" x14ac:dyDescent="0.3">
      <c r="AS40" s="35">
        <v>297</v>
      </c>
      <c r="AT40" s="73">
        <v>10</v>
      </c>
      <c r="BH40" s="52" t="s">
        <v>21</v>
      </c>
      <c r="BI40" s="73">
        <v>88</v>
      </c>
    </row>
    <row r="41" spans="45:61" x14ac:dyDescent="0.3">
      <c r="AS41" s="35">
        <v>307</v>
      </c>
      <c r="AT41" s="73">
        <v>10</v>
      </c>
      <c r="BH41" s="52" t="s">
        <v>40</v>
      </c>
      <c r="BI41" s="73">
        <v>95</v>
      </c>
    </row>
    <row r="42" spans="45:61" x14ac:dyDescent="0.3">
      <c r="AS42" s="35">
        <v>318</v>
      </c>
      <c r="AT42" s="73">
        <v>10</v>
      </c>
      <c r="BH42" s="52" t="s">
        <v>32</v>
      </c>
      <c r="BI42" s="73">
        <v>104</v>
      </c>
    </row>
    <row r="43" spans="45:61" x14ac:dyDescent="0.3">
      <c r="AS43" s="35">
        <v>327</v>
      </c>
      <c r="AT43" s="73">
        <v>10</v>
      </c>
      <c r="BH43" s="52" t="s">
        <v>35</v>
      </c>
      <c r="BI43" s="73">
        <v>71</v>
      </c>
    </row>
    <row r="44" spans="45:61" x14ac:dyDescent="0.3">
      <c r="AS44" s="35">
        <v>351</v>
      </c>
      <c r="AT44" s="73">
        <v>10</v>
      </c>
      <c r="BH44" s="52" t="s">
        <v>28</v>
      </c>
      <c r="BI44" s="73">
        <v>70</v>
      </c>
    </row>
    <row r="45" spans="45:61" x14ac:dyDescent="0.3">
      <c r="AS45" s="35">
        <v>358</v>
      </c>
      <c r="AT45" s="73">
        <v>10</v>
      </c>
      <c r="BH45" s="35" t="s">
        <v>284</v>
      </c>
      <c r="BI45" s="73">
        <v>2709</v>
      </c>
    </row>
    <row r="46" spans="45:61" x14ac:dyDescent="0.3">
      <c r="AS46" s="35">
        <v>362</v>
      </c>
      <c r="AT46" s="73">
        <v>10</v>
      </c>
    </row>
    <row r="47" spans="45:61" x14ac:dyDescent="0.3">
      <c r="AS47" s="35">
        <v>407</v>
      </c>
      <c r="AT47" s="73">
        <v>10</v>
      </c>
    </row>
    <row r="48" spans="45:61" x14ac:dyDescent="0.3">
      <c r="AS48" s="35">
        <v>414</v>
      </c>
      <c r="AT48" s="73">
        <v>10</v>
      </c>
    </row>
    <row r="49" spans="45:46" x14ac:dyDescent="0.3">
      <c r="AS49" s="35">
        <v>422</v>
      </c>
      <c r="AT49" s="73">
        <v>10</v>
      </c>
    </row>
    <row r="50" spans="45:46" x14ac:dyDescent="0.3">
      <c r="AS50" s="35">
        <v>425</v>
      </c>
      <c r="AT50" s="73">
        <v>10</v>
      </c>
    </row>
    <row r="51" spans="45:46" x14ac:dyDescent="0.3">
      <c r="AS51" s="35">
        <v>446</v>
      </c>
      <c r="AT51" s="73">
        <v>10</v>
      </c>
    </row>
    <row r="52" spans="45:46" x14ac:dyDescent="0.3">
      <c r="AS52" s="35">
        <v>453</v>
      </c>
      <c r="AT52" s="73">
        <v>10</v>
      </c>
    </row>
    <row r="53" spans="45:46" x14ac:dyDescent="0.3">
      <c r="AS53" s="35">
        <v>463</v>
      </c>
      <c r="AT53" s="73">
        <v>10</v>
      </c>
    </row>
    <row r="54" spans="45:46" x14ac:dyDescent="0.3">
      <c r="AS54" s="35">
        <v>494</v>
      </c>
      <c r="AT54" s="73">
        <v>10</v>
      </c>
    </row>
    <row r="55" spans="45:46" x14ac:dyDescent="0.3">
      <c r="AS55" s="35">
        <v>496</v>
      </c>
      <c r="AT55" s="73">
        <v>10</v>
      </c>
    </row>
    <row r="56" spans="45:46" x14ac:dyDescent="0.3">
      <c r="AS56" s="35">
        <v>498</v>
      </c>
      <c r="AT56" s="73">
        <v>10</v>
      </c>
    </row>
    <row r="57" spans="45:46" x14ac:dyDescent="0.3">
      <c r="AS57" s="35" t="s">
        <v>284</v>
      </c>
      <c r="AT57" s="73">
        <v>520</v>
      </c>
    </row>
  </sheetData>
  <mergeCells count="45">
    <mergeCell ref="B26:I26"/>
    <mergeCell ref="B20:I20"/>
    <mergeCell ref="B21:I21"/>
    <mergeCell ref="B22:I22"/>
    <mergeCell ref="B23:I23"/>
    <mergeCell ref="B24:I24"/>
    <mergeCell ref="B25:I25"/>
    <mergeCell ref="B2:I2"/>
    <mergeCell ref="B14:I14"/>
    <mergeCell ref="B16:I16"/>
    <mergeCell ref="B15:I15"/>
    <mergeCell ref="B17:I17"/>
    <mergeCell ref="B9:I9"/>
    <mergeCell ref="B8:I8"/>
    <mergeCell ref="B7:I7"/>
    <mergeCell ref="B6:I6"/>
    <mergeCell ref="B5:I5"/>
    <mergeCell ref="B4:I4"/>
    <mergeCell ref="B19:I19"/>
    <mergeCell ref="B18:I18"/>
    <mergeCell ref="B10:I10"/>
    <mergeCell ref="B11:I11"/>
    <mergeCell ref="B12:I12"/>
    <mergeCell ref="B13:I13"/>
    <mergeCell ref="L2:M2"/>
    <mergeCell ref="O2:P2"/>
    <mergeCell ref="R2:S2"/>
    <mergeCell ref="U2:V2"/>
    <mergeCell ref="X2:Y2"/>
    <mergeCell ref="AA2:AB2"/>
    <mergeCell ref="AD2:AE2"/>
    <mergeCell ref="AG2:AH2"/>
    <mergeCell ref="AJ2:AK2"/>
    <mergeCell ref="AM2:AN2"/>
    <mergeCell ref="AP2:AQ2"/>
    <mergeCell ref="AS2:AT2"/>
    <mergeCell ref="AV2:AW2"/>
    <mergeCell ref="AY2:AZ2"/>
    <mergeCell ref="BB2:BC2"/>
    <mergeCell ref="BQ1:BR1"/>
    <mergeCell ref="BT1:BU1"/>
    <mergeCell ref="BE2:BF2"/>
    <mergeCell ref="BH2:BI2"/>
    <mergeCell ref="BK2:BL2"/>
    <mergeCell ref="BN1:BO1"/>
  </mergeCells>
  <pageMargins left="0.7" right="0.7" top="0.75" bottom="0.75" header="0.3" footer="0.3"/>
  <drawing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4864-E0D9-4A40-85F2-DC81868AFBCC}">
  <dimension ref="A1:AF501"/>
  <sheetViews>
    <sheetView topLeftCell="S7" zoomScale="98" zoomScaleNormal="108" workbookViewId="0">
      <selection activeCell="W14" sqref="W14"/>
    </sheetView>
  </sheetViews>
  <sheetFormatPr defaultRowHeight="14.4" x14ac:dyDescent="0.3"/>
  <cols>
    <col min="2" max="2" width="10.5546875" bestFit="1" customWidth="1"/>
    <col min="6" max="6" width="10.77734375" bestFit="1" customWidth="1"/>
    <col min="10" max="10" width="7.88671875" bestFit="1" customWidth="1"/>
    <col min="11" max="11" width="15.5546875" customWidth="1"/>
    <col min="12" max="12" width="11.21875" customWidth="1"/>
    <col min="15" max="15" width="13.77734375" bestFit="1" customWidth="1"/>
    <col min="16" max="16" width="17.109375" bestFit="1" customWidth="1"/>
    <col min="21" max="21" width="26.109375" bestFit="1" customWidth="1"/>
    <col min="22" max="22" width="10" bestFit="1" customWidth="1"/>
    <col min="23" max="23" width="14.77734375" bestFit="1" customWidth="1"/>
    <col min="25" max="25" width="11" bestFit="1" customWidth="1"/>
    <col min="28" max="28" width="10.44140625" bestFit="1" customWidth="1"/>
    <col min="29" max="29" width="10.33203125" bestFit="1" customWidth="1"/>
    <col min="30" max="30" width="27.88671875" customWidth="1"/>
    <col min="34" max="34" width="10.44140625" bestFit="1" customWidth="1"/>
  </cols>
  <sheetData>
    <row r="1" spans="1:23" ht="15" thickBot="1" x14ac:dyDescent="0.35">
      <c r="A1" s="1" t="s">
        <v>0</v>
      </c>
      <c r="B1" s="2" t="s">
        <v>1</v>
      </c>
      <c r="C1" s="3" t="s">
        <v>2</v>
      </c>
      <c r="D1" s="3" t="s">
        <v>3</v>
      </c>
      <c r="E1" s="3" t="s">
        <v>4</v>
      </c>
      <c r="F1" s="3" t="s">
        <v>5</v>
      </c>
      <c r="G1" s="3" t="s">
        <v>6</v>
      </c>
      <c r="H1" s="4" t="s">
        <v>7</v>
      </c>
      <c r="I1" s="3" t="s">
        <v>8</v>
      </c>
      <c r="J1" s="5" t="s">
        <v>9</v>
      </c>
      <c r="K1" s="4" t="s">
        <v>10</v>
      </c>
      <c r="L1" s="4" t="s">
        <v>11</v>
      </c>
      <c r="M1" s="4" t="s">
        <v>12</v>
      </c>
      <c r="N1" s="3" t="s">
        <v>13</v>
      </c>
      <c r="O1" s="3" t="s">
        <v>14</v>
      </c>
      <c r="P1" s="3" t="s">
        <v>15</v>
      </c>
      <c r="Q1" s="3" t="s">
        <v>16</v>
      </c>
    </row>
    <row r="2" spans="1:23" ht="15.6" thickTop="1" thickBot="1" x14ac:dyDescent="0.35">
      <c r="A2" s="6">
        <v>1</v>
      </c>
      <c r="B2" s="7">
        <v>45197</v>
      </c>
      <c r="C2" s="8" t="s">
        <v>17</v>
      </c>
      <c r="D2" s="8" t="s">
        <v>18</v>
      </c>
      <c r="E2" s="8" t="s">
        <v>19</v>
      </c>
      <c r="F2" s="8" t="s">
        <v>20</v>
      </c>
      <c r="G2" s="8" t="s">
        <v>21</v>
      </c>
      <c r="H2" s="9">
        <v>46482.46</v>
      </c>
      <c r="I2" s="8">
        <v>8</v>
      </c>
      <c r="J2" s="10">
        <v>12648.46</v>
      </c>
      <c r="K2" s="11" t="str" cm="1">
        <f t="array" ref="K2">_xlfn.IFS(Table433[[#This Row],[Sales]]&gt;40000,"Best Sales",Table433[[#This Row],[Sales]]&gt;20000,"Average Sales",Table433[[#This Row],[Sales]]&gt;0,"Poor Sales")</f>
        <v>Best Sales</v>
      </c>
      <c r="L2" s="12">
        <f>YEAR(Table433[[#This Row],[Date]])</f>
        <v>2023</v>
      </c>
      <c r="M2" s="12">
        <f>MONTH(Table433[[#This Row],[Date]])</f>
        <v>9</v>
      </c>
      <c r="N2" s="13">
        <f>DAY(Table433[[#This Row],[Date]])</f>
        <v>28</v>
      </c>
      <c r="O2" s="13" t="str">
        <f>TEXT(DATE(2023,Table433[[#This Row],[Month]],1),"mmm")</f>
        <v>Sep</v>
      </c>
      <c r="P2" s="13"/>
      <c r="Q2" s="13"/>
    </row>
    <row r="3" spans="1:23" x14ac:dyDescent="0.3">
      <c r="A3" s="14">
        <v>2</v>
      </c>
      <c r="B3" s="15">
        <v>45274</v>
      </c>
      <c r="C3" s="16" t="s">
        <v>22</v>
      </c>
      <c r="D3" s="16" t="s">
        <v>23</v>
      </c>
      <c r="E3" s="16" t="s">
        <v>24</v>
      </c>
      <c r="F3" s="16" t="s">
        <v>20</v>
      </c>
      <c r="G3" s="16" t="s">
        <v>21</v>
      </c>
      <c r="H3" s="17">
        <v>47951.42</v>
      </c>
      <c r="I3" s="16">
        <v>10</v>
      </c>
      <c r="J3" s="18">
        <v>9869.94</v>
      </c>
      <c r="K3" s="17" t="str" cm="1">
        <f t="array" ref="K3">_xlfn.IFS(Table433[[#This Row],[Sales]]&gt;40000,"Best Sales",Table433[[#This Row],[Sales]]&gt;20000,"Average Sales",Table433[[#This Row],[Sales]]&gt;0,"Poor Sales")</f>
        <v>Best Sales</v>
      </c>
      <c r="L3" s="12">
        <f>YEAR(Table433[[#This Row],[Date]])</f>
        <v>2023</v>
      </c>
      <c r="M3" s="12">
        <f>MONTH(Table433[[#This Row],[Date]])</f>
        <v>12</v>
      </c>
      <c r="N3" s="13">
        <f>DAY(Table433[[#This Row],[Date]])</f>
        <v>14</v>
      </c>
      <c r="O3" s="13" t="str">
        <f>TEXT(DATE(2023,Table433[[#This Row],[Month]],1),"mmm")</f>
        <v>Dec</v>
      </c>
      <c r="P3" s="13"/>
      <c r="Q3" s="13"/>
      <c r="U3" s="58" t="s">
        <v>251</v>
      </c>
      <c r="V3" s="59"/>
      <c r="W3" s="60"/>
    </row>
    <row r="4" spans="1:23" x14ac:dyDescent="0.3">
      <c r="A4" s="6">
        <v>3</v>
      </c>
      <c r="B4" s="7">
        <v>45136</v>
      </c>
      <c r="C4" s="8" t="s">
        <v>25</v>
      </c>
      <c r="D4" s="8" t="s">
        <v>26</v>
      </c>
      <c r="E4" s="8" t="s">
        <v>27</v>
      </c>
      <c r="F4" s="8" t="s">
        <v>20</v>
      </c>
      <c r="G4" s="8" t="s">
        <v>28</v>
      </c>
      <c r="H4" s="9">
        <v>24461.75</v>
      </c>
      <c r="I4" s="8">
        <v>3</v>
      </c>
      <c r="J4" s="10">
        <v>7086.73</v>
      </c>
      <c r="K4" s="17" t="str" cm="1">
        <f t="array" ref="K4">_xlfn.IFS(Table433[[#This Row],[Sales]]&gt;40000,"Best Sales",Table433[[#This Row],[Sales]]&gt;20000,"Average Sales",Table433[[#This Row],[Sales]]&gt;0,"Poor Sales")</f>
        <v>Average Sales</v>
      </c>
      <c r="L4" s="12">
        <f>YEAR(Table433[[#This Row],[Date]])</f>
        <v>2023</v>
      </c>
      <c r="M4" s="12">
        <f>MONTH(Table433[[#This Row],[Date]])</f>
        <v>7</v>
      </c>
      <c r="N4" s="13">
        <f>DAY(Table433[[#This Row],[Date]])</f>
        <v>29</v>
      </c>
      <c r="O4" s="13" t="str">
        <f>TEXT(DATE(2023,Table433[[#This Row],[Month]],1),"mmm")</f>
        <v>Jul</v>
      </c>
      <c r="P4" s="13"/>
      <c r="Q4" s="13"/>
      <c r="U4" s="38"/>
      <c r="W4" s="39"/>
    </row>
    <row r="5" spans="1:23" x14ac:dyDescent="0.3">
      <c r="A5" s="14">
        <v>4</v>
      </c>
      <c r="B5" s="15">
        <v>45044</v>
      </c>
      <c r="C5" s="16" t="s">
        <v>29</v>
      </c>
      <c r="D5" s="16" t="s">
        <v>29</v>
      </c>
      <c r="E5" s="16" t="s">
        <v>30</v>
      </c>
      <c r="F5" s="16" t="s">
        <v>31</v>
      </c>
      <c r="G5" s="16" t="s">
        <v>32</v>
      </c>
      <c r="H5" s="17">
        <v>11804.18</v>
      </c>
      <c r="I5" s="16">
        <v>5</v>
      </c>
      <c r="J5" s="18">
        <v>2281.2199999999998</v>
      </c>
      <c r="K5" s="17" t="str" cm="1">
        <f t="array" ref="K5">_xlfn.IFS(Table433[[#This Row],[Sales]]&gt;40000,"Best Sales",Table433[[#This Row],[Sales]]&gt;20000,"Average Sales",Table433[[#This Row],[Sales]]&gt;0,"Poor Sales")</f>
        <v>Poor Sales</v>
      </c>
      <c r="L5" s="12">
        <f>YEAR(Table433[[#This Row],[Date]])</f>
        <v>2023</v>
      </c>
      <c r="M5" s="12">
        <f>MONTH(Table433[[#This Row],[Date]])</f>
        <v>4</v>
      </c>
      <c r="N5" s="13">
        <f>DAY(Table433[[#This Row],[Date]])</f>
        <v>28</v>
      </c>
      <c r="O5" s="13" t="str">
        <f>TEXT(DATE(2023,Table433[[#This Row],[Month]],1),"mmm")</f>
        <v>Apr</v>
      </c>
      <c r="P5" s="13"/>
      <c r="Q5" s="13"/>
      <c r="U5" s="40" t="s">
        <v>247</v>
      </c>
      <c r="V5" s="24"/>
      <c r="W5" s="71">
        <f>SUM(Table433[Sales])</f>
        <v>13096323.239999998</v>
      </c>
    </row>
    <row r="6" spans="1:23" x14ac:dyDescent="0.3">
      <c r="A6" s="6">
        <v>5</v>
      </c>
      <c r="B6" s="7">
        <v>45175</v>
      </c>
      <c r="C6" s="8" t="s">
        <v>33</v>
      </c>
      <c r="D6" s="8" t="s">
        <v>34</v>
      </c>
      <c r="E6" s="8" t="s">
        <v>19</v>
      </c>
      <c r="F6" s="8" t="s">
        <v>31</v>
      </c>
      <c r="G6" s="8" t="s">
        <v>35</v>
      </c>
      <c r="H6" s="9">
        <v>32428.83</v>
      </c>
      <c r="I6" s="8">
        <v>7</v>
      </c>
      <c r="J6" s="10">
        <v>6931.45</v>
      </c>
      <c r="K6" s="17" t="str" cm="1">
        <f t="array" ref="K6">_xlfn.IFS(Table433[[#This Row],[Sales]]&gt;40000,"Best Sales",Table433[[#This Row],[Sales]]&gt;20000,"Average Sales",Table433[[#This Row],[Sales]]&gt;0,"Poor Sales")</f>
        <v>Average Sales</v>
      </c>
      <c r="L6" s="12">
        <f>YEAR(Table433[[#This Row],[Date]])</f>
        <v>2023</v>
      </c>
      <c r="M6" s="12">
        <f>MONTH(Table433[[#This Row],[Date]])</f>
        <v>9</v>
      </c>
      <c r="N6" s="13">
        <f>DAY(Table433[[#This Row],[Date]])</f>
        <v>6</v>
      </c>
      <c r="O6" s="13" t="str">
        <f>TEXT(DATE(2023,Table433[[#This Row],[Month]],1),"mmm")</f>
        <v>Sep</v>
      </c>
      <c r="P6" s="13"/>
      <c r="Q6" s="13"/>
      <c r="U6" s="40" t="s">
        <v>255</v>
      </c>
      <c r="V6" s="24"/>
      <c r="W6" s="41">
        <f>COUNT(Table433[Order_ID])</f>
        <v>500</v>
      </c>
    </row>
    <row r="7" spans="1:23" x14ac:dyDescent="0.3">
      <c r="A7" s="14">
        <v>6</v>
      </c>
      <c r="B7" s="15">
        <v>45004</v>
      </c>
      <c r="C7" s="16" t="s">
        <v>25</v>
      </c>
      <c r="D7" s="16" t="s">
        <v>26</v>
      </c>
      <c r="E7" s="16" t="s">
        <v>24</v>
      </c>
      <c r="F7" s="16" t="s">
        <v>31</v>
      </c>
      <c r="G7" s="16" t="s">
        <v>36</v>
      </c>
      <c r="H7" s="17">
        <v>25931.95</v>
      </c>
      <c r="I7" s="16">
        <v>4</v>
      </c>
      <c r="J7" s="18">
        <v>1541.8</v>
      </c>
      <c r="K7" s="17" t="str" cm="1">
        <f t="array" ref="K7">_xlfn.IFS(Table433[[#This Row],[Sales]]&gt;40000,"Best Sales",Table433[[#This Row],[Sales]]&gt;20000,"Average Sales",Table433[[#This Row],[Sales]]&gt;0,"Poor Sales")</f>
        <v>Average Sales</v>
      </c>
      <c r="L7" s="12">
        <f>YEAR(Table433[[#This Row],[Date]])</f>
        <v>2023</v>
      </c>
      <c r="M7" s="12">
        <f>MONTH(Table433[[#This Row],[Date]])</f>
        <v>3</v>
      </c>
      <c r="N7" s="13">
        <f>DAY(Table433[[#This Row],[Date]])</f>
        <v>19</v>
      </c>
      <c r="O7" s="13" t="str">
        <f>TEXT(DATE(2023,Table433[[#This Row],[Month]],1),"mmm")</f>
        <v>Mar</v>
      </c>
      <c r="P7" s="13"/>
      <c r="Q7" s="13"/>
      <c r="U7" s="40" t="s">
        <v>248</v>
      </c>
      <c r="V7" s="24"/>
      <c r="W7" s="41">
        <f>W5/W6</f>
        <v>26192.646479999996</v>
      </c>
    </row>
    <row r="8" spans="1:23" x14ac:dyDescent="0.3">
      <c r="A8" s="6">
        <v>7</v>
      </c>
      <c r="B8" s="7">
        <v>45258</v>
      </c>
      <c r="C8" s="8" t="s">
        <v>37</v>
      </c>
      <c r="D8" s="8" t="s">
        <v>23</v>
      </c>
      <c r="E8" s="8" t="s">
        <v>30</v>
      </c>
      <c r="F8" s="8" t="s">
        <v>31</v>
      </c>
      <c r="G8" s="8" t="s">
        <v>32</v>
      </c>
      <c r="H8" s="9">
        <v>15599.35</v>
      </c>
      <c r="I8" s="8">
        <v>4</v>
      </c>
      <c r="J8" s="10">
        <v>2837.29</v>
      </c>
      <c r="K8" s="17" t="str" cm="1">
        <f t="array" ref="K8">_xlfn.IFS(Table433[[#This Row],[Sales]]&gt;40000,"Best Sales",Table433[[#This Row],[Sales]]&gt;20000,"Average Sales",Table433[[#This Row],[Sales]]&gt;0,"Poor Sales")</f>
        <v>Poor Sales</v>
      </c>
      <c r="L8" s="12">
        <f>YEAR(Table433[[#This Row],[Date]])</f>
        <v>2023</v>
      </c>
      <c r="M8" s="12">
        <f>MONTH(Table433[[#This Row],[Date]])</f>
        <v>11</v>
      </c>
      <c r="N8" s="13">
        <f>DAY(Table433[[#This Row],[Date]])</f>
        <v>28</v>
      </c>
      <c r="O8" s="13" t="str">
        <f>TEXT(DATE(2023,Table433[[#This Row],[Month]],1),"mmm")</f>
        <v>Nov</v>
      </c>
      <c r="P8" s="13"/>
      <c r="Q8" s="13"/>
      <c r="U8" s="40" t="s">
        <v>249</v>
      </c>
      <c r="V8" s="24"/>
      <c r="W8" s="41">
        <f>MAX(Table433[Sales])</f>
        <v>49951.15</v>
      </c>
    </row>
    <row r="9" spans="1:23" ht="15" thickBot="1" x14ac:dyDescent="0.35">
      <c r="A9" s="14">
        <v>8</v>
      </c>
      <c r="B9" s="15">
        <v>45165</v>
      </c>
      <c r="C9" s="16" t="s">
        <v>25</v>
      </c>
      <c r="D9" s="16" t="s">
        <v>26</v>
      </c>
      <c r="E9" s="16" t="s">
        <v>27</v>
      </c>
      <c r="F9" s="16" t="s">
        <v>38</v>
      </c>
      <c r="G9" s="16" t="s">
        <v>39</v>
      </c>
      <c r="H9" s="17">
        <v>31649</v>
      </c>
      <c r="I9" s="16">
        <v>5</v>
      </c>
      <c r="J9" s="18">
        <v>3646.09</v>
      </c>
      <c r="K9" s="17" t="str" cm="1">
        <f t="array" ref="K9">_xlfn.IFS(Table433[[#This Row],[Sales]]&gt;40000,"Best Sales",Table433[[#This Row],[Sales]]&gt;20000,"Average Sales",Table433[[#This Row],[Sales]]&gt;0,"Poor Sales")</f>
        <v>Average Sales</v>
      </c>
      <c r="L9" s="12">
        <f>YEAR(Table433[[#This Row],[Date]])</f>
        <v>2023</v>
      </c>
      <c r="M9" s="12">
        <f>MONTH(Table433[[#This Row],[Date]])</f>
        <v>8</v>
      </c>
      <c r="N9" s="13">
        <f>DAY(Table433[[#This Row],[Date]])</f>
        <v>27</v>
      </c>
      <c r="O9" s="13" t="str">
        <f>TEXT(DATE(2023,Table433[[#This Row],[Month]],1),"mmm")</f>
        <v>Aug</v>
      </c>
      <c r="P9" s="13"/>
      <c r="Q9" s="13"/>
      <c r="U9" s="42" t="s">
        <v>250</v>
      </c>
      <c r="V9" s="43"/>
      <c r="W9" s="44">
        <f>MIN(Table433[Sales])</f>
        <v>1072.04</v>
      </c>
    </row>
    <row r="10" spans="1:23" ht="15" thickBot="1" x14ac:dyDescent="0.35">
      <c r="A10" s="6">
        <v>9</v>
      </c>
      <c r="B10" s="7">
        <v>45027</v>
      </c>
      <c r="C10" s="8" t="s">
        <v>22</v>
      </c>
      <c r="D10" s="8" t="s">
        <v>23</v>
      </c>
      <c r="E10" s="8" t="s">
        <v>19</v>
      </c>
      <c r="F10" s="8" t="s">
        <v>31</v>
      </c>
      <c r="G10" s="8" t="s">
        <v>36</v>
      </c>
      <c r="H10" s="9">
        <v>4444</v>
      </c>
      <c r="I10" s="8">
        <v>7</v>
      </c>
      <c r="J10" s="10">
        <v>2025</v>
      </c>
      <c r="K10" s="17" t="str" cm="1">
        <f t="array" ref="K10">_xlfn.IFS(Table433[[#This Row],[Sales]]&gt;40000,"Best Sales",Table433[[#This Row],[Sales]]&gt;20000,"Average Sales",Table433[[#This Row],[Sales]]&gt;0,"Poor Sales")</f>
        <v>Poor Sales</v>
      </c>
      <c r="L10" s="12">
        <f>YEAR(Table433[[#This Row],[Date]])</f>
        <v>2023</v>
      </c>
      <c r="M10" s="12">
        <f>MONTH(Table433[[#This Row],[Date]])</f>
        <v>4</v>
      </c>
      <c r="N10" s="13">
        <f>DAY(Table433[[#This Row],[Date]])</f>
        <v>11</v>
      </c>
      <c r="O10" s="13" t="str">
        <f>TEXT(DATE(2023,Table433[[#This Row],[Month]],1),"mmm")</f>
        <v>Apr</v>
      </c>
      <c r="P10" s="13"/>
      <c r="Q10" s="13"/>
    </row>
    <row r="11" spans="1:23" x14ac:dyDescent="0.3">
      <c r="A11" s="14">
        <v>10</v>
      </c>
      <c r="B11" s="15">
        <v>45097</v>
      </c>
      <c r="C11" s="16" t="s">
        <v>37</v>
      </c>
      <c r="D11" s="16" t="s">
        <v>23</v>
      </c>
      <c r="E11" s="16" t="s">
        <v>24</v>
      </c>
      <c r="F11" s="16" t="s">
        <v>38</v>
      </c>
      <c r="G11" s="16" t="s">
        <v>40</v>
      </c>
      <c r="H11" s="17">
        <v>31852.71</v>
      </c>
      <c r="I11" s="16">
        <v>5</v>
      </c>
      <c r="J11" s="18">
        <v>9113.66</v>
      </c>
      <c r="K11" s="17" t="str" cm="1">
        <f t="array" ref="K11">_xlfn.IFS(Table433[[#This Row],[Sales]]&gt;40000,"Best Sales",Table433[[#This Row],[Sales]]&gt;20000,"Average Sales",Table433[[#This Row],[Sales]]&gt;0,"Poor Sales")</f>
        <v>Average Sales</v>
      </c>
      <c r="L11" s="12">
        <f>YEAR(Table433[[#This Row],[Date]])</f>
        <v>2023</v>
      </c>
      <c r="M11" s="12">
        <f>MONTH(Table433[[#This Row],[Date]])</f>
        <v>6</v>
      </c>
      <c r="N11" s="13">
        <f>DAY(Table433[[#This Row],[Date]])</f>
        <v>20</v>
      </c>
      <c r="O11" s="13" t="str">
        <f>TEXT(DATE(2023,Table433[[#This Row],[Month]],1),"mmm")</f>
        <v>Jun</v>
      </c>
      <c r="P11" s="13"/>
      <c r="Q11" s="13"/>
      <c r="U11" s="58" t="s">
        <v>252</v>
      </c>
      <c r="V11" s="59"/>
      <c r="W11" s="60"/>
    </row>
    <row r="12" spans="1:23" x14ac:dyDescent="0.3">
      <c r="A12" s="6">
        <v>11</v>
      </c>
      <c r="B12" s="7">
        <v>45272</v>
      </c>
      <c r="C12" s="8" t="s">
        <v>29</v>
      </c>
      <c r="D12" s="8" t="s">
        <v>29</v>
      </c>
      <c r="E12" s="8" t="s">
        <v>30</v>
      </c>
      <c r="F12" s="8" t="s">
        <v>38</v>
      </c>
      <c r="G12" s="8" t="s">
        <v>39</v>
      </c>
      <c r="H12" s="9">
        <v>46127.15</v>
      </c>
      <c r="I12" s="8">
        <v>7</v>
      </c>
      <c r="J12" s="10">
        <v>12556.39</v>
      </c>
      <c r="K12" s="17" t="str" cm="1">
        <f t="array" ref="K12">_xlfn.IFS(Table433[[#This Row],[Sales]]&gt;40000,"Best Sales",Table433[[#This Row],[Sales]]&gt;20000,"Average Sales",Table433[[#This Row],[Sales]]&gt;0,"Poor Sales")</f>
        <v>Best Sales</v>
      </c>
      <c r="L12" s="12">
        <f>YEAR(Table433[[#This Row],[Date]])</f>
        <v>2023</v>
      </c>
      <c r="M12" s="12">
        <f>MONTH(Table433[[#This Row],[Date]])</f>
        <v>12</v>
      </c>
      <c r="N12" s="13">
        <f>DAY(Table433[[#This Row],[Date]])</f>
        <v>12</v>
      </c>
      <c r="O12" s="13" t="str">
        <f>TEXT(DATE(2023,Table433[[#This Row],[Month]],1),"mmm")</f>
        <v>Dec</v>
      </c>
      <c r="P12" s="13"/>
      <c r="Q12" s="13"/>
      <c r="U12" s="38"/>
      <c r="W12" s="39"/>
    </row>
    <row r="13" spans="1:23" x14ac:dyDescent="0.3">
      <c r="A13" s="14">
        <v>12</v>
      </c>
      <c r="B13" s="15">
        <v>45123</v>
      </c>
      <c r="C13" s="16" t="s">
        <v>25</v>
      </c>
      <c r="D13" s="16" t="s">
        <v>26</v>
      </c>
      <c r="E13" s="16" t="s">
        <v>27</v>
      </c>
      <c r="F13" s="16" t="s">
        <v>20</v>
      </c>
      <c r="G13" s="16" t="s">
        <v>41</v>
      </c>
      <c r="H13" s="17">
        <v>16045.71</v>
      </c>
      <c r="I13" s="16">
        <v>10</v>
      </c>
      <c r="J13" s="18">
        <v>921.15</v>
      </c>
      <c r="K13" s="17" t="str" cm="1">
        <f t="array" ref="K13">_xlfn.IFS(Table433[[#This Row],[Sales]]&gt;40000,"Best Sales",Table433[[#This Row],[Sales]]&gt;20000,"Average Sales",Table433[[#This Row],[Sales]]&gt;0,"Poor Sales")</f>
        <v>Poor Sales</v>
      </c>
      <c r="L13" s="12">
        <f>YEAR(Table433[[#This Row],[Date]])</f>
        <v>2023</v>
      </c>
      <c r="M13" s="12">
        <f>MONTH(Table433[[#This Row],[Date]])</f>
        <v>7</v>
      </c>
      <c r="N13" s="13">
        <f>DAY(Table433[[#This Row],[Date]])</f>
        <v>16</v>
      </c>
      <c r="O13" s="13" t="str">
        <f>TEXT(DATE(2023,Table433[[#This Row],[Month]],1),"mmm")</f>
        <v>Jul</v>
      </c>
      <c r="P13" s="13"/>
      <c r="Q13" s="13"/>
      <c r="U13" s="38" t="s">
        <v>253</v>
      </c>
      <c r="W13" s="72">
        <f>SUM(Table43[Profit])</f>
        <v>2342559.0700000017</v>
      </c>
    </row>
    <row r="14" spans="1:23" x14ac:dyDescent="0.3">
      <c r="A14" s="6">
        <v>13</v>
      </c>
      <c r="B14" s="7">
        <v>45004</v>
      </c>
      <c r="C14" s="8" t="s">
        <v>42</v>
      </c>
      <c r="D14" s="8" t="s">
        <v>43</v>
      </c>
      <c r="E14" s="8" t="s">
        <v>27</v>
      </c>
      <c r="F14" s="8" t="s">
        <v>38</v>
      </c>
      <c r="G14" s="8" t="s">
        <v>39</v>
      </c>
      <c r="H14" s="9">
        <v>17293.28</v>
      </c>
      <c r="I14" s="8">
        <v>3</v>
      </c>
      <c r="J14" s="10">
        <v>3755.05</v>
      </c>
      <c r="K14" s="17" t="str" cm="1">
        <f t="array" ref="K14">_xlfn.IFS(Table433[[#This Row],[Sales]]&gt;40000,"Best Sales",Table433[[#This Row],[Sales]]&gt;20000,"Average Sales",Table433[[#This Row],[Sales]]&gt;0,"Poor Sales")</f>
        <v>Poor Sales</v>
      </c>
      <c r="L14" s="12">
        <f>YEAR(Table433[[#This Row],[Date]])</f>
        <v>2023</v>
      </c>
      <c r="M14" s="12">
        <f>MONTH(Table433[[#This Row],[Date]])</f>
        <v>3</v>
      </c>
      <c r="N14" s="13">
        <f>DAY(Table433[[#This Row],[Date]])</f>
        <v>19</v>
      </c>
      <c r="O14" s="13" t="str">
        <f>TEXT(DATE(2023,Table433[[#This Row],[Month]],1),"mmm")</f>
        <v>Mar</v>
      </c>
      <c r="P14" s="13"/>
      <c r="Q14" s="13"/>
      <c r="U14" s="38" t="s">
        <v>254</v>
      </c>
      <c r="W14" s="45">
        <f>W13/W5</f>
        <v>0.17887150668709381</v>
      </c>
    </row>
    <row r="15" spans="1:23" ht="15" thickBot="1" x14ac:dyDescent="0.35">
      <c r="A15" s="14">
        <v>14</v>
      </c>
      <c r="B15" s="15">
        <v>45278</v>
      </c>
      <c r="C15" s="16" t="s">
        <v>44</v>
      </c>
      <c r="D15" s="16" t="s">
        <v>34</v>
      </c>
      <c r="E15" s="16" t="s">
        <v>19</v>
      </c>
      <c r="F15" s="16" t="s">
        <v>20</v>
      </c>
      <c r="G15" s="16" t="s">
        <v>41</v>
      </c>
      <c r="H15" s="17">
        <v>34137.550000000003</v>
      </c>
      <c r="I15" s="16">
        <v>4</v>
      </c>
      <c r="J15" s="18">
        <v>1912.63</v>
      </c>
      <c r="K15" s="17" t="str" cm="1">
        <f t="array" ref="K15">_xlfn.IFS(Table433[[#This Row],[Sales]]&gt;40000,"Best Sales",Table433[[#This Row],[Sales]]&gt;20000,"Average Sales",Table433[[#This Row],[Sales]]&gt;0,"Poor Sales")</f>
        <v>Average Sales</v>
      </c>
      <c r="L15" s="12">
        <f>YEAR(Table433[[#This Row],[Date]])</f>
        <v>2023</v>
      </c>
      <c r="M15" s="12">
        <f>MONTH(Table433[[#This Row],[Date]])</f>
        <v>12</v>
      </c>
      <c r="N15" s="13">
        <f>DAY(Table433[[#This Row],[Date]])</f>
        <v>18</v>
      </c>
      <c r="O15" s="13" t="str">
        <f>TEXT(DATE(2023,Table433[[#This Row],[Month]],1),"mmm")</f>
        <v>Dec</v>
      </c>
      <c r="P15" s="13"/>
      <c r="Q15" s="13"/>
      <c r="U15" s="46" t="s">
        <v>256</v>
      </c>
      <c r="V15" s="47"/>
      <c r="W15" s="48">
        <f>AVERAGE(W13/W6)</f>
        <v>4685.1181400000032</v>
      </c>
    </row>
    <row r="16" spans="1:23" ht="15" thickBot="1" x14ac:dyDescent="0.35">
      <c r="A16" s="6">
        <v>15</v>
      </c>
      <c r="B16" s="7">
        <v>44966</v>
      </c>
      <c r="C16" s="8" t="s">
        <v>45</v>
      </c>
      <c r="D16" s="8" t="s">
        <v>34</v>
      </c>
      <c r="E16" s="8" t="s">
        <v>24</v>
      </c>
      <c r="F16" s="8" t="s">
        <v>31</v>
      </c>
      <c r="G16" s="8" t="s">
        <v>36</v>
      </c>
      <c r="H16" s="9">
        <v>37166.230000000003</v>
      </c>
      <c r="I16" s="8">
        <v>9</v>
      </c>
      <c r="J16" s="10">
        <v>4660.25</v>
      </c>
      <c r="K16" s="17" t="str" cm="1">
        <f t="array" ref="K16">_xlfn.IFS(Table433[[#This Row],[Sales]]&gt;40000,"Best Sales",Table433[[#This Row],[Sales]]&gt;20000,"Average Sales",Table433[[#This Row],[Sales]]&gt;0,"Poor Sales")</f>
        <v>Average Sales</v>
      </c>
      <c r="L16" s="12">
        <f>YEAR(Table433[[#This Row],[Date]])</f>
        <v>2023</v>
      </c>
      <c r="M16" s="12">
        <f>MONTH(Table433[[#This Row],[Date]])</f>
        <v>2</v>
      </c>
      <c r="N16" s="13">
        <f>DAY(Table433[[#This Row],[Date]])</f>
        <v>9</v>
      </c>
      <c r="O16" s="13" t="str">
        <f>TEXT(DATE(2023,Table433[[#This Row],[Month]],1),"mmm")</f>
        <v>Feb</v>
      </c>
      <c r="P16" s="13"/>
      <c r="Q16" s="13"/>
    </row>
    <row r="17" spans="1:26" x14ac:dyDescent="0.3">
      <c r="A17" s="14">
        <v>16</v>
      </c>
      <c r="B17" s="15">
        <v>45001</v>
      </c>
      <c r="C17" s="16" t="s">
        <v>45</v>
      </c>
      <c r="D17" s="16" t="s">
        <v>34</v>
      </c>
      <c r="E17" s="16" t="s">
        <v>24</v>
      </c>
      <c r="F17" s="16" t="s">
        <v>20</v>
      </c>
      <c r="G17" s="16" t="s">
        <v>28</v>
      </c>
      <c r="H17" s="17">
        <v>7067.15</v>
      </c>
      <c r="I17" s="16">
        <v>10</v>
      </c>
      <c r="J17" s="18">
        <v>959.24</v>
      </c>
      <c r="K17" s="17" t="str" cm="1">
        <f t="array" ref="K17">_xlfn.IFS(Table433[[#This Row],[Sales]]&gt;40000,"Best Sales",Table433[[#This Row],[Sales]]&gt;20000,"Average Sales",Table433[[#This Row],[Sales]]&gt;0,"Poor Sales")</f>
        <v>Poor Sales</v>
      </c>
      <c r="L17" s="12">
        <f>YEAR(Table433[[#This Row],[Date]])</f>
        <v>2023</v>
      </c>
      <c r="M17" s="12">
        <f>MONTH(Table433[[#This Row],[Date]])</f>
        <v>3</v>
      </c>
      <c r="N17" s="13">
        <f>DAY(Table433[[#This Row],[Date]])</f>
        <v>16</v>
      </c>
      <c r="O17" s="13" t="str">
        <f>TEXT(DATE(2023,Table433[[#This Row],[Month]],1),"mmm")</f>
        <v>Mar</v>
      </c>
      <c r="P17" s="13"/>
      <c r="Q17" s="13"/>
      <c r="U17" s="58" t="s">
        <v>257</v>
      </c>
      <c r="V17" s="59"/>
      <c r="W17" s="60"/>
    </row>
    <row r="18" spans="1:26" x14ac:dyDescent="0.3">
      <c r="A18" s="6">
        <v>17</v>
      </c>
      <c r="B18" s="7">
        <v>45119</v>
      </c>
      <c r="C18" s="8" t="s">
        <v>22</v>
      </c>
      <c r="D18" s="8" t="s">
        <v>23</v>
      </c>
      <c r="E18" s="8" t="s">
        <v>24</v>
      </c>
      <c r="F18" s="8" t="s">
        <v>38</v>
      </c>
      <c r="G18" s="8" t="s">
        <v>40</v>
      </c>
      <c r="H18" s="9">
        <v>28440.25</v>
      </c>
      <c r="I18" s="8">
        <v>7</v>
      </c>
      <c r="J18" s="10">
        <v>8317.2999999999993</v>
      </c>
      <c r="K18" s="17" t="str" cm="1">
        <f t="array" ref="K18">_xlfn.IFS(Table433[[#This Row],[Sales]]&gt;40000,"Best Sales",Table433[[#This Row],[Sales]]&gt;20000,"Average Sales",Table433[[#This Row],[Sales]]&gt;0,"Poor Sales")</f>
        <v>Average Sales</v>
      </c>
      <c r="L18" s="12">
        <f>YEAR(Table433[[#This Row],[Date]])</f>
        <v>2023</v>
      </c>
      <c r="M18" s="12">
        <f>MONTH(Table433[[#This Row],[Date]])</f>
        <v>7</v>
      </c>
      <c r="N18" s="13">
        <f>DAY(Table433[[#This Row],[Date]])</f>
        <v>12</v>
      </c>
      <c r="O18" s="13" t="str">
        <f>TEXT(DATE(2023,Table433[[#This Row],[Month]],1),"mmm")</f>
        <v>Jul</v>
      </c>
      <c r="P18" s="13"/>
      <c r="Q18" s="13"/>
      <c r="U18" s="38"/>
      <c r="W18" s="39"/>
    </row>
    <row r="19" spans="1:26" x14ac:dyDescent="0.3">
      <c r="A19" s="14">
        <v>18</v>
      </c>
      <c r="B19" s="15">
        <v>45259</v>
      </c>
      <c r="C19" s="16" t="s">
        <v>29</v>
      </c>
      <c r="D19" s="16" t="s">
        <v>29</v>
      </c>
      <c r="E19" s="16" t="s">
        <v>24</v>
      </c>
      <c r="F19" s="16" t="s">
        <v>20</v>
      </c>
      <c r="G19" s="16" t="s">
        <v>41</v>
      </c>
      <c r="H19" s="17">
        <v>4336.55</v>
      </c>
      <c r="I19" s="16">
        <v>10</v>
      </c>
      <c r="J19" s="18">
        <v>883.82</v>
      </c>
      <c r="K19" s="17" t="str" cm="1">
        <f t="array" ref="K19">_xlfn.IFS(Table433[[#This Row],[Sales]]&gt;40000,"Best Sales",Table433[[#This Row],[Sales]]&gt;20000,"Average Sales",Table433[[#This Row],[Sales]]&gt;0,"Poor Sales")</f>
        <v>Poor Sales</v>
      </c>
      <c r="L19" s="12">
        <f>YEAR(Table433[[#This Row],[Date]])</f>
        <v>2023</v>
      </c>
      <c r="M19" s="12">
        <f>MONTH(Table433[[#This Row],[Date]])</f>
        <v>11</v>
      </c>
      <c r="N19" s="13">
        <f>DAY(Table433[[#This Row],[Date]])</f>
        <v>29</v>
      </c>
      <c r="O19" s="13" t="str">
        <f>TEXT(DATE(2023,Table433[[#This Row],[Month]],1),"mmm")</f>
        <v>Nov</v>
      </c>
      <c r="P19" s="13"/>
      <c r="Q19" s="13"/>
      <c r="U19" s="38" t="s">
        <v>258</v>
      </c>
      <c r="W19" s="39">
        <f>SUM(Table43[Quantity])</f>
        <v>2709</v>
      </c>
    </row>
    <row r="20" spans="1:26" ht="15" thickBot="1" x14ac:dyDescent="0.35">
      <c r="A20" s="6">
        <v>19</v>
      </c>
      <c r="B20" s="7">
        <v>45282</v>
      </c>
      <c r="C20" s="8" t="s">
        <v>29</v>
      </c>
      <c r="D20" s="8" t="s">
        <v>29</v>
      </c>
      <c r="E20" s="8" t="s">
        <v>24</v>
      </c>
      <c r="F20" s="8" t="s">
        <v>20</v>
      </c>
      <c r="G20" s="8" t="s">
        <v>21</v>
      </c>
      <c r="H20" s="9">
        <v>1239.49</v>
      </c>
      <c r="I20" s="8">
        <v>4</v>
      </c>
      <c r="J20" s="10">
        <v>278.37</v>
      </c>
      <c r="K20" s="17" t="str" cm="1">
        <f t="array" ref="K20">_xlfn.IFS(Table433[[#This Row],[Sales]]&gt;40000,"Best Sales",Table433[[#This Row],[Sales]]&gt;20000,"Average Sales",Table433[[#This Row],[Sales]]&gt;0,"Poor Sales")</f>
        <v>Poor Sales</v>
      </c>
      <c r="L20" s="12">
        <f>YEAR(Table433[[#This Row],[Date]])</f>
        <v>2023</v>
      </c>
      <c r="M20" s="12">
        <f>MONTH(Table433[[#This Row],[Date]])</f>
        <v>12</v>
      </c>
      <c r="N20" s="13">
        <f>DAY(Table433[[#This Row],[Date]])</f>
        <v>22</v>
      </c>
      <c r="O20" s="13" t="str">
        <f>TEXT(DATE(2023,Table433[[#This Row],[Month]],1),"mmm")</f>
        <v>Dec</v>
      </c>
      <c r="P20" s="13"/>
      <c r="Q20" s="13"/>
      <c r="U20" s="46" t="s">
        <v>259</v>
      </c>
      <c r="V20" s="47"/>
      <c r="W20" s="48">
        <f>W19/W6</f>
        <v>5.4180000000000001</v>
      </c>
    </row>
    <row r="21" spans="1:26" ht="15" thickBot="1" x14ac:dyDescent="0.35">
      <c r="A21" s="14">
        <v>20</v>
      </c>
      <c r="B21" s="15">
        <v>45003</v>
      </c>
      <c r="C21" s="16" t="s">
        <v>33</v>
      </c>
      <c r="D21" s="16" t="s">
        <v>34</v>
      </c>
      <c r="E21" s="16" t="s">
        <v>24</v>
      </c>
      <c r="F21" s="16" t="s">
        <v>31</v>
      </c>
      <c r="G21" s="16" t="s">
        <v>32</v>
      </c>
      <c r="H21" s="17">
        <v>12013.15</v>
      </c>
      <c r="I21" s="16">
        <v>7</v>
      </c>
      <c r="J21" s="18">
        <v>968.92</v>
      </c>
      <c r="K21" s="17" t="str" cm="1">
        <f t="array" ref="K21">_xlfn.IFS(Table433[[#This Row],[Sales]]&gt;40000,"Best Sales",Table433[[#This Row],[Sales]]&gt;20000,"Average Sales",Table433[[#This Row],[Sales]]&gt;0,"Poor Sales")</f>
        <v>Poor Sales</v>
      </c>
      <c r="L21" s="12">
        <f>YEAR(Table433[[#This Row],[Date]])</f>
        <v>2023</v>
      </c>
      <c r="M21" s="12">
        <f>MONTH(Table433[[#This Row],[Date]])</f>
        <v>3</v>
      </c>
      <c r="N21" s="13">
        <f>DAY(Table433[[#This Row],[Date]])</f>
        <v>18</v>
      </c>
      <c r="O21" s="13" t="str">
        <f>TEXT(DATE(2023,Table433[[#This Row],[Month]],1),"mmm")</f>
        <v>Mar</v>
      </c>
      <c r="P21" s="13"/>
      <c r="Q21" s="13"/>
    </row>
    <row r="22" spans="1:26" x14ac:dyDescent="0.3">
      <c r="A22" s="6">
        <v>21</v>
      </c>
      <c r="B22" s="7">
        <v>44972</v>
      </c>
      <c r="C22" s="8" t="s">
        <v>17</v>
      </c>
      <c r="D22" s="8" t="s">
        <v>18</v>
      </c>
      <c r="E22" s="8" t="s">
        <v>24</v>
      </c>
      <c r="F22" s="8" t="s">
        <v>38</v>
      </c>
      <c r="G22" s="8" t="s">
        <v>46</v>
      </c>
      <c r="H22" s="9">
        <v>43252.06</v>
      </c>
      <c r="I22" s="8">
        <v>10</v>
      </c>
      <c r="J22" s="10">
        <v>8949.06</v>
      </c>
      <c r="K22" s="17" t="str" cm="1">
        <f t="array" ref="K22">_xlfn.IFS(Table433[[#This Row],[Sales]]&gt;40000,"Best Sales",Table433[[#This Row],[Sales]]&gt;20000,"Average Sales",Table433[[#This Row],[Sales]]&gt;0,"Poor Sales")</f>
        <v>Best Sales</v>
      </c>
      <c r="L22" s="12">
        <f>YEAR(Table433[[#This Row],[Date]])</f>
        <v>2023</v>
      </c>
      <c r="M22" s="12">
        <f>MONTH(Table433[[#This Row],[Date]])</f>
        <v>2</v>
      </c>
      <c r="N22" s="13">
        <f>DAY(Table433[[#This Row],[Date]])</f>
        <v>15</v>
      </c>
      <c r="O22" s="13" t="str">
        <f>TEXT(DATE(2023,Table433[[#This Row],[Month]],1),"mmm")</f>
        <v>Feb</v>
      </c>
      <c r="P22" s="13"/>
      <c r="Q22" s="13"/>
      <c r="U22" s="58" t="s">
        <v>260</v>
      </c>
      <c r="V22" s="59"/>
      <c r="W22" s="60"/>
    </row>
    <row r="23" spans="1:26" x14ac:dyDescent="0.3">
      <c r="A23" s="14">
        <v>22</v>
      </c>
      <c r="B23" s="15">
        <v>45175</v>
      </c>
      <c r="C23" s="16" t="s">
        <v>33</v>
      </c>
      <c r="D23" s="16" t="s">
        <v>34</v>
      </c>
      <c r="E23" s="16" t="s">
        <v>24</v>
      </c>
      <c r="F23" s="16" t="s">
        <v>31</v>
      </c>
      <c r="G23" s="16" t="s">
        <v>36</v>
      </c>
      <c r="H23" s="17">
        <v>13136.74</v>
      </c>
      <c r="I23" s="16">
        <v>10</v>
      </c>
      <c r="J23" s="18">
        <v>2907.53</v>
      </c>
      <c r="K23" s="17" t="str" cm="1">
        <f t="array" ref="K23">_xlfn.IFS(Table433[[#This Row],[Sales]]&gt;40000,"Best Sales",Table433[[#This Row],[Sales]]&gt;20000,"Average Sales",Table433[[#This Row],[Sales]]&gt;0,"Poor Sales")</f>
        <v>Poor Sales</v>
      </c>
      <c r="L23" s="12">
        <f>YEAR(Table433[[#This Row],[Date]])</f>
        <v>2023</v>
      </c>
      <c r="M23" s="12">
        <f>MONTH(Table433[[#This Row],[Date]])</f>
        <v>9</v>
      </c>
      <c r="N23" s="13">
        <f>DAY(Table433[[#This Row],[Date]])</f>
        <v>6</v>
      </c>
      <c r="O23" s="13" t="str">
        <f>TEXT(DATE(2023,Table433[[#This Row],[Month]],1),"mmm")</f>
        <v>Sep</v>
      </c>
      <c r="P23" s="13"/>
      <c r="Q23" s="13"/>
      <c r="U23" s="38"/>
      <c r="W23" s="39"/>
    </row>
    <row r="24" spans="1:26" x14ac:dyDescent="0.3">
      <c r="A24" s="6">
        <v>23</v>
      </c>
      <c r="B24" s="7">
        <v>45260</v>
      </c>
      <c r="C24" s="8" t="s">
        <v>33</v>
      </c>
      <c r="D24" s="8" t="s">
        <v>34</v>
      </c>
      <c r="E24" s="8" t="s">
        <v>27</v>
      </c>
      <c r="F24" s="8" t="s">
        <v>38</v>
      </c>
      <c r="G24" s="8" t="s">
        <v>46</v>
      </c>
      <c r="H24" s="9">
        <v>35956.54</v>
      </c>
      <c r="I24" s="8">
        <v>1</v>
      </c>
      <c r="J24" s="10">
        <v>6308.41</v>
      </c>
      <c r="K24" s="17" t="str" cm="1">
        <f t="array" ref="K24">_xlfn.IFS(Table433[[#This Row],[Sales]]&gt;40000,"Best Sales",Table433[[#This Row],[Sales]]&gt;20000,"Average Sales",Table433[[#This Row],[Sales]]&gt;0,"Poor Sales")</f>
        <v>Average Sales</v>
      </c>
      <c r="L24" s="12">
        <f>YEAR(Table433[[#This Row],[Date]])</f>
        <v>2023</v>
      </c>
      <c r="M24" s="12">
        <f>MONTH(Table433[[#This Row],[Date]])</f>
        <v>11</v>
      </c>
      <c r="N24" s="13">
        <f>DAY(Table433[[#This Row],[Date]])</f>
        <v>30</v>
      </c>
      <c r="O24" s="13" t="str">
        <f>TEXT(DATE(2023,Table433[[#This Row],[Month]],1),"mmm")</f>
        <v>Nov</v>
      </c>
      <c r="P24" s="13"/>
      <c r="Q24" s="13"/>
      <c r="U24" s="38" t="s">
        <v>261</v>
      </c>
      <c r="W24" s="39">
        <f>COUNTIF(Table433[Sales Status],"Best Sales")</f>
        <v>115</v>
      </c>
    </row>
    <row r="25" spans="1:26" x14ac:dyDescent="0.3">
      <c r="A25" s="14">
        <v>24</v>
      </c>
      <c r="B25" s="15">
        <v>45103</v>
      </c>
      <c r="C25" s="16" t="s">
        <v>25</v>
      </c>
      <c r="D25" s="16" t="s">
        <v>26</v>
      </c>
      <c r="E25" s="16" t="s">
        <v>27</v>
      </c>
      <c r="F25" s="16" t="s">
        <v>38</v>
      </c>
      <c r="G25" s="16" t="s">
        <v>40</v>
      </c>
      <c r="H25" s="17">
        <v>36894.9</v>
      </c>
      <c r="I25" s="16">
        <v>5</v>
      </c>
      <c r="J25" s="18">
        <v>10265.879999999999</v>
      </c>
      <c r="K25" s="17" t="str" cm="1">
        <f t="array" ref="K25">_xlfn.IFS(Table433[[#This Row],[Sales]]&gt;40000,"Best Sales",Table433[[#This Row],[Sales]]&gt;20000,"Average Sales",Table433[[#This Row],[Sales]]&gt;0,"Poor Sales")</f>
        <v>Average Sales</v>
      </c>
      <c r="L25" s="12">
        <f>YEAR(Table433[[#This Row],[Date]])</f>
        <v>2023</v>
      </c>
      <c r="M25" s="12">
        <f>MONTH(Table433[[#This Row],[Date]])</f>
        <v>6</v>
      </c>
      <c r="N25" s="13">
        <f>DAY(Table433[[#This Row],[Date]])</f>
        <v>26</v>
      </c>
      <c r="O25" s="13" t="str">
        <f>TEXT(DATE(2023,Table433[[#This Row],[Month]],1),"mmm")</f>
        <v>Jun</v>
      </c>
      <c r="P25" s="13"/>
      <c r="Q25" s="13"/>
      <c r="U25" s="38" t="s">
        <v>274</v>
      </c>
      <c r="W25" s="39">
        <f>COUNTIF(Table433[Sales Status],"Poor Sales")</f>
        <v>187</v>
      </c>
    </row>
    <row r="26" spans="1:26" ht="15" thickBot="1" x14ac:dyDescent="0.35">
      <c r="A26" s="6">
        <v>25</v>
      </c>
      <c r="B26" s="7">
        <v>45176</v>
      </c>
      <c r="C26" s="8" t="s">
        <v>42</v>
      </c>
      <c r="D26" s="8" t="s">
        <v>43</v>
      </c>
      <c r="E26" s="8" t="s">
        <v>19</v>
      </c>
      <c r="F26" s="8" t="s">
        <v>20</v>
      </c>
      <c r="G26" s="8" t="s">
        <v>41</v>
      </c>
      <c r="H26" s="9">
        <v>36393.839999999997</v>
      </c>
      <c r="I26" s="8">
        <v>2</v>
      </c>
      <c r="J26" s="10">
        <v>4029.33</v>
      </c>
      <c r="K26" s="17" t="str" cm="1">
        <f t="array" ref="K26">_xlfn.IFS(Table433[[#This Row],[Sales]]&gt;40000,"Best Sales",Table433[[#This Row],[Sales]]&gt;20000,"Average Sales",Table433[[#This Row],[Sales]]&gt;0,"Poor Sales")</f>
        <v>Average Sales</v>
      </c>
      <c r="L26" s="12">
        <f>YEAR(Table433[[#This Row],[Date]])</f>
        <v>2023</v>
      </c>
      <c r="M26" s="12">
        <f>MONTH(Table433[[#This Row],[Date]])</f>
        <v>9</v>
      </c>
      <c r="N26" s="13">
        <f>DAY(Table433[[#This Row],[Date]])</f>
        <v>7</v>
      </c>
      <c r="O26" s="13" t="str">
        <f>TEXT(DATE(2023,Table433[[#This Row],[Month]],1),"mmm")</f>
        <v>Sep</v>
      </c>
      <c r="P26" s="13"/>
      <c r="Q26" s="13"/>
      <c r="U26" s="46" t="s">
        <v>262</v>
      </c>
      <c r="V26" s="47" t="s">
        <v>275</v>
      </c>
      <c r="W26" s="49">
        <f>W24/W6</f>
        <v>0.23</v>
      </c>
    </row>
    <row r="27" spans="1:26" ht="15" thickBot="1" x14ac:dyDescent="0.35">
      <c r="A27" s="14">
        <v>26</v>
      </c>
      <c r="B27" s="15">
        <v>45153</v>
      </c>
      <c r="C27" s="16" t="s">
        <v>33</v>
      </c>
      <c r="D27" s="16" t="s">
        <v>34</v>
      </c>
      <c r="E27" s="16" t="s">
        <v>19</v>
      </c>
      <c r="F27" s="16" t="s">
        <v>31</v>
      </c>
      <c r="G27" s="16" t="s">
        <v>36</v>
      </c>
      <c r="H27" s="17">
        <v>18244.080000000002</v>
      </c>
      <c r="I27" s="16">
        <v>10</v>
      </c>
      <c r="J27" s="18">
        <v>1308.29</v>
      </c>
      <c r="K27" s="17" t="str" cm="1">
        <f t="array" ref="K27">_xlfn.IFS(Table433[[#This Row],[Sales]]&gt;40000,"Best Sales",Table433[[#This Row],[Sales]]&gt;20000,"Average Sales",Table433[[#This Row],[Sales]]&gt;0,"Poor Sales")</f>
        <v>Poor Sales</v>
      </c>
      <c r="L27" s="12">
        <f>YEAR(Table433[[#This Row],[Date]])</f>
        <v>2023</v>
      </c>
      <c r="M27" s="12">
        <f>MONTH(Table433[[#This Row],[Date]])</f>
        <v>8</v>
      </c>
      <c r="N27" s="13">
        <f>DAY(Table433[[#This Row],[Date]])</f>
        <v>15</v>
      </c>
      <c r="O27" s="13" t="str">
        <f>TEXT(DATE(2023,Table433[[#This Row],[Month]],1),"mmm")</f>
        <v>Aug</v>
      </c>
      <c r="P27" s="13"/>
      <c r="Q27" s="13"/>
    </row>
    <row r="28" spans="1:26" x14ac:dyDescent="0.3">
      <c r="A28" s="6">
        <v>27</v>
      </c>
      <c r="B28" s="7">
        <v>45050</v>
      </c>
      <c r="C28" s="8" t="s">
        <v>25</v>
      </c>
      <c r="D28" s="8" t="s">
        <v>26</v>
      </c>
      <c r="E28" s="8" t="s">
        <v>19</v>
      </c>
      <c r="F28" s="8" t="s">
        <v>31</v>
      </c>
      <c r="G28" s="8" t="s">
        <v>32</v>
      </c>
      <c r="H28" s="9">
        <v>39573.279999999999</v>
      </c>
      <c r="I28" s="8">
        <v>7</v>
      </c>
      <c r="J28" s="10">
        <v>6877.16</v>
      </c>
      <c r="K28" s="17" t="str" cm="1">
        <f t="array" ref="K28">_xlfn.IFS(Table433[[#This Row],[Sales]]&gt;40000,"Best Sales",Table433[[#This Row],[Sales]]&gt;20000,"Average Sales",Table433[[#This Row],[Sales]]&gt;0,"Poor Sales")</f>
        <v>Average Sales</v>
      </c>
      <c r="L28" s="12">
        <f>YEAR(Table433[[#This Row],[Date]])</f>
        <v>2023</v>
      </c>
      <c r="M28" s="12">
        <f>MONTH(Table433[[#This Row],[Date]])</f>
        <v>5</v>
      </c>
      <c r="N28" s="13">
        <f>DAY(Table433[[#This Row],[Date]])</f>
        <v>4</v>
      </c>
      <c r="O28" s="13" t="str">
        <f>TEXT(DATE(2023,Table433[[#This Row],[Month]],1),"mmm")</f>
        <v>May</v>
      </c>
      <c r="P28" s="13"/>
      <c r="Q28" s="13"/>
      <c r="U28" s="61" t="s">
        <v>263</v>
      </c>
      <c r="V28" s="62"/>
      <c r="W28" s="63"/>
    </row>
    <row r="29" spans="1:26" x14ac:dyDescent="0.3">
      <c r="A29" s="14">
        <v>28</v>
      </c>
      <c r="B29" s="15">
        <v>44968</v>
      </c>
      <c r="C29" s="16" t="s">
        <v>44</v>
      </c>
      <c r="D29" s="16" t="s">
        <v>34</v>
      </c>
      <c r="E29" s="16" t="s">
        <v>19</v>
      </c>
      <c r="F29" s="16" t="s">
        <v>31</v>
      </c>
      <c r="G29" s="16" t="s">
        <v>32</v>
      </c>
      <c r="H29" s="17">
        <v>16112.12</v>
      </c>
      <c r="I29" s="16">
        <v>2</v>
      </c>
      <c r="J29" s="18">
        <v>2614.2399999999998</v>
      </c>
      <c r="K29" s="17" t="str" cm="1">
        <f t="array" ref="K29">_xlfn.IFS(Table433[[#This Row],[Sales]]&gt;40000,"Best Sales",Table433[[#This Row],[Sales]]&gt;20000,"Average Sales",Table433[[#This Row],[Sales]]&gt;0,"Poor Sales")</f>
        <v>Poor Sales</v>
      </c>
      <c r="L29" s="12">
        <f>YEAR(Table433[[#This Row],[Date]])</f>
        <v>2023</v>
      </c>
      <c r="M29" s="12">
        <f>MONTH(Table433[[#This Row],[Date]])</f>
        <v>2</v>
      </c>
      <c r="N29" s="13">
        <f>DAY(Table433[[#This Row],[Date]])</f>
        <v>11</v>
      </c>
      <c r="O29" s="13" t="str">
        <f>TEXT(DATE(2023,Table433[[#This Row],[Month]],1),"mmm")</f>
        <v>Feb</v>
      </c>
      <c r="P29" s="13"/>
      <c r="Q29" s="13"/>
      <c r="U29" s="38"/>
      <c r="V29" s="36"/>
      <c r="W29" s="39"/>
      <c r="Y29" t="s">
        <v>7</v>
      </c>
      <c r="Z29" t="s">
        <v>9</v>
      </c>
    </row>
    <row r="30" spans="1:26" ht="14.4" customHeight="1" x14ac:dyDescent="0.3">
      <c r="A30" s="6">
        <v>29</v>
      </c>
      <c r="B30" s="7">
        <v>45166</v>
      </c>
      <c r="C30" s="8" t="s">
        <v>25</v>
      </c>
      <c r="D30" s="8" t="s">
        <v>26</v>
      </c>
      <c r="E30" s="8" t="s">
        <v>19</v>
      </c>
      <c r="F30" s="8" t="s">
        <v>20</v>
      </c>
      <c r="G30" s="8" t="s">
        <v>21</v>
      </c>
      <c r="H30" s="9">
        <v>17197.509999999998</v>
      </c>
      <c r="I30" s="8">
        <v>3</v>
      </c>
      <c r="J30" s="10">
        <v>1675.41</v>
      </c>
      <c r="K30" s="17" t="str" cm="1">
        <f t="array" ref="K30">_xlfn.IFS(Table433[[#This Row],[Sales]]&gt;40000,"Best Sales",Table433[[#This Row],[Sales]]&gt;20000,"Average Sales",Table433[[#This Row],[Sales]]&gt;0,"Poor Sales")</f>
        <v>Poor Sales</v>
      </c>
      <c r="L30" s="12">
        <f>YEAR(Table433[[#This Row],[Date]])</f>
        <v>2023</v>
      </c>
      <c r="M30" s="12">
        <f>MONTH(Table433[[#This Row],[Date]])</f>
        <v>8</v>
      </c>
      <c r="N30" s="13">
        <f>DAY(Table433[[#This Row],[Date]])</f>
        <v>28</v>
      </c>
      <c r="O30" s="13" t="str">
        <f>TEXT(DATE(2023,Table433[[#This Row],[Month]],1),"mmm")</f>
        <v>Aug</v>
      </c>
      <c r="P30" s="13"/>
      <c r="Q30" s="13"/>
      <c r="S30" s="56" t="s">
        <v>276</v>
      </c>
      <c r="T30" s="56"/>
      <c r="U30" s="38" t="s">
        <v>264</v>
      </c>
      <c r="W30" s="45">
        <f>Z30/Y30</f>
        <v>0.1805405703275707</v>
      </c>
      <c r="Y30">
        <f>SUMIF(Table433[Category],"Electronics",Table433[Sales])</f>
        <v>4501868.6300000018</v>
      </c>
      <c r="Z30">
        <f>SUMIF(Table433[Category],"Electronics",Table433[Profit])</f>
        <v>812769.9299999997</v>
      </c>
    </row>
    <row r="31" spans="1:26" x14ac:dyDescent="0.3">
      <c r="A31" s="14">
        <v>30</v>
      </c>
      <c r="B31" s="15">
        <v>44995</v>
      </c>
      <c r="C31" s="16" t="s">
        <v>37</v>
      </c>
      <c r="D31" s="16" t="s">
        <v>23</v>
      </c>
      <c r="E31" s="16" t="s">
        <v>19</v>
      </c>
      <c r="F31" s="16" t="s">
        <v>38</v>
      </c>
      <c r="G31" s="16" t="s">
        <v>46</v>
      </c>
      <c r="H31" s="17">
        <v>40062.949999999997</v>
      </c>
      <c r="I31" s="16">
        <v>5</v>
      </c>
      <c r="J31" s="18">
        <v>11536.21</v>
      </c>
      <c r="K31" s="17" t="str" cm="1">
        <f t="array" ref="K31">_xlfn.IFS(Table433[[#This Row],[Sales]]&gt;40000,"Best Sales",Table433[[#This Row],[Sales]]&gt;20000,"Average Sales",Table433[[#This Row],[Sales]]&gt;0,"Poor Sales")</f>
        <v>Best Sales</v>
      </c>
      <c r="L31" s="12">
        <f>YEAR(Table433[[#This Row],[Date]])</f>
        <v>2023</v>
      </c>
      <c r="M31" s="12">
        <f>MONTH(Table433[[#This Row],[Date]])</f>
        <v>3</v>
      </c>
      <c r="N31" s="13">
        <f>DAY(Table433[[#This Row],[Date]])</f>
        <v>10</v>
      </c>
      <c r="O31" s="13" t="str">
        <f>TEXT(DATE(2023,Table433[[#This Row],[Month]],1),"mmm")</f>
        <v>Mar</v>
      </c>
      <c r="P31" s="13"/>
      <c r="Q31" s="13"/>
      <c r="S31" s="56"/>
      <c r="T31" s="56"/>
      <c r="U31" s="38" t="s">
        <v>265</v>
      </c>
      <c r="W31" s="45">
        <f t="shared" ref="W31:W32" si="0">Z31/Y31</f>
        <v>0.17189872775956683</v>
      </c>
      <c r="Y31">
        <f>SUMIF(Table433[Category],"Furniture",Table433[Sales])</f>
        <v>4351528.8900000015</v>
      </c>
      <c r="Z31">
        <f>SUMIF(Table433[Category],"Furniture",Table433[Profit])</f>
        <v>748022.28000000026</v>
      </c>
    </row>
    <row r="32" spans="1:26" x14ac:dyDescent="0.3">
      <c r="A32" s="6">
        <v>31</v>
      </c>
      <c r="B32" s="7">
        <v>45217</v>
      </c>
      <c r="C32" s="8" t="s">
        <v>22</v>
      </c>
      <c r="D32" s="8" t="s">
        <v>23</v>
      </c>
      <c r="E32" s="8" t="s">
        <v>19</v>
      </c>
      <c r="F32" s="8" t="s">
        <v>31</v>
      </c>
      <c r="G32" s="8" t="s">
        <v>32</v>
      </c>
      <c r="H32" s="9">
        <v>30699.4</v>
      </c>
      <c r="I32" s="8">
        <v>2</v>
      </c>
      <c r="J32" s="10">
        <v>5821.81</v>
      </c>
      <c r="K32" s="17" t="str" cm="1">
        <f t="array" ref="K32">_xlfn.IFS(Table433[[#This Row],[Sales]]&gt;40000,"Best Sales",Table433[[#This Row],[Sales]]&gt;20000,"Average Sales",Table433[[#This Row],[Sales]]&gt;0,"Poor Sales")</f>
        <v>Average Sales</v>
      </c>
      <c r="L32" s="12">
        <f>YEAR(Table433[[#This Row],[Date]])</f>
        <v>2023</v>
      </c>
      <c r="M32" s="12">
        <f>MONTH(Table433[[#This Row],[Date]])</f>
        <v>10</v>
      </c>
      <c r="N32" s="13">
        <f>DAY(Table433[[#This Row],[Date]])</f>
        <v>18</v>
      </c>
      <c r="O32" s="13" t="str">
        <f>TEXT(DATE(2023,Table433[[#This Row],[Month]],1),"mmm")</f>
        <v>Oct</v>
      </c>
      <c r="P32" s="13"/>
      <c r="Q32" s="13"/>
      <c r="S32" s="56"/>
      <c r="T32" s="56"/>
      <c r="U32" s="38" t="s">
        <v>266</v>
      </c>
      <c r="W32" s="45">
        <f t="shared" si="0"/>
        <v>0.18425183743259124</v>
      </c>
      <c r="Y32">
        <f>SUMIF(Table433[Category],"Clothing",Table433[Sales])</f>
        <v>4242925.7200000007</v>
      </c>
      <c r="Z32">
        <f>SUMIF(Table433[Category],"Clothing",Table433[Profit])</f>
        <v>781766.86000000022</v>
      </c>
    </row>
    <row r="33" spans="1:32" x14ac:dyDescent="0.3">
      <c r="A33" s="14">
        <v>32</v>
      </c>
      <c r="B33" s="15">
        <v>45127</v>
      </c>
      <c r="C33" s="16" t="s">
        <v>29</v>
      </c>
      <c r="D33" s="16" t="s">
        <v>29</v>
      </c>
      <c r="E33" s="16" t="s">
        <v>19</v>
      </c>
      <c r="F33" s="16" t="s">
        <v>38</v>
      </c>
      <c r="G33" s="16" t="s">
        <v>39</v>
      </c>
      <c r="H33" s="17">
        <v>46798.46</v>
      </c>
      <c r="I33" s="16">
        <v>8</v>
      </c>
      <c r="J33" s="18">
        <v>12650.58</v>
      </c>
      <c r="K33" s="17" t="str" cm="1">
        <f t="array" ref="K33">_xlfn.IFS(Table433[[#This Row],[Sales]]&gt;40000,"Best Sales",Table433[[#This Row],[Sales]]&gt;20000,"Average Sales",Table433[[#This Row],[Sales]]&gt;0,"Poor Sales")</f>
        <v>Best Sales</v>
      </c>
      <c r="L33" s="12">
        <f>YEAR(Table433[[#This Row],[Date]])</f>
        <v>2023</v>
      </c>
      <c r="M33" s="12">
        <f>MONTH(Table433[[#This Row],[Date]])</f>
        <v>7</v>
      </c>
      <c r="N33" s="13">
        <f>DAY(Table433[[#This Row],[Date]])</f>
        <v>20</v>
      </c>
      <c r="O33" s="13" t="str">
        <f>TEXT(DATE(2023,Table433[[#This Row],[Month]],1),"mmm")</f>
        <v>Jul</v>
      </c>
      <c r="P33" s="13"/>
      <c r="Q33" s="13"/>
      <c r="S33" s="57" t="s">
        <v>277</v>
      </c>
      <c r="T33" s="57"/>
      <c r="U33" s="38" t="s">
        <v>268</v>
      </c>
      <c r="V33">
        <f>COUNTIF(Table433[Category],"Electronics")</f>
        <v>172</v>
      </c>
      <c r="W33" s="45">
        <f>V33/W6</f>
        <v>0.34399999999999997</v>
      </c>
    </row>
    <row r="34" spans="1:32" x14ac:dyDescent="0.3">
      <c r="A34" s="6">
        <v>33</v>
      </c>
      <c r="B34" s="7">
        <v>45005</v>
      </c>
      <c r="C34" s="8" t="s">
        <v>37</v>
      </c>
      <c r="D34" s="8" t="s">
        <v>23</v>
      </c>
      <c r="E34" s="8" t="s">
        <v>19</v>
      </c>
      <c r="F34" s="8" t="s">
        <v>31</v>
      </c>
      <c r="G34" s="8" t="s">
        <v>35</v>
      </c>
      <c r="H34" s="9">
        <v>18545.72</v>
      </c>
      <c r="I34" s="8">
        <v>9</v>
      </c>
      <c r="J34" s="10">
        <v>3893.71</v>
      </c>
      <c r="K34" s="17" t="str" cm="1">
        <f t="array" ref="K34">_xlfn.IFS(Table433[[#This Row],[Sales]]&gt;40000,"Best Sales",Table433[[#This Row],[Sales]]&gt;20000,"Average Sales",Table433[[#This Row],[Sales]]&gt;0,"Poor Sales")</f>
        <v>Poor Sales</v>
      </c>
      <c r="L34" s="12">
        <f>YEAR(Table433[[#This Row],[Date]])</f>
        <v>2023</v>
      </c>
      <c r="M34" s="12">
        <f>MONTH(Table433[[#This Row],[Date]])</f>
        <v>3</v>
      </c>
      <c r="N34" s="13">
        <f>DAY(Table433[[#This Row],[Date]])</f>
        <v>20</v>
      </c>
      <c r="O34" s="13" t="str">
        <f>TEXT(DATE(2023,Table433[[#This Row],[Month]],1),"mmm")</f>
        <v>Mar</v>
      </c>
      <c r="P34" s="13"/>
      <c r="Q34" s="13"/>
      <c r="S34" s="57"/>
      <c r="T34" s="57"/>
      <c r="U34" s="38" t="s">
        <v>269</v>
      </c>
      <c r="V34">
        <f>COUNTIF(Table433[Category],"Furniture")</f>
        <v>166</v>
      </c>
      <c r="W34" s="45">
        <f>V34/W6</f>
        <v>0.33200000000000002</v>
      </c>
    </row>
    <row r="35" spans="1:32" ht="15" thickBot="1" x14ac:dyDescent="0.35">
      <c r="A35" s="14">
        <v>34</v>
      </c>
      <c r="B35" s="15">
        <v>45097</v>
      </c>
      <c r="C35" s="16" t="s">
        <v>22</v>
      </c>
      <c r="D35" s="16" t="s">
        <v>23</v>
      </c>
      <c r="E35" s="16" t="s">
        <v>19</v>
      </c>
      <c r="F35" s="16" t="s">
        <v>31</v>
      </c>
      <c r="G35" s="16" t="s">
        <v>32</v>
      </c>
      <c r="H35" s="17">
        <v>47078.67</v>
      </c>
      <c r="I35" s="16">
        <v>4</v>
      </c>
      <c r="J35" s="18">
        <v>5416.29</v>
      </c>
      <c r="K35" s="17" t="str" cm="1">
        <f t="array" ref="K35">_xlfn.IFS(Table433[[#This Row],[Sales]]&gt;40000,"Best Sales",Table433[[#This Row],[Sales]]&gt;20000,"Average Sales",Table433[[#This Row],[Sales]]&gt;0,"Poor Sales")</f>
        <v>Best Sales</v>
      </c>
      <c r="L35" s="12">
        <f>YEAR(Table433[[#This Row],[Date]])</f>
        <v>2023</v>
      </c>
      <c r="M35" s="12">
        <f>MONTH(Table433[[#This Row],[Date]])</f>
        <v>6</v>
      </c>
      <c r="N35" s="13">
        <f>DAY(Table433[[#This Row],[Date]])</f>
        <v>20</v>
      </c>
      <c r="O35" s="13" t="str">
        <f>TEXT(DATE(2023,Table433[[#This Row],[Month]],1),"mmm")</f>
        <v>Jun</v>
      </c>
      <c r="P35" s="13"/>
      <c r="Q35" s="13"/>
      <c r="S35" s="57"/>
      <c r="T35" s="57"/>
      <c r="U35" s="46" t="s">
        <v>270</v>
      </c>
      <c r="V35" s="47">
        <f>COUNTIF(Table433[Category],"Clothing")</f>
        <v>162</v>
      </c>
      <c r="W35" s="49">
        <f>V35/W6</f>
        <v>0.32400000000000001</v>
      </c>
      <c r="X35" s="34"/>
    </row>
    <row r="36" spans="1:32" ht="15" thickBot="1" x14ac:dyDescent="0.35">
      <c r="A36" s="6">
        <v>35</v>
      </c>
      <c r="B36" s="7">
        <v>44983</v>
      </c>
      <c r="C36" s="8" t="s">
        <v>44</v>
      </c>
      <c r="D36" s="8" t="s">
        <v>34</v>
      </c>
      <c r="E36" s="8" t="s">
        <v>19</v>
      </c>
      <c r="F36" s="8" t="s">
        <v>20</v>
      </c>
      <c r="G36" s="8" t="s">
        <v>28</v>
      </c>
      <c r="H36" s="9">
        <v>45410.16</v>
      </c>
      <c r="I36" s="8">
        <v>2</v>
      </c>
      <c r="J36" s="10">
        <v>6601.61</v>
      </c>
      <c r="K36" s="17" t="str" cm="1">
        <f t="array" ref="K36">_xlfn.IFS(Table433[[#This Row],[Sales]]&gt;40000,"Best Sales",Table433[[#This Row],[Sales]]&gt;20000,"Average Sales",Table433[[#This Row],[Sales]]&gt;0,"Poor Sales")</f>
        <v>Best Sales</v>
      </c>
      <c r="L36" s="12">
        <f>YEAR(Table433[[#This Row],[Date]])</f>
        <v>2023</v>
      </c>
      <c r="M36" s="12">
        <f>MONTH(Table433[[#This Row],[Date]])</f>
        <v>2</v>
      </c>
      <c r="N36" s="13">
        <f>DAY(Table433[[#This Row],[Date]])</f>
        <v>26</v>
      </c>
      <c r="O36" s="13" t="str">
        <f>TEXT(DATE(2023,Table433[[#This Row],[Month]],1),"mmm")</f>
        <v>Feb</v>
      </c>
      <c r="P36" s="13"/>
      <c r="Q36" s="13"/>
    </row>
    <row r="37" spans="1:32" x14ac:dyDescent="0.3">
      <c r="A37" s="14">
        <v>36</v>
      </c>
      <c r="B37" s="15">
        <v>45083</v>
      </c>
      <c r="C37" s="16" t="s">
        <v>25</v>
      </c>
      <c r="D37" s="16" t="s">
        <v>26</v>
      </c>
      <c r="E37" s="16" t="s">
        <v>19</v>
      </c>
      <c r="F37" s="16" t="s">
        <v>38</v>
      </c>
      <c r="G37" s="16" t="s">
        <v>39</v>
      </c>
      <c r="H37" s="17">
        <v>8022.9</v>
      </c>
      <c r="I37" s="16">
        <v>9</v>
      </c>
      <c r="J37" s="18">
        <v>1118.83</v>
      </c>
      <c r="K37" s="17" t="str" cm="1">
        <f t="array" ref="K37">_xlfn.IFS(Table433[[#This Row],[Sales]]&gt;40000,"Best Sales",Table433[[#This Row],[Sales]]&gt;20000,"Average Sales",Table433[[#This Row],[Sales]]&gt;0,"Poor Sales")</f>
        <v>Poor Sales</v>
      </c>
      <c r="L37" s="12">
        <f>YEAR(Table433[[#This Row],[Date]])</f>
        <v>2023</v>
      </c>
      <c r="M37" s="12">
        <f>MONTH(Table433[[#This Row],[Date]])</f>
        <v>6</v>
      </c>
      <c r="N37" s="13">
        <f>DAY(Table433[[#This Row],[Date]])</f>
        <v>6</v>
      </c>
      <c r="O37" s="13" t="str">
        <f>TEXT(DATE(2023,Table433[[#This Row],[Month]],1),"mmm")</f>
        <v>Jun</v>
      </c>
      <c r="P37" s="13"/>
      <c r="Q37" s="13"/>
      <c r="U37" s="66" t="s">
        <v>267</v>
      </c>
      <c r="V37" s="67"/>
      <c r="W37" s="68"/>
    </row>
    <row r="38" spans="1:32" ht="15" thickBot="1" x14ac:dyDescent="0.35">
      <c r="A38" s="6">
        <v>37</v>
      </c>
      <c r="B38" s="7">
        <v>45039</v>
      </c>
      <c r="C38" s="8" t="s">
        <v>22</v>
      </c>
      <c r="D38" s="8" t="s">
        <v>23</v>
      </c>
      <c r="E38" s="8" t="s">
        <v>19</v>
      </c>
      <c r="F38" s="8" t="s">
        <v>20</v>
      </c>
      <c r="G38" s="8" t="s">
        <v>41</v>
      </c>
      <c r="H38" s="9">
        <v>34478.959999999999</v>
      </c>
      <c r="I38" s="8">
        <v>5</v>
      </c>
      <c r="J38" s="10">
        <v>4118.41</v>
      </c>
      <c r="K38" s="17" t="str" cm="1">
        <f t="array" ref="K38">_xlfn.IFS(Table433[[#This Row],[Sales]]&gt;40000,"Best Sales",Table433[[#This Row],[Sales]]&gt;20000,"Average Sales",Table433[[#This Row],[Sales]]&gt;0,"Poor Sales")</f>
        <v>Average Sales</v>
      </c>
      <c r="L38" s="12">
        <f>YEAR(Table433[[#This Row],[Date]])</f>
        <v>2023</v>
      </c>
      <c r="M38" s="12">
        <f>MONTH(Table433[[#This Row],[Date]])</f>
        <v>4</v>
      </c>
      <c r="N38" s="13">
        <f>DAY(Table433[[#This Row],[Date]])</f>
        <v>23</v>
      </c>
      <c r="O38" s="13" t="str">
        <f>TEXT(DATE(2023,Table433[[#This Row],[Month]],1),"mmm")</f>
        <v>Apr</v>
      </c>
      <c r="P38" s="13"/>
      <c r="Q38" s="13"/>
      <c r="U38" s="38"/>
      <c r="W38" s="39"/>
    </row>
    <row r="39" spans="1:32" x14ac:dyDescent="0.3">
      <c r="A39" s="14">
        <v>38</v>
      </c>
      <c r="B39" s="15">
        <v>45247</v>
      </c>
      <c r="C39" s="16" t="s">
        <v>25</v>
      </c>
      <c r="D39" s="16" t="s">
        <v>26</v>
      </c>
      <c r="E39" s="16" t="s">
        <v>19</v>
      </c>
      <c r="F39" s="16" t="s">
        <v>38</v>
      </c>
      <c r="G39" s="16" t="s">
        <v>40</v>
      </c>
      <c r="H39" s="17">
        <v>34640.65</v>
      </c>
      <c r="I39" s="16">
        <v>10</v>
      </c>
      <c r="J39" s="18">
        <v>9567.4500000000007</v>
      </c>
      <c r="K39" s="17" t="str" cm="1">
        <f t="array" ref="K39">_xlfn.IFS(Table433[[#This Row],[Sales]]&gt;40000,"Best Sales",Table433[[#This Row],[Sales]]&gt;20000,"Average Sales",Table433[[#This Row],[Sales]]&gt;0,"Poor Sales")</f>
        <v>Average Sales</v>
      </c>
      <c r="L39" s="12">
        <f>YEAR(Table433[[#This Row],[Date]])</f>
        <v>2023</v>
      </c>
      <c r="M39" s="12">
        <f>MONTH(Table433[[#This Row],[Date]])</f>
        <v>11</v>
      </c>
      <c r="N39" s="13">
        <f>DAY(Table433[[#This Row],[Date]])</f>
        <v>17</v>
      </c>
      <c r="O39" s="13" t="str">
        <f>TEXT(DATE(2023,Table433[[#This Row],[Month]],1),"mmm")</f>
        <v>Nov</v>
      </c>
      <c r="P39" s="13"/>
      <c r="Q39" s="13"/>
      <c r="U39" s="38" t="s">
        <v>18</v>
      </c>
      <c r="V39">
        <f>SUMIF(Table433[State],U39,Table433[Profit])</f>
        <v>277941.68999999989</v>
      </c>
      <c r="W39" s="45">
        <f>V39/$W$13</f>
        <v>0.11864874340180445</v>
      </c>
      <c r="Y39" s="61" t="s">
        <v>271</v>
      </c>
      <c r="Z39" s="62"/>
      <c r="AA39" s="62"/>
      <c r="AB39" s="62"/>
      <c r="AC39" s="62"/>
      <c r="AD39" s="62"/>
      <c r="AE39" s="62"/>
      <c r="AF39" s="63"/>
    </row>
    <row r="40" spans="1:32" x14ac:dyDescent="0.3">
      <c r="A40" s="6">
        <v>39</v>
      </c>
      <c r="B40" s="7">
        <v>44941</v>
      </c>
      <c r="C40" s="8" t="s">
        <v>33</v>
      </c>
      <c r="D40" s="8" t="s">
        <v>34</v>
      </c>
      <c r="E40" s="8" t="s">
        <v>19</v>
      </c>
      <c r="F40" s="8" t="s">
        <v>20</v>
      </c>
      <c r="G40" s="8" t="s">
        <v>41</v>
      </c>
      <c r="H40" s="9">
        <v>3218.7</v>
      </c>
      <c r="I40" s="8">
        <v>3</v>
      </c>
      <c r="J40" s="10">
        <v>572.08000000000004</v>
      </c>
      <c r="K40" s="17" t="str" cm="1">
        <f t="array" ref="K40">_xlfn.IFS(Table433[[#This Row],[Sales]]&gt;40000,"Best Sales",Table433[[#This Row],[Sales]]&gt;20000,"Average Sales",Table433[[#This Row],[Sales]]&gt;0,"Poor Sales")</f>
        <v>Poor Sales</v>
      </c>
      <c r="L40" s="12">
        <f>YEAR(Table433[[#This Row],[Date]])</f>
        <v>2023</v>
      </c>
      <c r="M40" s="12">
        <f>MONTH(Table433[[#This Row],[Date]])</f>
        <v>1</v>
      </c>
      <c r="N40" s="13">
        <f>DAY(Table433[[#This Row],[Date]])</f>
        <v>15</v>
      </c>
      <c r="O40" s="13" t="str">
        <f>TEXT(DATE(2023,Table433[[#This Row],[Month]],1),"mmm")</f>
        <v>Jan</v>
      </c>
      <c r="P40" s="13"/>
      <c r="Q40" s="13"/>
      <c r="U40" s="38" t="s">
        <v>23</v>
      </c>
      <c r="V40">
        <f>SUMIF(Table433[State],U40,Table433[Profit])</f>
        <v>627045.94999999972</v>
      </c>
      <c r="W40" s="45">
        <f t="shared" ref="W40:W44" si="1">V40/$W$13</f>
        <v>0.26767561938149942</v>
      </c>
      <c r="Y40" s="38"/>
      <c r="AF40" s="39"/>
    </row>
    <row r="41" spans="1:32" x14ac:dyDescent="0.3">
      <c r="A41" s="14">
        <v>40</v>
      </c>
      <c r="B41" s="15">
        <v>44941</v>
      </c>
      <c r="C41" s="16" t="s">
        <v>29</v>
      </c>
      <c r="D41" s="16" t="s">
        <v>29</v>
      </c>
      <c r="E41" s="16" t="s">
        <v>19</v>
      </c>
      <c r="F41" s="16" t="s">
        <v>38</v>
      </c>
      <c r="G41" s="16" t="s">
        <v>40</v>
      </c>
      <c r="H41" s="17">
        <v>28642.2</v>
      </c>
      <c r="I41" s="16">
        <v>5</v>
      </c>
      <c r="J41" s="18">
        <v>2312.54</v>
      </c>
      <c r="K41" s="17" t="str" cm="1">
        <f t="array" ref="K41">_xlfn.IFS(Table433[[#This Row],[Sales]]&gt;40000,"Best Sales",Table433[[#This Row],[Sales]]&gt;20000,"Average Sales",Table433[[#This Row],[Sales]]&gt;0,"Poor Sales")</f>
        <v>Average Sales</v>
      </c>
      <c r="L41" s="12">
        <f>YEAR(Table433[[#This Row],[Date]])</f>
        <v>2023</v>
      </c>
      <c r="M41" s="12">
        <f>MONTH(Table433[[#This Row],[Date]])</f>
        <v>1</v>
      </c>
      <c r="N41" s="13">
        <f>DAY(Table433[[#This Row],[Date]])</f>
        <v>15</v>
      </c>
      <c r="O41" s="13" t="str">
        <f>TEXT(DATE(2023,Table433[[#This Row],[Month]],1),"mmm")</f>
        <v>Jan</v>
      </c>
      <c r="P41" s="13"/>
      <c r="Q41" s="13"/>
      <c r="U41" s="38" t="s">
        <v>26</v>
      </c>
      <c r="V41">
        <f>SUMIF(Table433[State],U41,Table433[Profit])</f>
        <v>216083.25999999998</v>
      </c>
      <c r="W41" s="45">
        <f t="shared" si="1"/>
        <v>9.2242395407343913E-2</v>
      </c>
      <c r="Y41" s="69" t="s">
        <v>272</v>
      </c>
      <c r="Z41" s="70"/>
      <c r="AA41" s="70"/>
      <c r="AB41" s="70"/>
      <c r="AC41" s="70"/>
      <c r="AD41" s="70"/>
      <c r="AE41">
        <f>SUMIF(Table433[Product],"Mobile",Table433[Sales])</f>
        <v>1432151.2599999998</v>
      </c>
      <c r="AF41" s="45">
        <f>AE41/W5</f>
        <v>0.10935521625075588</v>
      </c>
    </row>
    <row r="42" spans="1:32" x14ac:dyDescent="0.3">
      <c r="A42" s="6">
        <v>41</v>
      </c>
      <c r="B42" s="7">
        <v>45238</v>
      </c>
      <c r="C42" s="8" t="s">
        <v>22</v>
      </c>
      <c r="D42" s="8" t="s">
        <v>23</v>
      </c>
      <c r="E42" s="8" t="s">
        <v>19</v>
      </c>
      <c r="F42" s="8" t="s">
        <v>20</v>
      </c>
      <c r="G42" s="8" t="s">
        <v>21</v>
      </c>
      <c r="H42" s="9">
        <v>30927.86</v>
      </c>
      <c r="I42" s="8">
        <v>10</v>
      </c>
      <c r="J42" s="10">
        <v>8460.2199999999993</v>
      </c>
      <c r="K42" s="17" t="str" cm="1">
        <f t="array" ref="K42">_xlfn.IFS(Table433[[#This Row],[Sales]]&gt;40000,"Best Sales",Table433[[#This Row],[Sales]]&gt;20000,"Average Sales",Table433[[#This Row],[Sales]]&gt;0,"Poor Sales")</f>
        <v>Average Sales</v>
      </c>
      <c r="L42" s="12">
        <f>YEAR(Table433[[#This Row],[Date]])</f>
        <v>2023</v>
      </c>
      <c r="M42" s="12">
        <f>MONTH(Table433[[#This Row],[Date]])</f>
        <v>11</v>
      </c>
      <c r="N42" s="13">
        <f>DAY(Table433[[#This Row],[Date]])</f>
        <v>8</v>
      </c>
      <c r="O42" s="13" t="str">
        <f>TEXT(DATE(2023,Table433[[#This Row],[Month]],1),"mmm")</f>
        <v>Nov</v>
      </c>
      <c r="P42" s="13"/>
      <c r="Q42" s="13"/>
      <c r="U42" s="38" t="s">
        <v>34</v>
      </c>
      <c r="V42">
        <f>SUMIF(Table433[State],U42,Table433[Profit])</f>
        <v>713886.18000000028</v>
      </c>
      <c r="W42" s="45">
        <f t="shared" si="1"/>
        <v>0.30474628757173655</v>
      </c>
      <c r="Y42" s="69" t="s">
        <v>273</v>
      </c>
      <c r="Z42" s="70"/>
      <c r="AA42" s="70"/>
      <c r="AB42" s="70"/>
      <c r="AC42" s="70"/>
      <c r="AD42" s="70"/>
      <c r="AF42" s="39" t="str" cm="1">
        <f t="array" ref="AF42">_xlfn.XLOOKUP(MAX(AB47:AB55),AB47:AB55,_xlfn.ANCHORARRAY(Y47),"N/A")</f>
        <v>Laptop</v>
      </c>
    </row>
    <row r="43" spans="1:32" ht="15" thickBot="1" x14ac:dyDescent="0.35">
      <c r="A43" s="14">
        <v>42</v>
      </c>
      <c r="B43" s="15">
        <v>45143</v>
      </c>
      <c r="C43" s="16" t="s">
        <v>17</v>
      </c>
      <c r="D43" s="16" t="s">
        <v>18</v>
      </c>
      <c r="E43" s="16" t="s">
        <v>19</v>
      </c>
      <c r="F43" s="16" t="s">
        <v>38</v>
      </c>
      <c r="G43" s="16" t="s">
        <v>39</v>
      </c>
      <c r="H43" s="17">
        <v>32426.75</v>
      </c>
      <c r="I43" s="16">
        <v>7</v>
      </c>
      <c r="J43" s="18">
        <v>8518.11</v>
      </c>
      <c r="K43" s="17" t="str" cm="1">
        <f t="array" ref="K43">_xlfn.IFS(Table433[[#This Row],[Sales]]&gt;40000,"Best Sales",Table433[[#This Row],[Sales]]&gt;20000,"Average Sales",Table433[[#This Row],[Sales]]&gt;0,"Poor Sales")</f>
        <v>Average Sales</v>
      </c>
      <c r="L43" s="12">
        <f>YEAR(Table433[[#This Row],[Date]])</f>
        <v>2023</v>
      </c>
      <c r="M43" s="12">
        <f>MONTH(Table433[[#This Row],[Date]])</f>
        <v>8</v>
      </c>
      <c r="N43" s="13">
        <f>DAY(Table433[[#This Row],[Date]])</f>
        <v>5</v>
      </c>
      <c r="O43" s="13" t="str">
        <f>TEXT(DATE(2023,Table433[[#This Row],[Month]],1),"mmm")</f>
        <v>Aug</v>
      </c>
      <c r="P43" s="13"/>
      <c r="Q43" s="13"/>
      <c r="U43" s="38" t="s">
        <v>29</v>
      </c>
      <c r="V43">
        <f>SUMIF(Table433[State],U43,Table433[Profit])</f>
        <v>296480.89999999997</v>
      </c>
      <c r="W43" s="45">
        <f t="shared" si="1"/>
        <v>0.12656282771985755</v>
      </c>
      <c r="Y43" s="64" t="s">
        <v>278</v>
      </c>
      <c r="Z43" s="65"/>
      <c r="AA43" s="65"/>
      <c r="AB43" s="65"/>
      <c r="AC43" s="65"/>
      <c r="AD43" s="65"/>
      <c r="AE43" s="47"/>
      <c r="AF43" s="48" t="str">
        <f>_xlfn.XLOOKUP(MAX(AC47:AC55),AC47:AC55,Y47:Y55,"NA")</f>
        <v>Laptop</v>
      </c>
    </row>
    <row r="44" spans="1:32" ht="15" thickBot="1" x14ac:dyDescent="0.35">
      <c r="A44" s="6">
        <v>43</v>
      </c>
      <c r="B44" s="7">
        <v>45283</v>
      </c>
      <c r="C44" s="8" t="s">
        <v>45</v>
      </c>
      <c r="D44" s="8" t="s">
        <v>34</v>
      </c>
      <c r="E44" s="8" t="s">
        <v>27</v>
      </c>
      <c r="F44" s="8" t="s">
        <v>38</v>
      </c>
      <c r="G44" s="8" t="s">
        <v>46</v>
      </c>
      <c r="H44" s="9">
        <v>19643.03</v>
      </c>
      <c r="I44" s="8">
        <v>5</v>
      </c>
      <c r="J44" s="10">
        <v>2911.87</v>
      </c>
      <c r="K44" s="17" t="str" cm="1">
        <f t="array" ref="K44">_xlfn.IFS(Table433[[#This Row],[Sales]]&gt;40000,"Best Sales",Table433[[#This Row],[Sales]]&gt;20000,"Average Sales",Table433[[#This Row],[Sales]]&gt;0,"Poor Sales")</f>
        <v>Poor Sales</v>
      </c>
      <c r="L44" s="12">
        <f>YEAR(Table433[[#This Row],[Date]])</f>
        <v>2023</v>
      </c>
      <c r="M44" s="12">
        <f>MONTH(Table433[[#This Row],[Date]])</f>
        <v>12</v>
      </c>
      <c r="N44" s="13">
        <f>DAY(Table433[[#This Row],[Date]])</f>
        <v>23</v>
      </c>
      <c r="O44" s="13" t="str">
        <f>TEXT(DATE(2023,Table433[[#This Row],[Month]],1),"mmm")</f>
        <v>Dec</v>
      </c>
      <c r="P44" s="13"/>
      <c r="Q44" s="13"/>
      <c r="U44" s="46" t="s">
        <v>43</v>
      </c>
      <c r="V44" s="47">
        <f>SUMIF(Table433[State],U44,Table433[Profit])</f>
        <v>211121.08999999994</v>
      </c>
      <c r="W44" s="49">
        <f t="shared" si="1"/>
        <v>9.0124126517757266E-2</v>
      </c>
    </row>
    <row r="45" spans="1:32" x14ac:dyDescent="0.3">
      <c r="A45" s="14">
        <v>44</v>
      </c>
      <c r="B45" s="15">
        <v>44981</v>
      </c>
      <c r="C45" s="16" t="s">
        <v>33</v>
      </c>
      <c r="D45" s="16" t="s">
        <v>34</v>
      </c>
      <c r="E45" s="16" t="s">
        <v>27</v>
      </c>
      <c r="F45" s="16" t="s">
        <v>20</v>
      </c>
      <c r="G45" s="16" t="s">
        <v>41</v>
      </c>
      <c r="H45" s="17">
        <v>46031.41</v>
      </c>
      <c r="I45" s="16">
        <v>10</v>
      </c>
      <c r="J45" s="18">
        <v>12190.44</v>
      </c>
      <c r="K45" s="17" t="str" cm="1">
        <f t="array" ref="K45">_xlfn.IFS(Table433[[#This Row],[Sales]]&gt;40000,"Best Sales",Table433[[#This Row],[Sales]]&gt;20000,"Average Sales",Table433[[#This Row],[Sales]]&gt;0,"Poor Sales")</f>
        <v>Best Sales</v>
      </c>
      <c r="L45" s="12">
        <f>YEAR(Table433[[#This Row],[Date]])</f>
        <v>2023</v>
      </c>
      <c r="M45" s="12">
        <f>MONTH(Table433[[#This Row],[Date]])</f>
        <v>2</v>
      </c>
      <c r="N45" s="13">
        <f>DAY(Table433[[#This Row],[Date]])</f>
        <v>24</v>
      </c>
      <c r="O45" s="13" t="str">
        <f>TEXT(DATE(2023,Table433[[#This Row],[Month]],1),"mmm")</f>
        <v>Feb</v>
      </c>
      <c r="P45" s="13"/>
      <c r="Q45" s="13"/>
    </row>
    <row r="46" spans="1:32" x14ac:dyDescent="0.3">
      <c r="A46" s="6">
        <v>45</v>
      </c>
      <c r="B46" s="7">
        <v>44967</v>
      </c>
      <c r="C46" s="8" t="s">
        <v>29</v>
      </c>
      <c r="D46" s="8" t="s">
        <v>29</v>
      </c>
      <c r="E46" s="8" t="s">
        <v>27</v>
      </c>
      <c r="F46" s="8" t="s">
        <v>20</v>
      </c>
      <c r="G46" s="8" t="s">
        <v>28</v>
      </c>
      <c r="H46" s="9">
        <v>10312.469999999999</v>
      </c>
      <c r="I46" s="8">
        <v>3</v>
      </c>
      <c r="J46" s="10">
        <v>917.6</v>
      </c>
      <c r="K46" s="17" t="str" cm="1">
        <f t="array" ref="K46">_xlfn.IFS(Table433[[#This Row],[Sales]]&gt;40000,"Best Sales",Table433[[#This Row],[Sales]]&gt;20000,"Average Sales",Table433[[#This Row],[Sales]]&gt;0,"Poor Sales")</f>
        <v>Poor Sales</v>
      </c>
      <c r="L46" s="12">
        <f>YEAR(Table433[[#This Row],[Date]])</f>
        <v>2023</v>
      </c>
      <c r="M46" s="12">
        <f>MONTH(Table433[[#This Row],[Date]])</f>
        <v>2</v>
      </c>
      <c r="N46" s="13">
        <f>DAY(Table433[[#This Row],[Date]])</f>
        <v>10</v>
      </c>
      <c r="O46" s="13" t="str">
        <f>TEXT(DATE(2023,Table433[[#This Row],[Month]],1),"mmm")</f>
        <v>Feb</v>
      </c>
      <c r="P46" s="13"/>
      <c r="Q46" s="13"/>
      <c r="Y46" s="37" t="s">
        <v>6</v>
      </c>
      <c r="Z46" s="37" t="s">
        <v>279</v>
      </c>
      <c r="AA46" s="37" t="s">
        <v>9</v>
      </c>
      <c r="AB46" s="37" t="s">
        <v>280</v>
      </c>
      <c r="AC46" s="37" t="s">
        <v>281</v>
      </c>
    </row>
    <row r="47" spans="1:32" x14ac:dyDescent="0.3">
      <c r="A47" s="14">
        <v>46</v>
      </c>
      <c r="B47" s="15">
        <v>45288</v>
      </c>
      <c r="C47" s="16" t="s">
        <v>44</v>
      </c>
      <c r="D47" s="16" t="s">
        <v>34</v>
      </c>
      <c r="E47" s="16" t="s">
        <v>27</v>
      </c>
      <c r="F47" s="16" t="s">
        <v>31</v>
      </c>
      <c r="G47" s="16" t="s">
        <v>35</v>
      </c>
      <c r="H47" s="17">
        <v>6582.1</v>
      </c>
      <c r="I47" s="16">
        <v>1</v>
      </c>
      <c r="J47" s="18">
        <v>1867.37</v>
      </c>
      <c r="K47" s="17" t="str" cm="1">
        <f t="array" ref="K47">_xlfn.IFS(Table433[[#This Row],[Sales]]&gt;40000,"Best Sales",Table433[[#This Row],[Sales]]&gt;20000,"Average Sales",Table433[[#This Row],[Sales]]&gt;0,"Poor Sales")</f>
        <v>Poor Sales</v>
      </c>
      <c r="L47" s="12">
        <f>YEAR(Table433[[#This Row],[Date]])</f>
        <v>2023</v>
      </c>
      <c r="M47" s="12">
        <f>MONTH(Table433[[#This Row],[Date]])</f>
        <v>12</v>
      </c>
      <c r="N47" s="13">
        <f>DAY(Table433[[#This Row],[Date]])</f>
        <v>28</v>
      </c>
      <c r="O47" s="13" t="str">
        <f>TEXT(DATE(2023,Table433[[#This Row],[Month]],1),"mmm")</f>
        <v>Dec</v>
      </c>
      <c r="P47" s="13"/>
      <c r="Q47" s="13"/>
      <c r="Y47" t="str" cm="1">
        <f t="array" ref="Y47:Y55">_xlfn.UNIQUE(G2:G501)</f>
        <v>Mobile</v>
      </c>
      <c r="Z47">
        <f>COUNTIF(Table433[Product],Y47)</f>
        <v>54</v>
      </c>
      <c r="AA47">
        <f>SUMIF(Table433[Product],Y47,Table433[Profit])</f>
        <v>271457.8899999999</v>
      </c>
      <c r="AB47" s="34">
        <f>Z47/$W$6</f>
        <v>0.108</v>
      </c>
      <c r="AC47" s="34">
        <f>AA47/$W$13</f>
        <v>0.11588091565178747</v>
      </c>
    </row>
    <row r="48" spans="1:32" x14ac:dyDescent="0.3">
      <c r="A48" s="6">
        <v>47</v>
      </c>
      <c r="B48" s="7">
        <v>45155</v>
      </c>
      <c r="C48" s="8" t="s">
        <v>22</v>
      </c>
      <c r="D48" s="8" t="s">
        <v>23</v>
      </c>
      <c r="E48" s="8" t="s">
        <v>27</v>
      </c>
      <c r="F48" s="8" t="s">
        <v>38</v>
      </c>
      <c r="G48" s="8" t="s">
        <v>46</v>
      </c>
      <c r="H48" s="9">
        <v>3134.95</v>
      </c>
      <c r="I48" s="8">
        <v>8</v>
      </c>
      <c r="J48" s="10">
        <v>371.46</v>
      </c>
      <c r="K48" s="17" t="str" cm="1">
        <f t="array" ref="K48">_xlfn.IFS(Table433[[#This Row],[Sales]]&gt;40000,"Best Sales",Table433[[#This Row],[Sales]]&gt;20000,"Average Sales",Table433[[#This Row],[Sales]]&gt;0,"Poor Sales")</f>
        <v>Poor Sales</v>
      </c>
      <c r="L48" s="12">
        <f>YEAR(Table433[[#This Row],[Date]])</f>
        <v>2023</v>
      </c>
      <c r="M48" s="12">
        <f>MONTH(Table433[[#This Row],[Date]])</f>
        <v>8</v>
      </c>
      <c r="N48" s="13">
        <f>DAY(Table433[[#This Row],[Date]])</f>
        <v>17</v>
      </c>
      <c r="O48" s="13" t="str">
        <f>TEXT(DATE(2023,Table433[[#This Row],[Month]],1),"mmm")</f>
        <v>Aug</v>
      </c>
      <c r="P48" s="13"/>
      <c r="Q48" s="13"/>
      <c r="Y48" t="str">
        <v>Tablet</v>
      </c>
      <c r="Z48">
        <f>COUNTIF(Table433[Product],Y48)</f>
        <v>55</v>
      </c>
      <c r="AA48">
        <f>SUMIF(Table433[Product],Y48,Table433[Profit])</f>
        <v>247695.39000000004</v>
      </c>
      <c r="AB48" s="34">
        <f t="shared" ref="AB48:AB55" si="2">Z48/$W$6</f>
        <v>0.11</v>
      </c>
      <c r="AC48" s="34">
        <f t="shared" ref="AC48:AC55" si="3">AA48/$W$13</f>
        <v>0.10573709460397934</v>
      </c>
    </row>
    <row r="49" spans="1:29" x14ac:dyDescent="0.3">
      <c r="A49" s="14">
        <v>48</v>
      </c>
      <c r="B49" s="15">
        <v>45252</v>
      </c>
      <c r="C49" s="16" t="s">
        <v>25</v>
      </c>
      <c r="D49" s="16" t="s">
        <v>26</v>
      </c>
      <c r="E49" s="16" t="s">
        <v>27</v>
      </c>
      <c r="F49" s="16" t="s">
        <v>38</v>
      </c>
      <c r="G49" s="16" t="s">
        <v>46</v>
      </c>
      <c r="H49" s="17">
        <v>43738.86</v>
      </c>
      <c r="I49" s="16">
        <v>4</v>
      </c>
      <c r="J49" s="18">
        <v>5140.59</v>
      </c>
      <c r="K49" s="17" t="str" cm="1">
        <f t="array" ref="K49">_xlfn.IFS(Table433[[#This Row],[Sales]]&gt;40000,"Best Sales",Table433[[#This Row],[Sales]]&gt;20000,"Average Sales",Table433[[#This Row],[Sales]]&gt;0,"Poor Sales")</f>
        <v>Best Sales</v>
      </c>
      <c r="L49" s="12">
        <f>YEAR(Table433[[#This Row],[Date]])</f>
        <v>2023</v>
      </c>
      <c r="M49" s="12">
        <f>MONTH(Table433[[#This Row],[Date]])</f>
        <v>11</v>
      </c>
      <c r="N49" s="13">
        <f>DAY(Table433[[#This Row],[Date]])</f>
        <v>22</v>
      </c>
      <c r="O49" s="13" t="str">
        <f>TEXT(DATE(2023,Table433[[#This Row],[Month]],1),"mmm")</f>
        <v>Nov</v>
      </c>
      <c r="P49" s="13"/>
      <c r="Q49" s="13"/>
      <c r="Y49" t="str">
        <v>Sofa</v>
      </c>
      <c r="Z49">
        <f>COUNTIF(Table433[Product],Y49)</f>
        <v>57</v>
      </c>
      <c r="AA49">
        <f>SUMIF(Table433[Product],Y49,Table433[Profit])</f>
        <v>244717.38999999996</v>
      </c>
      <c r="AB49" s="34">
        <f t="shared" si="2"/>
        <v>0.114</v>
      </c>
      <c r="AC49" s="34">
        <f t="shared" si="3"/>
        <v>0.10446583530548913</v>
      </c>
    </row>
    <row r="50" spans="1:29" x14ac:dyDescent="0.3">
      <c r="A50" s="6">
        <v>49</v>
      </c>
      <c r="B50" s="7">
        <v>45229</v>
      </c>
      <c r="C50" s="8" t="s">
        <v>45</v>
      </c>
      <c r="D50" s="8" t="s">
        <v>34</v>
      </c>
      <c r="E50" s="8" t="s">
        <v>27</v>
      </c>
      <c r="F50" s="8" t="s">
        <v>31</v>
      </c>
      <c r="G50" s="8" t="s">
        <v>36</v>
      </c>
      <c r="H50" s="9">
        <v>17707.400000000001</v>
      </c>
      <c r="I50" s="8">
        <v>10</v>
      </c>
      <c r="J50" s="10">
        <v>2970.2</v>
      </c>
      <c r="K50" s="17" t="str" cm="1">
        <f t="array" ref="K50">_xlfn.IFS(Table433[[#This Row],[Sales]]&gt;40000,"Best Sales",Table433[[#This Row],[Sales]]&gt;20000,"Average Sales",Table433[[#This Row],[Sales]]&gt;0,"Poor Sales")</f>
        <v>Poor Sales</v>
      </c>
      <c r="L50" s="12">
        <f>YEAR(Table433[[#This Row],[Date]])</f>
        <v>2023</v>
      </c>
      <c r="M50" s="12">
        <f>MONTH(Table433[[#This Row],[Date]])</f>
        <v>10</v>
      </c>
      <c r="N50" s="13">
        <f>DAY(Table433[[#This Row],[Date]])</f>
        <v>30</v>
      </c>
      <c r="O50" s="13" t="str">
        <f>TEXT(DATE(2023,Table433[[#This Row],[Month]],1),"mmm")</f>
        <v>Oct</v>
      </c>
      <c r="P50" s="13"/>
      <c r="Q50" s="13"/>
      <c r="Y50" t="str">
        <v>Table</v>
      </c>
      <c r="Z50">
        <f>COUNTIF(Table433[Product],Y50)</f>
        <v>52</v>
      </c>
      <c r="AA50">
        <f>SUMIF(Table433[Product],Y50,Table433[Profit])</f>
        <v>232180.22999999998</v>
      </c>
      <c r="AB50" s="34">
        <f t="shared" si="2"/>
        <v>0.104</v>
      </c>
      <c r="AC50" s="34">
        <f t="shared" si="3"/>
        <v>9.9113927573232896E-2</v>
      </c>
    </row>
    <row r="51" spans="1:29" x14ac:dyDescent="0.3">
      <c r="A51" s="14">
        <v>50</v>
      </c>
      <c r="B51" s="15">
        <v>45222</v>
      </c>
      <c r="C51" s="16" t="s">
        <v>22</v>
      </c>
      <c r="D51" s="16" t="s">
        <v>23</v>
      </c>
      <c r="E51" s="16" t="s">
        <v>27</v>
      </c>
      <c r="F51" s="16" t="s">
        <v>38</v>
      </c>
      <c r="G51" s="16" t="s">
        <v>46</v>
      </c>
      <c r="H51" s="17">
        <v>7789.2</v>
      </c>
      <c r="I51" s="16">
        <v>1</v>
      </c>
      <c r="J51" s="18">
        <v>1011.85</v>
      </c>
      <c r="K51" s="17" t="str" cm="1">
        <f t="array" ref="K51">_xlfn.IFS(Table433[[#This Row],[Sales]]&gt;40000,"Best Sales",Table433[[#This Row],[Sales]]&gt;20000,"Average Sales",Table433[[#This Row],[Sales]]&gt;0,"Poor Sales")</f>
        <v>Poor Sales</v>
      </c>
      <c r="L51" s="12">
        <f>YEAR(Table433[[#This Row],[Date]])</f>
        <v>2023</v>
      </c>
      <c r="M51" s="12">
        <f>MONTH(Table433[[#This Row],[Date]])</f>
        <v>10</v>
      </c>
      <c r="N51" s="13">
        <f>DAY(Table433[[#This Row],[Date]])</f>
        <v>23</v>
      </c>
      <c r="O51" s="13" t="str">
        <f>TEXT(DATE(2023,Table433[[#This Row],[Month]],1),"mmm")</f>
        <v>Oct</v>
      </c>
      <c r="P51" s="13"/>
      <c r="Q51" s="13"/>
      <c r="Y51" t="str">
        <v>Chair</v>
      </c>
      <c r="Z51">
        <f>COUNTIF(Table433[Product],Y51)</f>
        <v>57</v>
      </c>
      <c r="AA51">
        <f>SUMIF(Table433[Product],Y51,Table433[Profit])</f>
        <v>271124.65999999997</v>
      </c>
      <c r="AB51" s="34">
        <f t="shared" si="2"/>
        <v>0.114</v>
      </c>
      <c r="AC51" s="34">
        <f t="shared" si="3"/>
        <v>0.11573866523673181</v>
      </c>
    </row>
    <row r="52" spans="1:29" x14ac:dyDescent="0.3">
      <c r="A52" s="6">
        <v>51</v>
      </c>
      <c r="B52" s="7">
        <v>45270</v>
      </c>
      <c r="C52" s="8" t="s">
        <v>25</v>
      </c>
      <c r="D52" s="8" t="s">
        <v>26</v>
      </c>
      <c r="E52" s="8" t="s">
        <v>27</v>
      </c>
      <c r="F52" s="8" t="s">
        <v>38</v>
      </c>
      <c r="G52" s="8" t="s">
        <v>40</v>
      </c>
      <c r="H52" s="9">
        <v>18333.759999999998</v>
      </c>
      <c r="I52" s="8">
        <v>7</v>
      </c>
      <c r="J52" s="10">
        <v>4255.3900000000003</v>
      </c>
      <c r="K52" s="17" t="str" cm="1">
        <f t="array" ref="K52">_xlfn.IFS(Table433[[#This Row],[Sales]]&gt;40000,"Best Sales",Table433[[#This Row],[Sales]]&gt;20000,"Average Sales",Table433[[#This Row],[Sales]]&gt;0,"Poor Sales")</f>
        <v>Poor Sales</v>
      </c>
      <c r="L52" s="12">
        <f>YEAR(Table433[[#This Row],[Date]])</f>
        <v>2023</v>
      </c>
      <c r="M52" s="12">
        <f>MONTH(Table433[[#This Row],[Date]])</f>
        <v>12</v>
      </c>
      <c r="N52" s="13">
        <f>DAY(Table433[[#This Row],[Date]])</f>
        <v>10</v>
      </c>
      <c r="O52" s="13" t="str">
        <f>TEXT(DATE(2023,Table433[[#This Row],[Month]],1),"mmm")</f>
        <v>Dec</v>
      </c>
      <c r="P52" s="13"/>
      <c r="Q52" s="13"/>
      <c r="Y52" t="str">
        <v>Jeans</v>
      </c>
      <c r="Z52">
        <f>COUNTIF(Table433[Product],Y52)</f>
        <v>44</v>
      </c>
      <c r="AA52">
        <f>SUMIF(Table433[Product],Y52,Table433[Profit])</f>
        <v>241587.26000000004</v>
      </c>
      <c r="AB52" s="34">
        <f t="shared" si="2"/>
        <v>8.7999999999999995E-2</v>
      </c>
      <c r="AC52" s="34">
        <f t="shared" si="3"/>
        <v>0.10312963420811407</v>
      </c>
    </row>
    <row r="53" spans="1:29" x14ac:dyDescent="0.3">
      <c r="A53" s="14">
        <v>52</v>
      </c>
      <c r="B53" s="15">
        <v>45041</v>
      </c>
      <c r="C53" s="16" t="s">
        <v>22</v>
      </c>
      <c r="D53" s="16" t="s">
        <v>23</v>
      </c>
      <c r="E53" s="16" t="s">
        <v>27</v>
      </c>
      <c r="F53" s="16" t="s">
        <v>38</v>
      </c>
      <c r="G53" s="16" t="s">
        <v>46</v>
      </c>
      <c r="H53" s="17">
        <v>29916.02</v>
      </c>
      <c r="I53" s="16">
        <v>1</v>
      </c>
      <c r="J53" s="18">
        <v>6067.18</v>
      </c>
      <c r="K53" s="17" t="str" cm="1">
        <f t="array" ref="K53">_xlfn.IFS(Table433[[#This Row],[Sales]]&gt;40000,"Best Sales",Table433[[#This Row],[Sales]]&gt;20000,"Average Sales",Table433[[#This Row],[Sales]]&gt;0,"Poor Sales")</f>
        <v>Average Sales</v>
      </c>
      <c r="L53" s="12">
        <f>YEAR(Table433[[#This Row],[Date]])</f>
        <v>2023</v>
      </c>
      <c r="M53" s="12">
        <f>MONTH(Table433[[#This Row],[Date]])</f>
        <v>4</v>
      </c>
      <c r="N53" s="13">
        <f>DAY(Table433[[#This Row],[Date]])</f>
        <v>25</v>
      </c>
      <c r="O53" s="13" t="str">
        <f>TEXT(DATE(2023,Table433[[#This Row],[Month]],1),"mmm")</f>
        <v>Apr</v>
      </c>
      <c r="P53" s="13"/>
      <c r="Q53" s="13"/>
      <c r="Y53" t="str">
        <v>Shirt</v>
      </c>
      <c r="Z53">
        <f>COUNTIF(Table433[Product],Y53)</f>
        <v>61</v>
      </c>
      <c r="AA53">
        <f>SUMIF(Table433[Product],Y53,Table433[Profit])</f>
        <v>268297.41000000009</v>
      </c>
      <c r="AB53" s="34">
        <f t="shared" si="2"/>
        <v>0.122</v>
      </c>
      <c r="AC53" s="34">
        <f t="shared" si="3"/>
        <v>0.11453175863778747</v>
      </c>
    </row>
    <row r="54" spans="1:29" x14ac:dyDescent="0.3">
      <c r="A54" s="6">
        <v>53</v>
      </c>
      <c r="B54" s="7">
        <v>45143</v>
      </c>
      <c r="C54" s="8" t="s">
        <v>22</v>
      </c>
      <c r="D54" s="8" t="s">
        <v>23</v>
      </c>
      <c r="E54" s="8" t="s">
        <v>27</v>
      </c>
      <c r="F54" s="8" t="s">
        <v>20</v>
      </c>
      <c r="G54" s="8" t="s">
        <v>21</v>
      </c>
      <c r="H54" s="9">
        <v>40222.480000000003</v>
      </c>
      <c r="I54" s="8">
        <v>5</v>
      </c>
      <c r="J54" s="10">
        <v>8031.61</v>
      </c>
      <c r="K54" s="17" t="str" cm="1">
        <f t="array" ref="K54">_xlfn.IFS(Table433[[#This Row],[Sales]]&gt;40000,"Best Sales",Table433[[#This Row],[Sales]]&gt;20000,"Average Sales",Table433[[#This Row],[Sales]]&gt;0,"Poor Sales")</f>
        <v>Best Sales</v>
      </c>
      <c r="L54" s="12">
        <f>YEAR(Table433[[#This Row],[Date]])</f>
        <v>2023</v>
      </c>
      <c r="M54" s="12">
        <f>MONTH(Table433[[#This Row],[Date]])</f>
        <v>8</v>
      </c>
      <c r="N54" s="13">
        <f>DAY(Table433[[#This Row],[Date]])</f>
        <v>5</v>
      </c>
      <c r="O54" s="13" t="str">
        <f>TEXT(DATE(2023,Table433[[#This Row],[Month]],1),"mmm")</f>
        <v>Aug</v>
      </c>
      <c r="P54" s="13"/>
      <c r="Q54" s="13"/>
      <c r="Y54" t="str">
        <v>Laptop</v>
      </c>
      <c r="Z54">
        <f>COUNTIF(Table433[Product],Y54)</f>
        <v>63</v>
      </c>
      <c r="AA54">
        <f>SUMIF(Table433[Product],Y54,Table433[Profit])</f>
        <v>293616.65000000008</v>
      </c>
      <c r="AB54" s="34">
        <f t="shared" si="2"/>
        <v>0.126</v>
      </c>
      <c r="AC54" s="34">
        <f t="shared" si="3"/>
        <v>0.12534012642848741</v>
      </c>
    </row>
    <row r="55" spans="1:29" x14ac:dyDescent="0.3">
      <c r="A55" s="14">
        <v>54</v>
      </c>
      <c r="B55" s="15">
        <v>45148</v>
      </c>
      <c r="C55" s="16" t="s">
        <v>42</v>
      </c>
      <c r="D55" s="16" t="s">
        <v>43</v>
      </c>
      <c r="E55" s="16" t="s">
        <v>30</v>
      </c>
      <c r="F55" s="16" t="s">
        <v>20</v>
      </c>
      <c r="G55" s="16" t="s">
        <v>21</v>
      </c>
      <c r="H55" s="17">
        <v>28351.119999999999</v>
      </c>
      <c r="I55" s="16">
        <v>2</v>
      </c>
      <c r="J55" s="18">
        <v>7580.92</v>
      </c>
      <c r="K55" s="17" t="str" cm="1">
        <f t="array" ref="K55">_xlfn.IFS(Table433[[#This Row],[Sales]]&gt;40000,"Best Sales",Table433[[#This Row],[Sales]]&gt;20000,"Average Sales",Table433[[#This Row],[Sales]]&gt;0,"Poor Sales")</f>
        <v>Average Sales</v>
      </c>
      <c r="L55" s="12">
        <f>YEAR(Table433[[#This Row],[Date]])</f>
        <v>2023</v>
      </c>
      <c r="M55" s="12">
        <f>MONTH(Table433[[#This Row],[Date]])</f>
        <v>8</v>
      </c>
      <c r="N55" s="13">
        <f>DAY(Table433[[#This Row],[Date]])</f>
        <v>10</v>
      </c>
      <c r="O55" s="13" t="str">
        <f>TEXT(DATE(2023,Table433[[#This Row],[Month]],1),"mmm")</f>
        <v>Aug</v>
      </c>
      <c r="P55" s="13"/>
      <c r="Q55" s="13"/>
      <c r="Y55" t="str">
        <v>Jacket</v>
      </c>
      <c r="Z55">
        <f>COUNTIF(Table433[Product],Y55)</f>
        <v>57</v>
      </c>
      <c r="AA55">
        <f>SUMIF(Table433[Product],Y55,Table433[Profit])</f>
        <v>271882.18999999994</v>
      </c>
      <c r="AB55" s="34">
        <f t="shared" si="2"/>
        <v>0.114</v>
      </c>
      <c r="AC55" s="34">
        <f t="shared" si="3"/>
        <v>0.1160620423543897</v>
      </c>
    </row>
    <row r="56" spans="1:29" x14ac:dyDescent="0.3">
      <c r="A56" s="6">
        <v>55</v>
      </c>
      <c r="B56" s="7">
        <v>44980</v>
      </c>
      <c r="C56" s="8" t="s">
        <v>37</v>
      </c>
      <c r="D56" s="8" t="s">
        <v>23</v>
      </c>
      <c r="E56" s="8" t="s">
        <v>30</v>
      </c>
      <c r="F56" s="8" t="s">
        <v>38</v>
      </c>
      <c r="G56" s="8" t="s">
        <v>39</v>
      </c>
      <c r="H56" s="9">
        <v>26706.3</v>
      </c>
      <c r="I56" s="8">
        <v>5</v>
      </c>
      <c r="J56" s="10">
        <v>3028.14</v>
      </c>
      <c r="K56" s="17" t="str" cm="1">
        <f t="array" ref="K56">_xlfn.IFS(Table433[[#This Row],[Sales]]&gt;40000,"Best Sales",Table433[[#This Row],[Sales]]&gt;20000,"Average Sales",Table433[[#This Row],[Sales]]&gt;0,"Poor Sales")</f>
        <v>Average Sales</v>
      </c>
      <c r="L56" s="12">
        <f>YEAR(Table433[[#This Row],[Date]])</f>
        <v>2023</v>
      </c>
      <c r="M56" s="12">
        <f>MONTH(Table433[[#This Row],[Date]])</f>
        <v>2</v>
      </c>
      <c r="N56" s="13">
        <f>DAY(Table433[[#This Row],[Date]])</f>
        <v>23</v>
      </c>
      <c r="O56" s="13" t="str">
        <f>TEXT(DATE(2023,Table433[[#This Row],[Month]],1),"mmm")</f>
        <v>Feb</v>
      </c>
      <c r="P56" s="13"/>
      <c r="Q56" s="13"/>
      <c r="AA56">
        <f>SUM(AA47:AA55)</f>
        <v>2342559.0700000003</v>
      </c>
    </row>
    <row r="57" spans="1:29" x14ac:dyDescent="0.3">
      <c r="A57" s="14">
        <v>56</v>
      </c>
      <c r="B57" s="15">
        <v>45068</v>
      </c>
      <c r="C57" s="16" t="s">
        <v>17</v>
      </c>
      <c r="D57" s="16" t="s">
        <v>18</v>
      </c>
      <c r="E57" s="16" t="s">
        <v>30</v>
      </c>
      <c r="F57" s="16" t="s">
        <v>20</v>
      </c>
      <c r="G57" s="16" t="s">
        <v>41</v>
      </c>
      <c r="H57" s="17">
        <v>5030.05</v>
      </c>
      <c r="I57" s="16">
        <v>3</v>
      </c>
      <c r="J57" s="18">
        <v>1411.28</v>
      </c>
      <c r="K57" s="17" t="str" cm="1">
        <f t="array" ref="K57">_xlfn.IFS(Table433[[#This Row],[Sales]]&gt;40000,"Best Sales",Table433[[#This Row],[Sales]]&gt;20000,"Average Sales",Table433[[#This Row],[Sales]]&gt;0,"Poor Sales")</f>
        <v>Poor Sales</v>
      </c>
      <c r="L57" s="12">
        <f>YEAR(Table433[[#This Row],[Date]])</f>
        <v>2023</v>
      </c>
      <c r="M57" s="12">
        <f>MONTH(Table433[[#This Row],[Date]])</f>
        <v>5</v>
      </c>
      <c r="N57" s="13">
        <f>DAY(Table433[[#This Row],[Date]])</f>
        <v>22</v>
      </c>
      <c r="O57" s="13" t="str">
        <f>TEXT(DATE(2023,Table433[[#This Row],[Month]],1),"mmm")</f>
        <v>May</v>
      </c>
      <c r="P57" s="13"/>
      <c r="Q57" s="13"/>
    </row>
    <row r="58" spans="1:29" x14ac:dyDescent="0.3">
      <c r="A58" s="6">
        <v>57</v>
      </c>
      <c r="B58" s="7">
        <v>45006</v>
      </c>
      <c r="C58" s="8" t="s">
        <v>37</v>
      </c>
      <c r="D58" s="8" t="s">
        <v>23</v>
      </c>
      <c r="E58" s="8" t="s">
        <v>30</v>
      </c>
      <c r="F58" s="8" t="s">
        <v>20</v>
      </c>
      <c r="G58" s="8" t="s">
        <v>28</v>
      </c>
      <c r="H58" s="9">
        <v>36606.480000000003</v>
      </c>
      <c r="I58" s="8">
        <v>1</v>
      </c>
      <c r="J58" s="10">
        <v>5249.58</v>
      </c>
      <c r="K58" s="17" t="str" cm="1">
        <f t="array" ref="K58">_xlfn.IFS(Table433[[#This Row],[Sales]]&gt;40000,"Best Sales",Table433[[#This Row],[Sales]]&gt;20000,"Average Sales",Table433[[#This Row],[Sales]]&gt;0,"Poor Sales")</f>
        <v>Average Sales</v>
      </c>
      <c r="L58" s="12">
        <f>YEAR(Table433[[#This Row],[Date]])</f>
        <v>2023</v>
      </c>
      <c r="M58" s="12">
        <f>MONTH(Table433[[#This Row],[Date]])</f>
        <v>3</v>
      </c>
      <c r="N58" s="13">
        <f>DAY(Table433[[#This Row],[Date]])</f>
        <v>21</v>
      </c>
      <c r="O58" s="13" t="str">
        <f>TEXT(DATE(2023,Table433[[#This Row],[Month]],1),"mmm")</f>
        <v>Mar</v>
      </c>
      <c r="P58" s="13"/>
      <c r="Q58" s="13"/>
    </row>
    <row r="59" spans="1:29" x14ac:dyDescent="0.3">
      <c r="A59" s="14">
        <v>58</v>
      </c>
      <c r="B59" s="15">
        <v>44946</v>
      </c>
      <c r="C59" s="16" t="s">
        <v>22</v>
      </c>
      <c r="D59" s="16" t="s">
        <v>23</v>
      </c>
      <c r="E59" s="16" t="s">
        <v>30</v>
      </c>
      <c r="F59" s="16" t="s">
        <v>20</v>
      </c>
      <c r="G59" s="16" t="s">
        <v>21</v>
      </c>
      <c r="H59" s="17">
        <v>30254.94</v>
      </c>
      <c r="I59" s="16">
        <v>3</v>
      </c>
      <c r="J59" s="18">
        <v>5950.99</v>
      </c>
      <c r="K59" s="17" t="str" cm="1">
        <f t="array" ref="K59">_xlfn.IFS(Table433[[#This Row],[Sales]]&gt;40000,"Best Sales",Table433[[#This Row],[Sales]]&gt;20000,"Average Sales",Table433[[#This Row],[Sales]]&gt;0,"Poor Sales")</f>
        <v>Average Sales</v>
      </c>
      <c r="L59" s="12">
        <f>YEAR(Table433[[#This Row],[Date]])</f>
        <v>2023</v>
      </c>
      <c r="M59" s="12">
        <f>MONTH(Table433[[#This Row],[Date]])</f>
        <v>1</v>
      </c>
      <c r="N59" s="13">
        <f>DAY(Table433[[#This Row],[Date]])</f>
        <v>20</v>
      </c>
      <c r="O59" s="13" t="str">
        <f>TEXT(DATE(2023,Table433[[#This Row],[Month]],1),"mmm")</f>
        <v>Jan</v>
      </c>
      <c r="P59" s="13"/>
      <c r="Q59" s="13"/>
    </row>
    <row r="60" spans="1:29" x14ac:dyDescent="0.3">
      <c r="A60" s="6">
        <v>59</v>
      </c>
      <c r="B60" s="7">
        <v>45065</v>
      </c>
      <c r="C60" s="8" t="s">
        <v>37</v>
      </c>
      <c r="D60" s="8" t="s">
        <v>23</v>
      </c>
      <c r="E60" s="8" t="s">
        <v>30</v>
      </c>
      <c r="F60" s="8" t="s">
        <v>38</v>
      </c>
      <c r="G60" s="8" t="s">
        <v>46</v>
      </c>
      <c r="H60" s="9">
        <v>43019.7</v>
      </c>
      <c r="I60" s="8">
        <v>4</v>
      </c>
      <c r="J60" s="10">
        <v>9540.3799999999992</v>
      </c>
      <c r="K60" s="17" t="str" cm="1">
        <f t="array" ref="K60">_xlfn.IFS(Table433[[#This Row],[Sales]]&gt;40000,"Best Sales",Table433[[#This Row],[Sales]]&gt;20000,"Average Sales",Table433[[#This Row],[Sales]]&gt;0,"Poor Sales")</f>
        <v>Best Sales</v>
      </c>
      <c r="L60" s="12">
        <f>YEAR(Table433[[#This Row],[Date]])</f>
        <v>2023</v>
      </c>
      <c r="M60" s="12">
        <f>MONTH(Table433[[#This Row],[Date]])</f>
        <v>5</v>
      </c>
      <c r="N60" s="13">
        <f>DAY(Table433[[#This Row],[Date]])</f>
        <v>19</v>
      </c>
      <c r="O60" s="13" t="str">
        <f>TEXT(DATE(2023,Table433[[#This Row],[Month]],1),"mmm")</f>
        <v>May</v>
      </c>
      <c r="P60" s="13"/>
      <c r="Q60" s="13"/>
    </row>
    <row r="61" spans="1:29" x14ac:dyDescent="0.3">
      <c r="A61" s="14">
        <v>60</v>
      </c>
      <c r="B61" s="15">
        <v>44977</v>
      </c>
      <c r="C61" s="16" t="s">
        <v>45</v>
      </c>
      <c r="D61" s="16" t="s">
        <v>34</v>
      </c>
      <c r="E61" s="16" t="s">
        <v>30</v>
      </c>
      <c r="F61" s="16" t="s">
        <v>20</v>
      </c>
      <c r="G61" s="16" t="s">
        <v>28</v>
      </c>
      <c r="H61" s="17">
        <v>3020.57</v>
      </c>
      <c r="I61" s="16">
        <v>7</v>
      </c>
      <c r="J61" s="18">
        <v>762.12</v>
      </c>
      <c r="K61" s="17" t="str" cm="1">
        <f t="array" ref="K61">_xlfn.IFS(Table433[[#This Row],[Sales]]&gt;40000,"Best Sales",Table433[[#This Row],[Sales]]&gt;20000,"Average Sales",Table433[[#This Row],[Sales]]&gt;0,"Poor Sales")</f>
        <v>Poor Sales</v>
      </c>
      <c r="L61" s="12">
        <f>YEAR(Table433[[#This Row],[Date]])</f>
        <v>2023</v>
      </c>
      <c r="M61" s="12">
        <f>MONTH(Table433[[#This Row],[Date]])</f>
        <v>2</v>
      </c>
      <c r="N61" s="13">
        <f>DAY(Table433[[#This Row],[Date]])</f>
        <v>20</v>
      </c>
      <c r="O61" s="13" t="str">
        <f>TEXT(DATE(2023,Table433[[#This Row],[Month]],1),"mmm")</f>
        <v>Feb</v>
      </c>
      <c r="P61" s="13"/>
      <c r="Q61" s="13"/>
    </row>
    <row r="62" spans="1:29" x14ac:dyDescent="0.3">
      <c r="A62" s="6">
        <v>61</v>
      </c>
      <c r="B62" s="7">
        <v>44992</v>
      </c>
      <c r="C62" s="8" t="s">
        <v>29</v>
      </c>
      <c r="D62" s="8" t="s">
        <v>29</v>
      </c>
      <c r="E62" s="8" t="s">
        <v>30</v>
      </c>
      <c r="F62" s="8" t="s">
        <v>20</v>
      </c>
      <c r="G62" s="8" t="s">
        <v>21</v>
      </c>
      <c r="H62" s="9">
        <v>29105.97</v>
      </c>
      <c r="I62" s="8">
        <v>7</v>
      </c>
      <c r="J62" s="10">
        <v>7986.26</v>
      </c>
      <c r="K62" s="17" t="str" cm="1">
        <f t="array" ref="K62">_xlfn.IFS(Table433[[#This Row],[Sales]]&gt;40000,"Best Sales",Table433[[#This Row],[Sales]]&gt;20000,"Average Sales",Table433[[#This Row],[Sales]]&gt;0,"Poor Sales")</f>
        <v>Average Sales</v>
      </c>
      <c r="L62" s="12">
        <f>YEAR(Table433[[#This Row],[Date]])</f>
        <v>2023</v>
      </c>
      <c r="M62" s="12">
        <f>MONTH(Table433[[#This Row],[Date]])</f>
        <v>3</v>
      </c>
      <c r="N62" s="13">
        <f>DAY(Table433[[#This Row],[Date]])</f>
        <v>7</v>
      </c>
      <c r="O62" s="13" t="str">
        <f>TEXT(DATE(2023,Table433[[#This Row],[Month]],1),"mmm")</f>
        <v>Mar</v>
      </c>
      <c r="P62" s="13"/>
      <c r="Q62" s="13"/>
    </row>
    <row r="63" spans="1:29" x14ac:dyDescent="0.3">
      <c r="A63" s="14">
        <v>62</v>
      </c>
      <c r="B63" s="15">
        <v>44987</v>
      </c>
      <c r="C63" s="16" t="s">
        <v>25</v>
      </c>
      <c r="D63" s="16" t="s">
        <v>26</v>
      </c>
      <c r="E63" s="16" t="s">
        <v>30</v>
      </c>
      <c r="F63" s="16" t="s">
        <v>20</v>
      </c>
      <c r="G63" s="16" t="s">
        <v>28</v>
      </c>
      <c r="H63" s="17">
        <v>42202.76</v>
      </c>
      <c r="I63" s="16">
        <v>10</v>
      </c>
      <c r="J63" s="18">
        <v>5345.77</v>
      </c>
      <c r="K63" s="17" t="str" cm="1">
        <f t="array" ref="K63">_xlfn.IFS(Table433[[#This Row],[Sales]]&gt;40000,"Best Sales",Table433[[#This Row],[Sales]]&gt;20000,"Average Sales",Table433[[#This Row],[Sales]]&gt;0,"Poor Sales")</f>
        <v>Best Sales</v>
      </c>
      <c r="L63" s="12">
        <f>YEAR(Table433[[#This Row],[Date]])</f>
        <v>2023</v>
      </c>
      <c r="M63" s="12">
        <f>MONTH(Table433[[#This Row],[Date]])</f>
        <v>3</v>
      </c>
      <c r="N63" s="13">
        <f>DAY(Table433[[#This Row],[Date]])</f>
        <v>2</v>
      </c>
      <c r="O63" s="13" t="str">
        <f>TEXT(DATE(2023,Table433[[#This Row],[Month]],1),"mmm")</f>
        <v>Mar</v>
      </c>
      <c r="P63" s="13"/>
      <c r="Q63" s="13"/>
    </row>
    <row r="64" spans="1:29" x14ac:dyDescent="0.3">
      <c r="A64" s="6">
        <v>63</v>
      </c>
      <c r="B64" s="7">
        <v>45126</v>
      </c>
      <c r="C64" s="8" t="s">
        <v>22</v>
      </c>
      <c r="D64" s="8" t="s">
        <v>23</v>
      </c>
      <c r="E64" s="8" t="s">
        <v>30</v>
      </c>
      <c r="F64" s="8" t="s">
        <v>38</v>
      </c>
      <c r="G64" s="8" t="s">
        <v>40</v>
      </c>
      <c r="H64" s="9">
        <v>16484.55</v>
      </c>
      <c r="I64" s="8">
        <v>9</v>
      </c>
      <c r="J64" s="10">
        <v>1351</v>
      </c>
      <c r="K64" s="17" t="str" cm="1">
        <f t="array" ref="K64">_xlfn.IFS(Table433[[#This Row],[Sales]]&gt;40000,"Best Sales",Table433[[#This Row],[Sales]]&gt;20000,"Average Sales",Table433[[#This Row],[Sales]]&gt;0,"Poor Sales")</f>
        <v>Poor Sales</v>
      </c>
      <c r="L64" s="12">
        <f>YEAR(Table433[[#This Row],[Date]])</f>
        <v>2023</v>
      </c>
      <c r="M64" s="12">
        <f>MONTH(Table433[[#This Row],[Date]])</f>
        <v>7</v>
      </c>
      <c r="N64" s="13">
        <f>DAY(Table433[[#This Row],[Date]])</f>
        <v>19</v>
      </c>
      <c r="O64" s="13" t="str">
        <f>TEXT(DATE(2023,Table433[[#This Row],[Month]],1),"mmm")</f>
        <v>Jul</v>
      </c>
      <c r="P64" s="13"/>
      <c r="Q64" s="13"/>
    </row>
    <row r="65" spans="1:17" x14ac:dyDescent="0.3">
      <c r="A65" s="14">
        <v>64</v>
      </c>
      <c r="B65" s="15">
        <v>45216</v>
      </c>
      <c r="C65" s="16" t="s">
        <v>22</v>
      </c>
      <c r="D65" s="16" t="s">
        <v>23</v>
      </c>
      <c r="E65" s="16" t="s">
        <v>30</v>
      </c>
      <c r="F65" s="16" t="s">
        <v>31</v>
      </c>
      <c r="G65" s="16" t="s">
        <v>35</v>
      </c>
      <c r="H65" s="17">
        <v>48949.84</v>
      </c>
      <c r="I65" s="16">
        <v>9</v>
      </c>
      <c r="J65" s="18">
        <v>10667.27</v>
      </c>
      <c r="K65" s="17" t="str" cm="1">
        <f t="array" ref="K65">_xlfn.IFS(Table433[[#This Row],[Sales]]&gt;40000,"Best Sales",Table433[[#This Row],[Sales]]&gt;20000,"Average Sales",Table433[[#This Row],[Sales]]&gt;0,"Poor Sales")</f>
        <v>Best Sales</v>
      </c>
      <c r="L65" s="12">
        <f>YEAR(Table433[[#This Row],[Date]])</f>
        <v>2023</v>
      </c>
      <c r="M65" s="12">
        <f>MONTH(Table433[[#This Row],[Date]])</f>
        <v>10</v>
      </c>
      <c r="N65" s="13">
        <f>DAY(Table433[[#This Row],[Date]])</f>
        <v>17</v>
      </c>
      <c r="O65" s="13" t="str">
        <f>TEXT(DATE(2023,Table433[[#This Row],[Month]],1),"mmm")</f>
        <v>Oct</v>
      </c>
      <c r="P65" s="13"/>
      <c r="Q65" s="13"/>
    </row>
    <row r="66" spans="1:17" x14ac:dyDescent="0.3">
      <c r="A66" s="6">
        <v>65</v>
      </c>
      <c r="B66" s="7">
        <v>45173</v>
      </c>
      <c r="C66" s="8" t="s">
        <v>37</v>
      </c>
      <c r="D66" s="8" t="s">
        <v>23</v>
      </c>
      <c r="E66" s="8" t="s">
        <v>30</v>
      </c>
      <c r="F66" s="8" t="s">
        <v>31</v>
      </c>
      <c r="G66" s="8" t="s">
        <v>35</v>
      </c>
      <c r="H66" s="9">
        <v>19183.52</v>
      </c>
      <c r="I66" s="8">
        <v>5</v>
      </c>
      <c r="J66" s="10">
        <v>2804.51</v>
      </c>
      <c r="K66" s="17" t="str" cm="1">
        <f t="array" ref="K66">_xlfn.IFS(Table433[[#This Row],[Sales]]&gt;40000,"Best Sales",Table433[[#This Row],[Sales]]&gt;20000,"Average Sales",Table433[[#This Row],[Sales]]&gt;0,"Poor Sales")</f>
        <v>Poor Sales</v>
      </c>
      <c r="L66" s="12">
        <f>YEAR(Table433[[#This Row],[Date]])</f>
        <v>2023</v>
      </c>
      <c r="M66" s="12">
        <f>MONTH(Table433[[#This Row],[Date]])</f>
        <v>9</v>
      </c>
      <c r="N66" s="13">
        <f>DAY(Table433[[#This Row],[Date]])</f>
        <v>4</v>
      </c>
      <c r="O66" s="13" t="str">
        <f>TEXT(DATE(2023,Table433[[#This Row],[Month]],1),"mmm")</f>
        <v>Sep</v>
      </c>
      <c r="P66" s="13"/>
      <c r="Q66" s="13"/>
    </row>
    <row r="67" spans="1:17" x14ac:dyDescent="0.3">
      <c r="A67" s="14">
        <v>66</v>
      </c>
      <c r="B67" s="15">
        <v>45163</v>
      </c>
      <c r="C67" s="16" t="s">
        <v>29</v>
      </c>
      <c r="D67" s="16" t="s">
        <v>29</v>
      </c>
      <c r="E67" s="16" t="s">
        <v>30</v>
      </c>
      <c r="F67" s="16" t="s">
        <v>20</v>
      </c>
      <c r="G67" s="16" t="s">
        <v>41</v>
      </c>
      <c r="H67" s="17">
        <v>25834.9</v>
      </c>
      <c r="I67" s="16">
        <v>2</v>
      </c>
      <c r="J67" s="18">
        <v>6880.51</v>
      </c>
      <c r="K67" s="17" t="str" cm="1">
        <f t="array" ref="K67">_xlfn.IFS(Table433[[#This Row],[Sales]]&gt;40000,"Best Sales",Table433[[#This Row],[Sales]]&gt;20000,"Average Sales",Table433[[#This Row],[Sales]]&gt;0,"Poor Sales")</f>
        <v>Average Sales</v>
      </c>
      <c r="L67" s="12">
        <f>YEAR(Table433[[#This Row],[Date]])</f>
        <v>2023</v>
      </c>
      <c r="M67" s="12">
        <f>MONTH(Table433[[#This Row],[Date]])</f>
        <v>8</v>
      </c>
      <c r="N67" s="13">
        <f>DAY(Table433[[#This Row],[Date]])</f>
        <v>25</v>
      </c>
      <c r="O67" s="13" t="str">
        <f>TEXT(DATE(2023,Table433[[#This Row],[Month]],1),"mmm")</f>
        <v>Aug</v>
      </c>
      <c r="P67" s="13"/>
      <c r="Q67" s="13"/>
    </row>
    <row r="68" spans="1:17" x14ac:dyDescent="0.3">
      <c r="A68" s="6">
        <v>67</v>
      </c>
      <c r="B68" s="7">
        <v>44930</v>
      </c>
      <c r="C68" s="8" t="s">
        <v>29</v>
      </c>
      <c r="D68" s="8" t="s">
        <v>29</v>
      </c>
      <c r="E68" s="8" t="s">
        <v>19</v>
      </c>
      <c r="F68" s="8" t="s">
        <v>20</v>
      </c>
      <c r="G68" s="8" t="s">
        <v>41</v>
      </c>
      <c r="H68" s="9">
        <v>37162.660000000003</v>
      </c>
      <c r="I68" s="8">
        <v>8</v>
      </c>
      <c r="J68" s="10">
        <v>5652.71</v>
      </c>
      <c r="K68" s="17" t="str" cm="1">
        <f t="array" ref="K68">_xlfn.IFS(Table433[[#This Row],[Sales]]&gt;40000,"Best Sales",Table433[[#This Row],[Sales]]&gt;20000,"Average Sales",Table433[[#This Row],[Sales]]&gt;0,"Poor Sales")</f>
        <v>Average Sales</v>
      </c>
      <c r="L68" s="12">
        <f>YEAR(Table433[[#This Row],[Date]])</f>
        <v>2023</v>
      </c>
      <c r="M68" s="12">
        <f>MONTH(Table433[[#This Row],[Date]])</f>
        <v>1</v>
      </c>
      <c r="N68" s="13">
        <f>DAY(Table433[[#This Row],[Date]])</f>
        <v>4</v>
      </c>
      <c r="O68" s="13" t="str">
        <f>TEXT(DATE(2023,Table433[[#This Row],[Month]],1),"mmm")</f>
        <v>Jan</v>
      </c>
      <c r="P68" s="13"/>
      <c r="Q68" s="13"/>
    </row>
    <row r="69" spans="1:17" x14ac:dyDescent="0.3">
      <c r="A69" s="14">
        <v>68</v>
      </c>
      <c r="B69" s="15">
        <v>45098</v>
      </c>
      <c r="C69" s="16" t="s">
        <v>37</v>
      </c>
      <c r="D69" s="16" t="s">
        <v>23</v>
      </c>
      <c r="E69" s="16" t="s">
        <v>24</v>
      </c>
      <c r="F69" s="16" t="s">
        <v>31</v>
      </c>
      <c r="G69" s="16" t="s">
        <v>32</v>
      </c>
      <c r="H69" s="17">
        <v>28938.6</v>
      </c>
      <c r="I69" s="16">
        <v>10</v>
      </c>
      <c r="J69" s="18">
        <v>7700.06</v>
      </c>
      <c r="K69" s="17" t="str" cm="1">
        <f t="array" ref="K69">_xlfn.IFS(Table433[[#This Row],[Sales]]&gt;40000,"Best Sales",Table433[[#This Row],[Sales]]&gt;20000,"Average Sales",Table433[[#This Row],[Sales]]&gt;0,"Poor Sales")</f>
        <v>Average Sales</v>
      </c>
      <c r="L69" s="12">
        <f>YEAR(Table433[[#This Row],[Date]])</f>
        <v>2023</v>
      </c>
      <c r="M69" s="12">
        <f>MONTH(Table433[[#This Row],[Date]])</f>
        <v>6</v>
      </c>
      <c r="N69" s="13">
        <f>DAY(Table433[[#This Row],[Date]])</f>
        <v>21</v>
      </c>
      <c r="O69" s="13" t="str">
        <f>TEXT(DATE(2023,Table433[[#This Row],[Month]],1),"mmm")</f>
        <v>Jun</v>
      </c>
      <c r="P69" s="13"/>
      <c r="Q69" s="13"/>
    </row>
    <row r="70" spans="1:17" x14ac:dyDescent="0.3">
      <c r="A70" s="6">
        <v>69</v>
      </c>
      <c r="B70" s="7">
        <v>45268</v>
      </c>
      <c r="C70" s="8" t="s">
        <v>45</v>
      </c>
      <c r="D70" s="8" t="s">
        <v>34</v>
      </c>
      <c r="E70" s="8" t="s">
        <v>24</v>
      </c>
      <c r="F70" s="8" t="s">
        <v>31</v>
      </c>
      <c r="G70" s="8" t="s">
        <v>32</v>
      </c>
      <c r="H70" s="9">
        <v>10690.45</v>
      </c>
      <c r="I70" s="8">
        <v>5</v>
      </c>
      <c r="J70" s="10">
        <v>2992.24</v>
      </c>
      <c r="K70" s="17" t="str" cm="1">
        <f t="array" ref="K70">_xlfn.IFS(Table433[[#This Row],[Sales]]&gt;40000,"Best Sales",Table433[[#This Row],[Sales]]&gt;20000,"Average Sales",Table433[[#This Row],[Sales]]&gt;0,"Poor Sales")</f>
        <v>Poor Sales</v>
      </c>
      <c r="L70" s="12">
        <f>YEAR(Table433[[#This Row],[Date]])</f>
        <v>2023</v>
      </c>
      <c r="M70" s="12">
        <f>MONTH(Table433[[#This Row],[Date]])</f>
        <v>12</v>
      </c>
      <c r="N70" s="13">
        <f>DAY(Table433[[#This Row],[Date]])</f>
        <v>8</v>
      </c>
      <c r="O70" s="13" t="str">
        <f>TEXT(DATE(2023,Table433[[#This Row],[Month]],1),"mmm")</f>
        <v>Dec</v>
      </c>
      <c r="P70" s="13"/>
      <c r="Q70" s="13"/>
    </row>
    <row r="71" spans="1:17" x14ac:dyDescent="0.3">
      <c r="A71" s="14">
        <v>70</v>
      </c>
      <c r="B71" s="15">
        <v>45137</v>
      </c>
      <c r="C71" s="16" t="s">
        <v>29</v>
      </c>
      <c r="D71" s="16" t="s">
        <v>29</v>
      </c>
      <c r="E71" s="16" t="s">
        <v>19</v>
      </c>
      <c r="F71" s="16" t="s">
        <v>38</v>
      </c>
      <c r="G71" s="16" t="s">
        <v>46</v>
      </c>
      <c r="H71" s="17">
        <v>4383.75</v>
      </c>
      <c r="I71" s="16">
        <v>1</v>
      </c>
      <c r="J71" s="18">
        <v>918.46</v>
      </c>
      <c r="K71" s="17" t="str" cm="1">
        <f t="array" ref="K71">_xlfn.IFS(Table433[[#This Row],[Sales]]&gt;40000,"Best Sales",Table433[[#This Row],[Sales]]&gt;20000,"Average Sales",Table433[[#This Row],[Sales]]&gt;0,"Poor Sales")</f>
        <v>Poor Sales</v>
      </c>
      <c r="L71" s="12">
        <f>YEAR(Table433[[#This Row],[Date]])</f>
        <v>2023</v>
      </c>
      <c r="M71" s="12">
        <f>MONTH(Table433[[#This Row],[Date]])</f>
        <v>7</v>
      </c>
      <c r="N71" s="13">
        <f>DAY(Table433[[#This Row],[Date]])</f>
        <v>30</v>
      </c>
      <c r="O71" s="13" t="str">
        <f>TEXT(DATE(2023,Table433[[#This Row],[Month]],1),"mmm")</f>
        <v>Jul</v>
      </c>
      <c r="P71" s="13"/>
      <c r="Q71" s="13"/>
    </row>
    <row r="72" spans="1:17" x14ac:dyDescent="0.3">
      <c r="A72" s="6">
        <v>71</v>
      </c>
      <c r="B72" s="7">
        <v>45257</v>
      </c>
      <c r="C72" s="8" t="s">
        <v>37</v>
      </c>
      <c r="D72" s="8" t="s">
        <v>23</v>
      </c>
      <c r="E72" s="8" t="s">
        <v>19</v>
      </c>
      <c r="F72" s="8" t="s">
        <v>20</v>
      </c>
      <c r="G72" s="8" t="s">
        <v>28</v>
      </c>
      <c r="H72" s="9">
        <v>23844.99</v>
      </c>
      <c r="I72" s="8">
        <v>5</v>
      </c>
      <c r="J72" s="10">
        <v>2367.61</v>
      </c>
      <c r="K72" s="17" t="str" cm="1">
        <f t="array" ref="K72">_xlfn.IFS(Table433[[#This Row],[Sales]]&gt;40000,"Best Sales",Table433[[#This Row],[Sales]]&gt;20000,"Average Sales",Table433[[#This Row],[Sales]]&gt;0,"Poor Sales")</f>
        <v>Average Sales</v>
      </c>
      <c r="L72" s="12">
        <f>YEAR(Table433[[#This Row],[Date]])</f>
        <v>2023</v>
      </c>
      <c r="M72" s="12">
        <f>MONTH(Table433[[#This Row],[Date]])</f>
        <v>11</v>
      </c>
      <c r="N72" s="13">
        <f>DAY(Table433[[#This Row],[Date]])</f>
        <v>27</v>
      </c>
      <c r="O72" s="13" t="str">
        <f>TEXT(DATE(2023,Table433[[#This Row],[Month]],1),"mmm")</f>
        <v>Nov</v>
      </c>
      <c r="P72" s="13"/>
      <c r="Q72" s="13"/>
    </row>
    <row r="73" spans="1:17" x14ac:dyDescent="0.3">
      <c r="A73" s="14">
        <v>72</v>
      </c>
      <c r="B73" s="15">
        <v>45214</v>
      </c>
      <c r="C73" s="16" t="s">
        <v>22</v>
      </c>
      <c r="D73" s="16" t="s">
        <v>23</v>
      </c>
      <c r="E73" s="16" t="s">
        <v>24</v>
      </c>
      <c r="F73" s="16" t="s">
        <v>31</v>
      </c>
      <c r="G73" s="16" t="s">
        <v>36</v>
      </c>
      <c r="H73" s="17">
        <v>48504.77</v>
      </c>
      <c r="I73" s="16">
        <v>10</v>
      </c>
      <c r="J73" s="18">
        <v>8679.41</v>
      </c>
      <c r="K73" s="17" t="str" cm="1">
        <f t="array" ref="K73">_xlfn.IFS(Table433[[#This Row],[Sales]]&gt;40000,"Best Sales",Table433[[#This Row],[Sales]]&gt;20000,"Average Sales",Table433[[#This Row],[Sales]]&gt;0,"Poor Sales")</f>
        <v>Best Sales</v>
      </c>
      <c r="L73" s="12">
        <f>YEAR(Table433[[#This Row],[Date]])</f>
        <v>2023</v>
      </c>
      <c r="M73" s="12">
        <f>MONTH(Table433[[#This Row],[Date]])</f>
        <v>10</v>
      </c>
      <c r="N73" s="13">
        <f>DAY(Table433[[#This Row],[Date]])</f>
        <v>15</v>
      </c>
      <c r="O73" s="13" t="str">
        <f>TEXT(DATE(2023,Table433[[#This Row],[Month]],1),"mmm")</f>
        <v>Oct</v>
      </c>
      <c r="P73" s="13"/>
      <c r="Q73" s="13"/>
    </row>
    <row r="74" spans="1:17" x14ac:dyDescent="0.3">
      <c r="A74" s="6">
        <v>73</v>
      </c>
      <c r="B74" s="7">
        <v>45053</v>
      </c>
      <c r="C74" s="8" t="s">
        <v>44</v>
      </c>
      <c r="D74" s="8" t="s">
        <v>34</v>
      </c>
      <c r="E74" s="8" t="s">
        <v>19</v>
      </c>
      <c r="F74" s="8" t="s">
        <v>38</v>
      </c>
      <c r="G74" s="8" t="s">
        <v>39</v>
      </c>
      <c r="H74" s="9">
        <v>10052.780000000001</v>
      </c>
      <c r="I74" s="8">
        <v>8</v>
      </c>
      <c r="J74" s="10">
        <v>2293.2600000000002</v>
      </c>
      <c r="K74" s="17" t="str" cm="1">
        <f t="array" ref="K74">_xlfn.IFS(Table433[[#This Row],[Sales]]&gt;40000,"Best Sales",Table433[[#This Row],[Sales]]&gt;20000,"Average Sales",Table433[[#This Row],[Sales]]&gt;0,"Poor Sales")</f>
        <v>Poor Sales</v>
      </c>
      <c r="L74" s="12">
        <f>YEAR(Table433[[#This Row],[Date]])</f>
        <v>2023</v>
      </c>
      <c r="M74" s="12">
        <f>MONTH(Table433[[#This Row],[Date]])</f>
        <v>5</v>
      </c>
      <c r="N74" s="13">
        <f>DAY(Table433[[#This Row],[Date]])</f>
        <v>7</v>
      </c>
      <c r="O74" s="13" t="str">
        <f>TEXT(DATE(2023,Table433[[#This Row],[Month]],1),"mmm")</f>
        <v>May</v>
      </c>
      <c r="P74" s="13"/>
      <c r="Q74" s="13"/>
    </row>
    <row r="75" spans="1:17" x14ac:dyDescent="0.3">
      <c r="A75" s="14">
        <v>74</v>
      </c>
      <c r="B75" s="15">
        <v>44964</v>
      </c>
      <c r="C75" s="16" t="s">
        <v>44</v>
      </c>
      <c r="D75" s="16" t="s">
        <v>34</v>
      </c>
      <c r="E75" s="16" t="s">
        <v>24</v>
      </c>
      <c r="F75" s="16" t="s">
        <v>20</v>
      </c>
      <c r="G75" s="16" t="s">
        <v>41</v>
      </c>
      <c r="H75" s="17">
        <v>47147.42</v>
      </c>
      <c r="I75" s="16">
        <v>6</v>
      </c>
      <c r="J75" s="18">
        <v>9546.64</v>
      </c>
      <c r="K75" s="17" t="str" cm="1">
        <f t="array" ref="K75">_xlfn.IFS(Table433[[#This Row],[Sales]]&gt;40000,"Best Sales",Table433[[#This Row],[Sales]]&gt;20000,"Average Sales",Table433[[#This Row],[Sales]]&gt;0,"Poor Sales")</f>
        <v>Best Sales</v>
      </c>
      <c r="L75" s="12">
        <f>YEAR(Table433[[#This Row],[Date]])</f>
        <v>2023</v>
      </c>
      <c r="M75" s="12">
        <f>MONTH(Table433[[#This Row],[Date]])</f>
        <v>2</v>
      </c>
      <c r="N75" s="13">
        <f>DAY(Table433[[#This Row],[Date]])</f>
        <v>7</v>
      </c>
      <c r="O75" s="13" t="str">
        <f>TEXT(DATE(2023,Table433[[#This Row],[Month]],1),"mmm")</f>
        <v>Feb</v>
      </c>
      <c r="P75" s="13"/>
      <c r="Q75" s="13"/>
    </row>
    <row r="76" spans="1:17" x14ac:dyDescent="0.3">
      <c r="A76" s="6">
        <v>75</v>
      </c>
      <c r="B76" s="7">
        <v>45109</v>
      </c>
      <c r="C76" s="8" t="s">
        <v>44</v>
      </c>
      <c r="D76" s="8" t="s">
        <v>34</v>
      </c>
      <c r="E76" s="8" t="s">
        <v>27</v>
      </c>
      <c r="F76" s="8" t="s">
        <v>20</v>
      </c>
      <c r="G76" s="8" t="s">
        <v>21</v>
      </c>
      <c r="H76" s="9">
        <v>35496.660000000003</v>
      </c>
      <c r="I76" s="8">
        <v>8</v>
      </c>
      <c r="J76" s="10">
        <v>8170.12</v>
      </c>
      <c r="K76" s="17" t="str" cm="1">
        <f t="array" ref="K76">_xlfn.IFS(Table433[[#This Row],[Sales]]&gt;40000,"Best Sales",Table433[[#This Row],[Sales]]&gt;20000,"Average Sales",Table433[[#This Row],[Sales]]&gt;0,"Poor Sales")</f>
        <v>Average Sales</v>
      </c>
      <c r="L76" s="12">
        <f>YEAR(Table433[[#This Row],[Date]])</f>
        <v>2023</v>
      </c>
      <c r="M76" s="12">
        <f>MONTH(Table433[[#This Row],[Date]])</f>
        <v>7</v>
      </c>
      <c r="N76" s="13">
        <f>DAY(Table433[[#This Row],[Date]])</f>
        <v>2</v>
      </c>
      <c r="O76" s="13" t="str">
        <f>TEXT(DATE(2023,Table433[[#This Row],[Month]],1),"mmm")</f>
        <v>Jul</v>
      </c>
      <c r="P76" s="13"/>
      <c r="Q76" s="13"/>
    </row>
    <row r="77" spans="1:17" x14ac:dyDescent="0.3">
      <c r="A77" s="14">
        <v>76</v>
      </c>
      <c r="B77" s="15">
        <v>45274</v>
      </c>
      <c r="C77" s="16" t="s">
        <v>42</v>
      </c>
      <c r="D77" s="16" t="s">
        <v>43</v>
      </c>
      <c r="E77" s="16" t="s">
        <v>27</v>
      </c>
      <c r="F77" s="16" t="s">
        <v>20</v>
      </c>
      <c r="G77" s="16" t="s">
        <v>41</v>
      </c>
      <c r="H77" s="17">
        <v>33753.199999999997</v>
      </c>
      <c r="I77" s="16">
        <v>9</v>
      </c>
      <c r="J77" s="18">
        <v>4284.71</v>
      </c>
      <c r="K77" s="17" t="str" cm="1">
        <f t="array" ref="K77">_xlfn.IFS(Table433[[#This Row],[Sales]]&gt;40000,"Best Sales",Table433[[#This Row],[Sales]]&gt;20000,"Average Sales",Table433[[#This Row],[Sales]]&gt;0,"Poor Sales")</f>
        <v>Average Sales</v>
      </c>
      <c r="L77" s="12">
        <f>YEAR(Table433[[#This Row],[Date]])</f>
        <v>2023</v>
      </c>
      <c r="M77" s="12">
        <f>MONTH(Table433[[#This Row],[Date]])</f>
        <v>12</v>
      </c>
      <c r="N77" s="13">
        <f>DAY(Table433[[#This Row],[Date]])</f>
        <v>14</v>
      </c>
      <c r="O77" s="13" t="str">
        <f>TEXT(DATE(2023,Table433[[#This Row],[Month]],1),"mmm")</f>
        <v>Dec</v>
      </c>
      <c r="P77" s="13"/>
      <c r="Q77" s="13"/>
    </row>
    <row r="78" spans="1:17" x14ac:dyDescent="0.3">
      <c r="A78" s="6">
        <v>77</v>
      </c>
      <c r="B78" s="7">
        <v>45228</v>
      </c>
      <c r="C78" s="8" t="s">
        <v>42</v>
      </c>
      <c r="D78" s="8" t="s">
        <v>43</v>
      </c>
      <c r="E78" s="8" t="s">
        <v>27</v>
      </c>
      <c r="F78" s="8" t="s">
        <v>38</v>
      </c>
      <c r="G78" s="8" t="s">
        <v>46</v>
      </c>
      <c r="H78" s="9">
        <v>7488.8</v>
      </c>
      <c r="I78" s="8">
        <v>5</v>
      </c>
      <c r="J78" s="10">
        <v>2208.5100000000002</v>
      </c>
      <c r="K78" s="17" t="str" cm="1">
        <f t="array" ref="K78">_xlfn.IFS(Table433[[#This Row],[Sales]]&gt;40000,"Best Sales",Table433[[#This Row],[Sales]]&gt;20000,"Average Sales",Table433[[#This Row],[Sales]]&gt;0,"Poor Sales")</f>
        <v>Poor Sales</v>
      </c>
      <c r="L78" s="12">
        <f>YEAR(Table433[[#This Row],[Date]])</f>
        <v>2023</v>
      </c>
      <c r="M78" s="12">
        <f>MONTH(Table433[[#This Row],[Date]])</f>
        <v>10</v>
      </c>
      <c r="N78" s="13">
        <f>DAY(Table433[[#This Row],[Date]])</f>
        <v>29</v>
      </c>
      <c r="O78" s="13" t="str">
        <f>TEXT(DATE(2023,Table433[[#This Row],[Month]],1),"mmm")</f>
        <v>Oct</v>
      </c>
      <c r="P78" s="13"/>
      <c r="Q78" s="13"/>
    </row>
    <row r="79" spans="1:17" x14ac:dyDescent="0.3">
      <c r="A79" s="14">
        <v>78</v>
      </c>
      <c r="B79" s="15">
        <v>45135</v>
      </c>
      <c r="C79" s="16" t="s">
        <v>29</v>
      </c>
      <c r="D79" s="16" t="s">
        <v>29</v>
      </c>
      <c r="E79" s="16" t="s">
        <v>27</v>
      </c>
      <c r="F79" s="16" t="s">
        <v>20</v>
      </c>
      <c r="G79" s="16" t="s">
        <v>41</v>
      </c>
      <c r="H79" s="17">
        <v>41949.599999999999</v>
      </c>
      <c r="I79" s="16">
        <v>1</v>
      </c>
      <c r="J79" s="18">
        <v>2775.01</v>
      </c>
      <c r="K79" s="17" t="str" cm="1">
        <f t="array" ref="K79">_xlfn.IFS(Table433[[#This Row],[Sales]]&gt;40000,"Best Sales",Table433[[#This Row],[Sales]]&gt;20000,"Average Sales",Table433[[#This Row],[Sales]]&gt;0,"Poor Sales")</f>
        <v>Best Sales</v>
      </c>
      <c r="L79" s="12">
        <f>YEAR(Table433[[#This Row],[Date]])</f>
        <v>2023</v>
      </c>
      <c r="M79" s="12">
        <f>MONTH(Table433[[#This Row],[Date]])</f>
        <v>7</v>
      </c>
      <c r="N79" s="13">
        <f>DAY(Table433[[#This Row],[Date]])</f>
        <v>28</v>
      </c>
      <c r="O79" s="13" t="str">
        <f>TEXT(DATE(2023,Table433[[#This Row],[Month]],1),"mmm")</f>
        <v>Jul</v>
      </c>
      <c r="P79" s="13"/>
      <c r="Q79" s="13"/>
    </row>
    <row r="80" spans="1:17" x14ac:dyDescent="0.3">
      <c r="A80" s="6">
        <v>79</v>
      </c>
      <c r="B80" s="7">
        <v>45008</v>
      </c>
      <c r="C80" s="8" t="s">
        <v>33</v>
      </c>
      <c r="D80" s="8" t="s">
        <v>34</v>
      </c>
      <c r="E80" s="8" t="s">
        <v>27</v>
      </c>
      <c r="F80" s="8" t="s">
        <v>31</v>
      </c>
      <c r="G80" s="8" t="s">
        <v>36</v>
      </c>
      <c r="H80" s="9">
        <v>34219.17</v>
      </c>
      <c r="I80" s="8">
        <v>5</v>
      </c>
      <c r="J80" s="10">
        <v>6904.79</v>
      </c>
      <c r="K80" s="17" t="str" cm="1">
        <f t="array" ref="K80">_xlfn.IFS(Table433[[#This Row],[Sales]]&gt;40000,"Best Sales",Table433[[#This Row],[Sales]]&gt;20000,"Average Sales",Table433[[#This Row],[Sales]]&gt;0,"Poor Sales")</f>
        <v>Average Sales</v>
      </c>
      <c r="L80" s="12">
        <f>YEAR(Table433[[#This Row],[Date]])</f>
        <v>2023</v>
      </c>
      <c r="M80" s="12">
        <f>MONTH(Table433[[#This Row],[Date]])</f>
        <v>3</v>
      </c>
      <c r="N80" s="13">
        <f>DAY(Table433[[#This Row],[Date]])</f>
        <v>23</v>
      </c>
      <c r="O80" s="13" t="str">
        <f>TEXT(DATE(2023,Table433[[#This Row],[Month]],1),"mmm")</f>
        <v>Mar</v>
      </c>
      <c r="P80" s="13"/>
      <c r="Q80" s="13"/>
    </row>
    <row r="81" spans="1:17" x14ac:dyDescent="0.3">
      <c r="A81" s="14">
        <v>80</v>
      </c>
      <c r="B81" s="15">
        <v>45057</v>
      </c>
      <c r="C81" s="16" t="s">
        <v>37</v>
      </c>
      <c r="D81" s="16" t="s">
        <v>23</v>
      </c>
      <c r="E81" s="16" t="s">
        <v>27</v>
      </c>
      <c r="F81" s="16" t="s">
        <v>20</v>
      </c>
      <c r="G81" s="16" t="s">
        <v>28</v>
      </c>
      <c r="H81" s="17">
        <v>18981.490000000002</v>
      </c>
      <c r="I81" s="16">
        <v>2</v>
      </c>
      <c r="J81" s="18">
        <v>4601.25</v>
      </c>
      <c r="K81" s="17" t="str" cm="1">
        <f t="array" ref="K81">_xlfn.IFS(Table433[[#This Row],[Sales]]&gt;40000,"Best Sales",Table433[[#This Row],[Sales]]&gt;20000,"Average Sales",Table433[[#This Row],[Sales]]&gt;0,"Poor Sales")</f>
        <v>Poor Sales</v>
      </c>
      <c r="L81" s="12">
        <f>YEAR(Table433[[#This Row],[Date]])</f>
        <v>2023</v>
      </c>
      <c r="M81" s="12">
        <f>MONTH(Table433[[#This Row],[Date]])</f>
        <v>5</v>
      </c>
      <c r="N81" s="13">
        <f>DAY(Table433[[#This Row],[Date]])</f>
        <v>11</v>
      </c>
      <c r="O81" s="13" t="str">
        <f>TEXT(DATE(2023,Table433[[#This Row],[Month]],1),"mmm")</f>
        <v>May</v>
      </c>
      <c r="P81" s="13"/>
      <c r="Q81" s="13"/>
    </row>
    <row r="82" spans="1:17" x14ac:dyDescent="0.3">
      <c r="A82" s="6">
        <v>81</v>
      </c>
      <c r="B82" s="7">
        <v>45074</v>
      </c>
      <c r="C82" s="8" t="s">
        <v>45</v>
      </c>
      <c r="D82" s="8" t="s">
        <v>34</v>
      </c>
      <c r="E82" s="8" t="s">
        <v>27</v>
      </c>
      <c r="F82" s="8" t="s">
        <v>20</v>
      </c>
      <c r="G82" s="8" t="s">
        <v>41</v>
      </c>
      <c r="H82" s="9">
        <v>13262.03</v>
      </c>
      <c r="I82" s="8">
        <v>3</v>
      </c>
      <c r="J82" s="10">
        <v>1704.76</v>
      </c>
      <c r="K82" s="17" t="str" cm="1">
        <f t="array" ref="K82">_xlfn.IFS(Table433[[#This Row],[Sales]]&gt;40000,"Best Sales",Table433[[#This Row],[Sales]]&gt;20000,"Average Sales",Table433[[#This Row],[Sales]]&gt;0,"Poor Sales")</f>
        <v>Poor Sales</v>
      </c>
      <c r="L82" s="12">
        <f>YEAR(Table433[[#This Row],[Date]])</f>
        <v>2023</v>
      </c>
      <c r="M82" s="12">
        <f>MONTH(Table433[[#This Row],[Date]])</f>
        <v>5</v>
      </c>
      <c r="N82" s="13">
        <f>DAY(Table433[[#This Row],[Date]])</f>
        <v>28</v>
      </c>
      <c r="O82" s="13" t="str">
        <f>TEXT(DATE(2023,Table433[[#This Row],[Month]],1),"mmm")</f>
        <v>May</v>
      </c>
      <c r="P82" s="13"/>
      <c r="Q82" s="13"/>
    </row>
    <row r="83" spans="1:17" x14ac:dyDescent="0.3">
      <c r="A83" s="14">
        <v>82</v>
      </c>
      <c r="B83" s="15">
        <v>45007</v>
      </c>
      <c r="C83" s="16" t="s">
        <v>37</v>
      </c>
      <c r="D83" s="16" t="s">
        <v>23</v>
      </c>
      <c r="E83" s="16" t="s">
        <v>27</v>
      </c>
      <c r="F83" s="16" t="s">
        <v>38</v>
      </c>
      <c r="G83" s="16" t="s">
        <v>40</v>
      </c>
      <c r="H83" s="17">
        <v>28533.71</v>
      </c>
      <c r="I83" s="16">
        <v>7</v>
      </c>
      <c r="J83" s="18">
        <v>5376.75</v>
      </c>
      <c r="K83" s="17" t="str" cm="1">
        <f t="array" ref="K83">_xlfn.IFS(Table433[[#This Row],[Sales]]&gt;40000,"Best Sales",Table433[[#This Row],[Sales]]&gt;20000,"Average Sales",Table433[[#This Row],[Sales]]&gt;0,"Poor Sales")</f>
        <v>Average Sales</v>
      </c>
      <c r="L83" s="12">
        <f>YEAR(Table433[[#This Row],[Date]])</f>
        <v>2023</v>
      </c>
      <c r="M83" s="12">
        <f>MONTH(Table433[[#This Row],[Date]])</f>
        <v>3</v>
      </c>
      <c r="N83" s="13">
        <f>DAY(Table433[[#This Row],[Date]])</f>
        <v>22</v>
      </c>
      <c r="O83" s="13" t="str">
        <f>TEXT(DATE(2023,Table433[[#This Row],[Month]],1),"mmm")</f>
        <v>Mar</v>
      </c>
      <c r="P83" s="13"/>
      <c r="Q83" s="13"/>
    </row>
    <row r="84" spans="1:17" x14ac:dyDescent="0.3">
      <c r="A84" s="6">
        <v>83</v>
      </c>
      <c r="B84" s="7">
        <v>45065</v>
      </c>
      <c r="C84" s="8" t="s">
        <v>45</v>
      </c>
      <c r="D84" s="8" t="s">
        <v>34</v>
      </c>
      <c r="E84" s="8" t="s">
        <v>27</v>
      </c>
      <c r="F84" s="8" t="s">
        <v>38</v>
      </c>
      <c r="G84" s="8" t="s">
        <v>39</v>
      </c>
      <c r="H84" s="9">
        <v>23050.22</v>
      </c>
      <c r="I84" s="8">
        <v>9</v>
      </c>
      <c r="J84" s="10">
        <v>3097.82</v>
      </c>
      <c r="K84" s="17" t="str" cm="1">
        <f t="array" ref="K84">_xlfn.IFS(Table433[[#This Row],[Sales]]&gt;40000,"Best Sales",Table433[[#This Row],[Sales]]&gt;20000,"Average Sales",Table433[[#This Row],[Sales]]&gt;0,"Poor Sales")</f>
        <v>Average Sales</v>
      </c>
      <c r="L84" s="12">
        <f>YEAR(Table433[[#This Row],[Date]])</f>
        <v>2023</v>
      </c>
      <c r="M84" s="12">
        <f>MONTH(Table433[[#This Row],[Date]])</f>
        <v>5</v>
      </c>
      <c r="N84" s="13">
        <f>DAY(Table433[[#This Row],[Date]])</f>
        <v>19</v>
      </c>
      <c r="O84" s="13" t="str">
        <f>TEXT(DATE(2023,Table433[[#This Row],[Month]],1),"mmm")</f>
        <v>May</v>
      </c>
      <c r="P84" s="13"/>
      <c r="Q84" s="13"/>
    </row>
    <row r="85" spans="1:17" x14ac:dyDescent="0.3">
      <c r="A85" s="14">
        <v>84</v>
      </c>
      <c r="B85" s="15">
        <v>45083</v>
      </c>
      <c r="C85" s="16" t="s">
        <v>29</v>
      </c>
      <c r="D85" s="16" t="s">
        <v>29</v>
      </c>
      <c r="E85" s="16" t="s">
        <v>27</v>
      </c>
      <c r="F85" s="16" t="s">
        <v>20</v>
      </c>
      <c r="G85" s="16" t="s">
        <v>41</v>
      </c>
      <c r="H85" s="17">
        <v>5628.94</v>
      </c>
      <c r="I85" s="16">
        <v>10</v>
      </c>
      <c r="J85" s="18">
        <v>502.11</v>
      </c>
      <c r="K85" s="17" t="str" cm="1">
        <f t="array" ref="K85">_xlfn.IFS(Table433[[#This Row],[Sales]]&gt;40000,"Best Sales",Table433[[#This Row],[Sales]]&gt;20000,"Average Sales",Table433[[#This Row],[Sales]]&gt;0,"Poor Sales")</f>
        <v>Poor Sales</v>
      </c>
      <c r="L85" s="12">
        <f>YEAR(Table433[[#This Row],[Date]])</f>
        <v>2023</v>
      </c>
      <c r="M85" s="12">
        <f>MONTH(Table433[[#This Row],[Date]])</f>
        <v>6</v>
      </c>
      <c r="N85" s="13">
        <f>DAY(Table433[[#This Row],[Date]])</f>
        <v>6</v>
      </c>
      <c r="O85" s="13" t="str">
        <f>TEXT(DATE(2023,Table433[[#This Row],[Month]],1),"mmm")</f>
        <v>Jun</v>
      </c>
      <c r="P85" s="13"/>
      <c r="Q85" s="13"/>
    </row>
    <row r="86" spans="1:17" x14ac:dyDescent="0.3">
      <c r="A86" s="6">
        <v>85</v>
      </c>
      <c r="B86" s="7">
        <v>45094</v>
      </c>
      <c r="C86" s="8" t="s">
        <v>33</v>
      </c>
      <c r="D86" s="8" t="s">
        <v>34</v>
      </c>
      <c r="E86" s="8" t="s">
        <v>27</v>
      </c>
      <c r="F86" s="8" t="s">
        <v>20</v>
      </c>
      <c r="G86" s="8" t="s">
        <v>41</v>
      </c>
      <c r="H86" s="9">
        <v>24580.28</v>
      </c>
      <c r="I86" s="8">
        <v>4</v>
      </c>
      <c r="J86" s="10">
        <v>4569.32</v>
      </c>
      <c r="K86" s="17" t="str" cm="1">
        <f t="array" ref="K86">_xlfn.IFS(Table433[[#This Row],[Sales]]&gt;40000,"Best Sales",Table433[[#This Row],[Sales]]&gt;20000,"Average Sales",Table433[[#This Row],[Sales]]&gt;0,"Poor Sales")</f>
        <v>Average Sales</v>
      </c>
      <c r="L86" s="12">
        <f>YEAR(Table433[[#This Row],[Date]])</f>
        <v>2023</v>
      </c>
      <c r="M86" s="12">
        <f>MONTH(Table433[[#This Row],[Date]])</f>
        <v>6</v>
      </c>
      <c r="N86" s="13">
        <f>DAY(Table433[[#This Row],[Date]])</f>
        <v>17</v>
      </c>
      <c r="O86" s="13" t="str">
        <f>TEXT(DATE(2023,Table433[[#This Row],[Month]],1),"mmm")</f>
        <v>Jun</v>
      </c>
      <c r="P86" s="13"/>
      <c r="Q86" s="13"/>
    </row>
    <row r="87" spans="1:17" x14ac:dyDescent="0.3">
      <c r="A87" s="14">
        <v>86</v>
      </c>
      <c r="B87" s="15">
        <v>45167</v>
      </c>
      <c r="C87" s="16" t="s">
        <v>22</v>
      </c>
      <c r="D87" s="16" t="s">
        <v>23</v>
      </c>
      <c r="E87" s="16" t="s">
        <v>27</v>
      </c>
      <c r="F87" s="16" t="s">
        <v>38</v>
      </c>
      <c r="G87" s="16" t="s">
        <v>40</v>
      </c>
      <c r="H87" s="17">
        <v>5581.58</v>
      </c>
      <c r="I87" s="16">
        <v>4</v>
      </c>
      <c r="J87" s="18">
        <v>1382.81</v>
      </c>
      <c r="K87" s="17" t="str" cm="1">
        <f t="array" ref="K87">_xlfn.IFS(Table433[[#This Row],[Sales]]&gt;40000,"Best Sales",Table433[[#This Row],[Sales]]&gt;20000,"Average Sales",Table433[[#This Row],[Sales]]&gt;0,"Poor Sales")</f>
        <v>Poor Sales</v>
      </c>
      <c r="L87" s="12">
        <f>YEAR(Table433[[#This Row],[Date]])</f>
        <v>2023</v>
      </c>
      <c r="M87" s="12">
        <f>MONTH(Table433[[#This Row],[Date]])</f>
        <v>8</v>
      </c>
      <c r="N87" s="13">
        <f>DAY(Table433[[#This Row],[Date]])</f>
        <v>29</v>
      </c>
      <c r="O87" s="13" t="str">
        <f>TEXT(DATE(2023,Table433[[#This Row],[Month]],1),"mmm")</f>
        <v>Aug</v>
      </c>
      <c r="P87" s="13"/>
      <c r="Q87" s="13"/>
    </row>
    <row r="88" spans="1:17" x14ac:dyDescent="0.3">
      <c r="A88" s="6">
        <v>87</v>
      </c>
      <c r="B88" s="7">
        <v>45180</v>
      </c>
      <c r="C88" s="8" t="s">
        <v>45</v>
      </c>
      <c r="D88" s="8" t="s">
        <v>34</v>
      </c>
      <c r="E88" s="8" t="s">
        <v>27</v>
      </c>
      <c r="F88" s="8" t="s">
        <v>31</v>
      </c>
      <c r="G88" s="8" t="s">
        <v>35</v>
      </c>
      <c r="H88" s="9">
        <v>42628.71</v>
      </c>
      <c r="I88" s="8">
        <v>2</v>
      </c>
      <c r="J88" s="10">
        <v>12647.05</v>
      </c>
      <c r="K88" s="17" t="str" cm="1">
        <f t="array" ref="K88">_xlfn.IFS(Table433[[#This Row],[Sales]]&gt;40000,"Best Sales",Table433[[#This Row],[Sales]]&gt;20000,"Average Sales",Table433[[#This Row],[Sales]]&gt;0,"Poor Sales")</f>
        <v>Best Sales</v>
      </c>
      <c r="L88" s="12">
        <f>YEAR(Table433[[#This Row],[Date]])</f>
        <v>2023</v>
      </c>
      <c r="M88" s="12">
        <f>MONTH(Table433[[#This Row],[Date]])</f>
        <v>9</v>
      </c>
      <c r="N88" s="13">
        <f>DAY(Table433[[#This Row],[Date]])</f>
        <v>11</v>
      </c>
      <c r="O88" s="13" t="str">
        <f>TEXT(DATE(2023,Table433[[#This Row],[Month]],1),"mmm")</f>
        <v>Sep</v>
      </c>
      <c r="P88" s="13"/>
      <c r="Q88" s="13"/>
    </row>
    <row r="89" spans="1:17" x14ac:dyDescent="0.3">
      <c r="A89" s="14">
        <v>88</v>
      </c>
      <c r="B89" s="15">
        <v>45026</v>
      </c>
      <c r="C89" s="16" t="s">
        <v>33</v>
      </c>
      <c r="D89" s="16" t="s">
        <v>34</v>
      </c>
      <c r="E89" s="16" t="s">
        <v>27</v>
      </c>
      <c r="F89" s="16" t="s">
        <v>31</v>
      </c>
      <c r="G89" s="16" t="s">
        <v>32</v>
      </c>
      <c r="H89" s="17">
        <v>36936.449999999997</v>
      </c>
      <c r="I89" s="16">
        <v>1</v>
      </c>
      <c r="J89" s="18">
        <v>1871.1</v>
      </c>
      <c r="K89" s="17" t="str" cm="1">
        <f t="array" ref="K89">_xlfn.IFS(Table433[[#This Row],[Sales]]&gt;40000,"Best Sales",Table433[[#This Row],[Sales]]&gt;20000,"Average Sales",Table433[[#This Row],[Sales]]&gt;0,"Poor Sales")</f>
        <v>Average Sales</v>
      </c>
      <c r="L89" s="12">
        <f>YEAR(Table433[[#This Row],[Date]])</f>
        <v>2023</v>
      </c>
      <c r="M89" s="12">
        <f>MONTH(Table433[[#This Row],[Date]])</f>
        <v>4</v>
      </c>
      <c r="N89" s="13">
        <f>DAY(Table433[[#This Row],[Date]])</f>
        <v>10</v>
      </c>
      <c r="O89" s="13" t="str">
        <f>TEXT(DATE(2023,Table433[[#This Row],[Month]],1),"mmm")</f>
        <v>Apr</v>
      </c>
      <c r="P89" s="13"/>
      <c r="Q89" s="13"/>
    </row>
    <row r="90" spans="1:17" x14ac:dyDescent="0.3">
      <c r="A90" s="6">
        <v>89</v>
      </c>
      <c r="B90" s="7">
        <v>45154</v>
      </c>
      <c r="C90" s="8" t="s">
        <v>17</v>
      </c>
      <c r="D90" s="8" t="s">
        <v>18</v>
      </c>
      <c r="E90" s="8" t="s">
        <v>27</v>
      </c>
      <c r="F90" s="8" t="s">
        <v>20</v>
      </c>
      <c r="G90" s="8" t="s">
        <v>41</v>
      </c>
      <c r="H90" s="9">
        <v>49161.73</v>
      </c>
      <c r="I90" s="8">
        <v>4</v>
      </c>
      <c r="J90" s="10">
        <v>11453.36</v>
      </c>
      <c r="K90" s="17" t="str" cm="1">
        <f t="array" ref="K90">_xlfn.IFS(Table433[[#This Row],[Sales]]&gt;40000,"Best Sales",Table433[[#This Row],[Sales]]&gt;20000,"Average Sales",Table433[[#This Row],[Sales]]&gt;0,"Poor Sales")</f>
        <v>Best Sales</v>
      </c>
      <c r="L90" s="12">
        <f>YEAR(Table433[[#This Row],[Date]])</f>
        <v>2023</v>
      </c>
      <c r="M90" s="12">
        <f>MONTH(Table433[[#This Row],[Date]])</f>
        <v>8</v>
      </c>
      <c r="N90" s="13">
        <f>DAY(Table433[[#This Row],[Date]])</f>
        <v>16</v>
      </c>
      <c r="O90" s="13" t="str">
        <f>TEXT(DATE(2023,Table433[[#This Row],[Month]],1),"mmm")</f>
        <v>Aug</v>
      </c>
      <c r="P90" s="13"/>
      <c r="Q90" s="13"/>
    </row>
    <row r="91" spans="1:17" x14ac:dyDescent="0.3">
      <c r="A91" s="14">
        <v>90</v>
      </c>
      <c r="B91" s="15">
        <v>45256</v>
      </c>
      <c r="C91" s="16" t="s">
        <v>25</v>
      </c>
      <c r="D91" s="16" t="s">
        <v>26</v>
      </c>
      <c r="E91" s="16" t="s">
        <v>27</v>
      </c>
      <c r="F91" s="16" t="s">
        <v>31</v>
      </c>
      <c r="G91" s="16" t="s">
        <v>35</v>
      </c>
      <c r="H91" s="17">
        <v>2971.97</v>
      </c>
      <c r="I91" s="16">
        <v>4</v>
      </c>
      <c r="J91" s="18">
        <v>387.64</v>
      </c>
      <c r="K91" s="17" t="str" cm="1">
        <f t="array" ref="K91">_xlfn.IFS(Table433[[#This Row],[Sales]]&gt;40000,"Best Sales",Table433[[#This Row],[Sales]]&gt;20000,"Average Sales",Table433[[#This Row],[Sales]]&gt;0,"Poor Sales")</f>
        <v>Poor Sales</v>
      </c>
      <c r="L91" s="12">
        <f>YEAR(Table433[[#This Row],[Date]])</f>
        <v>2023</v>
      </c>
      <c r="M91" s="12">
        <f>MONTH(Table433[[#This Row],[Date]])</f>
        <v>11</v>
      </c>
      <c r="N91" s="13">
        <f>DAY(Table433[[#This Row],[Date]])</f>
        <v>26</v>
      </c>
      <c r="O91" s="13" t="str">
        <f>TEXT(DATE(2023,Table433[[#This Row],[Month]],1),"mmm")</f>
        <v>Nov</v>
      </c>
      <c r="P91" s="13"/>
      <c r="Q91" s="13"/>
    </row>
    <row r="92" spans="1:17" x14ac:dyDescent="0.3">
      <c r="A92" s="6">
        <v>91</v>
      </c>
      <c r="B92" s="7">
        <v>45221</v>
      </c>
      <c r="C92" s="8" t="s">
        <v>33</v>
      </c>
      <c r="D92" s="8" t="s">
        <v>34</v>
      </c>
      <c r="E92" s="8" t="s">
        <v>27</v>
      </c>
      <c r="F92" s="8" t="s">
        <v>38</v>
      </c>
      <c r="G92" s="8" t="s">
        <v>40</v>
      </c>
      <c r="H92" s="9">
        <v>45280.43</v>
      </c>
      <c r="I92" s="8">
        <v>8</v>
      </c>
      <c r="J92" s="10">
        <v>5426.84</v>
      </c>
      <c r="K92" s="17" t="str" cm="1">
        <f t="array" ref="K92">_xlfn.IFS(Table433[[#This Row],[Sales]]&gt;40000,"Best Sales",Table433[[#This Row],[Sales]]&gt;20000,"Average Sales",Table433[[#This Row],[Sales]]&gt;0,"Poor Sales")</f>
        <v>Best Sales</v>
      </c>
      <c r="L92" s="12">
        <f>YEAR(Table433[[#This Row],[Date]])</f>
        <v>2023</v>
      </c>
      <c r="M92" s="12">
        <f>MONTH(Table433[[#This Row],[Date]])</f>
        <v>10</v>
      </c>
      <c r="N92" s="13">
        <f>DAY(Table433[[#This Row],[Date]])</f>
        <v>22</v>
      </c>
      <c r="O92" s="13" t="str">
        <f>TEXT(DATE(2023,Table433[[#This Row],[Month]],1),"mmm")</f>
        <v>Oct</v>
      </c>
      <c r="P92" s="13"/>
      <c r="Q92" s="13"/>
    </row>
    <row r="93" spans="1:17" x14ac:dyDescent="0.3">
      <c r="A93" s="14">
        <v>92</v>
      </c>
      <c r="B93" s="15">
        <v>44956</v>
      </c>
      <c r="C93" s="16" t="s">
        <v>29</v>
      </c>
      <c r="D93" s="16" t="s">
        <v>29</v>
      </c>
      <c r="E93" s="16" t="s">
        <v>27</v>
      </c>
      <c r="F93" s="16" t="s">
        <v>20</v>
      </c>
      <c r="G93" s="16" t="s">
        <v>21</v>
      </c>
      <c r="H93" s="17">
        <v>15117.73</v>
      </c>
      <c r="I93" s="16">
        <v>1</v>
      </c>
      <c r="J93" s="18">
        <v>3245</v>
      </c>
      <c r="K93" s="17" t="str" cm="1">
        <f t="array" ref="K93">_xlfn.IFS(Table433[[#This Row],[Sales]]&gt;40000,"Best Sales",Table433[[#This Row],[Sales]]&gt;20000,"Average Sales",Table433[[#This Row],[Sales]]&gt;0,"Poor Sales")</f>
        <v>Poor Sales</v>
      </c>
      <c r="L93" s="12">
        <f>YEAR(Table433[[#This Row],[Date]])</f>
        <v>2023</v>
      </c>
      <c r="M93" s="12">
        <f>MONTH(Table433[[#This Row],[Date]])</f>
        <v>1</v>
      </c>
      <c r="N93" s="13">
        <f>DAY(Table433[[#This Row],[Date]])</f>
        <v>30</v>
      </c>
      <c r="O93" s="13" t="str">
        <f>TEXT(DATE(2023,Table433[[#This Row],[Month]],1),"mmm")</f>
        <v>Jan</v>
      </c>
      <c r="P93" s="13"/>
      <c r="Q93" s="13"/>
    </row>
    <row r="94" spans="1:17" x14ac:dyDescent="0.3">
      <c r="A94" s="6">
        <v>93</v>
      </c>
      <c r="B94" s="7">
        <v>45211</v>
      </c>
      <c r="C94" s="8" t="s">
        <v>22</v>
      </c>
      <c r="D94" s="8" t="s">
        <v>23</v>
      </c>
      <c r="E94" s="8" t="s">
        <v>27</v>
      </c>
      <c r="F94" s="8" t="s">
        <v>38</v>
      </c>
      <c r="G94" s="8" t="s">
        <v>46</v>
      </c>
      <c r="H94" s="9">
        <v>17343.349999999999</v>
      </c>
      <c r="I94" s="8">
        <v>4</v>
      </c>
      <c r="J94" s="10">
        <v>3930.83</v>
      </c>
      <c r="K94" s="17" t="str" cm="1">
        <f t="array" ref="K94">_xlfn.IFS(Table433[[#This Row],[Sales]]&gt;40000,"Best Sales",Table433[[#This Row],[Sales]]&gt;20000,"Average Sales",Table433[[#This Row],[Sales]]&gt;0,"Poor Sales")</f>
        <v>Poor Sales</v>
      </c>
      <c r="L94" s="12">
        <f>YEAR(Table433[[#This Row],[Date]])</f>
        <v>2023</v>
      </c>
      <c r="M94" s="12">
        <f>MONTH(Table433[[#This Row],[Date]])</f>
        <v>10</v>
      </c>
      <c r="N94" s="13">
        <f>DAY(Table433[[#This Row],[Date]])</f>
        <v>12</v>
      </c>
      <c r="O94" s="13" t="str">
        <f>TEXT(DATE(2023,Table433[[#This Row],[Month]],1),"mmm")</f>
        <v>Oct</v>
      </c>
      <c r="P94" s="13"/>
      <c r="Q94" s="13"/>
    </row>
    <row r="95" spans="1:17" x14ac:dyDescent="0.3">
      <c r="A95" s="14">
        <v>94</v>
      </c>
      <c r="B95" s="15">
        <v>45080</v>
      </c>
      <c r="C95" s="16" t="s">
        <v>45</v>
      </c>
      <c r="D95" s="16" t="s">
        <v>34</v>
      </c>
      <c r="E95" s="16" t="s">
        <v>27</v>
      </c>
      <c r="F95" s="16" t="s">
        <v>20</v>
      </c>
      <c r="G95" s="16" t="s">
        <v>41</v>
      </c>
      <c r="H95" s="17">
        <v>20412.259999999998</v>
      </c>
      <c r="I95" s="16">
        <v>9</v>
      </c>
      <c r="J95" s="18">
        <v>4042.76</v>
      </c>
      <c r="K95" s="17" t="str" cm="1">
        <f t="array" ref="K95">_xlfn.IFS(Table433[[#This Row],[Sales]]&gt;40000,"Best Sales",Table433[[#This Row],[Sales]]&gt;20000,"Average Sales",Table433[[#This Row],[Sales]]&gt;0,"Poor Sales")</f>
        <v>Average Sales</v>
      </c>
      <c r="L95" s="12">
        <f>YEAR(Table433[[#This Row],[Date]])</f>
        <v>2023</v>
      </c>
      <c r="M95" s="12">
        <f>MONTH(Table433[[#This Row],[Date]])</f>
        <v>6</v>
      </c>
      <c r="N95" s="13">
        <f>DAY(Table433[[#This Row],[Date]])</f>
        <v>3</v>
      </c>
      <c r="O95" s="13" t="str">
        <f>TEXT(DATE(2023,Table433[[#This Row],[Month]],1),"mmm")</f>
        <v>Jun</v>
      </c>
      <c r="P95" s="13"/>
      <c r="Q95" s="13"/>
    </row>
    <row r="96" spans="1:17" x14ac:dyDescent="0.3">
      <c r="A96" s="6">
        <v>95</v>
      </c>
      <c r="B96" s="7">
        <v>45237</v>
      </c>
      <c r="C96" s="8" t="s">
        <v>17</v>
      </c>
      <c r="D96" s="8" t="s">
        <v>18</v>
      </c>
      <c r="E96" s="8" t="s">
        <v>27</v>
      </c>
      <c r="F96" s="8" t="s">
        <v>38</v>
      </c>
      <c r="G96" s="8" t="s">
        <v>40</v>
      </c>
      <c r="H96" s="9">
        <v>43100.75</v>
      </c>
      <c r="I96" s="8">
        <v>3</v>
      </c>
      <c r="J96" s="10">
        <v>7277.93</v>
      </c>
      <c r="K96" s="17" t="str" cm="1">
        <f t="array" ref="K96">_xlfn.IFS(Table433[[#This Row],[Sales]]&gt;40000,"Best Sales",Table433[[#This Row],[Sales]]&gt;20000,"Average Sales",Table433[[#This Row],[Sales]]&gt;0,"Poor Sales")</f>
        <v>Best Sales</v>
      </c>
      <c r="L96" s="12">
        <f>YEAR(Table433[[#This Row],[Date]])</f>
        <v>2023</v>
      </c>
      <c r="M96" s="12">
        <f>MONTH(Table433[[#This Row],[Date]])</f>
        <v>11</v>
      </c>
      <c r="N96" s="13">
        <f>DAY(Table433[[#This Row],[Date]])</f>
        <v>7</v>
      </c>
      <c r="O96" s="13" t="str">
        <f>TEXT(DATE(2023,Table433[[#This Row],[Month]],1),"mmm")</f>
        <v>Nov</v>
      </c>
      <c r="P96" s="13"/>
      <c r="Q96" s="13"/>
    </row>
    <row r="97" spans="1:17" x14ac:dyDescent="0.3">
      <c r="A97" s="14">
        <v>96</v>
      </c>
      <c r="B97" s="15">
        <v>45167</v>
      </c>
      <c r="C97" s="16" t="s">
        <v>29</v>
      </c>
      <c r="D97" s="16" t="s">
        <v>29</v>
      </c>
      <c r="E97" s="16" t="s">
        <v>27</v>
      </c>
      <c r="F97" s="16" t="s">
        <v>31</v>
      </c>
      <c r="G97" s="16" t="s">
        <v>32</v>
      </c>
      <c r="H97" s="17">
        <v>33221.47</v>
      </c>
      <c r="I97" s="16">
        <v>2</v>
      </c>
      <c r="J97" s="18">
        <v>8139.07</v>
      </c>
      <c r="K97" s="17" t="str" cm="1">
        <f t="array" ref="K97">_xlfn.IFS(Table433[[#This Row],[Sales]]&gt;40000,"Best Sales",Table433[[#This Row],[Sales]]&gt;20000,"Average Sales",Table433[[#This Row],[Sales]]&gt;0,"Poor Sales")</f>
        <v>Average Sales</v>
      </c>
      <c r="L97" s="12">
        <f>YEAR(Table433[[#This Row],[Date]])</f>
        <v>2023</v>
      </c>
      <c r="M97" s="12">
        <f>MONTH(Table433[[#This Row],[Date]])</f>
        <v>8</v>
      </c>
      <c r="N97" s="13">
        <f>DAY(Table433[[#This Row],[Date]])</f>
        <v>29</v>
      </c>
      <c r="O97" s="13" t="str">
        <f>TEXT(DATE(2023,Table433[[#This Row],[Month]],1),"mmm")</f>
        <v>Aug</v>
      </c>
      <c r="P97" s="13"/>
      <c r="Q97" s="13"/>
    </row>
    <row r="98" spans="1:17" x14ac:dyDescent="0.3">
      <c r="A98" s="6">
        <v>97</v>
      </c>
      <c r="B98" s="7">
        <v>45145</v>
      </c>
      <c r="C98" s="8" t="s">
        <v>22</v>
      </c>
      <c r="D98" s="8" t="s">
        <v>23</v>
      </c>
      <c r="E98" s="8" t="s">
        <v>27</v>
      </c>
      <c r="F98" s="8" t="s">
        <v>38</v>
      </c>
      <c r="G98" s="8" t="s">
        <v>40</v>
      </c>
      <c r="H98" s="9">
        <v>27420.6</v>
      </c>
      <c r="I98" s="8">
        <v>1</v>
      </c>
      <c r="J98" s="10">
        <v>3380.25</v>
      </c>
      <c r="K98" s="17" t="str" cm="1">
        <f t="array" ref="K98">_xlfn.IFS(Table433[[#This Row],[Sales]]&gt;40000,"Best Sales",Table433[[#This Row],[Sales]]&gt;20000,"Average Sales",Table433[[#This Row],[Sales]]&gt;0,"Poor Sales")</f>
        <v>Average Sales</v>
      </c>
      <c r="L98" s="12">
        <f>YEAR(Table433[[#This Row],[Date]])</f>
        <v>2023</v>
      </c>
      <c r="M98" s="12">
        <f>MONTH(Table433[[#This Row],[Date]])</f>
        <v>8</v>
      </c>
      <c r="N98" s="13">
        <f>DAY(Table433[[#This Row],[Date]])</f>
        <v>7</v>
      </c>
      <c r="O98" s="13" t="str">
        <f>TEXT(DATE(2023,Table433[[#This Row],[Month]],1),"mmm")</f>
        <v>Aug</v>
      </c>
      <c r="P98" s="13"/>
      <c r="Q98" s="13"/>
    </row>
    <row r="99" spans="1:17" x14ac:dyDescent="0.3">
      <c r="A99" s="14">
        <v>98</v>
      </c>
      <c r="B99" s="15">
        <v>45151</v>
      </c>
      <c r="C99" s="16" t="s">
        <v>25</v>
      </c>
      <c r="D99" s="16" t="s">
        <v>26</v>
      </c>
      <c r="E99" s="16" t="s">
        <v>27</v>
      </c>
      <c r="F99" s="16" t="s">
        <v>20</v>
      </c>
      <c r="G99" s="16" t="s">
        <v>28</v>
      </c>
      <c r="H99" s="17">
        <v>41720.79</v>
      </c>
      <c r="I99" s="16">
        <v>9</v>
      </c>
      <c r="J99" s="18">
        <v>7269.45</v>
      </c>
      <c r="K99" s="17" t="str" cm="1">
        <f t="array" ref="K99">_xlfn.IFS(Table433[[#This Row],[Sales]]&gt;40000,"Best Sales",Table433[[#This Row],[Sales]]&gt;20000,"Average Sales",Table433[[#This Row],[Sales]]&gt;0,"Poor Sales")</f>
        <v>Best Sales</v>
      </c>
      <c r="L99" s="12">
        <f>YEAR(Table433[[#This Row],[Date]])</f>
        <v>2023</v>
      </c>
      <c r="M99" s="12">
        <f>MONTH(Table433[[#This Row],[Date]])</f>
        <v>8</v>
      </c>
      <c r="N99" s="13">
        <f>DAY(Table433[[#This Row],[Date]])</f>
        <v>13</v>
      </c>
      <c r="O99" s="13" t="str">
        <f>TEXT(DATE(2023,Table433[[#This Row],[Month]],1),"mmm")</f>
        <v>Aug</v>
      </c>
      <c r="P99" s="13"/>
      <c r="Q99" s="13"/>
    </row>
    <row r="100" spans="1:17" x14ac:dyDescent="0.3">
      <c r="A100" s="6">
        <v>99</v>
      </c>
      <c r="B100" s="7">
        <v>45008</v>
      </c>
      <c r="C100" s="8" t="s">
        <v>29</v>
      </c>
      <c r="D100" s="8" t="s">
        <v>29</v>
      </c>
      <c r="E100" s="8" t="s">
        <v>27</v>
      </c>
      <c r="F100" s="8" t="s">
        <v>20</v>
      </c>
      <c r="G100" s="8" t="s">
        <v>21</v>
      </c>
      <c r="H100" s="9">
        <v>43520.98</v>
      </c>
      <c r="I100" s="8">
        <v>8</v>
      </c>
      <c r="J100" s="10">
        <v>6580.87</v>
      </c>
      <c r="K100" s="17" t="str" cm="1">
        <f t="array" ref="K100">_xlfn.IFS(Table433[[#This Row],[Sales]]&gt;40000,"Best Sales",Table433[[#This Row],[Sales]]&gt;20000,"Average Sales",Table433[[#This Row],[Sales]]&gt;0,"Poor Sales")</f>
        <v>Best Sales</v>
      </c>
      <c r="L100" s="12">
        <f>YEAR(Table433[[#This Row],[Date]])</f>
        <v>2023</v>
      </c>
      <c r="M100" s="12">
        <f>MONTH(Table433[[#This Row],[Date]])</f>
        <v>3</v>
      </c>
      <c r="N100" s="13">
        <f>DAY(Table433[[#This Row],[Date]])</f>
        <v>23</v>
      </c>
      <c r="O100" s="13" t="str">
        <f>TEXT(DATE(2023,Table433[[#This Row],[Month]],1),"mmm")</f>
        <v>Mar</v>
      </c>
      <c r="P100" s="13"/>
      <c r="Q100" s="13"/>
    </row>
    <row r="101" spans="1:17" x14ac:dyDescent="0.3">
      <c r="A101" s="14">
        <v>100</v>
      </c>
      <c r="B101" s="15">
        <v>45104</v>
      </c>
      <c r="C101" s="16" t="s">
        <v>25</v>
      </c>
      <c r="D101" s="16" t="s">
        <v>26</v>
      </c>
      <c r="E101" s="16" t="s">
        <v>19</v>
      </c>
      <c r="F101" s="16" t="s">
        <v>38</v>
      </c>
      <c r="G101" s="16" t="s">
        <v>46</v>
      </c>
      <c r="H101" s="17">
        <v>43256.76</v>
      </c>
      <c r="I101" s="16">
        <v>9</v>
      </c>
      <c r="J101" s="18">
        <v>12801</v>
      </c>
      <c r="K101" s="17" t="str" cm="1">
        <f t="array" ref="K101">_xlfn.IFS(Table433[[#This Row],[Sales]]&gt;40000,"Best Sales",Table433[[#This Row],[Sales]]&gt;20000,"Average Sales",Table433[[#This Row],[Sales]]&gt;0,"Poor Sales")</f>
        <v>Best Sales</v>
      </c>
      <c r="L101" s="12">
        <f>YEAR(Table433[[#This Row],[Date]])</f>
        <v>2023</v>
      </c>
      <c r="M101" s="12">
        <f>MONTH(Table433[[#This Row],[Date]])</f>
        <v>6</v>
      </c>
      <c r="N101" s="13">
        <f>DAY(Table433[[#This Row],[Date]])</f>
        <v>27</v>
      </c>
      <c r="O101" s="13" t="str">
        <f>TEXT(DATE(2023,Table433[[#This Row],[Month]],1),"mmm")</f>
        <v>Jun</v>
      </c>
      <c r="P101" s="13"/>
      <c r="Q101" s="13"/>
    </row>
    <row r="102" spans="1:17" x14ac:dyDescent="0.3">
      <c r="A102" s="6">
        <v>101</v>
      </c>
      <c r="B102" s="7">
        <v>45016</v>
      </c>
      <c r="C102" s="8" t="s">
        <v>45</v>
      </c>
      <c r="D102" s="8" t="s">
        <v>34</v>
      </c>
      <c r="E102" s="8" t="s">
        <v>19</v>
      </c>
      <c r="F102" s="8" t="s">
        <v>38</v>
      </c>
      <c r="G102" s="8" t="s">
        <v>40</v>
      </c>
      <c r="H102" s="9">
        <v>28432</v>
      </c>
      <c r="I102" s="8">
        <v>1</v>
      </c>
      <c r="J102" s="10">
        <v>4326.1000000000004</v>
      </c>
      <c r="K102" s="17" t="str" cm="1">
        <f t="array" ref="K102">_xlfn.IFS(Table433[[#This Row],[Sales]]&gt;40000,"Best Sales",Table433[[#This Row],[Sales]]&gt;20000,"Average Sales",Table433[[#This Row],[Sales]]&gt;0,"Poor Sales")</f>
        <v>Average Sales</v>
      </c>
      <c r="L102" s="12">
        <f>YEAR(Table433[[#This Row],[Date]])</f>
        <v>2023</v>
      </c>
      <c r="M102" s="12">
        <f>MONTH(Table433[[#This Row],[Date]])</f>
        <v>3</v>
      </c>
      <c r="N102" s="13">
        <f>DAY(Table433[[#This Row],[Date]])</f>
        <v>31</v>
      </c>
      <c r="O102" s="13" t="str">
        <f>TEXT(DATE(2023,Table433[[#This Row],[Month]],1),"mmm")</f>
        <v>Mar</v>
      </c>
      <c r="P102" s="13"/>
      <c r="Q102" s="13"/>
    </row>
    <row r="103" spans="1:17" x14ac:dyDescent="0.3">
      <c r="A103" s="14">
        <v>102</v>
      </c>
      <c r="B103" s="15">
        <v>45043</v>
      </c>
      <c r="C103" s="16" t="s">
        <v>33</v>
      </c>
      <c r="D103" s="16" t="s">
        <v>34</v>
      </c>
      <c r="E103" s="16" t="s">
        <v>19</v>
      </c>
      <c r="F103" s="16" t="s">
        <v>31</v>
      </c>
      <c r="G103" s="16" t="s">
        <v>36</v>
      </c>
      <c r="H103" s="17">
        <v>45607.68</v>
      </c>
      <c r="I103" s="16">
        <v>9</v>
      </c>
      <c r="J103" s="18">
        <v>10061.65</v>
      </c>
      <c r="K103" s="17" t="str" cm="1">
        <f t="array" ref="K103">_xlfn.IFS(Table433[[#This Row],[Sales]]&gt;40000,"Best Sales",Table433[[#This Row],[Sales]]&gt;20000,"Average Sales",Table433[[#This Row],[Sales]]&gt;0,"Poor Sales")</f>
        <v>Best Sales</v>
      </c>
      <c r="L103" s="12">
        <f>YEAR(Table433[[#This Row],[Date]])</f>
        <v>2023</v>
      </c>
      <c r="M103" s="12">
        <f>MONTH(Table433[[#This Row],[Date]])</f>
        <v>4</v>
      </c>
      <c r="N103" s="13">
        <f>DAY(Table433[[#This Row],[Date]])</f>
        <v>27</v>
      </c>
      <c r="O103" s="13" t="str">
        <f>TEXT(DATE(2023,Table433[[#This Row],[Month]],1),"mmm")</f>
        <v>Apr</v>
      </c>
      <c r="P103" s="13"/>
      <c r="Q103" s="13"/>
    </row>
    <row r="104" spans="1:17" x14ac:dyDescent="0.3">
      <c r="A104" s="6">
        <v>103</v>
      </c>
      <c r="B104" s="7">
        <v>45249</v>
      </c>
      <c r="C104" s="8" t="s">
        <v>22</v>
      </c>
      <c r="D104" s="8" t="s">
        <v>23</v>
      </c>
      <c r="E104" s="8" t="s">
        <v>19</v>
      </c>
      <c r="F104" s="8" t="s">
        <v>31</v>
      </c>
      <c r="G104" s="8" t="s">
        <v>35</v>
      </c>
      <c r="H104" s="9">
        <v>45100.31</v>
      </c>
      <c r="I104" s="8">
        <v>5</v>
      </c>
      <c r="J104" s="10">
        <v>5435.3</v>
      </c>
      <c r="K104" s="17" t="str" cm="1">
        <f t="array" ref="K104">_xlfn.IFS(Table433[[#This Row],[Sales]]&gt;40000,"Best Sales",Table433[[#This Row],[Sales]]&gt;20000,"Average Sales",Table433[[#This Row],[Sales]]&gt;0,"Poor Sales")</f>
        <v>Best Sales</v>
      </c>
      <c r="L104" s="12">
        <f>YEAR(Table433[[#This Row],[Date]])</f>
        <v>2023</v>
      </c>
      <c r="M104" s="12">
        <f>MONTH(Table433[[#This Row],[Date]])</f>
        <v>11</v>
      </c>
      <c r="N104" s="13">
        <f>DAY(Table433[[#This Row],[Date]])</f>
        <v>19</v>
      </c>
      <c r="O104" s="13" t="str">
        <f>TEXT(DATE(2023,Table433[[#This Row],[Month]],1),"mmm")</f>
        <v>Nov</v>
      </c>
      <c r="P104" s="13"/>
      <c r="Q104" s="13"/>
    </row>
    <row r="105" spans="1:17" x14ac:dyDescent="0.3">
      <c r="A105" s="14">
        <v>104</v>
      </c>
      <c r="B105" s="15">
        <v>45258</v>
      </c>
      <c r="C105" s="16" t="s">
        <v>42</v>
      </c>
      <c r="D105" s="16" t="s">
        <v>43</v>
      </c>
      <c r="E105" s="16" t="s">
        <v>19</v>
      </c>
      <c r="F105" s="16" t="s">
        <v>20</v>
      </c>
      <c r="G105" s="16" t="s">
        <v>28</v>
      </c>
      <c r="H105" s="17">
        <v>31680.26</v>
      </c>
      <c r="I105" s="16">
        <v>6</v>
      </c>
      <c r="J105" s="18">
        <v>7130.43</v>
      </c>
      <c r="K105" s="17" t="str" cm="1">
        <f t="array" ref="K105">_xlfn.IFS(Table433[[#This Row],[Sales]]&gt;40000,"Best Sales",Table433[[#This Row],[Sales]]&gt;20000,"Average Sales",Table433[[#This Row],[Sales]]&gt;0,"Poor Sales")</f>
        <v>Average Sales</v>
      </c>
      <c r="L105" s="12">
        <f>YEAR(Table433[[#This Row],[Date]])</f>
        <v>2023</v>
      </c>
      <c r="M105" s="12">
        <f>MONTH(Table433[[#This Row],[Date]])</f>
        <v>11</v>
      </c>
      <c r="N105" s="13">
        <f>DAY(Table433[[#This Row],[Date]])</f>
        <v>28</v>
      </c>
      <c r="O105" s="13" t="str">
        <f>TEXT(DATE(2023,Table433[[#This Row],[Month]],1),"mmm")</f>
        <v>Nov</v>
      </c>
      <c r="P105" s="13"/>
      <c r="Q105" s="13"/>
    </row>
    <row r="106" spans="1:17" x14ac:dyDescent="0.3">
      <c r="A106" s="6">
        <v>105</v>
      </c>
      <c r="B106" s="7">
        <v>45178</v>
      </c>
      <c r="C106" s="8" t="s">
        <v>17</v>
      </c>
      <c r="D106" s="8" t="s">
        <v>18</v>
      </c>
      <c r="E106" s="8" t="s">
        <v>19</v>
      </c>
      <c r="F106" s="8" t="s">
        <v>31</v>
      </c>
      <c r="G106" s="8" t="s">
        <v>36</v>
      </c>
      <c r="H106" s="9">
        <v>17942.34</v>
      </c>
      <c r="I106" s="8">
        <v>4</v>
      </c>
      <c r="J106" s="10">
        <v>4800.71</v>
      </c>
      <c r="K106" s="17" t="str" cm="1">
        <f t="array" ref="K106">_xlfn.IFS(Table433[[#This Row],[Sales]]&gt;40000,"Best Sales",Table433[[#This Row],[Sales]]&gt;20000,"Average Sales",Table433[[#This Row],[Sales]]&gt;0,"Poor Sales")</f>
        <v>Poor Sales</v>
      </c>
      <c r="L106" s="12">
        <f>YEAR(Table433[[#This Row],[Date]])</f>
        <v>2023</v>
      </c>
      <c r="M106" s="12">
        <f>MONTH(Table433[[#This Row],[Date]])</f>
        <v>9</v>
      </c>
      <c r="N106" s="13">
        <f>DAY(Table433[[#This Row],[Date]])</f>
        <v>9</v>
      </c>
      <c r="O106" s="13" t="str">
        <f>TEXT(DATE(2023,Table433[[#This Row],[Month]],1),"mmm")</f>
        <v>Sep</v>
      </c>
      <c r="P106" s="13"/>
      <c r="Q106" s="13"/>
    </row>
    <row r="107" spans="1:17" x14ac:dyDescent="0.3">
      <c r="A107" s="14">
        <v>106</v>
      </c>
      <c r="B107" s="15">
        <v>44943</v>
      </c>
      <c r="C107" s="16" t="s">
        <v>45</v>
      </c>
      <c r="D107" s="16" t="s">
        <v>34</v>
      </c>
      <c r="E107" s="16" t="s">
        <v>19</v>
      </c>
      <c r="F107" s="16" t="s">
        <v>38</v>
      </c>
      <c r="G107" s="16" t="s">
        <v>40</v>
      </c>
      <c r="H107" s="17">
        <v>46409.88</v>
      </c>
      <c r="I107" s="16">
        <v>7</v>
      </c>
      <c r="J107" s="18">
        <v>12657.84</v>
      </c>
      <c r="K107" s="17" t="str" cm="1">
        <f t="array" ref="K107">_xlfn.IFS(Table433[[#This Row],[Sales]]&gt;40000,"Best Sales",Table433[[#This Row],[Sales]]&gt;20000,"Average Sales",Table433[[#This Row],[Sales]]&gt;0,"Poor Sales")</f>
        <v>Best Sales</v>
      </c>
      <c r="L107" s="12">
        <f>YEAR(Table433[[#This Row],[Date]])</f>
        <v>2023</v>
      </c>
      <c r="M107" s="12">
        <f>MONTH(Table433[[#This Row],[Date]])</f>
        <v>1</v>
      </c>
      <c r="N107" s="13">
        <f>DAY(Table433[[#This Row],[Date]])</f>
        <v>17</v>
      </c>
      <c r="O107" s="13" t="str">
        <f>TEXT(DATE(2023,Table433[[#This Row],[Month]],1),"mmm")</f>
        <v>Jan</v>
      </c>
      <c r="P107" s="13"/>
      <c r="Q107" s="13"/>
    </row>
    <row r="108" spans="1:17" x14ac:dyDescent="0.3">
      <c r="A108" s="6">
        <v>107</v>
      </c>
      <c r="B108" s="7">
        <v>45270</v>
      </c>
      <c r="C108" s="8" t="s">
        <v>42</v>
      </c>
      <c r="D108" s="8" t="s">
        <v>43</v>
      </c>
      <c r="E108" s="8" t="s">
        <v>19</v>
      </c>
      <c r="F108" s="8" t="s">
        <v>38</v>
      </c>
      <c r="G108" s="8" t="s">
        <v>40</v>
      </c>
      <c r="H108" s="9">
        <v>20904.05</v>
      </c>
      <c r="I108" s="8">
        <v>9</v>
      </c>
      <c r="J108" s="10">
        <v>2758.95</v>
      </c>
      <c r="K108" s="17" t="str" cm="1">
        <f t="array" ref="K108">_xlfn.IFS(Table433[[#This Row],[Sales]]&gt;40000,"Best Sales",Table433[[#This Row],[Sales]]&gt;20000,"Average Sales",Table433[[#This Row],[Sales]]&gt;0,"Poor Sales")</f>
        <v>Average Sales</v>
      </c>
      <c r="L108" s="12">
        <f>YEAR(Table433[[#This Row],[Date]])</f>
        <v>2023</v>
      </c>
      <c r="M108" s="12">
        <f>MONTH(Table433[[#This Row],[Date]])</f>
        <v>12</v>
      </c>
      <c r="N108" s="13">
        <f>DAY(Table433[[#This Row],[Date]])</f>
        <v>10</v>
      </c>
      <c r="O108" s="13" t="str">
        <f>TEXT(DATE(2023,Table433[[#This Row],[Month]],1),"mmm")</f>
        <v>Dec</v>
      </c>
      <c r="P108" s="13"/>
      <c r="Q108" s="13"/>
    </row>
    <row r="109" spans="1:17" x14ac:dyDescent="0.3">
      <c r="A109" s="14">
        <v>108</v>
      </c>
      <c r="B109" s="15">
        <v>45143</v>
      </c>
      <c r="C109" s="16" t="s">
        <v>25</v>
      </c>
      <c r="D109" s="16" t="s">
        <v>26</v>
      </c>
      <c r="E109" s="16" t="s">
        <v>19</v>
      </c>
      <c r="F109" s="16" t="s">
        <v>38</v>
      </c>
      <c r="G109" s="16" t="s">
        <v>46</v>
      </c>
      <c r="H109" s="17">
        <v>9106.1</v>
      </c>
      <c r="I109" s="16">
        <v>3</v>
      </c>
      <c r="J109" s="18">
        <v>519.4</v>
      </c>
      <c r="K109" s="17" t="str" cm="1">
        <f t="array" ref="K109">_xlfn.IFS(Table433[[#This Row],[Sales]]&gt;40000,"Best Sales",Table433[[#This Row],[Sales]]&gt;20000,"Average Sales",Table433[[#This Row],[Sales]]&gt;0,"Poor Sales")</f>
        <v>Poor Sales</v>
      </c>
      <c r="L109" s="12">
        <f>YEAR(Table433[[#This Row],[Date]])</f>
        <v>2023</v>
      </c>
      <c r="M109" s="12">
        <f>MONTH(Table433[[#This Row],[Date]])</f>
        <v>8</v>
      </c>
      <c r="N109" s="13">
        <f>DAY(Table433[[#This Row],[Date]])</f>
        <v>5</v>
      </c>
      <c r="O109" s="13" t="str">
        <f>TEXT(DATE(2023,Table433[[#This Row],[Month]],1),"mmm")</f>
        <v>Aug</v>
      </c>
      <c r="P109" s="13"/>
      <c r="Q109" s="13"/>
    </row>
    <row r="110" spans="1:17" x14ac:dyDescent="0.3">
      <c r="A110" s="6">
        <v>109</v>
      </c>
      <c r="B110" s="7">
        <v>45214</v>
      </c>
      <c r="C110" s="8" t="s">
        <v>17</v>
      </c>
      <c r="D110" s="8" t="s">
        <v>18</v>
      </c>
      <c r="E110" s="8" t="s">
        <v>19</v>
      </c>
      <c r="F110" s="8" t="s">
        <v>31</v>
      </c>
      <c r="G110" s="8" t="s">
        <v>32</v>
      </c>
      <c r="H110" s="9">
        <v>7629.97</v>
      </c>
      <c r="I110" s="8">
        <v>9</v>
      </c>
      <c r="J110" s="10">
        <v>1489.6</v>
      </c>
      <c r="K110" s="17" t="str" cm="1">
        <f t="array" ref="K110">_xlfn.IFS(Table433[[#This Row],[Sales]]&gt;40000,"Best Sales",Table433[[#This Row],[Sales]]&gt;20000,"Average Sales",Table433[[#This Row],[Sales]]&gt;0,"Poor Sales")</f>
        <v>Poor Sales</v>
      </c>
      <c r="L110" s="12">
        <f>YEAR(Table433[[#This Row],[Date]])</f>
        <v>2023</v>
      </c>
      <c r="M110" s="12">
        <f>MONTH(Table433[[#This Row],[Date]])</f>
        <v>10</v>
      </c>
      <c r="N110" s="13">
        <f>DAY(Table433[[#This Row],[Date]])</f>
        <v>15</v>
      </c>
      <c r="O110" s="13" t="str">
        <f>TEXT(DATE(2023,Table433[[#This Row],[Month]],1),"mmm")</f>
        <v>Oct</v>
      </c>
      <c r="P110" s="13"/>
      <c r="Q110" s="13"/>
    </row>
    <row r="111" spans="1:17" x14ac:dyDescent="0.3">
      <c r="A111" s="14">
        <v>110</v>
      </c>
      <c r="B111" s="15">
        <v>45008</v>
      </c>
      <c r="C111" s="16" t="s">
        <v>33</v>
      </c>
      <c r="D111" s="16" t="s">
        <v>34</v>
      </c>
      <c r="E111" s="16" t="s">
        <v>19</v>
      </c>
      <c r="F111" s="16" t="s">
        <v>20</v>
      </c>
      <c r="G111" s="16" t="s">
        <v>21</v>
      </c>
      <c r="H111" s="17">
        <v>23310.71</v>
      </c>
      <c r="I111" s="16">
        <v>1</v>
      </c>
      <c r="J111" s="18">
        <v>3512.57</v>
      </c>
      <c r="K111" s="17" t="str" cm="1">
        <f t="array" ref="K111">_xlfn.IFS(Table433[[#This Row],[Sales]]&gt;40000,"Best Sales",Table433[[#This Row],[Sales]]&gt;20000,"Average Sales",Table433[[#This Row],[Sales]]&gt;0,"Poor Sales")</f>
        <v>Average Sales</v>
      </c>
      <c r="L111" s="12">
        <f>YEAR(Table433[[#This Row],[Date]])</f>
        <v>2023</v>
      </c>
      <c r="M111" s="12">
        <f>MONTH(Table433[[#This Row],[Date]])</f>
        <v>3</v>
      </c>
      <c r="N111" s="13">
        <f>DAY(Table433[[#This Row],[Date]])</f>
        <v>23</v>
      </c>
      <c r="O111" s="13" t="str">
        <f>TEXT(DATE(2023,Table433[[#This Row],[Month]],1),"mmm")</f>
        <v>Mar</v>
      </c>
      <c r="P111" s="13"/>
      <c r="Q111" s="13"/>
    </row>
    <row r="112" spans="1:17" x14ac:dyDescent="0.3">
      <c r="A112" s="6">
        <v>111</v>
      </c>
      <c r="B112" s="7">
        <v>45085</v>
      </c>
      <c r="C112" s="8" t="s">
        <v>37</v>
      </c>
      <c r="D112" s="8" t="s">
        <v>23</v>
      </c>
      <c r="E112" s="8" t="s">
        <v>19</v>
      </c>
      <c r="F112" s="8" t="s">
        <v>20</v>
      </c>
      <c r="G112" s="8" t="s">
        <v>41</v>
      </c>
      <c r="H112" s="9">
        <v>27994.05</v>
      </c>
      <c r="I112" s="8">
        <v>4</v>
      </c>
      <c r="J112" s="10">
        <v>5449.63</v>
      </c>
      <c r="K112" s="17" t="str" cm="1">
        <f t="array" ref="K112">_xlfn.IFS(Table433[[#This Row],[Sales]]&gt;40000,"Best Sales",Table433[[#This Row],[Sales]]&gt;20000,"Average Sales",Table433[[#This Row],[Sales]]&gt;0,"Poor Sales")</f>
        <v>Average Sales</v>
      </c>
      <c r="L112" s="12">
        <f>YEAR(Table433[[#This Row],[Date]])</f>
        <v>2023</v>
      </c>
      <c r="M112" s="12">
        <f>MONTH(Table433[[#This Row],[Date]])</f>
        <v>6</v>
      </c>
      <c r="N112" s="13">
        <f>DAY(Table433[[#This Row],[Date]])</f>
        <v>8</v>
      </c>
      <c r="O112" s="13" t="str">
        <f>TEXT(DATE(2023,Table433[[#This Row],[Month]],1),"mmm")</f>
        <v>Jun</v>
      </c>
      <c r="P112" s="13"/>
      <c r="Q112" s="13"/>
    </row>
    <row r="113" spans="1:17" x14ac:dyDescent="0.3">
      <c r="A113" s="14">
        <v>112</v>
      </c>
      <c r="B113" s="15">
        <v>44963</v>
      </c>
      <c r="C113" s="16" t="s">
        <v>25</v>
      </c>
      <c r="D113" s="16" t="s">
        <v>26</v>
      </c>
      <c r="E113" s="16" t="s">
        <v>19</v>
      </c>
      <c r="F113" s="16" t="s">
        <v>20</v>
      </c>
      <c r="G113" s="16" t="s">
        <v>41</v>
      </c>
      <c r="H113" s="17">
        <v>32440.06</v>
      </c>
      <c r="I113" s="16">
        <v>3</v>
      </c>
      <c r="J113" s="18">
        <v>7193.85</v>
      </c>
      <c r="K113" s="17" t="str" cm="1">
        <f t="array" ref="K113">_xlfn.IFS(Table433[[#This Row],[Sales]]&gt;40000,"Best Sales",Table433[[#This Row],[Sales]]&gt;20000,"Average Sales",Table433[[#This Row],[Sales]]&gt;0,"Poor Sales")</f>
        <v>Average Sales</v>
      </c>
      <c r="L113" s="12">
        <f>YEAR(Table433[[#This Row],[Date]])</f>
        <v>2023</v>
      </c>
      <c r="M113" s="12">
        <f>MONTH(Table433[[#This Row],[Date]])</f>
        <v>2</v>
      </c>
      <c r="N113" s="13">
        <f>DAY(Table433[[#This Row],[Date]])</f>
        <v>6</v>
      </c>
      <c r="O113" s="13" t="str">
        <f>TEXT(DATE(2023,Table433[[#This Row],[Month]],1),"mmm")</f>
        <v>Feb</v>
      </c>
      <c r="P113" s="13"/>
      <c r="Q113" s="13"/>
    </row>
    <row r="114" spans="1:17" x14ac:dyDescent="0.3">
      <c r="A114" s="6">
        <v>113</v>
      </c>
      <c r="B114" s="7">
        <v>45103</v>
      </c>
      <c r="C114" s="8" t="s">
        <v>37</v>
      </c>
      <c r="D114" s="8" t="s">
        <v>23</v>
      </c>
      <c r="E114" s="8" t="s">
        <v>19</v>
      </c>
      <c r="F114" s="8" t="s">
        <v>20</v>
      </c>
      <c r="G114" s="8" t="s">
        <v>41</v>
      </c>
      <c r="H114" s="9">
        <v>40462.19</v>
      </c>
      <c r="I114" s="8">
        <v>3</v>
      </c>
      <c r="J114" s="10">
        <v>9068.9</v>
      </c>
      <c r="K114" s="17" t="str" cm="1">
        <f t="array" ref="K114">_xlfn.IFS(Table433[[#This Row],[Sales]]&gt;40000,"Best Sales",Table433[[#This Row],[Sales]]&gt;20000,"Average Sales",Table433[[#This Row],[Sales]]&gt;0,"Poor Sales")</f>
        <v>Best Sales</v>
      </c>
      <c r="L114" s="12">
        <f>YEAR(Table433[[#This Row],[Date]])</f>
        <v>2023</v>
      </c>
      <c r="M114" s="12">
        <f>MONTH(Table433[[#This Row],[Date]])</f>
        <v>6</v>
      </c>
      <c r="N114" s="13">
        <f>DAY(Table433[[#This Row],[Date]])</f>
        <v>26</v>
      </c>
      <c r="O114" s="13" t="str">
        <f>TEXT(DATE(2023,Table433[[#This Row],[Month]],1),"mmm")</f>
        <v>Jun</v>
      </c>
      <c r="P114" s="13"/>
      <c r="Q114" s="13"/>
    </row>
    <row r="115" spans="1:17" x14ac:dyDescent="0.3">
      <c r="A115" s="14">
        <v>114</v>
      </c>
      <c r="B115" s="15">
        <v>45086</v>
      </c>
      <c r="C115" s="16" t="s">
        <v>44</v>
      </c>
      <c r="D115" s="16" t="s">
        <v>34</v>
      </c>
      <c r="E115" s="16" t="s">
        <v>19</v>
      </c>
      <c r="F115" s="16" t="s">
        <v>38</v>
      </c>
      <c r="G115" s="16" t="s">
        <v>39</v>
      </c>
      <c r="H115" s="17">
        <v>4946.33</v>
      </c>
      <c r="I115" s="16">
        <v>9</v>
      </c>
      <c r="J115" s="18">
        <v>1157.56</v>
      </c>
      <c r="K115" s="17" t="str" cm="1">
        <f t="array" ref="K115">_xlfn.IFS(Table433[[#This Row],[Sales]]&gt;40000,"Best Sales",Table433[[#This Row],[Sales]]&gt;20000,"Average Sales",Table433[[#This Row],[Sales]]&gt;0,"Poor Sales")</f>
        <v>Poor Sales</v>
      </c>
      <c r="L115" s="12">
        <f>YEAR(Table433[[#This Row],[Date]])</f>
        <v>2023</v>
      </c>
      <c r="M115" s="12">
        <f>MONTH(Table433[[#This Row],[Date]])</f>
        <v>6</v>
      </c>
      <c r="N115" s="13">
        <f>DAY(Table433[[#This Row],[Date]])</f>
        <v>9</v>
      </c>
      <c r="O115" s="13" t="str">
        <f>TEXT(DATE(2023,Table433[[#This Row],[Month]],1),"mmm")</f>
        <v>Jun</v>
      </c>
      <c r="P115" s="13"/>
      <c r="Q115" s="13"/>
    </row>
    <row r="116" spans="1:17" x14ac:dyDescent="0.3">
      <c r="A116" s="6">
        <v>115</v>
      </c>
      <c r="B116" s="7">
        <v>45067</v>
      </c>
      <c r="C116" s="8" t="s">
        <v>25</v>
      </c>
      <c r="D116" s="8" t="s">
        <v>26</v>
      </c>
      <c r="E116" s="8" t="s">
        <v>19</v>
      </c>
      <c r="F116" s="8" t="s">
        <v>31</v>
      </c>
      <c r="G116" s="8" t="s">
        <v>32</v>
      </c>
      <c r="H116" s="9">
        <v>41523.230000000003</v>
      </c>
      <c r="I116" s="8">
        <v>7</v>
      </c>
      <c r="J116" s="10">
        <v>9474.06</v>
      </c>
      <c r="K116" s="17" t="str" cm="1">
        <f t="array" ref="K116">_xlfn.IFS(Table433[[#This Row],[Sales]]&gt;40000,"Best Sales",Table433[[#This Row],[Sales]]&gt;20000,"Average Sales",Table433[[#This Row],[Sales]]&gt;0,"Poor Sales")</f>
        <v>Best Sales</v>
      </c>
      <c r="L116" s="12">
        <f>YEAR(Table433[[#This Row],[Date]])</f>
        <v>2023</v>
      </c>
      <c r="M116" s="12">
        <f>MONTH(Table433[[#This Row],[Date]])</f>
        <v>5</v>
      </c>
      <c r="N116" s="13">
        <f>DAY(Table433[[#This Row],[Date]])</f>
        <v>21</v>
      </c>
      <c r="O116" s="13" t="str">
        <f>TEXT(DATE(2023,Table433[[#This Row],[Month]],1),"mmm")</f>
        <v>May</v>
      </c>
      <c r="P116" s="13"/>
      <c r="Q116" s="13"/>
    </row>
    <row r="117" spans="1:17" x14ac:dyDescent="0.3">
      <c r="A117" s="14">
        <v>116</v>
      </c>
      <c r="B117" s="15">
        <v>45091</v>
      </c>
      <c r="C117" s="16" t="s">
        <v>44</v>
      </c>
      <c r="D117" s="16" t="s">
        <v>34</v>
      </c>
      <c r="E117" s="16" t="s">
        <v>19</v>
      </c>
      <c r="F117" s="16" t="s">
        <v>38</v>
      </c>
      <c r="G117" s="16" t="s">
        <v>40</v>
      </c>
      <c r="H117" s="17">
        <v>41692.239999999998</v>
      </c>
      <c r="I117" s="16">
        <v>1</v>
      </c>
      <c r="J117" s="18">
        <v>11454.59</v>
      </c>
      <c r="K117" s="17" t="str" cm="1">
        <f t="array" ref="K117">_xlfn.IFS(Table433[[#This Row],[Sales]]&gt;40000,"Best Sales",Table433[[#This Row],[Sales]]&gt;20000,"Average Sales",Table433[[#This Row],[Sales]]&gt;0,"Poor Sales")</f>
        <v>Best Sales</v>
      </c>
      <c r="L117" s="12">
        <f>YEAR(Table433[[#This Row],[Date]])</f>
        <v>2023</v>
      </c>
      <c r="M117" s="12">
        <f>MONTH(Table433[[#This Row],[Date]])</f>
        <v>6</v>
      </c>
      <c r="N117" s="13">
        <f>DAY(Table433[[#This Row],[Date]])</f>
        <v>14</v>
      </c>
      <c r="O117" s="13" t="str">
        <f>TEXT(DATE(2023,Table433[[#This Row],[Month]],1),"mmm")</f>
        <v>Jun</v>
      </c>
      <c r="P117" s="13"/>
      <c r="Q117" s="13"/>
    </row>
    <row r="118" spans="1:17" x14ac:dyDescent="0.3">
      <c r="A118" s="6">
        <v>117</v>
      </c>
      <c r="B118" s="7">
        <v>45275</v>
      </c>
      <c r="C118" s="8" t="s">
        <v>25</v>
      </c>
      <c r="D118" s="8" t="s">
        <v>26</v>
      </c>
      <c r="E118" s="8" t="s">
        <v>19</v>
      </c>
      <c r="F118" s="8" t="s">
        <v>31</v>
      </c>
      <c r="G118" s="8" t="s">
        <v>32</v>
      </c>
      <c r="H118" s="9">
        <v>37435.72</v>
      </c>
      <c r="I118" s="8">
        <v>10</v>
      </c>
      <c r="J118" s="10">
        <v>7225.3</v>
      </c>
      <c r="K118" s="17" t="str" cm="1">
        <f t="array" ref="K118">_xlfn.IFS(Table433[[#This Row],[Sales]]&gt;40000,"Best Sales",Table433[[#This Row],[Sales]]&gt;20000,"Average Sales",Table433[[#This Row],[Sales]]&gt;0,"Poor Sales")</f>
        <v>Average Sales</v>
      </c>
      <c r="L118" s="12">
        <f>YEAR(Table433[[#This Row],[Date]])</f>
        <v>2023</v>
      </c>
      <c r="M118" s="12">
        <f>MONTH(Table433[[#This Row],[Date]])</f>
        <v>12</v>
      </c>
      <c r="N118" s="13">
        <f>DAY(Table433[[#This Row],[Date]])</f>
        <v>15</v>
      </c>
      <c r="O118" s="13" t="str">
        <f>TEXT(DATE(2023,Table433[[#This Row],[Month]],1),"mmm")</f>
        <v>Dec</v>
      </c>
      <c r="P118" s="13"/>
      <c r="Q118" s="13"/>
    </row>
    <row r="119" spans="1:17" x14ac:dyDescent="0.3">
      <c r="A119" s="14">
        <v>118</v>
      </c>
      <c r="B119" s="15">
        <v>44993</v>
      </c>
      <c r="C119" s="16" t="s">
        <v>29</v>
      </c>
      <c r="D119" s="16" t="s">
        <v>29</v>
      </c>
      <c r="E119" s="16" t="s">
        <v>19</v>
      </c>
      <c r="F119" s="16" t="s">
        <v>38</v>
      </c>
      <c r="G119" s="16" t="s">
        <v>46</v>
      </c>
      <c r="H119" s="17">
        <v>24188.17</v>
      </c>
      <c r="I119" s="16">
        <v>4</v>
      </c>
      <c r="J119" s="18">
        <v>1398.98</v>
      </c>
      <c r="K119" s="17" t="str" cm="1">
        <f t="array" ref="K119">_xlfn.IFS(Table433[[#This Row],[Sales]]&gt;40000,"Best Sales",Table433[[#This Row],[Sales]]&gt;20000,"Average Sales",Table433[[#This Row],[Sales]]&gt;0,"Poor Sales")</f>
        <v>Average Sales</v>
      </c>
      <c r="L119" s="12">
        <f>YEAR(Table433[[#This Row],[Date]])</f>
        <v>2023</v>
      </c>
      <c r="M119" s="12">
        <f>MONTH(Table433[[#This Row],[Date]])</f>
        <v>3</v>
      </c>
      <c r="N119" s="13">
        <f>DAY(Table433[[#This Row],[Date]])</f>
        <v>8</v>
      </c>
      <c r="O119" s="13" t="str">
        <f>TEXT(DATE(2023,Table433[[#This Row],[Month]],1),"mmm")</f>
        <v>Mar</v>
      </c>
      <c r="P119" s="13"/>
      <c r="Q119" s="13"/>
    </row>
    <row r="120" spans="1:17" x14ac:dyDescent="0.3">
      <c r="A120" s="6">
        <v>119</v>
      </c>
      <c r="B120" s="7">
        <v>44978</v>
      </c>
      <c r="C120" s="8" t="s">
        <v>17</v>
      </c>
      <c r="D120" s="8" t="s">
        <v>18</v>
      </c>
      <c r="E120" s="8" t="s">
        <v>19</v>
      </c>
      <c r="F120" s="8" t="s">
        <v>20</v>
      </c>
      <c r="G120" s="8" t="s">
        <v>21</v>
      </c>
      <c r="H120" s="9">
        <v>7636.41</v>
      </c>
      <c r="I120" s="8">
        <v>5</v>
      </c>
      <c r="J120" s="10">
        <v>1440.24</v>
      </c>
      <c r="K120" s="17" t="str" cm="1">
        <f t="array" ref="K120">_xlfn.IFS(Table433[[#This Row],[Sales]]&gt;40000,"Best Sales",Table433[[#This Row],[Sales]]&gt;20000,"Average Sales",Table433[[#This Row],[Sales]]&gt;0,"Poor Sales")</f>
        <v>Poor Sales</v>
      </c>
      <c r="L120" s="12">
        <f>YEAR(Table433[[#This Row],[Date]])</f>
        <v>2023</v>
      </c>
      <c r="M120" s="12">
        <f>MONTH(Table433[[#This Row],[Date]])</f>
        <v>2</v>
      </c>
      <c r="N120" s="13">
        <f>DAY(Table433[[#This Row],[Date]])</f>
        <v>21</v>
      </c>
      <c r="O120" s="13" t="str">
        <f>TEXT(DATE(2023,Table433[[#This Row],[Month]],1),"mmm")</f>
        <v>Feb</v>
      </c>
      <c r="P120" s="13"/>
      <c r="Q120" s="13"/>
    </row>
    <row r="121" spans="1:17" x14ac:dyDescent="0.3">
      <c r="A121" s="14">
        <v>120</v>
      </c>
      <c r="B121" s="15">
        <v>44930</v>
      </c>
      <c r="C121" s="16" t="s">
        <v>37</v>
      </c>
      <c r="D121" s="16" t="s">
        <v>23</v>
      </c>
      <c r="E121" s="16" t="s">
        <v>19</v>
      </c>
      <c r="F121" s="16" t="s">
        <v>31</v>
      </c>
      <c r="G121" s="16" t="s">
        <v>36</v>
      </c>
      <c r="H121" s="17">
        <v>46770.74</v>
      </c>
      <c r="I121" s="16">
        <v>9</v>
      </c>
      <c r="J121" s="18">
        <v>10311.32</v>
      </c>
      <c r="K121" s="17" t="str" cm="1">
        <f t="array" ref="K121">_xlfn.IFS(Table433[[#This Row],[Sales]]&gt;40000,"Best Sales",Table433[[#This Row],[Sales]]&gt;20000,"Average Sales",Table433[[#This Row],[Sales]]&gt;0,"Poor Sales")</f>
        <v>Best Sales</v>
      </c>
      <c r="L121" s="12">
        <f>YEAR(Table433[[#This Row],[Date]])</f>
        <v>2023</v>
      </c>
      <c r="M121" s="12">
        <f>MONTH(Table433[[#This Row],[Date]])</f>
        <v>1</v>
      </c>
      <c r="N121" s="13">
        <f>DAY(Table433[[#This Row],[Date]])</f>
        <v>4</v>
      </c>
      <c r="O121" s="13" t="str">
        <f>TEXT(DATE(2023,Table433[[#This Row],[Month]],1),"mmm")</f>
        <v>Jan</v>
      </c>
      <c r="P121" s="13"/>
      <c r="Q121" s="13"/>
    </row>
    <row r="122" spans="1:17" x14ac:dyDescent="0.3">
      <c r="A122" s="6">
        <v>121</v>
      </c>
      <c r="B122" s="7">
        <v>45269</v>
      </c>
      <c r="C122" s="8" t="s">
        <v>37</v>
      </c>
      <c r="D122" s="8" t="s">
        <v>23</v>
      </c>
      <c r="E122" s="8" t="s">
        <v>19</v>
      </c>
      <c r="F122" s="8" t="s">
        <v>31</v>
      </c>
      <c r="G122" s="8" t="s">
        <v>36</v>
      </c>
      <c r="H122" s="9">
        <v>25666.98</v>
      </c>
      <c r="I122" s="8">
        <v>6</v>
      </c>
      <c r="J122" s="10">
        <v>5659.2</v>
      </c>
      <c r="K122" s="17" t="str" cm="1">
        <f t="array" ref="K122">_xlfn.IFS(Table433[[#This Row],[Sales]]&gt;40000,"Best Sales",Table433[[#This Row],[Sales]]&gt;20000,"Average Sales",Table433[[#This Row],[Sales]]&gt;0,"Poor Sales")</f>
        <v>Average Sales</v>
      </c>
      <c r="L122" s="12">
        <f>YEAR(Table433[[#This Row],[Date]])</f>
        <v>2023</v>
      </c>
      <c r="M122" s="12">
        <f>MONTH(Table433[[#This Row],[Date]])</f>
        <v>12</v>
      </c>
      <c r="N122" s="13">
        <f>DAY(Table433[[#This Row],[Date]])</f>
        <v>9</v>
      </c>
      <c r="O122" s="13" t="str">
        <f>TEXT(DATE(2023,Table433[[#This Row],[Month]],1),"mmm")</f>
        <v>Dec</v>
      </c>
      <c r="P122" s="13"/>
      <c r="Q122" s="13"/>
    </row>
    <row r="123" spans="1:17" x14ac:dyDescent="0.3">
      <c r="A123" s="14">
        <v>122</v>
      </c>
      <c r="B123" s="15">
        <v>45281</v>
      </c>
      <c r="C123" s="16" t="s">
        <v>44</v>
      </c>
      <c r="D123" s="16" t="s">
        <v>34</v>
      </c>
      <c r="E123" s="16" t="s">
        <v>19</v>
      </c>
      <c r="F123" s="16" t="s">
        <v>20</v>
      </c>
      <c r="G123" s="16" t="s">
        <v>21</v>
      </c>
      <c r="H123" s="17">
        <v>23082.5</v>
      </c>
      <c r="I123" s="16">
        <v>5</v>
      </c>
      <c r="J123" s="18">
        <v>6692.32</v>
      </c>
      <c r="K123" s="17" t="str" cm="1">
        <f t="array" ref="K123">_xlfn.IFS(Table433[[#This Row],[Sales]]&gt;40000,"Best Sales",Table433[[#This Row],[Sales]]&gt;20000,"Average Sales",Table433[[#This Row],[Sales]]&gt;0,"Poor Sales")</f>
        <v>Average Sales</v>
      </c>
      <c r="L123" s="12">
        <f>YEAR(Table433[[#This Row],[Date]])</f>
        <v>2023</v>
      </c>
      <c r="M123" s="12">
        <f>MONTH(Table433[[#This Row],[Date]])</f>
        <v>12</v>
      </c>
      <c r="N123" s="13">
        <f>DAY(Table433[[#This Row],[Date]])</f>
        <v>21</v>
      </c>
      <c r="O123" s="13" t="str">
        <f>TEXT(DATE(2023,Table433[[#This Row],[Month]],1),"mmm")</f>
        <v>Dec</v>
      </c>
      <c r="P123" s="13"/>
      <c r="Q123" s="13"/>
    </row>
    <row r="124" spans="1:17" x14ac:dyDescent="0.3">
      <c r="A124" s="6">
        <v>123</v>
      </c>
      <c r="B124" s="7">
        <v>45087</v>
      </c>
      <c r="C124" s="8" t="s">
        <v>44</v>
      </c>
      <c r="D124" s="8" t="s">
        <v>34</v>
      </c>
      <c r="E124" s="8" t="s">
        <v>19</v>
      </c>
      <c r="F124" s="8" t="s">
        <v>38</v>
      </c>
      <c r="G124" s="8" t="s">
        <v>40</v>
      </c>
      <c r="H124" s="9">
        <v>38476.03</v>
      </c>
      <c r="I124" s="8">
        <v>5</v>
      </c>
      <c r="J124" s="10">
        <v>4209.84</v>
      </c>
      <c r="K124" s="17" t="str" cm="1">
        <f t="array" ref="K124">_xlfn.IFS(Table433[[#This Row],[Sales]]&gt;40000,"Best Sales",Table433[[#This Row],[Sales]]&gt;20000,"Average Sales",Table433[[#This Row],[Sales]]&gt;0,"Poor Sales")</f>
        <v>Average Sales</v>
      </c>
      <c r="L124" s="12">
        <f>YEAR(Table433[[#This Row],[Date]])</f>
        <v>2023</v>
      </c>
      <c r="M124" s="12">
        <f>MONTH(Table433[[#This Row],[Date]])</f>
        <v>6</v>
      </c>
      <c r="N124" s="13">
        <f>DAY(Table433[[#This Row],[Date]])</f>
        <v>10</v>
      </c>
      <c r="O124" s="13" t="str">
        <f>TEXT(DATE(2023,Table433[[#This Row],[Month]],1),"mmm")</f>
        <v>Jun</v>
      </c>
      <c r="P124" s="13"/>
      <c r="Q124" s="13"/>
    </row>
    <row r="125" spans="1:17" x14ac:dyDescent="0.3">
      <c r="A125" s="14">
        <v>124</v>
      </c>
      <c r="B125" s="15">
        <v>44997</v>
      </c>
      <c r="C125" s="16" t="s">
        <v>44</v>
      </c>
      <c r="D125" s="16" t="s">
        <v>34</v>
      </c>
      <c r="E125" s="16" t="s">
        <v>19</v>
      </c>
      <c r="F125" s="16" t="s">
        <v>38</v>
      </c>
      <c r="G125" s="16" t="s">
        <v>39</v>
      </c>
      <c r="H125" s="17">
        <v>18610.04</v>
      </c>
      <c r="I125" s="16">
        <v>9</v>
      </c>
      <c r="J125" s="18">
        <v>2849.41</v>
      </c>
      <c r="K125" s="17" t="str" cm="1">
        <f t="array" ref="K125">_xlfn.IFS(Table433[[#This Row],[Sales]]&gt;40000,"Best Sales",Table433[[#This Row],[Sales]]&gt;20000,"Average Sales",Table433[[#This Row],[Sales]]&gt;0,"Poor Sales")</f>
        <v>Poor Sales</v>
      </c>
      <c r="L125" s="12">
        <f>YEAR(Table433[[#This Row],[Date]])</f>
        <v>2023</v>
      </c>
      <c r="M125" s="12">
        <f>MONTH(Table433[[#This Row],[Date]])</f>
        <v>3</v>
      </c>
      <c r="N125" s="13">
        <f>DAY(Table433[[#This Row],[Date]])</f>
        <v>12</v>
      </c>
      <c r="O125" s="13" t="str">
        <f>TEXT(DATE(2023,Table433[[#This Row],[Month]],1),"mmm")</f>
        <v>Mar</v>
      </c>
      <c r="P125" s="13"/>
      <c r="Q125" s="13"/>
    </row>
    <row r="126" spans="1:17" x14ac:dyDescent="0.3">
      <c r="A126" s="6">
        <v>125</v>
      </c>
      <c r="B126" s="7">
        <v>44996</v>
      </c>
      <c r="C126" s="8" t="s">
        <v>37</v>
      </c>
      <c r="D126" s="8" t="s">
        <v>23</v>
      </c>
      <c r="E126" s="8" t="s">
        <v>19</v>
      </c>
      <c r="F126" s="8" t="s">
        <v>20</v>
      </c>
      <c r="G126" s="8" t="s">
        <v>21</v>
      </c>
      <c r="H126" s="9">
        <v>9386.76</v>
      </c>
      <c r="I126" s="8">
        <v>5</v>
      </c>
      <c r="J126" s="10">
        <v>1362.58</v>
      </c>
      <c r="K126" s="17" t="str" cm="1">
        <f t="array" ref="K126">_xlfn.IFS(Table433[[#This Row],[Sales]]&gt;40000,"Best Sales",Table433[[#This Row],[Sales]]&gt;20000,"Average Sales",Table433[[#This Row],[Sales]]&gt;0,"Poor Sales")</f>
        <v>Poor Sales</v>
      </c>
      <c r="L126" s="12">
        <f>YEAR(Table433[[#This Row],[Date]])</f>
        <v>2023</v>
      </c>
      <c r="M126" s="12">
        <f>MONTH(Table433[[#This Row],[Date]])</f>
        <v>3</v>
      </c>
      <c r="N126" s="13">
        <f>DAY(Table433[[#This Row],[Date]])</f>
        <v>11</v>
      </c>
      <c r="O126" s="13" t="str">
        <f>TEXT(DATE(2023,Table433[[#This Row],[Month]],1),"mmm")</f>
        <v>Mar</v>
      </c>
      <c r="P126" s="13"/>
      <c r="Q126" s="13"/>
    </row>
    <row r="127" spans="1:17" x14ac:dyDescent="0.3">
      <c r="A127" s="14">
        <v>126</v>
      </c>
      <c r="B127" s="15">
        <v>45288</v>
      </c>
      <c r="C127" s="16" t="s">
        <v>33</v>
      </c>
      <c r="D127" s="16" t="s">
        <v>34</v>
      </c>
      <c r="E127" s="16" t="s">
        <v>19</v>
      </c>
      <c r="F127" s="16" t="s">
        <v>20</v>
      </c>
      <c r="G127" s="16" t="s">
        <v>21</v>
      </c>
      <c r="H127" s="17">
        <v>28617.52</v>
      </c>
      <c r="I127" s="16">
        <v>6</v>
      </c>
      <c r="J127" s="18">
        <v>2807.32</v>
      </c>
      <c r="K127" s="17" t="str" cm="1">
        <f t="array" ref="K127">_xlfn.IFS(Table433[[#This Row],[Sales]]&gt;40000,"Best Sales",Table433[[#This Row],[Sales]]&gt;20000,"Average Sales",Table433[[#This Row],[Sales]]&gt;0,"Poor Sales")</f>
        <v>Average Sales</v>
      </c>
      <c r="L127" s="12">
        <f>YEAR(Table433[[#This Row],[Date]])</f>
        <v>2023</v>
      </c>
      <c r="M127" s="12">
        <f>MONTH(Table433[[#This Row],[Date]])</f>
        <v>12</v>
      </c>
      <c r="N127" s="13">
        <f>DAY(Table433[[#This Row],[Date]])</f>
        <v>28</v>
      </c>
      <c r="O127" s="13" t="str">
        <f>TEXT(DATE(2023,Table433[[#This Row],[Month]],1),"mmm")</f>
        <v>Dec</v>
      </c>
      <c r="P127" s="13"/>
      <c r="Q127" s="13"/>
    </row>
    <row r="128" spans="1:17" x14ac:dyDescent="0.3">
      <c r="A128" s="6">
        <v>127</v>
      </c>
      <c r="B128" s="7">
        <v>45268</v>
      </c>
      <c r="C128" s="8" t="s">
        <v>22</v>
      </c>
      <c r="D128" s="8" t="s">
        <v>23</v>
      </c>
      <c r="E128" s="8" t="s">
        <v>19</v>
      </c>
      <c r="F128" s="8" t="s">
        <v>38</v>
      </c>
      <c r="G128" s="8" t="s">
        <v>39</v>
      </c>
      <c r="H128" s="9">
        <v>23321.11</v>
      </c>
      <c r="I128" s="8">
        <v>6</v>
      </c>
      <c r="J128" s="10">
        <v>6516.94</v>
      </c>
      <c r="K128" s="17" t="str" cm="1">
        <f t="array" ref="K128">_xlfn.IFS(Table433[[#This Row],[Sales]]&gt;40000,"Best Sales",Table433[[#This Row],[Sales]]&gt;20000,"Average Sales",Table433[[#This Row],[Sales]]&gt;0,"Poor Sales")</f>
        <v>Average Sales</v>
      </c>
      <c r="L128" s="12">
        <f>YEAR(Table433[[#This Row],[Date]])</f>
        <v>2023</v>
      </c>
      <c r="M128" s="12">
        <f>MONTH(Table433[[#This Row],[Date]])</f>
        <v>12</v>
      </c>
      <c r="N128" s="13">
        <f>DAY(Table433[[#This Row],[Date]])</f>
        <v>8</v>
      </c>
      <c r="O128" s="13" t="str">
        <f>TEXT(DATE(2023,Table433[[#This Row],[Month]],1),"mmm")</f>
        <v>Dec</v>
      </c>
      <c r="P128" s="13"/>
      <c r="Q128" s="13"/>
    </row>
    <row r="129" spans="1:17" x14ac:dyDescent="0.3">
      <c r="A129" s="14">
        <v>128</v>
      </c>
      <c r="B129" s="15">
        <v>45195</v>
      </c>
      <c r="C129" s="16" t="s">
        <v>33</v>
      </c>
      <c r="D129" s="16" t="s">
        <v>34</v>
      </c>
      <c r="E129" s="16" t="s">
        <v>19</v>
      </c>
      <c r="F129" s="16" t="s">
        <v>20</v>
      </c>
      <c r="G129" s="16" t="s">
        <v>21</v>
      </c>
      <c r="H129" s="17">
        <v>30886.63</v>
      </c>
      <c r="I129" s="16">
        <v>3</v>
      </c>
      <c r="J129" s="18">
        <v>7845.04</v>
      </c>
      <c r="K129" s="17" t="str" cm="1">
        <f t="array" ref="K129">_xlfn.IFS(Table433[[#This Row],[Sales]]&gt;40000,"Best Sales",Table433[[#This Row],[Sales]]&gt;20000,"Average Sales",Table433[[#This Row],[Sales]]&gt;0,"Poor Sales")</f>
        <v>Average Sales</v>
      </c>
      <c r="L129" s="12">
        <f>YEAR(Table433[[#This Row],[Date]])</f>
        <v>2023</v>
      </c>
      <c r="M129" s="12">
        <f>MONTH(Table433[[#This Row],[Date]])</f>
        <v>9</v>
      </c>
      <c r="N129" s="13">
        <f>DAY(Table433[[#This Row],[Date]])</f>
        <v>26</v>
      </c>
      <c r="O129" s="13" t="str">
        <f>TEXT(DATE(2023,Table433[[#This Row],[Month]],1),"mmm")</f>
        <v>Sep</v>
      </c>
      <c r="P129" s="13"/>
      <c r="Q129" s="13"/>
    </row>
    <row r="130" spans="1:17" x14ac:dyDescent="0.3">
      <c r="A130" s="6">
        <v>129</v>
      </c>
      <c r="B130" s="7">
        <v>45236</v>
      </c>
      <c r="C130" s="8" t="s">
        <v>17</v>
      </c>
      <c r="D130" s="8" t="s">
        <v>18</v>
      </c>
      <c r="E130" s="8" t="s">
        <v>19</v>
      </c>
      <c r="F130" s="8" t="s">
        <v>38</v>
      </c>
      <c r="G130" s="8" t="s">
        <v>46</v>
      </c>
      <c r="H130" s="9">
        <v>33355.910000000003</v>
      </c>
      <c r="I130" s="8">
        <v>5</v>
      </c>
      <c r="J130" s="10">
        <v>2731.47</v>
      </c>
      <c r="K130" s="17" t="str" cm="1">
        <f t="array" ref="K130">_xlfn.IFS(Table433[[#This Row],[Sales]]&gt;40000,"Best Sales",Table433[[#This Row],[Sales]]&gt;20000,"Average Sales",Table433[[#This Row],[Sales]]&gt;0,"Poor Sales")</f>
        <v>Average Sales</v>
      </c>
      <c r="L130" s="12">
        <f>YEAR(Table433[[#This Row],[Date]])</f>
        <v>2023</v>
      </c>
      <c r="M130" s="12">
        <f>MONTH(Table433[[#This Row],[Date]])</f>
        <v>11</v>
      </c>
      <c r="N130" s="13">
        <f>DAY(Table433[[#This Row],[Date]])</f>
        <v>6</v>
      </c>
      <c r="O130" s="13" t="str">
        <f>TEXT(DATE(2023,Table433[[#This Row],[Month]],1),"mmm")</f>
        <v>Nov</v>
      </c>
      <c r="P130" s="13"/>
      <c r="Q130" s="13"/>
    </row>
    <row r="131" spans="1:17" x14ac:dyDescent="0.3">
      <c r="A131" s="14">
        <v>130</v>
      </c>
      <c r="B131" s="15">
        <v>45109</v>
      </c>
      <c r="C131" s="16" t="s">
        <v>17</v>
      </c>
      <c r="D131" s="16" t="s">
        <v>18</v>
      </c>
      <c r="E131" s="16" t="s">
        <v>19</v>
      </c>
      <c r="F131" s="16" t="s">
        <v>31</v>
      </c>
      <c r="G131" s="16" t="s">
        <v>35</v>
      </c>
      <c r="H131" s="17">
        <v>23925.26</v>
      </c>
      <c r="I131" s="16">
        <v>3</v>
      </c>
      <c r="J131" s="18">
        <v>4614.3999999999996</v>
      </c>
      <c r="K131" s="17" t="str" cm="1">
        <f t="array" ref="K131">_xlfn.IFS(Table433[[#This Row],[Sales]]&gt;40000,"Best Sales",Table433[[#This Row],[Sales]]&gt;20000,"Average Sales",Table433[[#This Row],[Sales]]&gt;0,"Poor Sales")</f>
        <v>Average Sales</v>
      </c>
      <c r="L131" s="12">
        <f>YEAR(Table433[[#This Row],[Date]])</f>
        <v>2023</v>
      </c>
      <c r="M131" s="12">
        <f>MONTH(Table433[[#This Row],[Date]])</f>
        <v>7</v>
      </c>
      <c r="N131" s="13">
        <f>DAY(Table433[[#This Row],[Date]])</f>
        <v>2</v>
      </c>
      <c r="O131" s="13" t="str">
        <f>TEXT(DATE(2023,Table433[[#This Row],[Month]],1),"mmm")</f>
        <v>Jul</v>
      </c>
      <c r="P131" s="13"/>
      <c r="Q131" s="13"/>
    </row>
    <row r="132" spans="1:17" x14ac:dyDescent="0.3">
      <c r="A132" s="6">
        <v>131</v>
      </c>
      <c r="B132" s="7">
        <v>44930</v>
      </c>
      <c r="C132" s="8" t="s">
        <v>17</v>
      </c>
      <c r="D132" s="8" t="s">
        <v>18</v>
      </c>
      <c r="E132" s="8" t="s">
        <v>19</v>
      </c>
      <c r="F132" s="8" t="s">
        <v>20</v>
      </c>
      <c r="G132" s="8" t="s">
        <v>41</v>
      </c>
      <c r="H132" s="9">
        <v>46208.11</v>
      </c>
      <c r="I132" s="8">
        <v>1</v>
      </c>
      <c r="J132" s="10">
        <v>4640.21</v>
      </c>
      <c r="K132" s="17" t="str" cm="1">
        <f t="array" ref="K132">_xlfn.IFS(Table433[[#This Row],[Sales]]&gt;40000,"Best Sales",Table433[[#This Row],[Sales]]&gt;20000,"Average Sales",Table433[[#This Row],[Sales]]&gt;0,"Poor Sales")</f>
        <v>Best Sales</v>
      </c>
      <c r="L132" s="12">
        <f>YEAR(Table433[[#This Row],[Date]])</f>
        <v>2023</v>
      </c>
      <c r="M132" s="12">
        <f>MONTH(Table433[[#This Row],[Date]])</f>
        <v>1</v>
      </c>
      <c r="N132" s="13">
        <f>DAY(Table433[[#This Row],[Date]])</f>
        <v>4</v>
      </c>
      <c r="O132" s="13" t="str">
        <f>TEXT(DATE(2023,Table433[[#This Row],[Month]],1),"mmm")</f>
        <v>Jan</v>
      </c>
      <c r="P132" s="13"/>
      <c r="Q132" s="13"/>
    </row>
    <row r="133" spans="1:17" x14ac:dyDescent="0.3">
      <c r="A133" s="14">
        <v>132</v>
      </c>
      <c r="B133" s="15">
        <v>44967</v>
      </c>
      <c r="C133" s="16" t="s">
        <v>17</v>
      </c>
      <c r="D133" s="16" t="s">
        <v>18</v>
      </c>
      <c r="E133" s="16" t="s">
        <v>19</v>
      </c>
      <c r="F133" s="16" t="s">
        <v>38</v>
      </c>
      <c r="G133" s="16" t="s">
        <v>46</v>
      </c>
      <c r="H133" s="17">
        <v>7965.54</v>
      </c>
      <c r="I133" s="16">
        <v>3</v>
      </c>
      <c r="J133" s="18">
        <v>2341.5300000000002</v>
      </c>
      <c r="K133" s="17" t="str" cm="1">
        <f t="array" ref="K133">_xlfn.IFS(Table433[[#This Row],[Sales]]&gt;40000,"Best Sales",Table433[[#This Row],[Sales]]&gt;20000,"Average Sales",Table433[[#This Row],[Sales]]&gt;0,"Poor Sales")</f>
        <v>Poor Sales</v>
      </c>
      <c r="L133" s="12">
        <f>YEAR(Table433[[#This Row],[Date]])</f>
        <v>2023</v>
      </c>
      <c r="M133" s="12">
        <f>MONTH(Table433[[#This Row],[Date]])</f>
        <v>2</v>
      </c>
      <c r="N133" s="13">
        <f>DAY(Table433[[#This Row],[Date]])</f>
        <v>10</v>
      </c>
      <c r="O133" s="13" t="str">
        <f>TEXT(DATE(2023,Table433[[#This Row],[Month]],1),"mmm")</f>
        <v>Feb</v>
      </c>
      <c r="P133" s="13"/>
      <c r="Q133" s="13"/>
    </row>
    <row r="134" spans="1:17" x14ac:dyDescent="0.3">
      <c r="A134" s="6">
        <v>133</v>
      </c>
      <c r="B134" s="7">
        <v>45265</v>
      </c>
      <c r="C134" s="8" t="s">
        <v>22</v>
      </c>
      <c r="D134" s="8" t="s">
        <v>23</v>
      </c>
      <c r="E134" s="8" t="s">
        <v>19</v>
      </c>
      <c r="F134" s="8" t="s">
        <v>20</v>
      </c>
      <c r="G134" s="8" t="s">
        <v>41</v>
      </c>
      <c r="H134" s="9">
        <v>47622.58</v>
      </c>
      <c r="I134" s="8">
        <v>8</v>
      </c>
      <c r="J134" s="10">
        <v>13847.81</v>
      </c>
      <c r="K134" s="17" t="str" cm="1">
        <f t="array" ref="K134">_xlfn.IFS(Table433[[#This Row],[Sales]]&gt;40000,"Best Sales",Table433[[#This Row],[Sales]]&gt;20000,"Average Sales",Table433[[#This Row],[Sales]]&gt;0,"Poor Sales")</f>
        <v>Best Sales</v>
      </c>
      <c r="L134" s="12">
        <f>YEAR(Table433[[#This Row],[Date]])</f>
        <v>2023</v>
      </c>
      <c r="M134" s="12">
        <f>MONTH(Table433[[#This Row],[Date]])</f>
        <v>12</v>
      </c>
      <c r="N134" s="13">
        <f>DAY(Table433[[#This Row],[Date]])</f>
        <v>5</v>
      </c>
      <c r="O134" s="13" t="str">
        <f>TEXT(DATE(2023,Table433[[#This Row],[Month]],1),"mmm")</f>
        <v>Dec</v>
      </c>
      <c r="P134" s="13"/>
      <c r="Q134" s="13"/>
    </row>
    <row r="135" spans="1:17" x14ac:dyDescent="0.3">
      <c r="A135" s="14">
        <v>134</v>
      </c>
      <c r="B135" s="15">
        <v>45204</v>
      </c>
      <c r="C135" s="16" t="s">
        <v>29</v>
      </c>
      <c r="D135" s="16" t="s">
        <v>29</v>
      </c>
      <c r="E135" s="16" t="s">
        <v>19</v>
      </c>
      <c r="F135" s="16" t="s">
        <v>38</v>
      </c>
      <c r="G135" s="16" t="s">
        <v>40</v>
      </c>
      <c r="H135" s="17">
        <v>2192.81</v>
      </c>
      <c r="I135" s="16">
        <v>2</v>
      </c>
      <c r="J135" s="18">
        <v>448.06</v>
      </c>
      <c r="K135" s="17" t="str" cm="1">
        <f t="array" ref="K135">_xlfn.IFS(Table433[[#This Row],[Sales]]&gt;40000,"Best Sales",Table433[[#This Row],[Sales]]&gt;20000,"Average Sales",Table433[[#This Row],[Sales]]&gt;0,"Poor Sales")</f>
        <v>Poor Sales</v>
      </c>
      <c r="L135" s="12">
        <f>YEAR(Table433[[#This Row],[Date]])</f>
        <v>2023</v>
      </c>
      <c r="M135" s="12">
        <f>MONTH(Table433[[#This Row],[Date]])</f>
        <v>10</v>
      </c>
      <c r="N135" s="13">
        <f>DAY(Table433[[#This Row],[Date]])</f>
        <v>5</v>
      </c>
      <c r="O135" s="13" t="str">
        <f>TEXT(DATE(2023,Table433[[#This Row],[Month]],1),"mmm")</f>
        <v>Oct</v>
      </c>
      <c r="P135" s="13"/>
      <c r="Q135" s="13"/>
    </row>
    <row r="136" spans="1:17" x14ac:dyDescent="0.3">
      <c r="A136" s="6">
        <v>135</v>
      </c>
      <c r="B136" s="7">
        <v>45182</v>
      </c>
      <c r="C136" s="8" t="s">
        <v>42</v>
      </c>
      <c r="D136" s="8" t="s">
        <v>43</v>
      </c>
      <c r="E136" s="8" t="s">
        <v>19</v>
      </c>
      <c r="F136" s="8" t="s">
        <v>20</v>
      </c>
      <c r="G136" s="8" t="s">
        <v>41</v>
      </c>
      <c r="H136" s="9">
        <v>39455.26</v>
      </c>
      <c r="I136" s="8">
        <v>6</v>
      </c>
      <c r="J136" s="10">
        <v>7254.89</v>
      </c>
      <c r="K136" s="17" t="str" cm="1">
        <f t="array" ref="K136">_xlfn.IFS(Table433[[#This Row],[Sales]]&gt;40000,"Best Sales",Table433[[#This Row],[Sales]]&gt;20000,"Average Sales",Table433[[#This Row],[Sales]]&gt;0,"Poor Sales")</f>
        <v>Average Sales</v>
      </c>
      <c r="L136" s="12">
        <f>YEAR(Table433[[#This Row],[Date]])</f>
        <v>2023</v>
      </c>
      <c r="M136" s="12">
        <f>MONTH(Table433[[#This Row],[Date]])</f>
        <v>9</v>
      </c>
      <c r="N136" s="13">
        <f>DAY(Table433[[#This Row],[Date]])</f>
        <v>13</v>
      </c>
      <c r="O136" s="13" t="str">
        <f>TEXT(DATE(2023,Table433[[#This Row],[Month]],1),"mmm")</f>
        <v>Sep</v>
      </c>
      <c r="P136" s="13"/>
      <c r="Q136" s="13"/>
    </row>
    <row r="137" spans="1:17" x14ac:dyDescent="0.3">
      <c r="A137" s="14">
        <v>136</v>
      </c>
      <c r="B137" s="15">
        <v>45066</v>
      </c>
      <c r="C137" s="16" t="s">
        <v>37</v>
      </c>
      <c r="D137" s="16" t="s">
        <v>23</v>
      </c>
      <c r="E137" s="16" t="s">
        <v>19</v>
      </c>
      <c r="F137" s="16" t="s">
        <v>38</v>
      </c>
      <c r="G137" s="16" t="s">
        <v>40</v>
      </c>
      <c r="H137" s="17">
        <v>33615.199999999997</v>
      </c>
      <c r="I137" s="16">
        <v>10</v>
      </c>
      <c r="J137" s="18">
        <v>9400.1200000000008</v>
      </c>
      <c r="K137" s="17" t="str" cm="1">
        <f t="array" ref="K137">_xlfn.IFS(Table433[[#This Row],[Sales]]&gt;40000,"Best Sales",Table433[[#This Row],[Sales]]&gt;20000,"Average Sales",Table433[[#This Row],[Sales]]&gt;0,"Poor Sales")</f>
        <v>Average Sales</v>
      </c>
      <c r="L137" s="12">
        <f>YEAR(Table433[[#This Row],[Date]])</f>
        <v>2023</v>
      </c>
      <c r="M137" s="12">
        <f>MONTH(Table433[[#This Row],[Date]])</f>
        <v>5</v>
      </c>
      <c r="N137" s="13">
        <f>DAY(Table433[[#This Row],[Date]])</f>
        <v>20</v>
      </c>
      <c r="O137" s="13" t="str">
        <f>TEXT(DATE(2023,Table433[[#This Row],[Month]],1),"mmm")</f>
        <v>May</v>
      </c>
      <c r="P137" s="13"/>
      <c r="Q137" s="13"/>
    </row>
    <row r="138" spans="1:17" x14ac:dyDescent="0.3">
      <c r="A138" s="6">
        <v>137</v>
      </c>
      <c r="B138" s="7">
        <v>45112</v>
      </c>
      <c r="C138" s="8" t="s">
        <v>17</v>
      </c>
      <c r="D138" s="8" t="s">
        <v>18</v>
      </c>
      <c r="E138" s="8" t="s">
        <v>19</v>
      </c>
      <c r="F138" s="8" t="s">
        <v>20</v>
      </c>
      <c r="G138" s="8" t="s">
        <v>28</v>
      </c>
      <c r="H138" s="9">
        <v>43630.27</v>
      </c>
      <c r="I138" s="8">
        <v>1</v>
      </c>
      <c r="J138" s="10">
        <v>5720.89</v>
      </c>
      <c r="K138" s="17" t="str" cm="1">
        <f t="array" ref="K138">_xlfn.IFS(Table433[[#This Row],[Sales]]&gt;40000,"Best Sales",Table433[[#This Row],[Sales]]&gt;20000,"Average Sales",Table433[[#This Row],[Sales]]&gt;0,"Poor Sales")</f>
        <v>Best Sales</v>
      </c>
      <c r="L138" s="12">
        <f>YEAR(Table433[[#This Row],[Date]])</f>
        <v>2023</v>
      </c>
      <c r="M138" s="12">
        <f>MONTH(Table433[[#This Row],[Date]])</f>
        <v>7</v>
      </c>
      <c r="N138" s="13">
        <f>DAY(Table433[[#This Row],[Date]])</f>
        <v>5</v>
      </c>
      <c r="O138" s="13" t="str">
        <f>TEXT(DATE(2023,Table433[[#This Row],[Month]],1),"mmm")</f>
        <v>Jul</v>
      </c>
      <c r="P138" s="13"/>
      <c r="Q138" s="13"/>
    </row>
    <row r="139" spans="1:17" x14ac:dyDescent="0.3">
      <c r="A139" s="14">
        <v>138</v>
      </c>
      <c r="B139" s="15">
        <v>45222</v>
      </c>
      <c r="C139" s="16" t="s">
        <v>37</v>
      </c>
      <c r="D139" s="16" t="s">
        <v>23</v>
      </c>
      <c r="E139" s="16" t="s">
        <v>19</v>
      </c>
      <c r="F139" s="16" t="s">
        <v>38</v>
      </c>
      <c r="G139" s="16" t="s">
        <v>46</v>
      </c>
      <c r="H139" s="17">
        <v>45089.98</v>
      </c>
      <c r="I139" s="16">
        <v>5</v>
      </c>
      <c r="J139" s="18">
        <v>4787.6899999999996</v>
      </c>
      <c r="K139" s="17" t="str" cm="1">
        <f t="array" ref="K139">_xlfn.IFS(Table433[[#This Row],[Sales]]&gt;40000,"Best Sales",Table433[[#This Row],[Sales]]&gt;20000,"Average Sales",Table433[[#This Row],[Sales]]&gt;0,"Poor Sales")</f>
        <v>Best Sales</v>
      </c>
      <c r="L139" s="12">
        <f>YEAR(Table433[[#This Row],[Date]])</f>
        <v>2023</v>
      </c>
      <c r="M139" s="12">
        <f>MONTH(Table433[[#This Row],[Date]])</f>
        <v>10</v>
      </c>
      <c r="N139" s="13">
        <f>DAY(Table433[[#This Row],[Date]])</f>
        <v>23</v>
      </c>
      <c r="O139" s="13" t="str">
        <f>TEXT(DATE(2023,Table433[[#This Row],[Month]],1),"mmm")</f>
        <v>Oct</v>
      </c>
      <c r="P139" s="13"/>
      <c r="Q139" s="13"/>
    </row>
    <row r="140" spans="1:17" x14ac:dyDescent="0.3">
      <c r="A140" s="6">
        <v>139</v>
      </c>
      <c r="B140" s="7">
        <v>45193</v>
      </c>
      <c r="C140" s="8" t="s">
        <v>37</v>
      </c>
      <c r="D140" s="8" t="s">
        <v>23</v>
      </c>
      <c r="E140" s="8" t="s">
        <v>19</v>
      </c>
      <c r="F140" s="8" t="s">
        <v>31</v>
      </c>
      <c r="G140" s="8" t="s">
        <v>36</v>
      </c>
      <c r="H140" s="9">
        <v>41314.769999999997</v>
      </c>
      <c r="I140" s="8">
        <v>7</v>
      </c>
      <c r="J140" s="10">
        <v>9847.14</v>
      </c>
      <c r="K140" s="17" t="str" cm="1">
        <f t="array" ref="K140">_xlfn.IFS(Table433[[#This Row],[Sales]]&gt;40000,"Best Sales",Table433[[#This Row],[Sales]]&gt;20000,"Average Sales",Table433[[#This Row],[Sales]]&gt;0,"Poor Sales")</f>
        <v>Best Sales</v>
      </c>
      <c r="L140" s="12">
        <f>YEAR(Table433[[#This Row],[Date]])</f>
        <v>2023</v>
      </c>
      <c r="M140" s="12">
        <f>MONTH(Table433[[#This Row],[Date]])</f>
        <v>9</v>
      </c>
      <c r="N140" s="13">
        <f>DAY(Table433[[#This Row],[Date]])</f>
        <v>24</v>
      </c>
      <c r="O140" s="13" t="str">
        <f>TEXT(DATE(2023,Table433[[#This Row],[Month]],1),"mmm")</f>
        <v>Sep</v>
      </c>
      <c r="P140" s="13"/>
      <c r="Q140" s="13"/>
    </row>
    <row r="141" spans="1:17" x14ac:dyDescent="0.3">
      <c r="A141" s="14">
        <v>140</v>
      </c>
      <c r="B141" s="15">
        <v>44981</v>
      </c>
      <c r="C141" s="16" t="s">
        <v>37</v>
      </c>
      <c r="D141" s="16" t="s">
        <v>23</v>
      </c>
      <c r="E141" s="16" t="s">
        <v>19</v>
      </c>
      <c r="F141" s="16" t="s">
        <v>31</v>
      </c>
      <c r="G141" s="16" t="s">
        <v>35</v>
      </c>
      <c r="H141" s="17">
        <v>33348.76</v>
      </c>
      <c r="I141" s="16">
        <v>2</v>
      </c>
      <c r="J141" s="18">
        <v>3732.78</v>
      </c>
      <c r="K141" s="17" t="str" cm="1">
        <f t="array" ref="K141">_xlfn.IFS(Table433[[#This Row],[Sales]]&gt;40000,"Best Sales",Table433[[#This Row],[Sales]]&gt;20000,"Average Sales",Table433[[#This Row],[Sales]]&gt;0,"Poor Sales")</f>
        <v>Average Sales</v>
      </c>
      <c r="L141" s="12">
        <f>YEAR(Table433[[#This Row],[Date]])</f>
        <v>2023</v>
      </c>
      <c r="M141" s="12">
        <f>MONTH(Table433[[#This Row],[Date]])</f>
        <v>2</v>
      </c>
      <c r="N141" s="13">
        <f>DAY(Table433[[#This Row],[Date]])</f>
        <v>24</v>
      </c>
      <c r="O141" s="13" t="str">
        <f>TEXT(DATE(2023,Table433[[#This Row],[Month]],1),"mmm")</f>
        <v>Feb</v>
      </c>
      <c r="P141" s="13"/>
      <c r="Q141" s="13"/>
    </row>
    <row r="142" spans="1:17" x14ac:dyDescent="0.3">
      <c r="A142" s="6">
        <v>141</v>
      </c>
      <c r="B142" s="7">
        <v>44944</v>
      </c>
      <c r="C142" s="8" t="s">
        <v>25</v>
      </c>
      <c r="D142" s="8" t="s">
        <v>26</v>
      </c>
      <c r="E142" s="8" t="s">
        <v>19</v>
      </c>
      <c r="F142" s="8" t="s">
        <v>20</v>
      </c>
      <c r="G142" s="8" t="s">
        <v>21</v>
      </c>
      <c r="H142" s="9">
        <v>36059.56</v>
      </c>
      <c r="I142" s="8">
        <v>8</v>
      </c>
      <c r="J142" s="10">
        <v>6777.54</v>
      </c>
      <c r="K142" s="17" t="str" cm="1">
        <f t="array" ref="K142">_xlfn.IFS(Table433[[#This Row],[Sales]]&gt;40000,"Best Sales",Table433[[#This Row],[Sales]]&gt;20000,"Average Sales",Table433[[#This Row],[Sales]]&gt;0,"Poor Sales")</f>
        <v>Average Sales</v>
      </c>
      <c r="L142" s="12">
        <f>YEAR(Table433[[#This Row],[Date]])</f>
        <v>2023</v>
      </c>
      <c r="M142" s="12">
        <f>MONTH(Table433[[#This Row],[Date]])</f>
        <v>1</v>
      </c>
      <c r="N142" s="13">
        <f>DAY(Table433[[#This Row],[Date]])</f>
        <v>18</v>
      </c>
      <c r="O142" s="13" t="str">
        <f>TEXT(DATE(2023,Table433[[#This Row],[Month]],1),"mmm")</f>
        <v>Jan</v>
      </c>
      <c r="P142" s="13"/>
      <c r="Q142" s="13"/>
    </row>
    <row r="143" spans="1:17" x14ac:dyDescent="0.3">
      <c r="A143" s="14">
        <v>142</v>
      </c>
      <c r="B143" s="15">
        <v>45063</v>
      </c>
      <c r="C143" s="16" t="s">
        <v>44</v>
      </c>
      <c r="D143" s="16" t="s">
        <v>34</v>
      </c>
      <c r="E143" s="16" t="s">
        <v>19</v>
      </c>
      <c r="F143" s="16" t="s">
        <v>31</v>
      </c>
      <c r="G143" s="16" t="s">
        <v>36</v>
      </c>
      <c r="H143" s="17">
        <v>21431.96</v>
      </c>
      <c r="I143" s="16">
        <v>6</v>
      </c>
      <c r="J143" s="18">
        <v>2214.5500000000002</v>
      </c>
      <c r="K143" s="17" t="str" cm="1">
        <f t="array" ref="K143">_xlfn.IFS(Table433[[#This Row],[Sales]]&gt;40000,"Best Sales",Table433[[#This Row],[Sales]]&gt;20000,"Average Sales",Table433[[#This Row],[Sales]]&gt;0,"Poor Sales")</f>
        <v>Average Sales</v>
      </c>
      <c r="L143" s="12">
        <f>YEAR(Table433[[#This Row],[Date]])</f>
        <v>2023</v>
      </c>
      <c r="M143" s="12">
        <f>MONTH(Table433[[#This Row],[Date]])</f>
        <v>5</v>
      </c>
      <c r="N143" s="13">
        <f>DAY(Table433[[#This Row],[Date]])</f>
        <v>17</v>
      </c>
      <c r="O143" s="13" t="str">
        <f>TEXT(DATE(2023,Table433[[#This Row],[Month]],1),"mmm")</f>
        <v>May</v>
      </c>
      <c r="P143" s="13"/>
      <c r="Q143" s="13"/>
    </row>
    <row r="144" spans="1:17" x14ac:dyDescent="0.3">
      <c r="A144" s="6">
        <v>143</v>
      </c>
      <c r="B144" s="7">
        <v>45177</v>
      </c>
      <c r="C144" s="8" t="s">
        <v>33</v>
      </c>
      <c r="D144" s="8" t="s">
        <v>34</v>
      </c>
      <c r="E144" s="8" t="s">
        <v>19</v>
      </c>
      <c r="F144" s="8" t="s">
        <v>20</v>
      </c>
      <c r="G144" s="8" t="s">
        <v>21</v>
      </c>
      <c r="H144" s="9">
        <v>29187.79</v>
      </c>
      <c r="I144" s="8">
        <v>2</v>
      </c>
      <c r="J144" s="10">
        <v>1532.13</v>
      </c>
      <c r="K144" s="17" t="str" cm="1">
        <f t="array" ref="K144">_xlfn.IFS(Table433[[#This Row],[Sales]]&gt;40000,"Best Sales",Table433[[#This Row],[Sales]]&gt;20000,"Average Sales",Table433[[#This Row],[Sales]]&gt;0,"Poor Sales")</f>
        <v>Average Sales</v>
      </c>
      <c r="L144" s="12">
        <f>YEAR(Table433[[#This Row],[Date]])</f>
        <v>2023</v>
      </c>
      <c r="M144" s="12">
        <f>MONTH(Table433[[#This Row],[Date]])</f>
        <v>9</v>
      </c>
      <c r="N144" s="13">
        <f>DAY(Table433[[#This Row],[Date]])</f>
        <v>8</v>
      </c>
      <c r="O144" s="13" t="str">
        <f>TEXT(DATE(2023,Table433[[#This Row],[Month]],1),"mmm")</f>
        <v>Sep</v>
      </c>
      <c r="P144" s="13"/>
      <c r="Q144" s="13"/>
    </row>
    <row r="145" spans="1:17" x14ac:dyDescent="0.3">
      <c r="A145" s="14">
        <v>144</v>
      </c>
      <c r="B145" s="15">
        <v>44930</v>
      </c>
      <c r="C145" s="16" t="s">
        <v>37</v>
      </c>
      <c r="D145" s="16" t="s">
        <v>23</v>
      </c>
      <c r="E145" s="16" t="s">
        <v>24</v>
      </c>
      <c r="F145" s="16" t="s">
        <v>38</v>
      </c>
      <c r="G145" s="16" t="s">
        <v>39</v>
      </c>
      <c r="H145" s="17">
        <v>45025.54</v>
      </c>
      <c r="I145" s="16">
        <v>2</v>
      </c>
      <c r="J145" s="18">
        <v>12720.22</v>
      </c>
      <c r="K145" s="17" t="str" cm="1">
        <f t="array" ref="K145">_xlfn.IFS(Table433[[#This Row],[Sales]]&gt;40000,"Best Sales",Table433[[#This Row],[Sales]]&gt;20000,"Average Sales",Table433[[#This Row],[Sales]]&gt;0,"Poor Sales")</f>
        <v>Best Sales</v>
      </c>
      <c r="L145" s="12">
        <f>YEAR(Table433[[#This Row],[Date]])</f>
        <v>2023</v>
      </c>
      <c r="M145" s="12">
        <f>MONTH(Table433[[#This Row],[Date]])</f>
        <v>1</v>
      </c>
      <c r="N145" s="13">
        <f>DAY(Table433[[#This Row],[Date]])</f>
        <v>4</v>
      </c>
      <c r="O145" s="13" t="str">
        <f>TEXT(DATE(2023,Table433[[#This Row],[Month]],1),"mmm")</f>
        <v>Jan</v>
      </c>
      <c r="P145" s="13"/>
      <c r="Q145" s="13"/>
    </row>
    <row r="146" spans="1:17" x14ac:dyDescent="0.3">
      <c r="A146" s="6">
        <v>145</v>
      </c>
      <c r="B146" s="7">
        <v>45118</v>
      </c>
      <c r="C146" s="8" t="s">
        <v>22</v>
      </c>
      <c r="D146" s="8" t="s">
        <v>23</v>
      </c>
      <c r="E146" s="8" t="s">
        <v>24</v>
      </c>
      <c r="F146" s="8" t="s">
        <v>20</v>
      </c>
      <c r="G146" s="8" t="s">
        <v>21</v>
      </c>
      <c r="H146" s="9">
        <v>29484.35</v>
      </c>
      <c r="I146" s="8">
        <v>4</v>
      </c>
      <c r="J146" s="10">
        <v>2052.4299999999998</v>
      </c>
      <c r="K146" s="17" t="str" cm="1">
        <f t="array" ref="K146">_xlfn.IFS(Table433[[#This Row],[Sales]]&gt;40000,"Best Sales",Table433[[#This Row],[Sales]]&gt;20000,"Average Sales",Table433[[#This Row],[Sales]]&gt;0,"Poor Sales")</f>
        <v>Average Sales</v>
      </c>
      <c r="L146" s="12">
        <f>YEAR(Table433[[#This Row],[Date]])</f>
        <v>2023</v>
      </c>
      <c r="M146" s="12">
        <f>MONTH(Table433[[#This Row],[Date]])</f>
        <v>7</v>
      </c>
      <c r="N146" s="13">
        <f>DAY(Table433[[#This Row],[Date]])</f>
        <v>11</v>
      </c>
      <c r="O146" s="13" t="str">
        <f>TEXT(DATE(2023,Table433[[#This Row],[Month]],1),"mmm")</f>
        <v>Jul</v>
      </c>
      <c r="P146" s="13"/>
      <c r="Q146" s="13"/>
    </row>
    <row r="147" spans="1:17" x14ac:dyDescent="0.3">
      <c r="A147" s="14">
        <v>146</v>
      </c>
      <c r="B147" s="15">
        <v>45067</v>
      </c>
      <c r="C147" s="16" t="s">
        <v>33</v>
      </c>
      <c r="D147" s="16" t="s">
        <v>34</v>
      </c>
      <c r="E147" s="16" t="s">
        <v>24</v>
      </c>
      <c r="F147" s="16" t="s">
        <v>20</v>
      </c>
      <c r="G147" s="16" t="s">
        <v>41</v>
      </c>
      <c r="H147" s="17">
        <v>16959.68</v>
      </c>
      <c r="I147" s="16">
        <v>4</v>
      </c>
      <c r="J147" s="18">
        <v>1943.65</v>
      </c>
      <c r="K147" s="17" t="str" cm="1">
        <f t="array" ref="K147">_xlfn.IFS(Table433[[#This Row],[Sales]]&gt;40000,"Best Sales",Table433[[#This Row],[Sales]]&gt;20000,"Average Sales",Table433[[#This Row],[Sales]]&gt;0,"Poor Sales")</f>
        <v>Poor Sales</v>
      </c>
      <c r="L147" s="12">
        <f>YEAR(Table433[[#This Row],[Date]])</f>
        <v>2023</v>
      </c>
      <c r="M147" s="12">
        <f>MONTH(Table433[[#This Row],[Date]])</f>
        <v>5</v>
      </c>
      <c r="N147" s="13">
        <f>DAY(Table433[[#This Row],[Date]])</f>
        <v>21</v>
      </c>
      <c r="O147" s="13" t="str">
        <f>TEXT(DATE(2023,Table433[[#This Row],[Month]],1),"mmm")</f>
        <v>May</v>
      </c>
      <c r="P147" s="13"/>
      <c r="Q147" s="13"/>
    </row>
    <row r="148" spans="1:17" x14ac:dyDescent="0.3">
      <c r="A148" s="6">
        <v>147</v>
      </c>
      <c r="B148" s="7">
        <v>45022</v>
      </c>
      <c r="C148" s="8" t="s">
        <v>45</v>
      </c>
      <c r="D148" s="8" t="s">
        <v>34</v>
      </c>
      <c r="E148" s="8" t="s">
        <v>24</v>
      </c>
      <c r="F148" s="8" t="s">
        <v>20</v>
      </c>
      <c r="G148" s="8" t="s">
        <v>41</v>
      </c>
      <c r="H148" s="9">
        <v>31987.86</v>
      </c>
      <c r="I148" s="8">
        <v>8</v>
      </c>
      <c r="J148" s="10">
        <v>9445.74</v>
      </c>
      <c r="K148" s="17" t="str" cm="1">
        <f t="array" ref="K148">_xlfn.IFS(Table433[[#This Row],[Sales]]&gt;40000,"Best Sales",Table433[[#This Row],[Sales]]&gt;20000,"Average Sales",Table433[[#This Row],[Sales]]&gt;0,"Poor Sales")</f>
        <v>Average Sales</v>
      </c>
      <c r="L148" s="12">
        <f>YEAR(Table433[[#This Row],[Date]])</f>
        <v>2023</v>
      </c>
      <c r="M148" s="12">
        <f>MONTH(Table433[[#This Row],[Date]])</f>
        <v>4</v>
      </c>
      <c r="N148" s="13">
        <f>DAY(Table433[[#This Row],[Date]])</f>
        <v>6</v>
      </c>
      <c r="O148" s="13" t="str">
        <f>TEXT(DATE(2023,Table433[[#This Row],[Month]],1),"mmm")</f>
        <v>Apr</v>
      </c>
      <c r="P148" s="13"/>
      <c r="Q148" s="13"/>
    </row>
    <row r="149" spans="1:17" x14ac:dyDescent="0.3">
      <c r="A149" s="14">
        <v>148</v>
      </c>
      <c r="B149" s="15">
        <v>44953</v>
      </c>
      <c r="C149" s="16" t="s">
        <v>45</v>
      </c>
      <c r="D149" s="16" t="s">
        <v>34</v>
      </c>
      <c r="E149" s="16" t="s">
        <v>24</v>
      </c>
      <c r="F149" s="16" t="s">
        <v>38</v>
      </c>
      <c r="G149" s="16" t="s">
        <v>39</v>
      </c>
      <c r="H149" s="17">
        <v>24644.97</v>
      </c>
      <c r="I149" s="16">
        <v>5</v>
      </c>
      <c r="J149" s="18">
        <v>2363.06</v>
      </c>
      <c r="K149" s="17" t="str" cm="1">
        <f t="array" ref="K149">_xlfn.IFS(Table433[[#This Row],[Sales]]&gt;40000,"Best Sales",Table433[[#This Row],[Sales]]&gt;20000,"Average Sales",Table433[[#This Row],[Sales]]&gt;0,"Poor Sales")</f>
        <v>Average Sales</v>
      </c>
      <c r="L149" s="12">
        <f>YEAR(Table433[[#This Row],[Date]])</f>
        <v>2023</v>
      </c>
      <c r="M149" s="12">
        <f>MONTH(Table433[[#This Row],[Date]])</f>
        <v>1</v>
      </c>
      <c r="N149" s="13">
        <f>DAY(Table433[[#This Row],[Date]])</f>
        <v>27</v>
      </c>
      <c r="O149" s="13" t="str">
        <f>TEXT(DATE(2023,Table433[[#This Row],[Month]],1),"mmm")</f>
        <v>Jan</v>
      </c>
      <c r="P149" s="13"/>
      <c r="Q149" s="13"/>
    </row>
    <row r="150" spans="1:17" x14ac:dyDescent="0.3">
      <c r="A150" s="6">
        <v>149</v>
      </c>
      <c r="B150" s="7">
        <v>45241</v>
      </c>
      <c r="C150" s="8" t="s">
        <v>44</v>
      </c>
      <c r="D150" s="8" t="s">
        <v>34</v>
      </c>
      <c r="E150" s="8" t="s">
        <v>24</v>
      </c>
      <c r="F150" s="8" t="s">
        <v>20</v>
      </c>
      <c r="G150" s="8" t="s">
        <v>21</v>
      </c>
      <c r="H150" s="9">
        <v>28554.67</v>
      </c>
      <c r="I150" s="8">
        <v>9</v>
      </c>
      <c r="J150" s="10">
        <v>7750.57</v>
      </c>
      <c r="K150" s="17" t="str" cm="1">
        <f t="array" ref="K150">_xlfn.IFS(Table433[[#This Row],[Sales]]&gt;40000,"Best Sales",Table433[[#This Row],[Sales]]&gt;20000,"Average Sales",Table433[[#This Row],[Sales]]&gt;0,"Poor Sales")</f>
        <v>Average Sales</v>
      </c>
      <c r="L150" s="12">
        <f>YEAR(Table433[[#This Row],[Date]])</f>
        <v>2023</v>
      </c>
      <c r="M150" s="12">
        <f>MONTH(Table433[[#This Row],[Date]])</f>
        <v>11</v>
      </c>
      <c r="N150" s="13">
        <f>DAY(Table433[[#This Row],[Date]])</f>
        <v>11</v>
      </c>
      <c r="O150" s="13" t="str">
        <f>TEXT(DATE(2023,Table433[[#This Row],[Month]],1),"mmm")</f>
        <v>Nov</v>
      </c>
      <c r="P150" s="13"/>
      <c r="Q150" s="13"/>
    </row>
    <row r="151" spans="1:17" x14ac:dyDescent="0.3">
      <c r="A151" s="14">
        <v>150</v>
      </c>
      <c r="B151" s="15">
        <v>44960</v>
      </c>
      <c r="C151" s="16" t="s">
        <v>25</v>
      </c>
      <c r="D151" s="16" t="s">
        <v>26</v>
      </c>
      <c r="E151" s="16" t="s">
        <v>24</v>
      </c>
      <c r="F151" s="16" t="s">
        <v>20</v>
      </c>
      <c r="G151" s="16" t="s">
        <v>41</v>
      </c>
      <c r="H151" s="17">
        <v>8418.6</v>
      </c>
      <c r="I151" s="16">
        <v>7</v>
      </c>
      <c r="J151" s="18">
        <v>1523.75</v>
      </c>
      <c r="K151" s="17" t="str" cm="1">
        <f t="array" ref="K151">_xlfn.IFS(Table433[[#This Row],[Sales]]&gt;40000,"Best Sales",Table433[[#This Row],[Sales]]&gt;20000,"Average Sales",Table433[[#This Row],[Sales]]&gt;0,"Poor Sales")</f>
        <v>Poor Sales</v>
      </c>
      <c r="L151" s="12">
        <f>YEAR(Table433[[#This Row],[Date]])</f>
        <v>2023</v>
      </c>
      <c r="M151" s="12">
        <f>MONTH(Table433[[#This Row],[Date]])</f>
        <v>2</v>
      </c>
      <c r="N151" s="13">
        <f>DAY(Table433[[#This Row],[Date]])</f>
        <v>3</v>
      </c>
      <c r="O151" s="13" t="str">
        <f>TEXT(DATE(2023,Table433[[#This Row],[Month]],1),"mmm")</f>
        <v>Feb</v>
      </c>
      <c r="P151" s="13"/>
      <c r="Q151" s="13"/>
    </row>
    <row r="152" spans="1:17" x14ac:dyDescent="0.3">
      <c r="A152" s="6">
        <v>151</v>
      </c>
      <c r="B152" s="7">
        <v>45257</v>
      </c>
      <c r="C152" s="8" t="s">
        <v>25</v>
      </c>
      <c r="D152" s="8" t="s">
        <v>26</v>
      </c>
      <c r="E152" s="8" t="s">
        <v>24</v>
      </c>
      <c r="F152" s="8" t="s">
        <v>31</v>
      </c>
      <c r="G152" s="8" t="s">
        <v>35</v>
      </c>
      <c r="H152" s="9">
        <v>27560.07</v>
      </c>
      <c r="I152" s="8">
        <v>8</v>
      </c>
      <c r="J152" s="10">
        <v>2515.9699999999998</v>
      </c>
      <c r="K152" s="17" t="str" cm="1">
        <f t="array" ref="K152">_xlfn.IFS(Table433[[#This Row],[Sales]]&gt;40000,"Best Sales",Table433[[#This Row],[Sales]]&gt;20000,"Average Sales",Table433[[#This Row],[Sales]]&gt;0,"Poor Sales")</f>
        <v>Average Sales</v>
      </c>
      <c r="L152" s="12">
        <f>YEAR(Table433[[#This Row],[Date]])</f>
        <v>2023</v>
      </c>
      <c r="M152" s="12">
        <f>MONTH(Table433[[#This Row],[Date]])</f>
        <v>11</v>
      </c>
      <c r="N152" s="13">
        <f>DAY(Table433[[#This Row],[Date]])</f>
        <v>27</v>
      </c>
      <c r="O152" s="13" t="str">
        <f>TEXT(DATE(2023,Table433[[#This Row],[Month]],1),"mmm")</f>
        <v>Nov</v>
      </c>
      <c r="P152" s="13"/>
      <c r="Q152" s="13"/>
    </row>
    <row r="153" spans="1:17" x14ac:dyDescent="0.3">
      <c r="A153" s="14">
        <v>152</v>
      </c>
      <c r="B153" s="15">
        <v>45201</v>
      </c>
      <c r="C153" s="16" t="s">
        <v>42</v>
      </c>
      <c r="D153" s="16" t="s">
        <v>43</v>
      </c>
      <c r="E153" s="16" t="s">
        <v>24</v>
      </c>
      <c r="F153" s="16" t="s">
        <v>31</v>
      </c>
      <c r="G153" s="16" t="s">
        <v>32</v>
      </c>
      <c r="H153" s="17">
        <v>13616.19</v>
      </c>
      <c r="I153" s="16">
        <v>10</v>
      </c>
      <c r="J153" s="18">
        <v>4009.3</v>
      </c>
      <c r="K153" s="17" t="str" cm="1">
        <f t="array" ref="K153">_xlfn.IFS(Table433[[#This Row],[Sales]]&gt;40000,"Best Sales",Table433[[#This Row],[Sales]]&gt;20000,"Average Sales",Table433[[#This Row],[Sales]]&gt;0,"Poor Sales")</f>
        <v>Poor Sales</v>
      </c>
      <c r="L153" s="12">
        <f>YEAR(Table433[[#This Row],[Date]])</f>
        <v>2023</v>
      </c>
      <c r="M153" s="12">
        <f>MONTH(Table433[[#This Row],[Date]])</f>
        <v>10</v>
      </c>
      <c r="N153" s="13">
        <f>DAY(Table433[[#This Row],[Date]])</f>
        <v>2</v>
      </c>
      <c r="O153" s="13" t="str">
        <f>TEXT(DATE(2023,Table433[[#This Row],[Month]],1),"mmm")</f>
        <v>Oct</v>
      </c>
      <c r="P153" s="13"/>
      <c r="Q153" s="13"/>
    </row>
    <row r="154" spans="1:17" x14ac:dyDescent="0.3">
      <c r="A154" s="6">
        <v>153</v>
      </c>
      <c r="B154" s="7">
        <v>45139</v>
      </c>
      <c r="C154" s="8" t="s">
        <v>42</v>
      </c>
      <c r="D154" s="8" t="s">
        <v>43</v>
      </c>
      <c r="E154" s="8" t="s">
        <v>24</v>
      </c>
      <c r="F154" s="8" t="s">
        <v>20</v>
      </c>
      <c r="G154" s="8" t="s">
        <v>28</v>
      </c>
      <c r="H154" s="9">
        <v>25212.93</v>
      </c>
      <c r="I154" s="8">
        <v>8</v>
      </c>
      <c r="J154" s="10">
        <v>3535.68</v>
      </c>
      <c r="K154" s="17" t="str" cm="1">
        <f t="array" ref="K154">_xlfn.IFS(Table433[[#This Row],[Sales]]&gt;40000,"Best Sales",Table433[[#This Row],[Sales]]&gt;20000,"Average Sales",Table433[[#This Row],[Sales]]&gt;0,"Poor Sales")</f>
        <v>Average Sales</v>
      </c>
      <c r="L154" s="12">
        <f>YEAR(Table433[[#This Row],[Date]])</f>
        <v>2023</v>
      </c>
      <c r="M154" s="12">
        <f>MONTH(Table433[[#This Row],[Date]])</f>
        <v>8</v>
      </c>
      <c r="N154" s="13">
        <f>DAY(Table433[[#This Row],[Date]])</f>
        <v>1</v>
      </c>
      <c r="O154" s="13" t="str">
        <f>TEXT(DATE(2023,Table433[[#This Row],[Month]],1),"mmm")</f>
        <v>Aug</v>
      </c>
      <c r="P154" s="13"/>
      <c r="Q154" s="13"/>
    </row>
    <row r="155" spans="1:17" x14ac:dyDescent="0.3">
      <c r="A155" s="14">
        <v>154</v>
      </c>
      <c r="B155" s="15">
        <v>44977</v>
      </c>
      <c r="C155" s="16" t="s">
        <v>22</v>
      </c>
      <c r="D155" s="16" t="s">
        <v>23</v>
      </c>
      <c r="E155" s="16" t="s">
        <v>24</v>
      </c>
      <c r="F155" s="16" t="s">
        <v>38</v>
      </c>
      <c r="G155" s="16" t="s">
        <v>46</v>
      </c>
      <c r="H155" s="17">
        <v>43825.39</v>
      </c>
      <c r="I155" s="16">
        <v>6</v>
      </c>
      <c r="J155" s="18">
        <v>10611</v>
      </c>
      <c r="K155" s="17" t="str" cm="1">
        <f t="array" ref="K155">_xlfn.IFS(Table433[[#This Row],[Sales]]&gt;40000,"Best Sales",Table433[[#This Row],[Sales]]&gt;20000,"Average Sales",Table433[[#This Row],[Sales]]&gt;0,"Poor Sales")</f>
        <v>Best Sales</v>
      </c>
      <c r="L155" s="12">
        <f>YEAR(Table433[[#This Row],[Date]])</f>
        <v>2023</v>
      </c>
      <c r="M155" s="12">
        <f>MONTH(Table433[[#This Row],[Date]])</f>
        <v>2</v>
      </c>
      <c r="N155" s="13">
        <f>DAY(Table433[[#This Row],[Date]])</f>
        <v>20</v>
      </c>
      <c r="O155" s="13" t="str">
        <f>TEXT(DATE(2023,Table433[[#This Row],[Month]],1),"mmm")</f>
        <v>Feb</v>
      </c>
      <c r="P155" s="13"/>
      <c r="Q155" s="13"/>
    </row>
    <row r="156" spans="1:17" x14ac:dyDescent="0.3">
      <c r="A156" s="6">
        <v>155</v>
      </c>
      <c r="B156" s="7">
        <v>45011</v>
      </c>
      <c r="C156" s="8" t="s">
        <v>29</v>
      </c>
      <c r="D156" s="8" t="s">
        <v>29</v>
      </c>
      <c r="E156" s="8" t="s">
        <v>24</v>
      </c>
      <c r="F156" s="8" t="s">
        <v>31</v>
      </c>
      <c r="G156" s="8" t="s">
        <v>36</v>
      </c>
      <c r="H156" s="9">
        <v>40738.550000000003</v>
      </c>
      <c r="I156" s="8">
        <v>10</v>
      </c>
      <c r="J156" s="10">
        <v>3969.18</v>
      </c>
      <c r="K156" s="17" t="str" cm="1">
        <f t="array" ref="K156">_xlfn.IFS(Table433[[#This Row],[Sales]]&gt;40000,"Best Sales",Table433[[#This Row],[Sales]]&gt;20000,"Average Sales",Table433[[#This Row],[Sales]]&gt;0,"Poor Sales")</f>
        <v>Best Sales</v>
      </c>
      <c r="L156" s="12">
        <f>YEAR(Table433[[#This Row],[Date]])</f>
        <v>2023</v>
      </c>
      <c r="M156" s="12">
        <f>MONTH(Table433[[#This Row],[Date]])</f>
        <v>3</v>
      </c>
      <c r="N156" s="13">
        <f>DAY(Table433[[#This Row],[Date]])</f>
        <v>26</v>
      </c>
      <c r="O156" s="13" t="str">
        <f>TEXT(DATE(2023,Table433[[#This Row],[Month]],1),"mmm")</f>
        <v>Mar</v>
      </c>
      <c r="P156" s="13"/>
      <c r="Q156" s="13"/>
    </row>
    <row r="157" spans="1:17" x14ac:dyDescent="0.3">
      <c r="A157" s="14">
        <v>156</v>
      </c>
      <c r="B157" s="15">
        <v>45007</v>
      </c>
      <c r="C157" s="16" t="s">
        <v>17</v>
      </c>
      <c r="D157" s="16" t="s">
        <v>18</v>
      </c>
      <c r="E157" s="16" t="s">
        <v>24</v>
      </c>
      <c r="F157" s="16" t="s">
        <v>31</v>
      </c>
      <c r="G157" s="16" t="s">
        <v>35</v>
      </c>
      <c r="H157" s="17">
        <v>8460.74</v>
      </c>
      <c r="I157" s="16">
        <v>4</v>
      </c>
      <c r="J157" s="18">
        <v>1472.42</v>
      </c>
      <c r="K157" s="17" t="str" cm="1">
        <f t="array" ref="K157">_xlfn.IFS(Table433[[#This Row],[Sales]]&gt;40000,"Best Sales",Table433[[#This Row],[Sales]]&gt;20000,"Average Sales",Table433[[#This Row],[Sales]]&gt;0,"Poor Sales")</f>
        <v>Poor Sales</v>
      </c>
      <c r="L157" s="12">
        <f>YEAR(Table433[[#This Row],[Date]])</f>
        <v>2023</v>
      </c>
      <c r="M157" s="12">
        <f>MONTH(Table433[[#This Row],[Date]])</f>
        <v>3</v>
      </c>
      <c r="N157" s="13">
        <f>DAY(Table433[[#This Row],[Date]])</f>
        <v>22</v>
      </c>
      <c r="O157" s="13" t="str">
        <f>TEXT(DATE(2023,Table433[[#This Row],[Month]],1),"mmm")</f>
        <v>Mar</v>
      </c>
      <c r="P157" s="13"/>
      <c r="Q157" s="13"/>
    </row>
    <row r="158" spans="1:17" x14ac:dyDescent="0.3">
      <c r="A158" s="6">
        <v>157</v>
      </c>
      <c r="B158" s="7">
        <v>45002</v>
      </c>
      <c r="C158" s="8" t="s">
        <v>44</v>
      </c>
      <c r="D158" s="8" t="s">
        <v>34</v>
      </c>
      <c r="E158" s="8" t="s">
        <v>24</v>
      </c>
      <c r="F158" s="8" t="s">
        <v>20</v>
      </c>
      <c r="G158" s="8" t="s">
        <v>41</v>
      </c>
      <c r="H158" s="9">
        <v>41629.51</v>
      </c>
      <c r="I158" s="8">
        <v>9</v>
      </c>
      <c r="J158" s="10">
        <v>11605.29</v>
      </c>
      <c r="K158" s="17" t="str" cm="1">
        <f t="array" ref="K158">_xlfn.IFS(Table433[[#This Row],[Sales]]&gt;40000,"Best Sales",Table433[[#This Row],[Sales]]&gt;20000,"Average Sales",Table433[[#This Row],[Sales]]&gt;0,"Poor Sales")</f>
        <v>Best Sales</v>
      </c>
      <c r="L158" s="12">
        <f>YEAR(Table433[[#This Row],[Date]])</f>
        <v>2023</v>
      </c>
      <c r="M158" s="12">
        <f>MONTH(Table433[[#This Row],[Date]])</f>
        <v>3</v>
      </c>
      <c r="N158" s="13">
        <f>DAY(Table433[[#This Row],[Date]])</f>
        <v>17</v>
      </c>
      <c r="O158" s="13" t="str">
        <f>TEXT(DATE(2023,Table433[[#This Row],[Month]],1),"mmm")</f>
        <v>Mar</v>
      </c>
      <c r="P158" s="13"/>
      <c r="Q158" s="13"/>
    </row>
    <row r="159" spans="1:17" x14ac:dyDescent="0.3">
      <c r="A159" s="14">
        <v>158</v>
      </c>
      <c r="B159" s="15">
        <v>45166</v>
      </c>
      <c r="C159" s="16" t="s">
        <v>22</v>
      </c>
      <c r="D159" s="16" t="s">
        <v>23</v>
      </c>
      <c r="E159" s="16" t="s">
        <v>24</v>
      </c>
      <c r="F159" s="16" t="s">
        <v>31</v>
      </c>
      <c r="G159" s="16" t="s">
        <v>35</v>
      </c>
      <c r="H159" s="17">
        <v>26680.82</v>
      </c>
      <c r="I159" s="16">
        <v>2</v>
      </c>
      <c r="J159" s="18">
        <v>5004.5</v>
      </c>
      <c r="K159" s="17" t="str" cm="1">
        <f t="array" ref="K159">_xlfn.IFS(Table433[[#This Row],[Sales]]&gt;40000,"Best Sales",Table433[[#This Row],[Sales]]&gt;20000,"Average Sales",Table433[[#This Row],[Sales]]&gt;0,"Poor Sales")</f>
        <v>Average Sales</v>
      </c>
      <c r="L159" s="12">
        <f>YEAR(Table433[[#This Row],[Date]])</f>
        <v>2023</v>
      </c>
      <c r="M159" s="12">
        <f>MONTH(Table433[[#This Row],[Date]])</f>
        <v>8</v>
      </c>
      <c r="N159" s="13">
        <f>DAY(Table433[[#This Row],[Date]])</f>
        <v>28</v>
      </c>
      <c r="O159" s="13" t="str">
        <f>TEXT(DATE(2023,Table433[[#This Row],[Month]],1),"mmm")</f>
        <v>Aug</v>
      </c>
      <c r="P159" s="13"/>
      <c r="Q159" s="13"/>
    </row>
    <row r="160" spans="1:17" x14ac:dyDescent="0.3">
      <c r="A160" s="6">
        <v>159</v>
      </c>
      <c r="B160" s="7">
        <v>45085</v>
      </c>
      <c r="C160" s="8" t="s">
        <v>22</v>
      </c>
      <c r="D160" s="8" t="s">
        <v>23</v>
      </c>
      <c r="E160" s="8" t="s">
        <v>24</v>
      </c>
      <c r="F160" s="8" t="s">
        <v>31</v>
      </c>
      <c r="G160" s="8" t="s">
        <v>35</v>
      </c>
      <c r="H160" s="9">
        <v>31459.86</v>
      </c>
      <c r="I160" s="8">
        <v>7</v>
      </c>
      <c r="J160" s="10">
        <v>2921.88</v>
      </c>
      <c r="K160" s="17" t="str" cm="1">
        <f t="array" ref="K160">_xlfn.IFS(Table433[[#This Row],[Sales]]&gt;40000,"Best Sales",Table433[[#This Row],[Sales]]&gt;20000,"Average Sales",Table433[[#This Row],[Sales]]&gt;0,"Poor Sales")</f>
        <v>Average Sales</v>
      </c>
      <c r="L160" s="12">
        <f>YEAR(Table433[[#This Row],[Date]])</f>
        <v>2023</v>
      </c>
      <c r="M160" s="12">
        <f>MONTH(Table433[[#This Row],[Date]])</f>
        <v>6</v>
      </c>
      <c r="N160" s="13">
        <f>DAY(Table433[[#This Row],[Date]])</f>
        <v>8</v>
      </c>
      <c r="O160" s="13" t="str">
        <f>TEXT(DATE(2023,Table433[[#This Row],[Month]],1),"mmm")</f>
        <v>Jun</v>
      </c>
      <c r="P160" s="13"/>
      <c r="Q160" s="13"/>
    </row>
    <row r="161" spans="1:17" x14ac:dyDescent="0.3">
      <c r="A161" s="14">
        <v>160</v>
      </c>
      <c r="B161" s="15">
        <v>45122</v>
      </c>
      <c r="C161" s="16" t="s">
        <v>33</v>
      </c>
      <c r="D161" s="16" t="s">
        <v>34</v>
      </c>
      <c r="E161" s="16" t="s">
        <v>24</v>
      </c>
      <c r="F161" s="16" t="s">
        <v>31</v>
      </c>
      <c r="G161" s="16" t="s">
        <v>32</v>
      </c>
      <c r="H161" s="17">
        <v>2532.71</v>
      </c>
      <c r="I161" s="16">
        <v>8</v>
      </c>
      <c r="J161" s="18">
        <v>324.74</v>
      </c>
      <c r="K161" s="17" t="str" cm="1">
        <f t="array" ref="K161">_xlfn.IFS(Table433[[#This Row],[Sales]]&gt;40000,"Best Sales",Table433[[#This Row],[Sales]]&gt;20000,"Average Sales",Table433[[#This Row],[Sales]]&gt;0,"Poor Sales")</f>
        <v>Poor Sales</v>
      </c>
      <c r="L161" s="12">
        <f>YEAR(Table433[[#This Row],[Date]])</f>
        <v>2023</v>
      </c>
      <c r="M161" s="12">
        <f>MONTH(Table433[[#This Row],[Date]])</f>
        <v>7</v>
      </c>
      <c r="N161" s="13">
        <f>DAY(Table433[[#This Row],[Date]])</f>
        <v>15</v>
      </c>
      <c r="O161" s="13" t="str">
        <f>TEXT(DATE(2023,Table433[[#This Row],[Month]],1),"mmm")</f>
        <v>Jul</v>
      </c>
      <c r="P161" s="13"/>
      <c r="Q161" s="13"/>
    </row>
    <row r="162" spans="1:17" x14ac:dyDescent="0.3">
      <c r="A162" s="6">
        <v>161</v>
      </c>
      <c r="B162" s="7">
        <v>45062</v>
      </c>
      <c r="C162" s="8" t="s">
        <v>45</v>
      </c>
      <c r="D162" s="8" t="s">
        <v>34</v>
      </c>
      <c r="E162" s="8" t="s">
        <v>24</v>
      </c>
      <c r="F162" s="8" t="s">
        <v>38</v>
      </c>
      <c r="G162" s="8" t="s">
        <v>40</v>
      </c>
      <c r="H162" s="9">
        <v>26794.54</v>
      </c>
      <c r="I162" s="8">
        <v>8</v>
      </c>
      <c r="J162" s="10">
        <v>5027.8900000000003</v>
      </c>
      <c r="K162" s="17" t="str" cm="1">
        <f t="array" ref="K162">_xlfn.IFS(Table433[[#This Row],[Sales]]&gt;40000,"Best Sales",Table433[[#This Row],[Sales]]&gt;20000,"Average Sales",Table433[[#This Row],[Sales]]&gt;0,"Poor Sales")</f>
        <v>Average Sales</v>
      </c>
      <c r="L162" s="12">
        <f>YEAR(Table433[[#This Row],[Date]])</f>
        <v>2023</v>
      </c>
      <c r="M162" s="12">
        <f>MONTH(Table433[[#This Row],[Date]])</f>
        <v>5</v>
      </c>
      <c r="N162" s="13">
        <f>DAY(Table433[[#This Row],[Date]])</f>
        <v>16</v>
      </c>
      <c r="O162" s="13" t="str">
        <f>TEXT(DATE(2023,Table433[[#This Row],[Month]],1),"mmm")</f>
        <v>May</v>
      </c>
      <c r="P162" s="13"/>
      <c r="Q162" s="13"/>
    </row>
    <row r="163" spans="1:17" x14ac:dyDescent="0.3">
      <c r="A163" s="14">
        <v>162</v>
      </c>
      <c r="B163" s="15">
        <v>45069</v>
      </c>
      <c r="C163" s="16" t="s">
        <v>17</v>
      </c>
      <c r="D163" s="16" t="s">
        <v>18</v>
      </c>
      <c r="E163" s="16" t="s">
        <v>24</v>
      </c>
      <c r="F163" s="16" t="s">
        <v>38</v>
      </c>
      <c r="G163" s="16" t="s">
        <v>40</v>
      </c>
      <c r="H163" s="17">
        <v>36838.78</v>
      </c>
      <c r="I163" s="16">
        <v>6</v>
      </c>
      <c r="J163" s="18">
        <v>4092.23</v>
      </c>
      <c r="K163" s="17" t="str" cm="1">
        <f t="array" ref="K163">_xlfn.IFS(Table433[[#This Row],[Sales]]&gt;40000,"Best Sales",Table433[[#This Row],[Sales]]&gt;20000,"Average Sales",Table433[[#This Row],[Sales]]&gt;0,"Poor Sales")</f>
        <v>Average Sales</v>
      </c>
      <c r="L163" s="12">
        <f>YEAR(Table433[[#This Row],[Date]])</f>
        <v>2023</v>
      </c>
      <c r="M163" s="12">
        <f>MONTH(Table433[[#This Row],[Date]])</f>
        <v>5</v>
      </c>
      <c r="N163" s="13">
        <f>DAY(Table433[[#This Row],[Date]])</f>
        <v>23</v>
      </c>
      <c r="O163" s="13" t="str">
        <f>TEXT(DATE(2023,Table433[[#This Row],[Month]],1),"mmm")</f>
        <v>May</v>
      </c>
      <c r="P163" s="13"/>
      <c r="Q163" s="13"/>
    </row>
    <row r="164" spans="1:17" x14ac:dyDescent="0.3">
      <c r="A164" s="6">
        <v>163</v>
      </c>
      <c r="B164" s="7">
        <v>45233</v>
      </c>
      <c r="C164" s="8" t="s">
        <v>29</v>
      </c>
      <c r="D164" s="8" t="s">
        <v>29</v>
      </c>
      <c r="E164" s="8" t="s">
        <v>24</v>
      </c>
      <c r="F164" s="8" t="s">
        <v>38</v>
      </c>
      <c r="G164" s="8" t="s">
        <v>46</v>
      </c>
      <c r="H164" s="9">
        <v>13801.62</v>
      </c>
      <c r="I164" s="8">
        <v>1</v>
      </c>
      <c r="J164" s="10">
        <v>1863.69</v>
      </c>
      <c r="K164" s="17" t="str" cm="1">
        <f t="array" ref="K164">_xlfn.IFS(Table433[[#This Row],[Sales]]&gt;40000,"Best Sales",Table433[[#This Row],[Sales]]&gt;20000,"Average Sales",Table433[[#This Row],[Sales]]&gt;0,"Poor Sales")</f>
        <v>Poor Sales</v>
      </c>
      <c r="L164" s="12">
        <f>YEAR(Table433[[#This Row],[Date]])</f>
        <v>2023</v>
      </c>
      <c r="M164" s="12">
        <f>MONTH(Table433[[#This Row],[Date]])</f>
        <v>11</v>
      </c>
      <c r="N164" s="13">
        <f>DAY(Table433[[#This Row],[Date]])</f>
        <v>3</v>
      </c>
      <c r="O164" s="13" t="str">
        <f>TEXT(DATE(2023,Table433[[#This Row],[Month]],1),"mmm")</f>
        <v>Nov</v>
      </c>
      <c r="P164" s="13"/>
      <c r="Q164" s="13"/>
    </row>
    <row r="165" spans="1:17" x14ac:dyDescent="0.3">
      <c r="A165" s="14">
        <v>164</v>
      </c>
      <c r="B165" s="15">
        <v>45018</v>
      </c>
      <c r="C165" s="16" t="s">
        <v>44</v>
      </c>
      <c r="D165" s="16" t="s">
        <v>34</v>
      </c>
      <c r="E165" s="16" t="s">
        <v>24</v>
      </c>
      <c r="F165" s="16" t="s">
        <v>38</v>
      </c>
      <c r="G165" s="16" t="s">
        <v>39</v>
      </c>
      <c r="H165" s="17">
        <v>26884.04</v>
      </c>
      <c r="I165" s="16">
        <v>9</v>
      </c>
      <c r="J165" s="18">
        <v>4634.18</v>
      </c>
      <c r="K165" s="17" t="str" cm="1">
        <f t="array" ref="K165">_xlfn.IFS(Table433[[#This Row],[Sales]]&gt;40000,"Best Sales",Table433[[#This Row],[Sales]]&gt;20000,"Average Sales",Table433[[#This Row],[Sales]]&gt;0,"Poor Sales")</f>
        <v>Average Sales</v>
      </c>
      <c r="L165" s="12">
        <f>YEAR(Table433[[#This Row],[Date]])</f>
        <v>2023</v>
      </c>
      <c r="M165" s="12">
        <f>MONTH(Table433[[#This Row],[Date]])</f>
        <v>4</v>
      </c>
      <c r="N165" s="13">
        <f>DAY(Table433[[#This Row],[Date]])</f>
        <v>2</v>
      </c>
      <c r="O165" s="13" t="str">
        <f>TEXT(DATE(2023,Table433[[#This Row],[Month]],1),"mmm")</f>
        <v>Apr</v>
      </c>
      <c r="P165" s="13"/>
      <c r="Q165" s="13"/>
    </row>
    <row r="166" spans="1:17" x14ac:dyDescent="0.3">
      <c r="A166" s="6">
        <v>165</v>
      </c>
      <c r="B166" s="7">
        <v>45280</v>
      </c>
      <c r="C166" s="8" t="s">
        <v>29</v>
      </c>
      <c r="D166" s="8" t="s">
        <v>29</v>
      </c>
      <c r="E166" s="8" t="s">
        <v>24</v>
      </c>
      <c r="F166" s="8" t="s">
        <v>38</v>
      </c>
      <c r="G166" s="8" t="s">
        <v>46</v>
      </c>
      <c r="H166" s="9">
        <v>24536.3</v>
      </c>
      <c r="I166" s="8">
        <v>4</v>
      </c>
      <c r="J166" s="10">
        <v>4883.58</v>
      </c>
      <c r="K166" s="17" t="str" cm="1">
        <f t="array" ref="K166">_xlfn.IFS(Table433[[#This Row],[Sales]]&gt;40000,"Best Sales",Table433[[#This Row],[Sales]]&gt;20000,"Average Sales",Table433[[#This Row],[Sales]]&gt;0,"Poor Sales")</f>
        <v>Average Sales</v>
      </c>
      <c r="L166" s="12">
        <f>YEAR(Table433[[#This Row],[Date]])</f>
        <v>2023</v>
      </c>
      <c r="M166" s="12">
        <f>MONTH(Table433[[#This Row],[Date]])</f>
        <v>12</v>
      </c>
      <c r="N166" s="13">
        <f>DAY(Table433[[#This Row],[Date]])</f>
        <v>20</v>
      </c>
      <c r="O166" s="13" t="str">
        <f>TEXT(DATE(2023,Table433[[#This Row],[Month]],1),"mmm")</f>
        <v>Dec</v>
      </c>
      <c r="P166" s="13"/>
      <c r="Q166" s="13"/>
    </row>
    <row r="167" spans="1:17" x14ac:dyDescent="0.3">
      <c r="A167" s="14">
        <v>166</v>
      </c>
      <c r="B167" s="15">
        <v>45092</v>
      </c>
      <c r="C167" s="16" t="s">
        <v>33</v>
      </c>
      <c r="D167" s="16" t="s">
        <v>34</v>
      </c>
      <c r="E167" s="16" t="s">
        <v>24</v>
      </c>
      <c r="F167" s="16" t="s">
        <v>20</v>
      </c>
      <c r="G167" s="16" t="s">
        <v>21</v>
      </c>
      <c r="H167" s="17">
        <v>38091.9</v>
      </c>
      <c r="I167" s="16">
        <v>3</v>
      </c>
      <c r="J167" s="18">
        <v>2162.17</v>
      </c>
      <c r="K167" s="17" t="str" cm="1">
        <f t="array" ref="K167">_xlfn.IFS(Table433[[#This Row],[Sales]]&gt;40000,"Best Sales",Table433[[#This Row],[Sales]]&gt;20000,"Average Sales",Table433[[#This Row],[Sales]]&gt;0,"Poor Sales")</f>
        <v>Average Sales</v>
      </c>
      <c r="L167" s="12">
        <f>YEAR(Table433[[#This Row],[Date]])</f>
        <v>2023</v>
      </c>
      <c r="M167" s="12">
        <f>MONTH(Table433[[#This Row],[Date]])</f>
        <v>6</v>
      </c>
      <c r="N167" s="13">
        <f>DAY(Table433[[#This Row],[Date]])</f>
        <v>15</v>
      </c>
      <c r="O167" s="13" t="str">
        <f>TEXT(DATE(2023,Table433[[#This Row],[Month]],1),"mmm")</f>
        <v>Jun</v>
      </c>
      <c r="P167" s="13"/>
      <c r="Q167" s="13"/>
    </row>
    <row r="168" spans="1:17" x14ac:dyDescent="0.3">
      <c r="A168" s="6">
        <v>167</v>
      </c>
      <c r="B168" s="7">
        <v>45066</v>
      </c>
      <c r="C168" s="8" t="s">
        <v>45</v>
      </c>
      <c r="D168" s="8" t="s">
        <v>34</v>
      </c>
      <c r="E168" s="8" t="s">
        <v>24</v>
      </c>
      <c r="F168" s="8" t="s">
        <v>31</v>
      </c>
      <c r="G168" s="8" t="s">
        <v>35</v>
      </c>
      <c r="H168" s="9">
        <v>39598.29</v>
      </c>
      <c r="I168" s="8">
        <v>5</v>
      </c>
      <c r="J168" s="10">
        <v>6403.75</v>
      </c>
      <c r="K168" s="17" t="str" cm="1">
        <f t="array" ref="K168">_xlfn.IFS(Table433[[#This Row],[Sales]]&gt;40000,"Best Sales",Table433[[#This Row],[Sales]]&gt;20000,"Average Sales",Table433[[#This Row],[Sales]]&gt;0,"Poor Sales")</f>
        <v>Average Sales</v>
      </c>
      <c r="L168" s="12">
        <f>YEAR(Table433[[#This Row],[Date]])</f>
        <v>2023</v>
      </c>
      <c r="M168" s="12">
        <f>MONTH(Table433[[#This Row],[Date]])</f>
        <v>5</v>
      </c>
      <c r="N168" s="13">
        <f>DAY(Table433[[#This Row],[Date]])</f>
        <v>20</v>
      </c>
      <c r="O168" s="13" t="str">
        <f>TEXT(DATE(2023,Table433[[#This Row],[Month]],1),"mmm")</f>
        <v>May</v>
      </c>
      <c r="P168" s="13"/>
      <c r="Q168" s="13"/>
    </row>
    <row r="169" spans="1:17" x14ac:dyDescent="0.3">
      <c r="A169" s="14">
        <v>168</v>
      </c>
      <c r="B169" s="15">
        <v>44968</v>
      </c>
      <c r="C169" s="16" t="s">
        <v>45</v>
      </c>
      <c r="D169" s="16" t="s">
        <v>34</v>
      </c>
      <c r="E169" s="16" t="s">
        <v>24</v>
      </c>
      <c r="F169" s="16" t="s">
        <v>20</v>
      </c>
      <c r="G169" s="16" t="s">
        <v>41</v>
      </c>
      <c r="H169" s="17">
        <v>4814.78</v>
      </c>
      <c r="I169" s="16">
        <v>6</v>
      </c>
      <c r="J169" s="18">
        <v>378.7</v>
      </c>
      <c r="K169" s="17" t="str" cm="1">
        <f t="array" ref="K169">_xlfn.IFS(Table433[[#This Row],[Sales]]&gt;40000,"Best Sales",Table433[[#This Row],[Sales]]&gt;20000,"Average Sales",Table433[[#This Row],[Sales]]&gt;0,"Poor Sales")</f>
        <v>Poor Sales</v>
      </c>
      <c r="L169" s="12">
        <f>YEAR(Table433[[#This Row],[Date]])</f>
        <v>2023</v>
      </c>
      <c r="M169" s="12">
        <f>MONTH(Table433[[#This Row],[Date]])</f>
        <v>2</v>
      </c>
      <c r="N169" s="13">
        <f>DAY(Table433[[#This Row],[Date]])</f>
        <v>11</v>
      </c>
      <c r="O169" s="13" t="str">
        <f>TEXT(DATE(2023,Table433[[#This Row],[Month]],1),"mmm")</f>
        <v>Feb</v>
      </c>
      <c r="P169" s="13"/>
      <c r="Q169" s="13"/>
    </row>
    <row r="170" spans="1:17" x14ac:dyDescent="0.3">
      <c r="A170" s="6">
        <v>169</v>
      </c>
      <c r="B170" s="7">
        <v>45237</v>
      </c>
      <c r="C170" s="8" t="s">
        <v>25</v>
      </c>
      <c r="D170" s="8" t="s">
        <v>26</v>
      </c>
      <c r="E170" s="8" t="s">
        <v>24</v>
      </c>
      <c r="F170" s="8" t="s">
        <v>38</v>
      </c>
      <c r="G170" s="8" t="s">
        <v>39</v>
      </c>
      <c r="H170" s="9">
        <v>20072.27</v>
      </c>
      <c r="I170" s="8">
        <v>1</v>
      </c>
      <c r="J170" s="10">
        <v>4794.18</v>
      </c>
      <c r="K170" s="17" t="str" cm="1">
        <f t="array" ref="K170">_xlfn.IFS(Table433[[#This Row],[Sales]]&gt;40000,"Best Sales",Table433[[#This Row],[Sales]]&gt;20000,"Average Sales",Table433[[#This Row],[Sales]]&gt;0,"Poor Sales")</f>
        <v>Average Sales</v>
      </c>
      <c r="L170" s="12">
        <f>YEAR(Table433[[#This Row],[Date]])</f>
        <v>2023</v>
      </c>
      <c r="M170" s="12">
        <f>MONTH(Table433[[#This Row],[Date]])</f>
        <v>11</v>
      </c>
      <c r="N170" s="13">
        <f>DAY(Table433[[#This Row],[Date]])</f>
        <v>7</v>
      </c>
      <c r="O170" s="13" t="str">
        <f>TEXT(DATE(2023,Table433[[#This Row],[Month]],1),"mmm")</f>
        <v>Nov</v>
      </c>
      <c r="P170" s="13"/>
      <c r="Q170" s="13"/>
    </row>
    <row r="171" spans="1:17" x14ac:dyDescent="0.3">
      <c r="A171" s="14">
        <v>170</v>
      </c>
      <c r="B171" s="15">
        <v>45175</v>
      </c>
      <c r="C171" s="16" t="s">
        <v>17</v>
      </c>
      <c r="D171" s="16" t="s">
        <v>18</v>
      </c>
      <c r="E171" s="16" t="s">
        <v>24</v>
      </c>
      <c r="F171" s="16" t="s">
        <v>38</v>
      </c>
      <c r="G171" s="16" t="s">
        <v>39</v>
      </c>
      <c r="H171" s="17">
        <v>23725.51</v>
      </c>
      <c r="I171" s="16">
        <v>1</v>
      </c>
      <c r="J171" s="18">
        <v>1324.6</v>
      </c>
      <c r="K171" s="17" t="str" cm="1">
        <f t="array" ref="K171">_xlfn.IFS(Table433[[#This Row],[Sales]]&gt;40000,"Best Sales",Table433[[#This Row],[Sales]]&gt;20000,"Average Sales",Table433[[#This Row],[Sales]]&gt;0,"Poor Sales")</f>
        <v>Average Sales</v>
      </c>
      <c r="L171" s="12">
        <f>YEAR(Table433[[#This Row],[Date]])</f>
        <v>2023</v>
      </c>
      <c r="M171" s="12">
        <f>MONTH(Table433[[#This Row],[Date]])</f>
        <v>9</v>
      </c>
      <c r="N171" s="13">
        <f>DAY(Table433[[#This Row],[Date]])</f>
        <v>6</v>
      </c>
      <c r="O171" s="13" t="str">
        <f>TEXT(DATE(2023,Table433[[#This Row],[Month]],1),"mmm")</f>
        <v>Sep</v>
      </c>
      <c r="P171" s="13"/>
      <c r="Q171" s="13"/>
    </row>
    <row r="172" spans="1:17" x14ac:dyDescent="0.3">
      <c r="A172" s="6">
        <v>171</v>
      </c>
      <c r="B172" s="7">
        <v>45192</v>
      </c>
      <c r="C172" s="8" t="s">
        <v>25</v>
      </c>
      <c r="D172" s="8" t="s">
        <v>26</v>
      </c>
      <c r="E172" s="8" t="s">
        <v>24</v>
      </c>
      <c r="F172" s="8" t="s">
        <v>20</v>
      </c>
      <c r="G172" s="8" t="s">
        <v>21</v>
      </c>
      <c r="H172" s="9">
        <v>6338.6</v>
      </c>
      <c r="I172" s="8">
        <v>10</v>
      </c>
      <c r="J172" s="10">
        <v>850.83</v>
      </c>
      <c r="K172" s="17" t="str" cm="1">
        <f t="array" ref="K172">_xlfn.IFS(Table433[[#This Row],[Sales]]&gt;40000,"Best Sales",Table433[[#This Row],[Sales]]&gt;20000,"Average Sales",Table433[[#This Row],[Sales]]&gt;0,"Poor Sales")</f>
        <v>Poor Sales</v>
      </c>
      <c r="L172" s="12">
        <f>YEAR(Table433[[#This Row],[Date]])</f>
        <v>2023</v>
      </c>
      <c r="M172" s="12">
        <f>MONTH(Table433[[#This Row],[Date]])</f>
        <v>9</v>
      </c>
      <c r="N172" s="13">
        <f>DAY(Table433[[#This Row],[Date]])</f>
        <v>23</v>
      </c>
      <c r="O172" s="13" t="str">
        <f>TEXT(DATE(2023,Table433[[#This Row],[Month]],1),"mmm")</f>
        <v>Sep</v>
      </c>
      <c r="P172" s="13"/>
      <c r="Q172" s="13"/>
    </row>
    <row r="173" spans="1:17" x14ac:dyDescent="0.3">
      <c r="A173" s="14">
        <v>172</v>
      </c>
      <c r="B173" s="15">
        <v>44934</v>
      </c>
      <c r="C173" s="16" t="s">
        <v>33</v>
      </c>
      <c r="D173" s="16" t="s">
        <v>34</v>
      </c>
      <c r="E173" s="16" t="s">
        <v>24</v>
      </c>
      <c r="F173" s="16" t="s">
        <v>38</v>
      </c>
      <c r="G173" s="16" t="s">
        <v>40</v>
      </c>
      <c r="H173" s="17">
        <v>43340.91</v>
      </c>
      <c r="I173" s="16">
        <v>3</v>
      </c>
      <c r="J173" s="18">
        <v>3409.31</v>
      </c>
      <c r="K173" s="17" t="str" cm="1">
        <f t="array" ref="K173">_xlfn.IFS(Table433[[#This Row],[Sales]]&gt;40000,"Best Sales",Table433[[#This Row],[Sales]]&gt;20000,"Average Sales",Table433[[#This Row],[Sales]]&gt;0,"Poor Sales")</f>
        <v>Best Sales</v>
      </c>
      <c r="L173" s="12">
        <f>YEAR(Table433[[#This Row],[Date]])</f>
        <v>2023</v>
      </c>
      <c r="M173" s="12">
        <f>MONTH(Table433[[#This Row],[Date]])</f>
        <v>1</v>
      </c>
      <c r="N173" s="13">
        <f>DAY(Table433[[#This Row],[Date]])</f>
        <v>8</v>
      </c>
      <c r="O173" s="13" t="str">
        <f>TEXT(DATE(2023,Table433[[#This Row],[Month]],1),"mmm")</f>
        <v>Jan</v>
      </c>
      <c r="P173" s="13"/>
      <c r="Q173" s="13"/>
    </row>
    <row r="174" spans="1:17" x14ac:dyDescent="0.3">
      <c r="A174" s="6">
        <v>173</v>
      </c>
      <c r="B174" s="7">
        <v>45014</v>
      </c>
      <c r="C174" s="8" t="s">
        <v>44</v>
      </c>
      <c r="D174" s="8" t="s">
        <v>34</v>
      </c>
      <c r="E174" s="8" t="s">
        <v>24</v>
      </c>
      <c r="F174" s="8" t="s">
        <v>38</v>
      </c>
      <c r="G174" s="8" t="s">
        <v>46</v>
      </c>
      <c r="H174" s="9">
        <v>5774.71</v>
      </c>
      <c r="I174" s="8">
        <v>6</v>
      </c>
      <c r="J174" s="10">
        <v>1350.62</v>
      </c>
      <c r="K174" s="17" t="str" cm="1">
        <f t="array" ref="K174">_xlfn.IFS(Table433[[#This Row],[Sales]]&gt;40000,"Best Sales",Table433[[#This Row],[Sales]]&gt;20000,"Average Sales",Table433[[#This Row],[Sales]]&gt;0,"Poor Sales")</f>
        <v>Poor Sales</v>
      </c>
      <c r="L174" s="12">
        <f>YEAR(Table433[[#This Row],[Date]])</f>
        <v>2023</v>
      </c>
      <c r="M174" s="12">
        <f>MONTH(Table433[[#This Row],[Date]])</f>
        <v>3</v>
      </c>
      <c r="N174" s="13">
        <f>DAY(Table433[[#This Row],[Date]])</f>
        <v>29</v>
      </c>
      <c r="O174" s="13" t="str">
        <f>TEXT(DATE(2023,Table433[[#This Row],[Month]],1),"mmm")</f>
        <v>Mar</v>
      </c>
      <c r="P174" s="13"/>
      <c r="Q174" s="13"/>
    </row>
    <row r="175" spans="1:17" x14ac:dyDescent="0.3">
      <c r="A175" s="14">
        <v>174</v>
      </c>
      <c r="B175" s="15">
        <v>45178</v>
      </c>
      <c r="C175" s="16" t="s">
        <v>17</v>
      </c>
      <c r="D175" s="16" t="s">
        <v>18</v>
      </c>
      <c r="E175" s="16" t="s">
        <v>24</v>
      </c>
      <c r="F175" s="16" t="s">
        <v>20</v>
      </c>
      <c r="G175" s="16" t="s">
        <v>21</v>
      </c>
      <c r="H175" s="17">
        <v>31543.41</v>
      </c>
      <c r="I175" s="16">
        <v>7</v>
      </c>
      <c r="J175" s="18">
        <v>7095.9</v>
      </c>
      <c r="K175" s="17" t="str" cm="1">
        <f t="array" ref="K175">_xlfn.IFS(Table433[[#This Row],[Sales]]&gt;40000,"Best Sales",Table433[[#This Row],[Sales]]&gt;20000,"Average Sales",Table433[[#This Row],[Sales]]&gt;0,"Poor Sales")</f>
        <v>Average Sales</v>
      </c>
      <c r="L175" s="12">
        <f>YEAR(Table433[[#This Row],[Date]])</f>
        <v>2023</v>
      </c>
      <c r="M175" s="12">
        <f>MONTH(Table433[[#This Row],[Date]])</f>
        <v>9</v>
      </c>
      <c r="N175" s="13">
        <f>DAY(Table433[[#This Row],[Date]])</f>
        <v>9</v>
      </c>
      <c r="O175" s="13" t="str">
        <f>TEXT(DATE(2023,Table433[[#This Row],[Month]],1),"mmm")</f>
        <v>Sep</v>
      </c>
      <c r="P175" s="13"/>
      <c r="Q175" s="13"/>
    </row>
    <row r="176" spans="1:17" x14ac:dyDescent="0.3">
      <c r="A176" s="6">
        <v>175</v>
      </c>
      <c r="B176" s="7">
        <v>45127</v>
      </c>
      <c r="C176" s="8" t="s">
        <v>44</v>
      </c>
      <c r="D176" s="8" t="s">
        <v>34</v>
      </c>
      <c r="E176" s="8" t="s">
        <v>24</v>
      </c>
      <c r="F176" s="8" t="s">
        <v>31</v>
      </c>
      <c r="G176" s="8" t="s">
        <v>35</v>
      </c>
      <c r="H176" s="9">
        <v>48726.25</v>
      </c>
      <c r="I176" s="8">
        <v>6</v>
      </c>
      <c r="J176" s="10">
        <v>9754.02</v>
      </c>
      <c r="K176" s="17" t="str" cm="1">
        <f t="array" ref="K176">_xlfn.IFS(Table433[[#This Row],[Sales]]&gt;40000,"Best Sales",Table433[[#This Row],[Sales]]&gt;20000,"Average Sales",Table433[[#This Row],[Sales]]&gt;0,"Poor Sales")</f>
        <v>Best Sales</v>
      </c>
      <c r="L176" s="12">
        <f>YEAR(Table433[[#This Row],[Date]])</f>
        <v>2023</v>
      </c>
      <c r="M176" s="12">
        <f>MONTH(Table433[[#This Row],[Date]])</f>
        <v>7</v>
      </c>
      <c r="N176" s="13">
        <f>DAY(Table433[[#This Row],[Date]])</f>
        <v>20</v>
      </c>
      <c r="O176" s="13" t="str">
        <f>TEXT(DATE(2023,Table433[[#This Row],[Month]],1),"mmm")</f>
        <v>Jul</v>
      </c>
      <c r="P176" s="13"/>
      <c r="Q176" s="13"/>
    </row>
    <row r="177" spans="1:17" x14ac:dyDescent="0.3">
      <c r="A177" s="14">
        <v>176</v>
      </c>
      <c r="B177" s="15">
        <v>45082</v>
      </c>
      <c r="C177" s="16" t="s">
        <v>29</v>
      </c>
      <c r="D177" s="16" t="s">
        <v>29</v>
      </c>
      <c r="E177" s="16" t="s">
        <v>24</v>
      </c>
      <c r="F177" s="16" t="s">
        <v>20</v>
      </c>
      <c r="G177" s="16" t="s">
        <v>28</v>
      </c>
      <c r="H177" s="17">
        <v>4877.32</v>
      </c>
      <c r="I177" s="16">
        <v>2</v>
      </c>
      <c r="J177" s="18">
        <v>678.04</v>
      </c>
      <c r="K177" s="17" t="str" cm="1">
        <f t="array" ref="K177">_xlfn.IFS(Table433[[#This Row],[Sales]]&gt;40000,"Best Sales",Table433[[#This Row],[Sales]]&gt;20000,"Average Sales",Table433[[#This Row],[Sales]]&gt;0,"Poor Sales")</f>
        <v>Poor Sales</v>
      </c>
      <c r="L177" s="12">
        <f>YEAR(Table433[[#This Row],[Date]])</f>
        <v>2023</v>
      </c>
      <c r="M177" s="12">
        <f>MONTH(Table433[[#This Row],[Date]])</f>
        <v>6</v>
      </c>
      <c r="N177" s="13">
        <f>DAY(Table433[[#This Row],[Date]])</f>
        <v>5</v>
      </c>
      <c r="O177" s="13" t="str">
        <f>TEXT(DATE(2023,Table433[[#This Row],[Month]],1),"mmm")</f>
        <v>Jun</v>
      </c>
      <c r="P177" s="13"/>
      <c r="Q177" s="13"/>
    </row>
    <row r="178" spans="1:17" x14ac:dyDescent="0.3">
      <c r="A178" s="6">
        <v>177</v>
      </c>
      <c r="B178" s="7">
        <v>45227</v>
      </c>
      <c r="C178" s="8" t="s">
        <v>37</v>
      </c>
      <c r="D178" s="8" t="s">
        <v>23</v>
      </c>
      <c r="E178" s="8" t="s">
        <v>24</v>
      </c>
      <c r="F178" s="8" t="s">
        <v>31</v>
      </c>
      <c r="G178" s="8" t="s">
        <v>35</v>
      </c>
      <c r="H178" s="9">
        <v>36632.480000000003</v>
      </c>
      <c r="I178" s="8">
        <v>5</v>
      </c>
      <c r="J178" s="10">
        <v>4419.68</v>
      </c>
      <c r="K178" s="17" t="str" cm="1">
        <f t="array" ref="K178">_xlfn.IFS(Table433[[#This Row],[Sales]]&gt;40000,"Best Sales",Table433[[#This Row],[Sales]]&gt;20000,"Average Sales",Table433[[#This Row],[Sales]]&gt;0,"Poor Sales")</f>
        <v>Average Sales</v>
      </c>
      <c r="L178" s="12">
        <f>YEAR(Table433[[#This Row],[Date]])</f>
        <v>2023</v>
      </c>
      <c r="M178" s="12">
        <f>MONTH(Table433[[#This Row],[Date]])</f>
        <v>10</v>
      </c>
      <c r="N178" s="13">
        <f>DAY(Table433[[#This Row],[Date]])</f>
        <v>28</v>
      </c>
      <c r="O178" s="13" t="str">
        <f>TEXT(DATE(2023,Table433[[#This Row],[Month]],1),"mmm")</f>
        <v>Oct</v>
      </c>
      <c r="P178" s="13"/>
      <c r="Q178" s="13"/>
    </row>
    <row r="179" spans="1:17" x14ac:dyDescent="0.3">
      <c r="A179" s="14">
        <v>178</v>
      </c>
      <c r="B179" s="15">
        <v>44978</v>
      </c>
      <c r="C179" s="16" t="s">
        <v>33</v>
      </c>
      <c r="D179" s="16" t="s">
        <v>34</v>
      </c>
      <c r="E179" s="16" t="s">
        <v>24</v>
      </c>
      <c r="F179" s="16" t="s">
        <v>38</v>
      </c>
      <c r="G179" s="16" t="s">
        <v>39</v>
      </c>
      <c r="H179" s="17">
        <v>7302.34</v>
      </c>
      <c r="I179" s="16">
        <v>10</v>
      </c>
      <c r="J179" s="18">
        <v>909.18</v>
      </c>
      <c r="K179" s="17" t="str" cm="1">
        <f t="array" ref="K179">_xlfn.IFS(Table433[[#This Row],[Sales]]&gt;40000,"Best Sales",Table433[[#This Row],[Sales]]&gt;20000,"Average Sales",Table433[[#This Row],[Sales]]&gt;0,"Poor Sales")</f>
        <v>Poor Sales</v>
      </c>
      <c r="L179" s="12">
        <f>YEAR(Table433[[#This Row],[Date]])</f>
        <v>2023</v>
      </c>
      <c r="M179" s="12">
        <f>MONTH(Table433[[#This Row],[Date]])</f>
        <v>2</v>
      </c>
      <c r="N179" s="13">
        <f>DAY(Table433[[#This Row],[Date]])</f>
        <v>21</v>
      </c>
      <c r="O179" s="13" t="str">
        <f>TEXT(DATE(2023,Table433[[#This Row],[Month]],1),"mmm")</f>
        <v>Feb</v>
      </c>
      <c r="P179" s="13"/>
      <c r="Q179" s="13"/>
    </row>
    <row r="180" spans="1:17" x14ac:dyDescent="0.3">
      <c r="A180" s="6">
        <v>179</v>
      </c>
      <c r="B180" s="7">
        <v>44993</v>
      </c>
      <c r="C180" s="8" t="s">
        <v>22</v>
      </c>
      <c r="D180" s="8" t="s">
        <v>23</v>
      </c>
      <c r="E180" s="8" t="s">
        <v>24</v>
      </c>
      <c r="F180" s="8" t="s">
        <v>38</v>
      </c>
      <c r="G180" s="8" t="s">
        <v>46</v>
      </c>
      <c r="H180" s="9">
        <v>17646.86</v>
      </c>
      <c r="I180" s="8">
        <v>9</v>
      </c>
      <c r="J180" s="10">
        <v>3145.05</v>
      </c>
      <c r="K180" s="17" t="str" cm="1">
        <f t="array" ref="K180">_xlfn.IFS(Table433[[#This Row],[Sales]]&gt;40000,"Best Sales",Table433[[#This Row],[Sales]]&gt;20000,"Average Sales",Table433[[#This Row],[Sales]]&gt;0,"Poor Sales")</f>
        <v>Poor Sales</v>
      </c>
      <c r="L180" s="12">
        <f>YEAR(Table433[[#This Row],[Date]])</f>
        <v>2023</v>
      </c>
      <c r="M180" s="12">
        <f>MONTH(Table433[[#This Row],[Date]])</f>
        <v>3</v>
      </c>
      <c r="N180" s="13">
        <f>DAY(Table433[[#This Row],[Date]])</f>
        <v>8</v>
      </c>
      <c r="O180" s="13" t="str">
        <f>TEXT(DATE(2023,Table433[[#This Row],[Month]],1),"mmm")</f>
        <v>Mar</v>
      </c>
      <c r="P180" s="13"/>
      <c r="Q180" s="13"/>
    </row>
    <row r="181" spans="1:17" x14ac:dyDescent="0.3">
      <c r="A181" s="14">
        <v>180</v>
      </c>
      <c r="B181" s="15">
        <v>45230</v>
      </c>
      <c r="C181" s="16" t="s">
        <v>44</v>
      </c>
      <c r="D181" s="16" t="s">
        <v>34</v>
      </c>
      <c r="E181" s="16" t="s">
        <v>24</v>
      </c>
      <c r="F181" s="16" t="s">
        <v>20</v>
      </c>
      <c r="G181" s="16" t="s">
        <v>21</v>
      </c>
      <c r="H181" s="17">
        <v>18272.21</v>
      </c>
      <c r="I181" s="16">
        <v>9</v>
      </c>
      <c r="J181" s="18">
        <v>4352.6099999999997</v>
      </c>
      <c r="K181" s="17" t="str" cm="1">
        <f t="array" ref="K181">_xlfn.IFS(Table433[[#This Row],[Sales]]&gt;40000,"Best Sales",Table433[[#This Row],[Sales]]&gt;20000,"Average Sales",Table433[[#This Row],[Sales]]&gt;0,"Poor Sales")</f>
        <v>Poor Sales</v>
      </c>
      <c r="L181" s="12">
        <f>YEAR(Table433[[#This Row],[Date]])</f>
        <v>2023</v>
      </c>
      <c r="M181" s="12">
        <f>MONTH(Table433[[#This Row],[Date]])</f>
        <v>10</v>
      </c>
      <c r="N181" s="13">
        <f>DAY(Table433[[#This Row],[Date]])</f>
        <v>31</v>
      </c>
      <c r="O181" s="13" t="str">
        <f>TEXT(DATE(2023,Table433[[#This Row],[Month]],1),"mmm")</f>
        <v>Oct</v>
      </c>
      <c r="P181" s="13"/>
      <c r="Q181" s="13"/>
    </row>
    <row r="182" spans="1:17" x14ac:dyDescent="0.3">
      <c r="A182" s="6">
        <v>181</v>
      </c>
      <c r="B182" s="7">
        <v>45151</v>
      </c>
      <c r="C182" s="8" t="s">
        <v>29</v>
      </c>
      <c r="D182" s="8" t="s">
        <v>29</v>
      </c>
      <c r="E182" s="8" t="s">
        <v>24</v>
      </c>
      <c r="F182" s="8" t="s">
        <v>31</v>
      </c>
      <c r="G182" s="8" t="s">
        <v>36</v>
      </c>
      <c r="H182" s="9">
        <v>30968.38</v>
      </c>
      <c r="I182" s="8">
        <v>7</v>
      </c>
      <c r="J182" s="10">
        <v>4688.1000000000004</v>
      </c>
      <c r="K182" s="17" t="str" cm="1">
        <f t="array" ref="K182">_xlfn.IFS(Table433[[#This Row],[Sales]]&gt;40000,"Best Sales",Table433[[#This Row],[Sales]]&gt;20000,"Average Sales",Table433[[#This Row],[Sales]]&gt;0,"Poor Sales")</f>
        <v>Average Sales</v>
      </c>
      <c r="L182" s="12">
        <f>YEAR(Table433[[#This Row],[Date]])</f>
        <v>2023</v>
      </c>
      <c r="M182" s="12">
        <f>MONTH(Table433[[#This Row],[Date]])</f>
        <v>8</v>
      </c>
      <c r="N182" s="13">
        <f>DAY(Table433[[#This Row],[Date]])</f>
        <v>13</v>
      </c>
      <c r="O182" s="13" t="str">
        <f>TEXT(DATE(2023,Table433[[#This Row],[Month]],1),"mmm")</f>
        <v>Aug</v>
      </c>
      <c r="P182" s="13"/>
      <c r="Q182" s="13"/>
    </row>
    <row r="183" spans="1:17" x14ac:dyDescent="0.3">
      <c r="A183" s="14">
        <v>182</v>
      </c>
      <c r="B183" s="15">
        <v>45080</v>
      </c>
      <c r="C183" s="16" t="s">
        <v>33</v>
      </c>
      <c r="D183" s="16" t="s">
        <v>34</v>
      </c>
      <c r="E183" s="16" t="s">
        <v>24</v>
      </c>
      <c r="F183" s="16" t="s">
        <v>38</v>
      </c>
      <c r="G183" s="16" t="s">
        <v>40</v>
      </c>
      <c r="H183" s="17">
        <v>17745.36</v>
      </c>
      <c r="I183" s="16">
        <v>2</v>
      </c>
      <c r="J183" s="18">
        <v>1736.15</v>
      </c>
      <c r="K183" s="17" t="str" cm="1">
        <f t="array" ref="K183">_xlfn.IFS(Table433[[#This Row],[Sales]]&gt;40000,"Best Sales",Table433[[#This Row],[Sales]]&gt;20000,"Average Sales",Table433[[#This Row],[Sales]]&gt;0,"Poor Sales")</f>
        <v>Poor Sales</v>
      </c>
      <c r="L183" s="12">
        <f>YEAR(Table433[[#This Row],[Date]])</f>
        <v>2023</v>
      </c>
      <c r="M183" s="12">
        <f>MONTH(Table433[[#This Row],[Date]])</f>
        <v>6</v>
      </c>
      <c r="N183" s="13">
        <f>DAY(Table433[[#This Row],[Date]])</f>
        <v>3</v>
      </c>
      <c r="O183" s="13" t="str">
        <f>TEXT(DATE(2023,Table433[[#This Row],[Month]],1),"mmm")</f>
        <v>Jun</v>
      </c>
      <c r="P183" s="13"/>
      <c r="Q183" s="13"/>
    </row>
    <row r="184" spans="1:17" x14ac:dyDescent="0.3">
      <c r="A184" s="6">
        <v>183</v>
      </c>
      <c r="B184" s="7">
        <v>44984</v>
      </c>
      <c r="C184" s="8" t="s">
        <v>33</v>
      </c>
      <c r="D184" s="8" t="s">
        <v>34</v>
      </c>
      <c r="E184" s="8" t="s">
        <v>24</v>
      </c>
      <c r="F184" s="8" t="s">
        <v>20</v>
      </c>
      <c r="G184" s="8" t="s">
        <v>28</v>
      </c>
      <c r="H184" s="9">
        <v>30601.31</v>
      </c>
      <c r="I184" s="8">
        <v>9</v>
      </c>
      <c r="J184" s="10">
        <v>4632.5600000000004</v>
      </c>
      <c r="K184" s="17" t="str" cm="1">
        <f t="array" ref="K184">_xlfn.IFS(Table433[[#This Row],[Sales]]&gt;40000,"Best Sales",Table433[[#This Row],[Sales]]&gt;20000,"Average Sales",Table433[[#This Row],[Sales]]&gt;0,"Poor Sales")</f>
        <v>Average Sales</v>
      </c>
      <c r="L184" s="12">
        <f>YEAR(Table433[[#This Row],[Date]])</f>
        <v>2023</v>
      </c>
      <c r="M184" s="12">
        <f>MONTH(Table433[[#This Row],[Date]])</f>
        <v>2</v>
      </c>
      <c r="N184" s="13">
        <f>DAY(Table433[[#This Row],[Date]])</f>
        <v>27</v>
      </c>
      <c r="O184" s="13" t="str">
        <f>TEXT(DATE(2023,Table433[[#This Row],[Month]],1),"mmm")</f>
        <v>Feb</v>
      </c>
      <c r="P184" s="13"/>
      <c r="Q184" s="13"/>
    </row>
    <row r="185" spans="1:17" x14ac:dyDescent="0.3">
      <c r="A185" s="14">
        <v>184</v>
      </c>
      <c r="B185" s="15">
        <v>45256</v>
      </c>
      <c r="C185" s="16" t="s">
        <v>29</v>
      </c>
      <c r="D185" s="16" t="s">
        <v>29</v>
      </c>
      <c r="E185" s="16" t="s">
        <v>24</v>
      </c>
      <c r="F185" s="16" t="s">
        <v>31</v>
      </c>
      <c r="G185" s="16" t="s">
        <v>32</v>
      </c>
      <c r="H185" s="17">
        <v>27508.720000000001</v>
      </c>
      <c r="I185" s="16">
        <v>4</v>
      </c>
      <c r="J185" s="18">
        <v>2649.16</v>
      </c>
      <c r="K185" s="17" t="str" cm="1">
        <f t="array" ref="K185">_xlfn.IFS(Table433[[#This Row],[Sales]]&gt;40000,"Best Sales",Table433[[#This Row],[Sales]]&gt;20000,"Average Sales",Table433[[#This Row],[Sales]]&gt;0,"Poor Sales")</f>
        <v>Average Sales</v>
      </c>
      <c r="L185" s="12">
        <f>YEAR(Table433[[#This Row],[Date]])</f>
        <v>2023</v>
      </c>
      <c r="M185" s="12">
        <f>MONTH(Table433[[#This Row],[Date]])</f>
        <v>11</v>
      </c>
      <c r="N185" s="13">
        <f>DAY(Table433[[#This Row],[Date]])</f>
        <v>26</v>
      </c>
      <c r="O185" s="13" t="str">
        <f>TEXT(DATE(2023,Table433[[#This Row],[Month]],1),"mmm")</f>
        <v>Nov</v>
      </c>
      <c r="P185" s="13"/>
      <c r="Q185" s="13"/>
    </row>
    <row r="186" spans="1:17" x14ac:dyDescent="0.3">
      <c r="A186" s="6">
        <v>185</v>
      </c>
      <c r="B186" s="7">
        <v>44959</v>
      </c>
      <c r="C186" s="8" t="s">
        <v>42</v>
      </c>
      <c r="D186" s="8" t="s">
        <v>43</v>
      </c>
      <c r="E186" s="8" t="s">
        <v>24</v>
      </c>
      <c r="F186" s="8" t="s">
        <v>31</v>
      </c>
      <c r="G186" s="8" t="s">
        <v>36</v>
      </c>
      <c r="H186" s="9">
        <v>20818.54</v>
      </c>
      <c r="I186" s="8">
        <v>10</v>
      </c>
      <c r="J186" s="10">
        <v>2457.2199999999998</v>
      </c>
      <c r="K186" s="17" t="str" cm="1">
        <f t="array" ref="K186">_xlfn.IFS(Table433[[#This Row],[Sales]]&gt;40000,"Best Sales",Table433[[#This Row],[Sales]]&gt;20000,"Average Sales",Table433[[#This Row],[Sales]]&gt;0,"Poor Sales")</f>
        <v>Average Sales</v>
      </c>
      <c r="L186" s="12">
        <f>YEAR(Table433[[#This Row],[Date]])</f>
        <v>2023</v>
      </c>
      <c r="M186" s="12">
        <f>MONTH(Table433[[#This Row],[Date]])</f>
        <v>2</v>
      </c>
      <c r="N186" s="13">
        <f>DAY(Table433[[#This Row],[Date]])</f>
        <v>2</v>
      </c>
      <c r="O186" s="13" t="str">
        <f>TEXT(DATE(2023,Table433[[#This Row],[Month]],1),"mmm")</f>
        <v>Feb</v>
      </c>
      <c r="P186" s="13"/>
      <c r="Q186" s="13"/>
    </row>
    <row r="187" spans="1:17" x14ac:dyDescent="0.3">
      <c r="A187" s="14">
        <v>186</v>
      </c>
      <c r="B187" s="15">
        <v>44990</v>
      </c>
      <c r="C187" s="16" t="s">
        <v>25</v>
      </c>
      <c r="D187" s="16" t="s">
        <v>26</v>
      </c>
      <c r="E187" s="16" t="s">
        <v>24</v>
      </c>
      <c r="F187" s="16" t="s">
        <v>31</v>
      </c>
      <c r="G187" s="16" t="s">
        <v>36</v>
      </c>
      <c r="H187" s="17">
        <v>49951.15</v>
      </c>
      <c r="I187" s="16">
        <v>8</v>
      </c>
      <c r="J187" s="18">
        <v>9925.48</v>
      </c>
      <c r="K187" s="17" t="str" cm="1">
        <f t="array" ref="K187">_xlfn.IFS(Table433[[#This Row],[Sales]]&gt;40000,"Best Sales",Table433[[#This Row],[Sales]]&gt;20000,"Average Sales",Table433[[#This Row],[Sales]]&gt;0,"Poor Sales")</f>
        <v>Best Sales</v>
      </c>
      <c r="L187" s="12">
        <f>YEAR(Table433[[#This Row],[Date]])</f>
        <v>2023</v>
      </c>
      <c r="M187" s="12">
        <f>MONTH(Table433[[#This Row],[Date]])</f>
        <v>3</v>
      </c>
      <c r="N187" s="13">
        <f>DAY(Table433[[#This Row],[Date]])</f>
        <v>5</v>
      </c>
      <c r="O187" s="13" t="str">
        <f>TEXT(DATE(2023,Table433[[#This Row],[Month]],1),"mmm")</f>
        <v>Mar</v>
      </c>
      <c r="P187" s="13"/>
      <c r="Q187" s="13"/>
    </row>
    <row r="188" spans="1:17" x14ac:dyDescent="0.3">
      <c r="A188" s="6">
        <v>187</v>
      </c>
      <c r="B188" s="7">
        <v>45184</v>
      </c>
      <c r="C188" s="8" t="s">
        <v>33</v>
      </c>
      <c r="D188" s="8" t="s">
        <v>34</v>
      </c>
      <c r="E188" s="8" t="s">
        <v>24</v>
      </c>
      <c r="F188" s="8" t="s">
        <v>38</v>
      </c>
      <c r="G188" s="8" t="s">
        <v>40</v>
      </c>
      <c r="H188" s="9">
        <v>14099.59</v>
      </c>
      <c r="I188" s="8">
        <v>7</v>
      </c>
      <c r="J188" s="10">
        <v>1349.86</v>
      </c>
      <c r="K188" s="17" t="str" cm="1">
        <f t="array" ref="K188">_xlfn.IFS(Table433[[#This Row],[Sales]]&gt;40000,"Best Sales",Table433[[#This Row],[Sales]]&gt;20000,"Average Sales",Table433[[#This Row],[Sales]]&gt;0,"Poor Sales")</f>
        <v>Poor Sales</v>
      </c>
      <c r="L188" s="12">
        <f>YEAR(Table433[[#This Row],[Date]])</f>
        <v>2023</v>
      </c>
      <c r="M188" s="12">
        <f>MONTH(Table433[[#This Row],[Date]])</f>
        <v>9</v>
      </c>
      <c r="N188" s="13">
        <f>DAY(Table433[[#This Row],[Date]])</f>
        <v>15</v>
      </c>
      <c r="O188" s="13" t="str">
        <f>TEXT(DATE(2023,Table433[[#This Row],[Month]],1),"mmm")</f>
        <v>Sep</v>
      </c>
      <c r="P188" s="13"/>
      <c r="Q188" s="13"/>
    </row>
    <row r="189" spans="1:17" x14ac:dyDescent="0.3">
      <c r="A189" s="14">
        <v>188</v>
      </c>
      <c r="B189" s="15">
        <v>45210</v>
      </c>
      <c r="C189" s="16" t="s">
        <v>22</v>
      </c>
      <c r="D189" s="16" t="s">
        <v>23</v>
      </c>
      <c r="E189" s="16" t="s">
        <v>19</v>
      </c>
      <c r="F189" s="16" t="s">
        <v>38</v>
      </c>
      <c r="G189" s="16" t="s">
        <v>40</v>
      </c>
      <c r="H189" s="17">
        <v>30464.74</v>
      </c>
      <c r="I189" s="16">
        <v>6</v>
      </c>
      <c r="J189" s="18">
        <v>7362.23</v>
      </c>
      <c r="K189" s="17" t="str" cm="1">
        <f t="array" ref="K189">_xlfn.IFS(Table433[[#This Row],[Sales]]&gt;40000,"Best Sales",Table433[[#This Row],[Sales]]&gt;20000,"Average Sales",Table433[[#This Row],[Sales]]&gt;0,"Poor Sales")</f>
        <v>Average Sales</v>
      </c>
      <c r="L189" s="12">
        <f>YEAR(Table433[[#This Row],[Date]])</f>
        <v>2023</v>
      </c>
      <c r="M189" s="12">
        <f>MONTH(Table433[[#This Row],[Date]])</f>
        <v>10</v>
      </c>
      <c r="N189" s="13">
        <f>DAY(Table433[[#This Row],[Date]])</f>
        <v>11</v>
      </c>
      <c r="O189" s="13" t="str">
        <f>TEXT(DATE(2023,Table433[[#This Row],[Month]],1),"mmm")</f>
        <v>Oct</v>
      </c>
      <c r="P189" s="13"/>
      <c r="Q189" s="13"/>
    </row>
    <row r="190" spans="1:17" x14ac:dyDescent="0.3">
      <c r="A190" s="6">
        <v>189</v>
      </c>
      <c r="B190" s="7">
        <v>45041</v>
      </c>
      <c r="C190" s="8" t="s">
        <v>25</v>
      </c>
      <c r="D190" s="8" t="s">
        <v>26</v>
      </c>
      <c r="E190" s="8" t="s">
        <v>24</v>
      </c>
      <c r="F190" s="8" t="s">
        <v>20</v>
      </c>
      <c r="G190" s="8" t="s">
        <v>28</v>
      </c>
      <c r="H190" s="9">
        <v>45371.4</v>
      </c>
      <c r="I190" s="8">
        <v>9</v>
      </c>
      <c r="J190" s="10">
        <v>10014.870000000001</v>
      </c>
      <c r="K190" s="17" t="str" cm="1">
        <f t="array" ref="K190">_xlfn.IFS(Table433[[#This Row],[Sales]]&gt;40000,"Best Sales",Table433[[#This Row],[Sales]]&gt;20000,"Average Sales",Table433[[#This Row],[Sales]]&gt;0,"Poor Sales")</f>
        <v>Best Sales</v>
      </c>
      <c r="L190" s="12">
        <f>YEAR(Table433[[#This Row],[Date]])</f>
        <v>2023</v>
      </c>
      <c r="M190" s="12">
        <f>MONTH(Table433[[#This Row],[Date]])</f>
        <v>4</v>
      </c>
      <c r="N190" s="13">
        <f>DAY(Table433[[#This Row],[Date]])</f>
        <v>25</v>
      </c>
      <c r="O190" s="13" t="str">
        <f>TEXT(DATE(2023,Table433[[#This Row],[Month]],1),"mmm")</f>
        <v>Apr</v>
      </c>
      <c r="P190" s="13"/>
      <c r="Q190" s="13"/>
    </row>
    <row r="191" spans="1:17" x14ac:dyDescent="0.3">
      <c r="A191" s="14">
        <v>190</v>
      </c>
      <c r="B191" s="15">
        <v>45082</v>
      </c>
      <c r="C191" s="16" t="s">
        <v>45</v>
      </c>
      <c r="D191" s="16" t="s">
        <v>34</v>
      </c>
      <c r="E191" s="16" t="s">
        <v>19</v>
      </c>
      <c r="F191" s="16" t="s">
        <v>38</v>
      </c>
      <c r="G191" s="16" t="s">
        <v>39</v>
      </c>
      <c r="H191" s="17">
        <v>22118.26</v>
      </c>
      <c r="I191" s="16">
        <v>4</v>
      </c>
      <c r="J191" s="18">
        <v>2171.89</v>
      </c>
      <c r="K191" s="17" t="str" cm="1">
        <f t="array" ref="K191">_xlfn.IFS(Table433[[#This Row],[Sales]]&gt;40000,"Best Sales",Table433[[#This Row],[Sales]]&gt;20000,"Average Sales",Table433[[#This Row],[Sales]]&gt;0,"Poor Sales")</f>
        <v>Average Sales</v>
      </c>
      <c r="L191" s="12">
        <f>YEAR(Table433[[#This Row],[Date]])</f>
        <v>2023</v>
      </c>
      <c r="M191" s="12">
        <f>MONTH(Table433[[#This Row],[Date]])</f>
        <v>6</v>
      </c>
      <c r="N191" s="13">
        <f>DAY(Table433[[#This Row],[Date]])</f>
        <v>5</v>
      </c>
      <c r="O191" s="13" t="str">
        <f>TEXT(DATE(2023,Table433[[#This Row],[Month]],1),"mmm")</f>
        <v>Jun</v>
      </c>
      <c r="P191" s="13"/>
      <c r="Q191" s="13"/>
    </row>
    <row r="192" spans="1:17" x14ac:dyDescent="0.3">
      <c r="A192" s="6">
        <v>191</v>
      </c>
      <c r="B192" s="7">
        <v>45248</v>
      </c>
      <c r="C192" s="8" t="s">
        <v>17</v>
      </c>
      <c r="D192" s="8" t="s">
        <v>18</v>
      </c>
      <c r="E192" s="8" t="s">
        <v>24</v>
      </c>
      <c r="F192" s="8" t="s">
        <v>20</v>
      </c>
      <c r="G192" s="8" t="s">
        <v>28</v>
      </c>
      <c r="H192" s="9">
        <v>37631.99</v>
      </c>
      <c r="I192" s="8">
        <v>10</v>
      </c>
      <c r="J192" s="10">
        <v>2815.66</v>
      </c>
      <c r="K192" s="17" t="str" cm="1">
        <f t="array" ref="K192">_xlfn.IFS(Table433[[#This Row],[Sales]]&gt;40000,"Best Sales",Table433[[#This Row],[Sales]]&gt;20000,"Average Sales",Table433[[#This Row],[Sales]]&gt;0,"Poor Sales")</f>
        <v>Average Sales</v>
      </c>
      <c r="L192" s="12">
        <f>YEAR(Table433[[#This Row],[Date]])</f>
        <v>2023</v>
      </c>
      <c r="M192" s="12">
        <f>MONTH(Table433[[#This Row],[Date]])</f>
        <v>11</v>
      </c>
      <c r="N192" s="13">
        <f>DAY(Table433[[#This Row],[Date]])</f>
        <v>18</v>
      </c>
      <c r="O192" s="13" t="str">
        <f>TEXT(DATE(2023,Table433[[#This Row],[Month]],1),"mmm")</f>
        <v>Nov</v>
      </c>
      <c r="P192" s="13"/>
      <c r="Q192" s="13"/>
    </row>
    <row r="193" spans="1:17" x14ac:dyDescent="0.3">
      <c r="A193" s="14">
        <v>192</v>
      </c>
      <c r="B193" s="15">
        <v>45279</v>
      </c>
      <c r="C193" s="16" t="s">
        <v>22</v>
      </c>
      <c r="D193" s="16" t="s">
        <v>23</v>
      </c>
      <c r="E193" s="16" t="s">
        <v>27</v>
      </c>
      <c r="F193" s="16" t="s">
        <v>20</v>
      </c>
      <c r="G193" s="16" t="s">
        <v>41</v>
      </c>
      <c r="H193" s="17">
        <v>32613.74</v>
      </c>
      <c r="I193" s="16">
        <v>3</v>
      </c>
      <c r="J193" s="18">
        <v>2329.77</v>
      </c>
      <c r="K193" s="17" t="str" cm="1">
        <f t="array" ref="K193">_xlfn.IFS(Table433[[#This Row],[Sales]]&gt;40000,"Best Sales",Table433[[#This Row],[Sales]]&gt;20000,"Average Sales",Table433[[#This Row],[Sales]]&gt;0,"Poor Sales")</f>
        <v>Average Sales</v>
      </c>
      <c r="L193" s="12">
        <f>YEAR(Table433[[#This Row],[Date]])</f>
        <v>2023</v>
      </c>
      <c r="M193" s="12">
        <f>MONTH(Table433[[#This Row],[Date]])</f>
        <v>12</v>
      </c>
      <c r="N193" s="13">
        <f>DAY(Table433[[#This Row],[Date]])</f>
        <v>19</v>
      </c>
      <c r="O193" s="13" t="str">
        <f>TEXT(DATE(2023,Table433[[#This Row],[Month]],1),"mmm")</f>
        <v>Dec</v>
      </c>
      <c r="P193" s="13"/>
      <c r="Q193" s="13"/>
    </row>
    <row r="194" spans="1:17" x14ac:dyDescent="0.3">
      <c r="A194" s="6">
        <v>193</v>
      </c>
      <c r="B194" s="7">
        <v>45031</v>
      </c>
      <c r="C194" s="8" t="s">
        <v>45</v>
      </c>
      <c r="D194" s="8" t="s">
        <v>34</v>
      </c>
      <c r="E194" s="8" t="s">
        <v>27</v>
      </c>
      <c r="F194" s="8" t="s">
        <v>38</v>
      </c>
      <c r="G194" s="8" t="s">
        <v>46</v>
      </c>
      <c r="H194" s="9">
        <v>19402.79</v>
      </c>
      <c r="I194" s="8">
        <v>5</v>
      </c>
      <c r="J194" s="10">
        <v>4070.53</v>
      </c>
      <c r="K194" s="17" t="str" cm="1">
        <f t="array" ref="K194">_xlfn.IFS(Table433[[#This Row],[Sales]]&gt;40000,"Best Sales",Table433[[#This Row],[Sales]]&gt;20000,"Average Sales",Table433[[#This Row],[Sales]]&gt;0,"Poor Sales")</f>
        <v>Poor Sales</v>
      </c>
      <c r="L194" s="12">
        <f>YEAR(Table433[[#This Row],[Date]])</f>
        <v>2023</v>
      </c>
      <c r="M194" s="12">
        <f>MONTH(Table433[[#This Row],[Date]])</f>
        <v>4</v>
      </c>
      <c r="N194" s="13">
        <f>DAY(Table433[[#This Row],[Date]])</f>
        <v>15</v>
      </c>
      <c r="O194" s="13" t="str">
        <f>TEXT(DATE(2023,Table433[[#This Row],[Month]],1),"mmm")</f>
        <v>Apr</v>
      </c>
      <c r="P194" s="13"/>
      <c r="Q194" s="13"/>
    </row>
    <row r="195" spans="1:17" x14ac:dyDescent="0.3">
      <c r="A195" s="14">
        <v>194</v>
      </c>
      <c r="B195" s="15">
        <v>45226</v>
      </c>
      <c r="C195" s="16" t="s">
        <v>44</v>
      </c>
      <c r="D195" s="16" t="s">
        <v>34</v>
      </c>
      <c r="E195" s="16" t="s">
        <v>19</v>
      </c>
      <c r="F195" s="16" t="s">
        <v>20</v>
      </c>
      <c r="G195" s="16" t="s">
        <v>28</v>
      </c>
      <c r="H195" s="17">
        <v>38828.89</v>
      </c>
      <c r="I195" s="16">
        <v>1</v>
      </c>
      <c r="J195" s="18">
        <v>3558.41</v>
      </c>
      <c r="K195" s="17" t="str" cm="1">
        <f t="array" ref="K195">_xlfn.IFS(Table433[[#This Row],[Sales]]&gt;40000,"Best Sales",Table433[[#This Row],[Sales]]&gt;20000,"Average Sales",Table433[[#This Row],[Sales]]&gt;0,"Poor Sales")</f>
        <v>Average Sales</v>
      </c>
      <c r="L195" s="12">
        <f>YEAR(Table433[[#This Row],[Date]])</f>
        <v>2023</v>
      </c>
      <c r="M195" s="12">
        <f>MONTH(Table433[[#This Row],[Date]])</f>
        <v>10</v>
      </c>
      <c r="N195" s="13">
        <f>DAY(Table433[[#This Row],[Date]])</f>
        <v>27</v>
      </c>
      <c r="O195" s="13" t="str">
        <f>TEXT(DATE(2023,Table433[[#This Row],[Month]],1),"mmm")</f>
        <v>Oct</v>
      </c>
      <c r="P195" s="13"/>
      <c r="Q195" s="13"/>
    </row>
    <row r="196" spans="1:17" x14ac:dyDescent="0.3">
      <c r="A196" s="6">
        <v>195</v>
      </c>
      <c r="B196" s="7">
        <v>45285</v>
      </c>
      <c r="C196" s="8" t="s">
        <v>17</v>
      </c>
      <c r="D196" s="8" t="s">
        <v>18</v>
      </c>
      <c r="E196" s="8" t="s">
        <v>24</v>
      </c>
      <c r="F196" s="8" t="s">
        <v>20</v>
      </c>
      <c r="G196" s="8" t="s">
        <v>41</v>
      </c>
      <c r="H196" s="9">
        <v>40947.69</v>
      </c>
      <c r="I196" s="8">
        <v>10</v>
      </c>
      <c r="J196" s="10">
        <v>3402.46</v>
      </c>
      <c r="K196" s="17" t="str" cm="1">
        <f t="array" ref="K196">_xlfn.IFS(Table433[[#This Row],[Sales]]&gt;40000,"Best Sales",Table433[[#This Row],[Sales]]&gt;20000,"Average Sales",Table433[[#This Row],[Sales]]&gt;0,"Poor Sales")</f>
        <v>Best Sales</v>
      </c>
      <c r="L196" s="12">
        <f>YEAR(Table433[[#This Row],[Date]])</f>
        <v>2023</v>
      </c>
      <c r="M196" s="12">
        <f>MONTH(Table433[[#This Row],[Date]])</f>
        <v>12</v>
      </c>
      <c r="N196" s="13">
        <f>DAY(Table433[[#This Row],[Date]])</f>
        <v>25</v>
      </c>
      <c r="O196" s="13" t="str">
        <f>TEXT(DATE(2023,Table433[[#This Row],[Month]],1),"mmm")</f>
        <v>Dec</v>
      </c>
      <c r="P196" s="13"/>
      <c r="Q196" s="13"/>
    </row>
    <row r="197" spans="1:17" x14ac:dyDescent="0.3">
      <c r="A197" s="14">
        <v>196</v>
      </c>
      <c r="B197" s="15">
        <v>45132</v>
      </c>
      <c r="C197" s="16" t="s">
        <v>45</v>
      </c>
      <c r="D197" s="16" t="s">
        <v>34</v>
      </c>
      <c r="E197" s="16" t="s">
        <v>19</v>
      </c>
      <c r="F197" s="16" t="s">
        <v>20</v>
      </c>
      <c r="G197" s="16" t="s">
        <v>41</v>
      </c>
      <c r="H197" s="17">
        <v>42010.67</v>
      </c>
      <c r="I197" s="16">
        <v>2</v>
      </c>
      <c r="J197" s="18">
        <v>11879.89</v>
      </c>
      <c r="K197" s="17" t="str" cm="1">
        <f t="array" ref="K197">_xlfn.IFS(Table433[[#This Row],[Sales]]&gt;40000,"Best Sales",Table433[[#This Row],[Sales]]&gt;20000,"Average Sales",Table433[[#This Row],[Sales]]&gt;0,"Poor Sales")</f>
        <v>Best Sales</v>
      </c>
      <c r="L197" s="12">
        <f>YEAR(Table433[[#This Row],[Date]])</f>
        <v>2023</v>
      </c>
      <c r="M197" s="12">
        <f>MONTH(Table433[[#This Row],[Date]])</f>
        <v>7</v>
      </c>
      <c r="N197" s="13">
        <f>DAY(Table433[[#This Row],[Date]])</f>
        <v>25</v>
      </c>
      <c r="O197" s="13" t="str">
        <f>TEXT(DATE(2023,Table433[[#This Row],[Month]],1),"mmm")</f>
        <v>Jul</v>
      </c>
      <c r="P197" s="13"/>
      <c r="Q197" s="13"/>
    </row>
    <row r="198" spans="1:17" x14ac:dyDescent="0.3">
      <c r="A198" s="6">
        <v>197</v>
      </c>
      <c r="B198" s="7">
        <v>44951</v>
      </c>
      <c r="C198" s="8" t="s">
        <v>17</v>
      </c>
      <c r="D198" s="8" t="s">
        <v>18</v>
      </c>
      <c r="E198" s="8" t="s">
        <v>24</v>
      </c>
      <c r="F198" s="8" t="s">
        <v>38</v>
      </c>
      <c r="G198" s="8" t="s">
        <v>40</v>
      </c>
      <c r="H198" s="9">
        <v>15486.53</v>
      </c>
      <c r="I198" s="8">
        <v>3</v>
      </c>
      <c r="J198" s="10">
        <v>3644.96</v>
      </c>
      <c r="K198" s="17" t="str" cm="1">
        <f t="array" ref="K198">_xlfn.IFS(Table433[[#This Row],[Sales]]&gt;40000,"Best Sales",Table433[[#This Row],[Sales]]&gt;20000,"Average Sales",Table433[[#This Row],[Sales]]&gt;0,"Poor Sales")</f>
        <v>Poor Sales</v>
      </c>
      <c r="L198" s="12">
        <f>YEAR(Table433[[#This Row],[Date]])</f>
        <v>2023</v>
      </c>
      <c r="M198" s="12">
        <f>MONTH(Table433[[#This Row],[Date]])</f>
        <v>1</v>
      </c>
      <c r="N198" s="13">
        <f>DAY(Table433[[#This Row],[Date]])</f>
        <v>25</v>
      </c>
      <c r="O198" s="13" t="str">
        <f>TEXT(DATE(2023,Table433[[#This Row],[Month]],1),"mmm")</f>
        <v>Jan</v>
      </c>
      <c r="P198" s="13"/>
      <c r="Q198" s="13"/>
    </row>
    <row r="199" spans="1:17" x14ac:dyDescent="0.3">
      <c r="A199" s="14">
        <v>198</v>
      </c>
      <c r="B199" s="15">
        <v>44962</v>
      </c>
      <c r="C199" s="16" t="s">
        <v>42</v>
      </c>
      <c r="D199" s="16" t="s">
        <v>43</v>
      </c>
      <c r="E199" s="16" t="s">
        <v>27</v>
      </c>
      <c r="F199" s="16" t="s">
        <v>20</v>
      </c>
      <c r="G199" s="16" t="s">
        <v>41</v>
      </c>
      <c r="H199" s="17">
        <v>30608.400000000001</v>
      </c>
      <c r="I199" s="16">
        <v>1</v>
      </c>
      <c r="J199" s="18">
        <v>2635.57</v>
      </c>
      <c r="K199" s="17" t="str" cm="1">
        <f t="array" ref="K199">_xlfn.IFS(Table433[[#This Row],[Sales]]&gt;40000,"Best Sales",Table433[[#This Row],[Sales]]&gt;20000,"Average Sales",Table433[[#This Row],[Sales]]&gt;0,"Poor Sales")</f>
        <v>Average Sales</v>
      </c>
      <c r="L199" s="12">
        <f>YEAR(Table433[[#This Row],[Date]])</f>
        <v>2023</v>
      </c>
      <c r="M199" s="12">
        <f>MONTH(Table433[[#This Row],[Date]])</f>
        <v>2</v>
      </c>
      <c r="N199" s="13">
        <f>DAY(Table433[[#This Row],[Date]])</f>
        <v>5</v>
      </c>
      <c r="O199" s="13" t="str">
        <f>TEXT(DATE(2023,Table433[[#This Row],[Month]],1),"mmm")</f>
        <v>Feb</v>
      </c>
      <c r="P199" s="13"/>
      <c r="Q199" s="13"/>
    </row>
    <row r="200" spans="1:17" x14ac:dyDescent="0.3">
      <c r="A200" s="6">
        <v>199</v>
      </c>
      <c r="B200" s="7">
        <v>45181</v>
      </c>
      <c r="C200" s="8" t="s">
        <v>25</v>
      </c>
      <c r="D200" s="8" t="s">
        <v>26</v>
      </c>
      <c r="E200" s="8" t="s">
        <v>27</v>
      </c>
      <c r="F200" s="8" t="s">
        <v>38</v>
      </c>
      <c r="G200" s="8" t="s">
        <v>40</v>
      </c>
      <c r="H200" s="9">
        <v>15000.25</v>
      </c>
      <c r="I200" s="8">
        <v>1</v>
      </c>
      <c r="J200" s="10">
        <v>3201.7</v>
      </c>
      <c r="K200" s="17" t="str" cm="1">
        <f t="array" ref="K200">_xlfn.IFS(Table433[[#This Row],[Sales]]&gt;40000,"Best Sales",Table433[[#This Row],[Sales]]&gt;20000,"Average Sales",Table433[[#This Row],[Sales]]&gt;0,"Poor Sales")</f>
        <v>Poor Sales</v>
      </c>
      <c r="L200" s="12">
        <f>YEAR(Table433[[#This Row],[Date]])</f>
        <v>2023</v>
      </c>
      <c r="M200" s="12">
        <f>MONTH(Table433[[#This Row],[Date]])</f>
        <v>9</v>
      </c>
      <c r="N200" s="13">
        <f>DAY(Table433[[#This Row],[Date]])</f>
        <v>12</v>
      </c>
      <c r="O200" s="13" t="str">
        <f>TEXT(DATE(2023,Table433[[#This Row],[Month]],1),"mmm")</f>
        <v>Sep</v>
      </c>
      <c r="P200" s="13"/>
      <c r="Q200" s="13"/>
    </row>
    <row r="201" spans="1:17" x14ac:dyDescent="0.3">
      <c r="A201" s="14">
        <v>200</v>
      </c>
      <c r="B201" s="15">
        <v>45266</v>
      </c>
      <c r="C201" s="16" t="s">
        <v>22</v>
      </c>
      <c r="D201" s="16" t="s">
        <v>23</v>
      </c>
      <c r="E201" s="16" t="s">
        <v>19</v>
      </c>
      <c r="F201" s="16" t="s">
        <v>31</v>
      </c>
      <c r="G201" s="16" t="s">
        <v>32</v>
      </c>
      <c r="H201" s="17">
        <v>30584.37</v>
      </c>
      <c r="I201" s="16">
        <v>4</v>
      </c>
      <c r="J201" s="18">
        <v>5866.07</v>
      </c>
      <c r="K201" s="17" t="str" cm="1">
        <f t="array" ref="K201">_xlfn.IFS(Table433[[#This Row],[Sales]]&gt;40000,"Best Sales",Table433[[#This Row],[Sales]]&gt;20000,"Average Sales",Table433[[#This Row],[Sales]]&gt;0,"Poor Sales")</f>
        <v>Average Sales</v>
      </c>
      <c r="L201" s="12">
        <f>YEAR(Table433[[#This Row],[Date]])</f>
        <v>2023</v>
      </c>
      <c r="M201" s="12">
        <f>MONTH(Table433[[#This Row],[Date]])</f>
        <v>12</v>
      </c>
      <c r="N201" s="13">
        <f>DAY(Table433[[#This Row],[Date]])</f>
        <v>6</v>
      </c>
      <c r="O201" s="13" t="str">
        <f>TEXT(DATE(2023,Table433[[#This Row],[Month]],1),"mmm")</f>
        <v>Dec</v>
      </c>
      <c r="P201" s="13"/>
      <c r="Q201" s="13"/>
    </row>
    <row r="202" spans="1:17" x14ac:dyDescent="0.3">
      <c r="A202" s="6">
        <v>201</v>
      </c>
      <c r="B202" s="7">
        <v>44995</v>
      </c>
      <c r="C202" s="8" t="s">
        <v>37</v>
      </c>
      <c r="D202" s="8" t="s">
        <v>23</v>
      </c>
      <c r="E202" s="8" t="s">
        <v>24</v>
      </c>
      <c r="F202" s="8" t="s">
        <v>31</v>
      </c>
      <c r="G202" s="8" t="s">
        <v>36</v>
      </c>
      <c r="H202" s="9">
        <v>2307.9</v>
      </c>
      <c r="I202" s="8">
        <v>2</v>
      </c>
      <c r="J202" s="10">
        <v>185.88</v>
      </c>
      <c r="K202" s="17" t="str" cm="1">
        <f t="array" ref="K202">_xlfn.IFS(Table433[[#This Row],[Sales]]&gt;40000,"Best Sales",Table433[[#This Row],[Sales]]&gt;20000,"Average Sales",Table433[[#This Row],[Sales]]&gt;0,"Poor Sales")</f>
        <v>Poor Sales</v>
      </c>
      <c r="L202" s="12">
        <f>YEAR(Table433[[#This Row],[Date]])</f>
        <v>2023</v>
      </c>
      <c r="M202" s="12">
        <f>MONTH(Table433[[#This Row],[Date]])</f>
        <v>3</v>
      </c>
      <c r="N202" s="13">
        <f>DAY(Table433[[#This Row],[Date]])</f>
        <v>10</v>
      </c>
      <c r="O202" s="13" t="str">
        <f>TEXT(DATE(2023,Table433[[#This Row],[Month]],1),"mmm")</f>
        <v>Mar</v>
      </c>
      <c r="P202" s="13"/>
      <c r="Q202" s="13"/>
    </row>
    <row r="203" spans="1:17" x14ac:dyDescent="0.3">
      <c r="A203" s="14">
        <v>202</v>
      </c>
      <c r="B203" s="15">
        <v>45210</v>
      </c>
      <c r="C203" s="16" t="s">
        <v>22</v>
      </c>
      <c r="D203" s="16" t="s">
        <v>23</v>
      </c>
      <c r="E203" s="16" t="s">
        <v>19</v>
      </c>
      <c r="F203" s="16" t="s">
        <v>31</v>
      </c>
      <c r="G203" s="16" t="s">
        <v>35</v>
      </c>
      <c r="H203" s="17">
        <v>46291.49</v>
      </c>
      <c r="I203" s="16">
        <v>6</v>
      </c>
      <c r="J203" s="18">
        <v>5632.5</v>
      </c>
      <c r="K203" s="17" t="str" cm="1">
        <f t="array" ref="K203">_xlfn.IFS(Table433[[#This Row],[Sales]]&gt;40000,"Best Sales",Table433[[#This Row],[Sales]]&gt;20000,"Average Sales",Table433[[#This Row],[Sales]]&gt;0,"Poor Sales")</f>
        <v>Best Sales</v>
      </c>
      <c r="L203" s="12">
        <f>YEAR(Table433[[#This Row],[Date]])</f>
        <v>2023</v>
      </c>
      <c r="M203" s="12">
        <f>MONTH(Table433[[#This Row],[Date]])</f>
        <v>10</v>
      </c>
      <c r="N203" s="13">
        <f>DAY(Table433[[#This Row],[Date]])</f>
        <v>11</v>
      </c>
      <c r="O203" s="13" t="str">
        <f>TEXT(DATE(2023,Table433[[#This Row],[Month]],1),"mmm")</f>
        <v>Oct</v>
      </c>
      <c r="P203" s="13"/>
      <c r="Q203" s="13"/>
    </row>
    <row r="204" spans="1:17" x14ac:dyDescent="0.3">
      <c r="A204" s="6">
        <v>203</v>
      </c>
      <c r="B204" s="7">
        <v>44974</v>
      </c>
      <c r="C204" s="8" t="s">
        <v>45</v>
      </c>
      <c r="D204" s="8" t="s">
        <v>34</v>
      </c>
      <c r="E204" s="8" t="s">
        <v>24</v>
      </c>
      <c r="F204" s="8" t="s">
        <v>20</v>
      </c>
      <c r="G204" s="8" t="s">
        <v>28</v>
      </c>
      <c r="H204" s="9">
        <v>14665.44</v>
      </c>
      <c r="I204" s="8">
        <v>7</v>
      </c>
      <c r="J204" s="10">
        <v>2033.06</v>
      </c>
      <c r="K204" s="17" t="str" cm="1">
        <f t="array" ref="K204">_xlfn.IFS(Table433[[#This Row],[Sales]]&gt;40000,"Best Sales",Table433[[#This Row],[Sales]]&gt;20000,"Average Sales",Table433[[#This Row],[Sales]]&gt;0,"Poor Sales")</f>
        <v>Poor Sales</v>
      </c>
      <c r="L204" s="12">
        <f>YEAR(Table433[[#This Row],[Date]])</f>
        <v>2023</v>
      </c>
      <c r="M204" s="12">
        <f>MONTH(Table433[[#This Row],[Date]])</f>
        <v>2</v>
      </c>
      <c r="N204" s="13">
        <f>DAY(Table433[[#This Row],[Date]])</f>
        <v>17</v>
      </c>
      <c r="O204" s="13" t="str">
        <f>TEXT(DATE(2023,Table433[[#This Row],[Month]],1),"mmm")</f>
        <v>Feb</v>
      </c>
      <c r="P204" s="13"/>
      <c r="Q204" s="13"/>
    </row>
    <row r="205" spans="1:17" x14ac:dyDescent="0.3">
      <c r="A205" s="14">
        <v>204</v>
      </c>
      <c r="B205" s="15">
        <v>44982</v>
      </c>
      <c r="C205" s="16" t="s">
        <v>25</v>
      </c>
      <c r="D205" s="16" t="s">
        <v>26</v>
      </c>
      <c r="E205" s="16" t="s">
        <v>27</v>
      </c>
      <c r="F205" s="16" t="s">
        <v>31</v>
      </c>
      <c r="G205" s="16" t="s">
        <v>32</v>
      </c>
      <c r="H205" s="17">
        <v>29742</v>
      </c>
      <c r="I205" s="16">
        <v>1</v>
      </c>
      <c r="J205" s="18">
        <v>5975.9</v>
      </c>
      <c r="K205" s="17" t="str" cm="1">
        <f t="array" ref="K205">_xlfn.IFS(Table433[[#This Row],[Sales]]&gt;40000,"Best Sales",Table433[[#This Row],[Sales]]&gt;20000,"Average Sales",Table433[[#This Row],[Sales]]&gt;0,"Poor Sales")</f>
        <v>Average Sales</v>
      </c>
      <c r="L205" s="12">
        <f>YEAR(Table433[[#This Row],[Date]])</f>
        <v>2023</v>
      </c>
      <c r="M205" s="12">
        <f>MONTH(Table433[[#This Row],[Date]])</f>
        <v>2</v>
      </c>
      <c r="N205" s="13">
        <f>DAY(Table433[[#This Row],[Date]])</f>
        <v>25</v>
      </c>
      <c r="O205" s="13" t="str">
        <f>TEXT(DATE(2023,Table433[[#This Row],[Month]],1),"mmm")</f>
        <v>Feb</v>
      </c>
      <c r="P205" s="13"/>
      <c r="Q205" s="13"/>
    </row>
    <row r="206" spans="1:17" x14ac:dyDescent="0.3">
      <c r="A206" s="6">
        <v>205</v>
      </c>
      <c r="B206" s="7">
        <v>44955</v>
      </c>
      <c r="C206" s="8" t="s">
        <v>22</v>
      </c>
      <c r="D206" s="8" t="s">
        <v>23</v>
      </c>
      <c r="E206" s="8" t="s">
        <v>27</v>
      </c>
      <c r="F206" s="8" t="s">
        <v>20</v>
      </c>
      <c r="G206" s="8" t="s">
        <v>41</v>
      </c>
      <c r="H206" s="9">
        <v>35349.51</v>
      </c>
      <c r="I206" s="8">
        <v>4</v>
      </c>
      <c r="J206" s="10">
        <v>10510.77</v>
      </c>
      <c r="K206" s="17" t="str" cm="1">
        <f t="array" ref="K206">_xlfn.IFS(Table433[[#This Row],[Sales]]&gt;40000,"Best Sales",Table433[[#This Row],[Sales]]&gt;20000,"Average Sales",Table433[[#This Row],[Sales]]&gt;0,"Poor Sales")</f>
        <v>Average Sales</v>
      </c>
      <c r="L206" s="12">
        <f>YEAR(Table433[[#This Row],[Date]])</f>
        <v>2023</v>
      </c>
      <c r="M206" s="12">
        <f>MONTH(Table433[[#This Row],[Date]])</f>
        <v>1</v>
      </c>
      <c r="N206" s="13">
        <f>DAY(Table433[[#This Row],[Date]])</f>
        <v>29</v>
      </c>
      <c r="O206" s="13" t="str">
        <f>TEXT(DATE(2023,Table433[[#This Row],[Month]],1),"mmm")</f>
        <v>Jan</v>
      </c>
      <c r="P206" s="13"/>
      <c r="Q206" s="13"/>
    </row>
    <row r="207" spans="1:17" x14ac:dyDescent="0.3">
      <c r="A207" s="14">
        <v>206</v>
      </c>
      <c r="B207" s="15">
        <v>45253</v>
      </c>
      <c r="C207" s="16" t="s">
        <v>33</v>
      </c>
      <c r="D207" s="16" t="s">
        <v>34</v>
      </c>
      <c r="E207" s="16" t="s">
        <v>19</v>
      </c>
      <c r="F207" s="16" t="s">
        <v>20</v>
      </c>
      <c r="G207" s="16" t="s">
        <v>21</v>
      </c>
      <c r="H207" s="17">
        <v>25985.13</v>
      </c>
      <c r="I207" s="16">
        <v>6</v>
      </c>
      <c r="J207" s="18">
        <v>2350.9299999999998</v>
      </c>
      <c r="K207" s="17" t="str" cm="1">
        <f t="array" ref="K207">_xlfn.IFS(Table433[[#This Row],[Sales]]&gt;40000,"Best Sales",Table433[[#This Row],[Sales]]&gt;20000,"Average Sales",Table433[[#This Row],[Sales]]&gt;0,"Poor Sales")</f>
        <v>Average Sales</v>
      </c>
      <c r="L207" s="12">
        <f>YEAR(Table433[[#This Row],[Date]])</f>
        <v>2023</v>
      </c>
      <c r="M207" s="12">
        <f>MONTH(Table433[[#This Row],[Date]])</f>
        <v>11</v>
      </c>
      <c r="N207" s="13">
        <f>DAY(Table433[[#This Row],[Date]])</f>
        <v>23</v>
      </c>
      <c r="O207" s="13" t="str">
        <f>TEXT(DATE(2023,Table433[[#This Row],[Month]],1),"mmm")</f>
        <v>Nov</v>
      </c>
      <c r="P207" s="13"/>
      <c r="Q207" s="13"/>
    </row>
    <row r="208" spans="1:17" x14ac:dyDescent="0.3">
      <c r="A208" s="6">
        <v>207</v>
      </c>
      <c r="B208" s="7">
        <v>45156</v>
      </c>
      <c r="C208" s="8" t="s">
        <v>37</v>
      </c>
      <c r="D208" s="8" t="s">
        <v>23</v>
      </c>
      <c r="E208" s="8" t="s">
        <v>24</v>
      </c>
      <c r="F208" s="8" t="s">
        <v>31</v>
      </c>
      <c r="G208" s="8" t="s">
        <v>32</v>
      </c>
      <c r="H208" s="9">
        <v>42832.639999999999</v>
      </c>
      <c r="I208" s="8">
        <v>7</v>
      </c>
      <c r="J208" s="10">
        <v>9063.49</v>
      </c>
      <c r="K208" s="17" t="str" cm="1">
        <f t="array" ref="K208">_xlfn.IFS(Table433[[#This Row],[Sales]]&gt;40000,"Best Sales",Table433[[#This Row],[Sales]]&gt;20000,"Average Sales",Table433[[#This Row],[Sales]]&gt;0,"Poor Sales")</f>
        <v>Best Sales</v>
      </c>
      <c r="L208" s="12">
        <f>YEAR(Table433[[#This Row],[Date]])</f>
        <v>2023</v>
      </c>
      <c r="M208" s="12">
        <f>MONTH(Table433[[#This Row],[Date]])</f>
        <v>8</v>
      </c>
      <c r="N208" s="13">
        <f>DAY(Table433[[#This Row],[Date]])</f>
        <v>18</v>
      </c>
      <c r="O208" s="13" t="str">
        <f>TEXT(DATE(2023,Table433[[#This Row],[Month]],1),"mmm")</f>
        <v>Aug</v>
      </c>
      <c r="P208" s="13"/>
      <c r="Q208" s="13"/>
    </row>
    <row r="209" spans="1:17" x14ac:dyDescent="0.3">
      <c r="A209" s="14">
        <v>208</v>
      </c>
      <c r="B209" s="15">
        <v>45079</v>
      </c>
      <c r="C209" s="16" t="s">
        <v>44</v>
      </c>
      <c r="D209" s="16" t="s">
        <v>34</v>
      </c>
      <c r="E209" s="16" t="s">
        <v>19</v>
      </c>
      <c r="F209" s="16" t="s">
        <v>38</v>
      </c>
      <c r="G209" s="16" t="s">
        <v>39</v>
      </c>
      <c r="H209" s="17">
        <v>22629.8</v>
      </c>
      <c r="I209" s="16">
        <v>9</v>
      </c>
      <c r="J209" s="18">
        <v>6097.6</v>
      </c>
      <c r="K209" s="17" t="str" cm="1">
        <f t="array" ref="K209">_xlfn.IFS(Table433[[#This Row],[Sales]]&gt;40000,"Best Sales",Table433[[#This Row],[Sales]]&gt;20000,"Average Sales",Table433[[#This Row],[Sales]]&gt;0,"Poor Sales")</f>
        <v>Average Sales</v>
      </c>
      <c r="L209" s="12">
        <f>YEAR(Table433[[#This Row],[Date]])</f>
        <v>2023</v>
      </c>
      <c r="M209" s="12">
        <f>MONTH(Table433[[#This Row],[Date]])</f>
        <v>6</v>
      </c>
      <c r="N209" s="13">
        <f>DAY(Table433[[#This Row],[Date]])</f>
        <v>2</v>
      </c>
      <c r="O209" s="13" t="str">
        <f>TEXT(DATE(2023,Table433[[#This Row],[Month]],1),"mmm")</f>
        <v>Jun</v>
      </c>
      <c r="P209" s="13"/>
      <c r="Q209" s="13"/>
    </row>
    <row r="210" spans="1:17" x14ac:dyDescent="0.3">
      <c r="A210" s="6">
        <v>209</v>
      </c>
      <c r="B210" s="7">
        <v>45030</v>
      </c>
      <c r="C210" s="8" t="s">
        <v>29</v>
      </c>
      <c r="D210" s="8" t="s">
        <v>29</v>
      </c>
      <c r="E210" s="8" t="s">
        <v>24</v>
      </c>
      <c r="F210" s="8" t="s">
        <v>20</v>
      </c>
      <c r="G210" s="8" t="s">
        <v>41</v>
      </c>
      <c r="H210" s="9">
        <v>13679.99</v>
      </c>
      <c r="I210" s="8">
        <v>6</v>
      </c>
      <c r="J210" s="10">
        <v>3823.09</v>
      </c>
      <c r="K210" s="17" t="str" cm="1">
        <f t="array" ref="K210">_xlfn.IFS(Table433[[#This Row],[Sales]]&gt;40000,"Best Sales",Table433[[#This Row],[Sales]]&gt;20000,"Average Sales",Table433[[#This Row],[Sales]]&gt;0,"Poor Sales")</f>
        <v>Poor Sales</v>
      </c>
      <c r="L210" s="12">
        <f>YEAR(Table433[[#This Row],[Date]])</f>
        <v>2023</v>
      </c>
      <c r="M210" s="12">
        <f>MONTH(Table433[[#This Row],[Date]])</f>
        <v>4</v>
      </c>
      <c r="N210" s="13">
        <f>DAY(Table433[[#This Row],[Date]])</f>
        <v>14</v>
      </c>
      <c r="O210" s="13" t="str">
        <f>TEXT(DATE(2023,Table433[[#This Row],[Month]],1),"mmm")</f>
        <v>Apr</v>
      </c>
      <c r="P210" s="13"/>
      <c r="Q210" s="13"/>
    </row>
    <row r="211" spans="1:17" x14ac:dyDescent="0.3">
      <c r="A211" s="14">
        <v>210</v>
      </c>
      <c r="B211" s="15">
        <v>45183</v>
      </c>
      <c r="C211" s="16" t="s">
        <v>22</v>
      </c>
      <c r="D211" s="16" t="s">
        <v>23</v>
      </c>
      <c r="E211" s="16" t="s">
        <v>27</v>
      </c>
      <c r="F211" s="16" t="s">
        <v>31</v>
      </c>
      <c r="G211" s="16" t="s">
        <v>35</v>
      </c>
      <c r="H211" s="17">
        <v>36043.949999999997</v>
      </c>
      <c r="I211" s="16">
        <v>8</v>
      </c>
      <c r="J211" s="18">
        <v>5946.66</v>
      </c>
      <c r="K211" s="17" t="str" cm="1">
        <f t="array" ref="K211">_xlfn.IFS(Table433[[#This Row],[Sales]]&gt;40000,"Best Sales",Table433[[#This Row],[Sales]]&gt;20000,"Average Sales",Table433[[#This Row],[Sales]]&gt;0,"Poor Sales")</f>
        <v>Average Sales</v>
      </c>
      <c r="L211" s="12">
        <f>YEAR(Table433[[#This Row],[Date]])</f>
        <v>2023</v>
      </c>
      <c r="M211" s="12">
        <f>MONTH(Table433[[#This Row],[Date]])</f>
        <v>9</v>
      </c>
      <c r="N211" s="13">
        <f>DAY(Table433[[#This Row],[Date]])</f>
        <v>14</v>
      </c>
      <c r="O211" s="13" t="str">
        <f>TEXT(DATE(2023,Table433[[#This Row],[Month]],1),"mmm")</f>
        <v>Sep</v>
      </c>
      <c r="P211" s="13"/>
      <c r="Q211" s="13"/>
    </row>
    <row r="212" spans="1:17" x14ac:dyDescent="0.3">
      <c r="A212" s="6">
        <v>211</v>
      </c>
      <c r="B212" s="7">
        <v>45220</v>
      </c>
      <c r="C212" s="8" t="s">
        <v>25</v>
      </c>
      <c r="D212" s="8" t="s">
        <v>26</v>
      </c>
      <c r="E212" s="8" t="s">
        <v>27</v>
      </c>
      <c r="F212" s="8" t="s">
        <v>38</v>
      </c>
      <c r="G212" s="8" t="s">
        <v>40</v>
      </c>
      <c r="H212" s="9">
        <v>8717.0400000000009</v>
      </c>
      <c r="I212" s="8">
        <v>7</v>
      </c>
      <c r="J212" s="10">
        <v>550.32000000000005</v>
      </c>
      <c r="K212" s="17" t="str" cm="1">
        <f t="array" ref="K212">_xlfn.IFS(Table433[[#This Row],[Sales]]&gt;40000,"Best Sales",Table433[[#This Row],[Sales]]&gt;20000,"Average Sales",Table433[[#This Row],[Sales]]&gt;0,"Poor Sales")</f>
        <v>Poor Sales</v>
      </c>
      <c r="L212" s="12">
        <f>YEAR(Table433[[#This Row],[Date]])</f>
        <v>2023</v>
      </c>
      <c r="M212" s="12">
        <f>MONTH(Table433[[#This Row],[Date]])</f>
        <v>10</v>
      </c>
      <c r="N212" s="13">
        <f>DAY(Table433[[#This Row],[Date]])</f>
        <v>21</v>
      </c>
      <c r="O212" s="13" t="str">
        <f>TEXT(DATE(2023,Table433[[#This Row],[Month]],1),"mmm")</f>
        <v>Oct</v>
      </c>
      <c r="P212" s="13"/>
      <c r="Q212" s="13"/>
    </row>
    <row r="213" spans="1:17" x14ac:dyDescent="0.3">
      <c r="A213" s="14">
        <v>212</v>
      </c>
      <c r="B213" s="15">
        <v>45238</v>
      </c>
      <c r="C213" s="16" t="s">
        <v>22</v>
      </c>
      <c r="D213" s="16" t="s">
        <v>23</v>
      </c>
      <c r="E213" s="16" t="s">
        <v>19</v>
      </c>
      <c r="F213" s="16" t="s">
        <v>31</v>
      </c>
      <c r="G213" s="16" t="s">
        <v>35</v>
      </c>
      <c r="H213" s="17">
        <v>49857.23</v>
      </c>
      <c r="I213" s="16">
        <v>1</v>
      </c>
      <c r="J213" s="18">
        <v>9642.2000000000007</v>
      </c>
      <c r="K213" s="17" t="str" cm="1">
        <f t="array" ref="K213">_xlfn.IFS(Table433[[#This Row],[Sales]]&gt;40000,"Best Sales",Table433[[#This Row],[Sales]]&gt;20000,"Average Sales",Table433[[#This Row],[Sales]]&gt;0,"Poor Sales")</f>
        <v>Best Sales</v>
      </c>
      <c r="L213" s="12">
        <f>YEAR(Table433[[#This Row],[Date]])</f>
        <v>2023</v>
      </c>
      <c r="M213" s="12">
        <f>MONTH(Table433[[#This Row],[Date]])</f>
        <v>11</v>
      </c>
      <c r="N213" s="13">
        <f>DAY(Table433[[#This Row],[Date]])</f>
        <v>8</v>
      </c>
      <c r="O213" s="13" t="str">
        <f>TEXT(DATE(2023,Table433[[#This Row],[Month]],1),"mmm")</f>
        <v>Nov</v>
      </c>
      <c r="P213" s="13"/>
      <c r="Q213" s="13"/>
    </row>
    <row r="214" spans="1:17" x14ac:dyDescent="0.3">
      <c r="A214" s="6">
        <v>213</v>
      </c>
      <c r="B214" s="7">
        <v>45287</v>
      </c>
      <c r="C214" s="8" t="s">
        <v>37</v>
      </c>
      <c r="D214" s="8" t="s">
        <v>23</v>
      </c>
      <c r="E214" s="8" t="s">
        <v>24</v>
      </c>
      <c r="F214" s="8" t="s">
        <v>20</v>
      </c>
      <c r="G214" s="8" t="s">
        <v>21</v>
      </c>
      <c r="H214" s="9">
        <v>11971.17</v>
      </c>
      <c r="I214" s="8">
        <v>4</v>
      </c>
      <c r="J214" s="10">
        <v>2338.79</v>
      </c>
      <c r="K214" s="17" t="str" cm="1">
        <f t="array" ref="K214">_xlfn.IFS(Table433[[#This Row],[Sales]]&gt;40000,"Best Sales",Table433[[#This Row],[Sales]]&gt;20000,"Average Sales",Table433[[#This Row],[Sales]]&gt;0,"Poor Sales")</f>
        <v>Poor Sales</v>
      </c>
      <c r="L214" s="12">
        <f>YEAR(Table433[[#This Row],[Date]])</f>
        <v>2023</v>
      </c>
      <c r="M214" s="12">
        <f>MONTH(Table433[[#This Row],[Date]])</f>
        <v>12</v>
      </c>
      <c r="N214" s="13">
        <f>DAY(Table433[[#This Row],[Date]])</f>
        <v>27</v>
      </c>
      <c r="O214" s="13" t="str">
        <f>TEXT(DATE(2023,Table433[[#This Row],[Month]],1),"mmm")</f>
        <v>Dec</v>
      </c>
      <c r="P214" s="13"/>
      <c r="Q214" s="13"/>
    </row>
    <row r="215" spans="1:17" x14ac:dyDescent="0.3">
      <c r="A215" s="14">
        <v>214</v>
      </c>
      <c r="B215" s="15">
        <v>45252</v>
      </c>
      <c r="C215" s="16" t="s">
        <v>17</v>
      </c>
      <c r="D215" s="16" t="s">
        <v>18</v>
      </c>
      <c r="E215" s="16" t="s">
        <v>19</v>
      </c>
      <c r="F215" s="16" t="s">
        <v>20</v>
      </c>
      <c r="G215" s="16" t="s">
        <v>21</v>
      </c>
      <c r="H215" s="17">
        <v>35720.53</v>
      </c>
      <c r="I215" s="16">
        <v>2</v>
      </c>
      <c r="J215" s="18">
        <v>7171.98</v>
      </c>
      <c r="K215" s="17" t="str" cm="1">
        <f t="array" ref="K215">_xlfn.IFS(Table433[[#This Row],[Sales]]&gt;40000,"Best Sales",Table433[[#This Row],[Sales]]&gt;20000,"Average Sales",Table433[[#This Row],[Sales]]&gt;0,"Poor Sales")</f>
        <v>Average Sales</v>
      </c>
      <c r="L215" s="12">
        <f>YEAR(Table433[[#This Row],[Date]])</f>
        <v>2023</v>
      </c>
      <c r="M215" s="12">
        <f>MONTH(Table433[[#This Row],[Date]])</f>
        <v>11</v>
      </c>
      <c r="N215" s="13">
        <f>DAY(Table433[[#This Row],[Date]])</f>
        <v>22</v>
      </c>
      <c r="O215" s="13" t="str">
        <f>TEXT(DATE(2023,Table433[[#This Row],[Month]],1),"mmm")</f>
        <v>Nov</v>
      </c>
      <c r="P215" s="13"/>
      <c r="Q215" s="13"/>
    </row>
    <row r="216" spans="1:17" x14ac:dyDescent="0.3">
      <c r="A216" s="6">
        <v>215</v>
      </c>
      <c r="B216" s="7">
        <v>45167</v>
      </c>
      <c r="C216" s="8" t="s">
        <v>17</v>
      </c>
      <c r="D216" s="8" t="s">
        <v>18</v>
      </c>
      <c r="E216" s="8" t="s">
        <v>24</v>
      </c>
      <c r="F216" s="8" t="s">
        <v>20</v>
      </c>
      <c r="G216" s="8" t="s">
        <v>28</v>
      </c>
      <c r="H216" s="9">
        <v>15091</v>
      </c>
      <c r="I216" s="8">
        <v>10</v>
      </c>
      <c r="J216" s="10">
        <v>4408.8599999999997</v>
      </c>
      <c r="K216" s="17" t="str" cm="1">
        <f t="array" ref="K216">_xlfn.IFS(Table433[[#This Row],[Sales]]&gt;40000,"Best Sales",Table433[[#This Row],[Sales]]&gt;20000,"Average Sales",Table433[[#This Row],[Sales]]&gt;0,"Poor Sales")</f>
        <v>Poor Sales</v>
      </c>
      <c r="L216" s="12">
        <f>YEAR(Table433[[#This Row],[Date]])</f>
        <v>2023</v>
      </c>
      <c r="M216" s="12">
        <f>MONTH(Table433[[#This Row],[Date]])</f>
        <v>8</v>
      </c>
      <c r="N216" s="13">
        <f>DAY(Table433[[#This Row],[Date]])</f>
        <v>29</v>
      </c>
      <c r="O216" s="13" t="str">
        <f>TEXT(DATE(2023,Table433[[#This Row],[Month]],1),"mmm")</f>
        <v>Aug</v>
      </c>
      <c r="P216" s="13"/>
      <c r="Q216" s="13"/>
    </row>
    <row r="217" spans="1:17" x14ac:dyDescent="0.3">
      <c r="A217" s="14">
        <v>216</v>
      </c>
      <c r="B217" s="15">
        <v>45142</v>
      </c>
      <c r="C217" s="16" t="s">
        <v>45</v>
      </c>
      <c r="D217" s="16" t="s">
        <v>34</v>
      </c>
      <c r="E217" s="16" t="s">
        <v>27</v>
      </c>
      <c r="F217" s="16" t="s">
        <v>20</v>
      </c>
      <c r="G217" s="16" t="s">
        <v>28</v>
      </c>
      <c r="H217" s="17">
        <v>1464.91</v>
      </c>
      <c r="I217" s="16">
        <v>2</v>
      </c>
      <c r="J217" s="18">
        <v>166.33</v>
      </c>
      <c r="K217" s="17" t="str" cm="1">
        <f t="array" ref="K217">_xlfn.IFS(Table433[[#This Row],[Sales]]&gt;40000,"Best Sales",Table433[[#This Row],[Sales]]&gt;20000,"Average Sales",Table433[[#This Row],[Sales]]&gt;0,"Poor Sales")</f>
        <v>Poor Sales</v>
      </c>
      <c r="L217" s="12">
        <f>YEAR(Table433[[#This Row],[Date]])</f>
        <v>2023</v>
      </c>
      <c r="M217" s="12">
        <f>MONTH(Table433[[#This Row],[Date]])</f>
        <v>8</v>
      </c>
      <c r="N217" s="13">
        <f>DAY(Table433[[#This Row],[Date]])</f>
        <v>4</v>
      </c>
      <c r="O217" s="13" t="str">
        <f>TEXT(DATE(2023,Table433[[#This Row],[Month]],1),"mmm")</f>
        <v>Aug</v>
      </c>
      <c r="P217" s="13"/>
      <c r="Q217" s="13"/>
    </row>
    <row r="218" spans="1:17" x14ac:dyDescent="0.3">
      <c r="A218" s="6">
        <v>217</v>
      </c>
      <c r="B218" s="7">
        <v>45057</v>
      </c>
      <c r="C218" s="8" t="s">
        <v>45</v>
      </c>
      <c r="D218" s="8" t="s">
        <v>34</v>
      </c>
      <c r="E218" s="8" t="s">
        <v>27</v>
      </c>
      <c r="F218" s="8" t="s">
        <v>20</v>
      </c>
      <c r="G218" s="8" t="s">
        <v>21</v>
      </c>
      <c r="H218" s="9">
        <v>20871</v>
      </c>
      <c r="I218" s="8">
        <v>6</v>
      </c>
      <c r="J218" s="10">
        <v>1123.25</v>
      </c>
      <c r="K218" s="17" t="str" cm="1">
        <f t="array" ref="K218">_xlfn.IFS(Table433[[#This Row],[Sales]]&gt;40000,"Best Sales",Table433[[#This Row],[Sales]]&gt;20000,"Average Sales",Table433[[#This Row],[Sales]]&gt;0,"Poor Sales")</f>
        <v>Average Sales</v>
      </c>
      <c r="L218" s="12">
        <f>YEAR(Table433[[#This Row],[Date]])</f>
        <v>2023</v>
      </c>
      <c r="M218" s="12">
        <f>MONTH(Table433[[#This Row],[Date]])</f>
        <v>5</v>
      </c>
      <c r="N218" s="13">
        <f>DAY(Table433[[#This Row],[Date]])</f>
        <v>11</v>
      </c>
      <c r="O218" s="13" t="str">
        <f>TEXT(DATE(2023,Table433[[#This Row],[Month]],1),"mmm")</f>
        <v>May</v>
      </c>
      <c r="P218" s="13"/>
      <c r="Q218" s="13"/>
    </row>
    <row r="219" spans="1:17" x14ac:dyDescent="0.3">
      <c r="A219" s="14">
        <v>218</v>
      </c>
      <c r="B219" s="15">
        <v>45060</v>
      </c>
      <c r="C219" s="16" t="s">
        <v>17</v>
      </c>
      <c r="D219" s="16" t="s">
        <v>18</v>
      </c>
      <c r="E219" s="16" t="s">
        <v>19</v>
      </c>
      <c r="F219" s="16" t="s">
        <v>38</v>
      </c>
      <c r="G219" s="16" t="s">
        <v>46</v>
      </c>
      <c r="H219" s="17">
        <v>16475.830000000002</v>
      </c>
      <c r="I219" s="16">
        <v>3</v>
      </c>
      <c r="J219" s="18">
        <v>2544.4499999999998</v>
      </c>
      <c r="K219" s="17" t="str" cm="1">
        <f t="array" ref="K219">_xlfn.IFS(Table433[[#This Row],[Sales]]&gt;40000,"Best Sales",Table433[[#This Row],[Sales]]&gt;20000,"Average Sales",Table433[[#This Row],[Sales]]&gt;0,"Poor Sales")</f>
        <v>Poor Sales</v>
      </c>
      <c r="L219" s="12">
        <f>YEAR(Table433[[#This Row],[Date]])</f>
        <v>2023</v>
      </c>
      <c r="M219" s="12">
        <f>MONTH(Table433[[#This Row],[Date]])</f>
        <v>5</v>
      </c>
      <c r="N219" s="13">
        <f>DAY(Table433[[#This Row],[Date]])</f>
        <v>14</v>
      </c>
      <c r="O219" s="13" t="str">
        <f>TEXT(DATE(2023,Table433[[#This Row],[Month]],1),"mmm")</f>
        <v>May</v>
      </c>
      <c r="P219" s="13"/>
      <c r="Q219" s="13"/>
    </row>
    <row r="220" spans="1:17" x14ac:dyDescent="0.3">
      <c r="A220" s="6">
        <v>219</v>
      </c>
      <c r="B220" s="7">
        <v>45166</v>
      </c>
      <c r="C220" s="8" t="s">
        <v>22</v>
      </c>
      <c r="D220" s="8" t="s">
        <v>23</v>
      </c>
      <c r="E220" s="8" t="s">
        <v>24</v>
      </c>
      <c r="F220" s="8" t="s">
        <v>20</v>
      </c>
      <c r="G220" s="8" t="s">
        <v>28</v>
      </c>
      <c r="H220" s="9">
        <v>40284</v>
      </c>
      <c r="I220" s="8">
        <v>5</v>
      </c>
      <c r="J220" s="10">
        <v>10032.85</v>
      </c>
      <c r="K220" s="17" t="str" cm="1">
        <f t="array" ref="K220">_xlfn.IFS(Table433[[#This Row],[Sales]]&gt;40000,"Best Sales",Table433[[#This Row],[Sales]]&gt;20000,"Average Sales",Table433[[#This Row],[Sales]]&gt;0,"Poor Sales")</f>
        <v>Best Sales</v>
      </c>
      <c r="L220" s="12">
        <f>YEAR(Table433[[#This Row],[Date]])</f>
        <v>2023</v>
      </c>
      <c r="M220" s="12">
        <f>MONTH(Table433[[#This Row],[Date]])</f>
        <v>8</v>
      </c>
      <c r="N220" s="13">
        <f>DAY(Table433[[#This Row],[Date]])</f>
        <v>28</v>
      </c>
      <c r="O220" s="13" t="str">
        <f>TEXT(DATE(2023,Table433[[#This Row],[Month]],1),"mmm")</f>
        <v>Aug</v>
      </c>
      <c r="P220" s="13"/>
      <c r="Q220" s="13"/>
    </row>
    <row r="221" spans="1:17" x14ac:dyDescent="0.3">
      <c r="A221" s="14">
        <v>220</v>
      </c>
      <c r="B221" s="15">
        <v>45188</v>
      </c>
      <c r="C221" s="16" t="s">
        <v>42</v>
      </c>
      <c r="D221" s="16" t="s">
        <v>43</v>
      </c>
      <c r="E221" s="16" t="s">
        <v>19</v>
      </c>
      <c r="F221" s="16" t="s">
        <v>20</v>
      </c>
      <c r="G221" s="16" t="s">
        <v>21</v>
      </c>
      <c r="H221" s="17">
        <v>8686.2199999999993</v>
      </c>
      <c r="I221" s="16">
        <v>2</v>
      </c>
      <c r="J221" s="18">
        <v>929.05</v>
      </c>
      <c r="K221" s="17" t="str" cm="1">
        <f t="array" ref="K221">_xlfn.IFS(Table433[[#This Row],[Sales]]&gt;40000,"Best Sales",Table433[[#This Row],[Sales]]&gt;20000,"Average Sales",Table433[[#This Row],[Sales]]&gt;0,"Poor Sales")</f>
        <v>Poor Sales</v>
      </c>
      <c r="L221" s="12">
        <f>YEAR(Table433[[#This Row],[Date]])</f>
        <v>2023</v>
      </c>
      <c r="M221" s="12">
        <f>MONTH(Table433[[#This Row],[Date]])</f>
        <v>9</v>
      </c>
      <c r="N221" s="13">
        <f>DAY(Table433[[#This Row],[Date]])</f>
        <v>19</v>
      </c>
      <c r="O221" s="13" t="str">
        <f>TEXT(DATE(2023,Table433[[#This Row],[Month]],1),"mmm")</f>
        <v>Sep</v>
      </c>
      <c r="P221" s="13"/>
      <c r="Q221" s="13"/>
    </row>
    <row r="222" spans="1:17" x14ac:dyDescent="0.3">
      <c r="A222" s="6">
        <v>221</v>
      </c>
      <c r="B222" s="7">
        <v>44991</v>
      </c>
      <c r="C222" s="8" t="s">
        <v>44</v>
      </c>
      <c r="D222" s="8" t="s">
        <v>34</v>
      </c>
      <c r="E222" s="8" t="s">
        <v>24</v>
      </c>
      <c r="F222" s="8" t="s">
        <v>31</v>
      </c>
      <c r="G222" s="8" t="s">
        <v>32</v>
      </c>
      <c r="H222" s="9">
        <v>6913.56</v>
      </c>
      <c r="I222" s="8">
        <v>3</v>
      </c>
      <c r="J222" s="10">
        <v>1983.12</v>
      </c>
      <c r="K222" s="17" t="str" cm="1">
        <f t="array" ref="K222">_xlfn.IFS(Table433[[#This Row],[Sales]]&gt;40000,"Best Sales",Table433[[#This Row],[Sales]]&gt;20000,"Average Sales",Table433[[#This Row],[Sales]]&gt;0,"Poor Sales")</f>
        <v>Poor Sales</v>
      </c>
      <c r="L222" s="12">
        <f>YEAR(Table433[[#This Row],[Date]])</f>
        <v>2023</v>
      </c>
      <c r="M222" s="12">
        <f>MONTH(Table433[[#This Row],[Date]])</f>
        <v>3</v>
      </c>
      <c r="N222" s="13">
        <f>DAY(Table433[[#This Row],[Date]])</f>
        <v>6</v>
      </c>
      <c r="O222" s="13" t="str">
        <f>TEXT(DATE(2023,Table433[[#This Row],[Month]],1),"mmm")</f>
        <v>Mar</v>
      </c>
      <c r="P222" s="13"/>
      <c r="Q222" s="13"/>
    </row>
    <row r="223" spans="1:17" x14ac:dyDescent="0.3">
      <c r="A223" s="14">
        <v>222</v>
      </c>
      <c r="B223" s="15">
        <v>45022</v>
      </c>
      <c r="C223" s="16" t="s">
        <v>29</v>
      </c>
      <c r="D223" s="16" t="s">
        <v>29</v>
      </c>
      <c r="E223" s="16" t="s">
        <v>27</v>
      </c>
      <c r="F223" s="16" t="s">
        <v>31</v>
      </c>
      <c r="G223" s="16" t="s">
        <v>35</v>
      </c>
      <c r="H223" s="17">
        <v>37149.339999999997</v>
      </c>
      <c r="I223" s="16">
        <v>10</v>
      </c>
      <c r="J223" s="18">
        <v>10843.22</v>
      </c>
      <c r="K223" s="17" t="str" cm="1">
        <f t="array" ref="K223">_xlfn.IFS(Table433[[#This Row],[Sales]]&gt;40000,"Best Sales",Table433[[#This Row],[Sales]]&gt;20000,"Average Sales",Table433[[#This Row],[Sales]]&gt;0,"Poor Sales")</f>
        <v>Average Sales</v>
      </c>
      <c r="L223" s="12">
        <f>YEAR(Table433[[#This Row],[Date]])</f>
        <v>2023</v>
      </c>
      <c r="M223" s="12">
        <f>MONTH(Table433[[#This Row],[Date]])</f>
        <v>4</v>
      </c>
      <c r="N223" s="13">
        <f>DAY(Table433[[#This Row],[Date]])</f>
        <v>6</v>
      </c>
      <c r="O223" s="13" t="str">
        <f>TEXT(DATE(2023,Table433[[#This Row],[Month]],1),"mmm")</f>
        <v>Apr</v>
      </c>
      <c r="P223" s="13"/>
      <c r="Q223" s="13"/>
    </row>
    <row r="224" spans="1:17" x14ac:dyDescent="0.3">
      <c r="A224" s="6">
        <v>223</v>
      </c>
      <c r="B224" s="7">
        <v>45146</v>
      </c>
      <c r="C224" s="8" t="s">
        <v>33</v>
      </c>
      <c r="D224" s="8" t="s">
        <v>34</v>
      </c>
      <c r="E224" s="8" t="s">
        <v>27</v>
      </c>
      <c r="F224" s="8" t="s">
        <v>20</v>
      </c>
      <c r="G224" s="8" t="s">
        <v>41</v>
      </c>
      <c r="H224" s="9">
        <v>16640.29</v>
      </c>
      <c r="I224" s="8">
        <v>3</v>
      </c>
      <c r="J224" s="10">
        <v>1393.49</v>
      </c>
      <c r="K224" s="17" t="str" cm="1">
        <f t="array" ref="K224">_xlfn.IFS(Table433[[#This Row],[Sales]]&gt;40000,"Best Sales",Table433[[#This Row],[Sales]]&gt;20000,"Average Sales",Table433[[#This Row],[Sales]]&gt;0,"Poor Sales")</f>
        <v>Poor Sales</v>
      </c>
      <c r="L224" s="12">
        <f>YEAR(Table433[[#This Row],[Date]])</f>
        <v>2023</v>
      </c>
      <c r="M224" s="12">
        <f>MONTH(Table433[[#This Row],[Date]])</f>
        <v>8</v>
      </c>
      <c r="N224" s="13">
        <f>DAY(Table433[[#This Row],[Date]])</f>
        <v>8</v>
      </c>
      <c r="O224" s="13" t="str">
        <f>TEXT(DATE(2023,Table433[[#This Row],[Month]],1),"mmm")</f>
        <v>Aug</v>
      </c>
      <c r="P224" s="13"/>
      <c r="Q224" s="13"/>
    </row>
    <row r="225" spans="1:17" x14ac:dyDescent="0.3">
      <c r="A225" s="14">
        <v>224</v>
      </c>
      <c r="B225" s="15">
        <v>44939</v>
      </c>
      <c r="C225" s="16" t="s">
        <v>17</v>
      </c>
      <c r="D225" s="16" t="s">
        <v>18</v>
      </c>
      <c r="E225" s="16" t="s">
        <v>19</v>
      </c>
      <c r="F225" s="16" t="s">
        <v>31</v>
      </c>
      <c r="G225" s="16" t="s">
        <v>35</v>
      </c>
      <c r="H225" s="17">
        <v>21947.32</v>
      </c>
      <c r="I225" s="16">
        <v>3</v>
      </c>
      <c r="J225" s="18">
        <v>6382.79</v>
      </c>
      <c r="K225" s="17" t="str" cm="1">
        <f t="array" ref="K225">_xlfn.IFS(Table433[[#This Row],[Sales]]&gt;40000,"Best Sales",Table433[[#This Row],[Sales]]&gt;20000,"Average Sales",Table433[[#This Row],[Sales]]&gt;0,"Poor Sales")</f>
        <v>Average Sales</v>
      </c>
      <c r="L225" s="12">
        <f>YEAR(Table433[[#This Row],[Date]])</f>
        <v>2023</v>
      </c>
      <c r="M225" s="12">
        <f>MONTH(Table433[[#This Row],[Date]])</f>
        <v>1</v>
      </c>
      <c r="N225" s="13">
        <f>DAY(Table433[[#This Row],[Date]])</f>
        <v>13</v>
      </c>
      <c r="O225" s="13" t="str">
        <f>TEXT(DATE(2023,Table433[[#This Row],[Month]],1),"mmm")</f>
        <v>Jan</v>
      </c>
      <c r="P225" s="13"/>
      <c r="Q225" s="13"/>
    </row>
    <row r="226" spans="1:17" x14ac:dyDescent="0.3">
      <c r="A226" s="6">
        <v>225</v>
      </c>
      <c r="B226" s="7">
        <v>44957</v>
      </c>
      <c r="C226" s="8" t="s">
        <v>17</v>
      </c>
      <c r="D226" s="8" t="s">
        <v>18</v>
      </c>
      <c r="E226" s="8" t="s">
        <v>24</v>
      </c>
      <c r="F226" s="8" t="s">
        <v>38</v>
      </c>
      <c r="G226" s="8" t="s">
        <v>46</v>
      </c>
      <c r="H226" s="9">
        <v>24075.200000000001</v>
      </c>
      <c r="I226" s="8">
        <v>10</v>
      </c>
      <c r="J226" s="10">
        <v>5340.35</v>
      </c>
      <c r="K226" s="17" t="str" cm="1">
        <f t="array" ref="K226">_xlfn.IFS(Table433[[#This Row],[Sales]]&gt;40000,"Best Sales",Table433[[#This Row],[Sales]]&gt;20000,"Average Sales",Table433[[#This Row],[Sales]]&gt;0,"Poor Sales")</f>
        <v>Average Sales</v>
      </c>
      <c r="L226" s="12">
        <f>YEAR(Table433[[#This Row],[Date]])</f>
        <v>2023</v>
      </c>
      <c r="M226" s="12">
        <f>MONTH(Table433[[#This Row],[Date]])</f>
        <v>1</v>
      </c>
      <c r="N226" s="13">
        <f>DAY(Table433[[#This Row],[Date]])</f>
        <v>31</v>
      </c>
      <c r="O226" s="13" t="str">
        <f>TEXT(DATE(2023,Table433[[#This Row],[Month]],1),"mmm")</f>
        <v>Jan</v>
      </c>
      <c r="P226" s="13"/>
      <c r="Q226" s="13"/>
    </row>
    <row r="227" spans="1:17" x14ac:dyDescent="0.3">
      <c r="A227" s="14">
        <v>226</v>
      </c>
      <c r="B227" s="15">
        <v>44969</v>
      </c>
      <c r="C227" s="16" t="s">
        <v>33</v>
      </c>
      <c r="D227" s="16" t="s">
        <v>34</v>
      </c>
      <c r="E227" s="16" t="s">
        <v>19</v>
      </c>
      <c r="F227" s="16" t="s">
        <v>31</v>
      </c>
      <c r="G227" s="16" t="s">
        <v>32</v>
      </c>
      <c r="H227" s="17">
        <v>44542.65</v>
      </c>
      <c r="I227" s="16">
        <v>6</v>
      </c>
      <c r="J227" s="18">
        <v>12094.77</v>
      </c>
      <c r="K227" s="17" t="str" cm="1">
        <f t="array" ref="K227">_xlfn.IFS(Table433[[#This Row],[Sales]]&gt;40000,"Best Sales",Table433[[#This Row],[Sales]]&gt;20000,"Average Sales",Table433[[#This Row],[Sales]]&gt;0,"Poor Sales")</f>
        <v>Best Sales</v>
      </c>
      <c r="L227" s="12">
        <f>YEAR(Table433[[#This Row],[Date]])</f>
        <v>2023</v>
      </c>
      <c r="M227" s="12">
        <f>MONTH(Table433[[#This Row],[Date]])</f>
        <v>2</v>
      </c>
      <c r="N227" s="13">
        <f>DAY(Table433[[#This Row],[Date]])</f>
        <v>12</v>
      </c>
      <c r="O227" s="13" t="str">
        <f>TEXT(DATE(2023,Table433[[#This Row],[Month]],1),"mmm")</f>
        <v>Feb</v>
      </c>
      <c r="P227" s="13"/>
      <c r="Q227" s="13"/>
    </row>
    <row r="228" spans="1:17" x14ac:dyDescent="0.3">
      <c r="A228" s="6">
        <v>227</v>
      </c>
      <c r="B228" s="7">
        <v>44927</v>
      </c>
      <c r="C228" s="8" t="s">
        <v>42</v>
      </c>
      <c r="D228" s="8" t="s">
        <v>43</v>
      </c>
      <c r="E228" s="8" t="s">
        <v>24</v>
      </c>
      <c r="F228" s="8" t="s">
        <v>38</v>
      </c>
      <c r="G228" s="8" t="s">
        <v>46</v>
      </c>
      <c r="H228" s="9">
        <v>42137.27</v>
      </c>
      <c r="I228" s="8">
        <v>5</v>
      </c>
      <c r="J228" s="10">
        <v>5097.54</v>
      </c>
      <c r="K228" s="17" t="str" cm="1">
        <f t="array" ref="K228">_xlfn.IFS(Table433[[#This Row],[Sales]]&gt;40000,"Best Sales",Table433[[#This Row],[Sales]]&gt;20000,"Average Sales",Table433[[#This Row],[Sales]]&gt;0,"Poor Sales")</f>
        <v>Best Sales</v>
      </c>
      <c r="L228" s="12">
        <f>YEAR(Table433[[#This Row],[Date]])</f>
        <v>2023</v>
      </c>
      <c r="M228" s="12">
        <f>MONTH(Table433[[#This Row],[Date]])</f>
        <v>1</v>
      </c>
      <c r="N228" s="13">
        <f>DAY(Table433[[#This Row],[Date]])</f>
        <v>1</v>
      </c>
      <c r="O228" s="13" t="str">
        <f>TEXT(DATE(2023,Table433[[#This Row],[Month]],1),"mmm")</f>
        <v>Jan</v>
      </c>
      <c r="P228" s="13"/>
      <c r="Q228" s="13"/>
    </row>
    <row r="229" spans="1:17" x14ac:dyDescent="0.3">
      <c r="A229" s="14">
        <v>228</v>
      </c>
      <c r="B229" s="15">
        <v>45121</v>
      </c>
      <c r="C229" s="16" t="s">
        <v>37</v>
      </c>
      <c r="D229" s="16" t="s">
        <v>23</v>
      </c>
      <c r="E229" s="16" t="s">
        <v>27</v>
      </c>
      <c r="F229" s="16" t="s">
        <v>38</v>
      </c>
      <c r="G229" s="16" t="s">
        <v>40</v>
      </c>
      <c r="H229" s="17">
        <v>33630.86</v>
      </c>
      <c r="I229" s="16">
        <v>5</v>
      </c>
      <c r="J229" s="18">
        <v>2900.81</v>
      </c>
      <c r="K229" s="17" t="str" cm="1">
        <f t="array" ref="K229">_xlfn.IFS(Table433[[#This Row],[Sales]]&gt;40000,"Best Sales",Table433[[#This Row],[Sales]]&gt;20000,"Average Sales",Table433[[#This Row],[Sales]]&gt;0,"Poor Sales")</f>
        <v>Average Sales</v>
      </c>
      <c r="L229" s="12">
        <f>YEAR(Table433[[#This Row],[Date]])</f>
        <v>2023</v>
      </c>
      <c r="M229" s="12">
        <f>MONTH(Table433[[#This Row],[Date]])</f>
        <v>7</v>
      </c>
      <c r="N229" s="13">
        <f>DAY(Table433[[#This Row],[Date]])</f>
        <v>14</v>
      </c>
      <c r="O229" s="13" t="str">
        <f>TEXT(DATE(2023,Table433[[#This Row],[Month]],1),"mmm")</f>
        <v>Jul</v>
      </c>
      <c r="P229" s="13"/>
      <c r="Q229" s="13"/>
    </row>
    <row r="230" spans="1:17" x14ac:dyDescent="0.3">
      <c r="A230" s="6">
        <v>229</v>
      </c>
      <c r="B230" s="7">
        <v>45263</v>
      </c>
      <c r="C230" s="8" t="s">
        <v>42</v>
      </c>
      <c r="D230" s="8" t="s">
        <v>43</v>
      </c>
      <c r="E230" s="8" t="s">
        <v>27</v>
      </c>
      <c r="F230" s="8" t="s">
        <v>31</v>
      </c>
      <c r="G230" s="8" t="s">
        <v>35</v>
      </c>
      <c r="H230" s="9">
        <v>1156.72</v>
      </c>
      <c r="I230" s="8">
        <v>2</v>
      </c>
      <c r="J230" s="10">
        <v>281.39</v>
      </c>
      <c r="K230" s="17" t="str" cm="1">
        <f t="array" ref="K230">_xlfn.IFS(Table433[[#This Row],[Sales]]&gt;40000,"Best Sales",Table433[[#This Row],[Sales]]&gt;20000,"Average Sales",Table433[[#This Row],[Sales]]&gt;0,"Poor Sales")</f>
        <v>Poor Sales</v>
      </c>
      <c r="L230" s="12">
        <f>YEAR(Table433[[#This Row],[Date]])</f>
        <v>2023</v>
      </c>
      <c r="M230" s="12">
        <f>MONTH(Table433[[#This Row],[Date]])</f>
        <v>12</v>
      </c>
      <c r="N230" s="13">
        <f>DAY(Table433[[#This Row],[Date]])</f>
        <v>3</v>
      </c>
      <c r="O230" s="13" t="str">
        <f>TEXT(DATE(2023,Table433[[#This Row],[Month]],1),"mmm")</f>
        <v>Dec</v>
      </c>
      <c r="P230" s="13"/>
      <c r="Q230" s="13"/>
    </row>
    <row r="231" spans="1:17" x14ac:dyDescent="0.3">
      <c r="A231" s="14">
        <v>230</v>
      </c>
      <c r="B231" s="15">
        <v>45163</v>
      </c>
      <c r="C231" s="16" t="s">
        <v>33</v>
      </c>
      <c r="D231" s="16" t="s">
        <v>34</v>
      </c>
      <c r="E231" s="16" t="s">
        <v>19</v>
      </c>
      <c r="F231" s="16" t="s">
        <v>20</v>
      </c>
      <c r="G231" s="16" t="s">
        <v>28</v>
      </c>
      <c r="H231" s="17">
        <v>28988.87</v>
      </c>
      <c r="I231" s="16">
        <v>4</v>
      </c>
      <c r="J231" s="18">
        <v>8348.4500000000007</v>
      </c>
      <c r="K231" s="17" t="str" cm="1">
        <f t="array" ref="K231">_xlfn.IFS(Table433[[#This Row],[Sales]]&gt;40000,"Best Sales",Table433[[#This Row],[Sales]]&gt;20000,"Average Sales",Table433[[#This Row],[Sales]]&gt;0,"Poor Sales")</f>
        <v>Average Sales</v>
      </c>
      <c r="L231" s="12">
        <f>YEAR(Table433[[#This Row],[Date]])</f>
        <v>2023</v>
      </c>
      <c r="M231" s="12">
        <f>MONTH(Table433[[#This Row],[Date]])</f>
        <v>8</v>
      </c>
      <c r="N231" s="13">
        <f>DAY(Table433[[#This Row],[Date]])</f>
        <v>25</v>
      </c>
      <c r="O231" s="13" t="str">
        <f>TEXT(DATE(2023,Table433[[#This Row],[Month]],1),"mmm")</f>
        <v>Aug</v>
      </c>
      <c r="P231" s="13"/>
      <c r="Q231" s="13"/>
    </row>
    <row r="232" spans="1:17" x14ac:dyDescent="0.3">
      <c r="A232" s="6">
        <v>231</v>
      </c>
      <c r="B232" s="7">
        <v>45227</v>
      </c>
      <c r="C232" s="8" t="s">
        <v>17</v>
      </c>
      <c r="D232" s="8" t="s">
        <v>18</v>
      </c>
      <c r="E232" s="8" t="s">
        <v>24</v>
      </c>
      <c r="F232" s="8" t="s">
        <v>31</v>
      </c>
      <c r="G232" s="8" t="s">
        <v>35</v>
      </c>
      <c r="H232" s="9">
        <v>40961.07</v>
      </c>
      <c r="I232" s="8">
        <v>7</v>
      </c>
      <c r="J232" s="10">
        <v>11511.53</v>
      </c>
      <c r="K232" s="17" t="str" cm="1">
        <f t="array" ref="K232">_xlfn.IFS(Table433[[#This Row],[Sales]]&gt;40000,"Best Sales",Table433[[#This Row],[Sales]]&gt;20000,"Average Sales",Table433[[#This Row],[Sales]]&gt;0,"Poor Sales")</f>
        <v>Best Sales</v>
      </c>
      <c r="L232" s="12">
        <f>YEAR(Table433[[#This Row],[Date]])</f>
        <v>2023</v>
      </c>
      <c r="M232" s="12">
        <f>MONTH(Table433[[#This Row],[Date]])</f>
        <v>10</v>
      </c>
      <c r="N232" s="13">
        <f>DAY(Table433[[#This Row],[Date]])</f>
        <v>28</v>
      </c>
      <c r="O232" s="13" t="str">
        <f>TEXT(DATE(2023,Table433[[#This Row],[Month]],1),"mmm")</f>
        <v>Oct</v>
      </c>
      <c r="P232" s="13"/>
      <c r="Q232" s="13"/>
    </row>
    <row r="233" spans="1:17" x14ac:dyDescent="0.3">
      <c r="A233" s="14">
        <v>232</v>
      </c>
      <c r="B233" s="15">
        <v>45215</v>
      </c>
      <c r="C233" s="16" t="s">
        <v>17</v>
      </c>
      <c r="D233" s="16" t="s">
        <v>18</v>
      </c>
      <c r="E233" s="16" t="s">
        <v>19</v>
      </c>
      <c r="F233" s="16" t="s">
        <v>38</v>
      </c>
      <c r="G233" s="16" t="s">
        <v>39</v>
      </c>
      <c r="H233" s="17">
        <v>44103.15</v>
      </c>
      <c r="I233" s="16">
        <v>8</v>
      </c>
      <c r="J233" s="18">
        <v>7622.06</v>
      </c>
      <c r="K233" s="17" t="str" cm="1">
        <f t="array" ref="K233">_xlfn.IFS(Table433[[#This Row],[Sales]]&gt;40000,"Best Sales",Table433[[#This Row],[Sales]]&gt;20000,"Average Sales",Table433[[#This Row],[Sales]]&gt;0,"Poor Sales")</f>
        <v>Best Sales</v>
      </c>
      <c r="L233" s="12">
        <f>YEAR(Table433[[#This Row],[Date]])</f>
        <v>2023</v>
      </c>
      <c r="M233" s="12">
        <f>MONTH(Table433[[#This Row],[Date]])</f>
        <v>10</v>
      </c>
      <c r="N233" s="13">
        <f>DAY(Table433[[#This Row],[Date]])</f>
        <v>16</v>
      </c>
      <c r="O233" s="13" t="str">
        <f>TEXT(DATE(2023,Table433[[#This Row],[Month]],1),"mmm")</f>
        <v>Oct</v>
      </c>
      <c r="P233" s="13"/>
      <c r="Q233" s="13"/>
    </row>
    <row r="234" spans="1:17" x14ac:dyDescent="0.3">
      <c r="A234" s="6">
        <v>233</v>
      </c>
      <c r="B234" s="7">
        <v>45205</v>
      </c>
      <c r="C234" s="8" t="s">
        <v>37</v>
      </c>
      <c r="D234" s="8" t="s">
        <v>23</v>
      </c>
      <c r="E234" s="8" t="s">
        <v>24</v>
      </c>
      <c r="F234" s="8" t="s">
        <v>31</v>
      </c>
      <c r="G234" s="8" t="s">
        <v>35</v>
      </c>
      <c r="H234" s="9">
        <v>40991.879999999997</v>
      </c>
      <c r="I234" s="8">
        <v>3</v>
      </c>
      <c r="J234" s="10">
        <v>10571.44</v>
      </c>
      <c r="K234" s="17" t="str" cm="1">
        <f t="array" ref="K234">_xlfn.IFS(Table433[[#This Row],[Sales]]&gt;40000,"Best Sales",Table433[[#This Row],[Sales]]&gt;20000,"Average Sales",Table433[[#This Row],[Sales]]&gt;0,"Poor Sales")</f>
        <v>Best Sales</v>
      </c>
      <c r="L234" s="12">
        <f>YEAR(Table433[[#This Row],[Date]])</f>
        <v>2023</v>
      </c>
      <c r="M234" s="12">
        <f>MONTH(Table433[[#This Row],[Date]])</f>
        <v>10</v>
      </c>
      <c r="N234" s="13">
        <f>DAY(Table433[[#This Row],[Date]])</f>
        <v>6</v>
      </c>
      <c r="O234" s="13" t="str">
        <f>TEXT(DATE(2023,Table433[[#This Row],[Month]],1),"mmm")</f>
        <v>Oct</v>
      </c>
      <c r="P234" s="13"/>
      <c r="Q234" s="13"/>
    </row>
    <row r="235" spans="1:17" x14ac:dyDescent="0.3">
      <c r="A235" s="14">
        <v>234</v>
      </c>
      <c r="B235" s="15">
        <v>45094</v>
      </c>
      <c r="C235" s="16" t="s">
        <v>44</v>
      </c>
      <c r="D235" s="16" t="s">
        <v>34</v>
      </c>
      <c r="E235" s="16" t="s">
        <v>27</v>
      </c>
      <c r="F235" s="16" t="s">
        <v>38</v>
      </c>
      <c r="G235" s="16" t="s">
        <v>39</v>
      </c>
      <c r="H235" s="17">
        <v>22770.06</v>
      </c>
      <c r="I235" s="16">
        <v>9</v>
      </c>
      <c r="J235" s="18">
        <v>3327.09</v>
      </c>
      <c r="K235" s="17" t="str" cm="1">
        <f t="array" ref="K235">_xlfn.IFS(Table433[[#This Row],[Sales]]&gt;40000,"Best Sales",Table433[[#This Row],[Sales]]&gt;20000,"Average Sales",Table433[[#This Row],[Sales]]&gt;0,"Poor Sales")</f>
        <v>Average Sales</v>
      </c>
      <c r="L235" s="12">
        <f>YEAR(Table433[[#This Row],[Date]])</f>
        <v>2023</v>
      </c>
      <c r="M235" s="12">
        <f>MONTH(Table433[[#This Row],[Date]])</f>
        <v>6</v>
      </c>
      <c r="N235" s="13">
        <f>DAY(Table433[[#This Row],[Date]])</f>
        <v>17</v>
      </c>
      <c r="O235" s="13" t="str">
        <f>TEXT(DATE(2023,Table433[[#This Row],[Month]],1),"mmm")</f>
        <v>Jun</v>
      </c>
      <c r="P235" s="13"/>
      <c r="Q235" s="13"/>
    </row>
    <row r="236" spans="1:17" x14ac:dyDescent="0.3">
      <c r="A236" s="6">
        <v>235</v>
      </c>
      <c r="B236" s="7">
        <v>45133</v>
      </c>
      <c r="C236" s="8" t="s">
        <v>33</v>
      </c>
      <c r="D236" s="8" t="s">
        <v>34</v>
      </c>
      <c r="E236" s="8" t="s">
        <v>27</v>
      </c>
      <c r="F236" s="8" t="s">
        <v>38</v>
      </c>
      <c r="G236" s="8" t="s">
        <v>40</v>
      </c>
      <c r="H236" s="9">
        <v>32866.050000000003</v>
      </c>
      <c r="I236" s="8">
        <v>5</v>
      </c>
      <c r="J236" s="10">
        <v>7169.07</v>
      </c>
      <c r="K236" s="17" t="str" cm="1">
        <f t="array" ref="K236">_xlfn.IFS(Table433[[#This Row],[Sales]]&gt;40000,"Best Sales",Table433[[#This Row],[Sales]]&gt;20000,"Average Sales",Table433[[#This Row],[Sales]]&gt;0,"Poor Sales")</f>
        <v>Average Sales</v>
      </c>
      <c r="L236" s="12">
        <f>YEAR(Table433[[#This Row],[Date]])</f>
        <v>2023</v>
      </c>
      <c r="M236" s="12">
        <f>MONTH(Table433[[#This Row],[Date]])</f>
        <v>7</v>
      </c>
      <c r="N236" s="13">
        <f>DAY(Table433[[#This Row],[Date]])</f>
        <v>26</v>
      </c>
      <c r="O236" s="13" t="str">
        <f>TEXT(DATE(2023,Table433[[#This Row],[Month]],1),"mmm")</f>
        <v>Jul</v>
      </c>
      <c r="P236" s="13"/>
      <c r="Q236" s="13"/>
    </row>
    <row r="237" spans="1:17" x14ac:dyDescent="0.3">
      <c r="A237" s="14">
        <v>236</v>
      </c>
      <c r="B237" s="15">
        <v>45158</v>
      </c>
      <c r="C237" s="16" t="s">
        <v>44</v>
      </c>
      <c r="D237" s="16" t="s">
        <v>34</v>
      </c>
      <c r="E237" s="16" t="s">
        <v>19</v>
      </c>
      <c r="F237" s="16" t="s">
        <v>38</v>
      </c>
      <c r="G237" s="16" t="s">
        <v>39</v>
      </c>
      <c r="H237" s="17">
        <v>10663.17</v>
      </c>
      <c r="I237" s="16">
        <v>2</v>
      </c>
      <c r="J237" s="18">
        <v>2411.1799999999998</v>
      </c>
      <c r="K237" s="17" t="str" cm="1">
        <f t="array" ref="K237">_xlfn.IFS(Table433[[#This Row],[Sales]]&gt;40000,"Best Sales",Table433[[#This Row],[Sales]]&gt;20000,"Average Sales",Table433[[#This Row],[Sales]]&gt;0,"Poor Sales")</f>
        <v>Poor Sales</v>
      </c>
      <c r="L237" s="12">
        <f>YEAR(Table433[[#This Row],[Date]])</f>
        <v>2023</v>
      </c>
      <c r="M237" s="12">
        <f>MONTH(Table433[[#This Row],[Date]])</f>
        <v>8</v>
      </c>
      <c r="N237" s="13">
        <f>DAY(Table433[[#This Row],[Date]])</f>
        <v>20</v>
      </c>
      <c r="O237" s="13" t="str">
        <f>TEXT(DATE(2023,Table433[[#This Row],[Month]],1),"mmm")</f>
        <v>Aug</v>
      </c>
      <c r="P237" s="13"/>
      <c r="Q237" s="13"/>
    </row>
    <row r="238" spans="1:17" x14ac:dyDescent="0.3">
      <c r="A238" s="6">
        <v>237</v>
      </c>
      <c r="B238" s="7">
        <v>45067</v>
      </c>
      <c r="C238" s="8" t="s">
        <v>42</v>
      </c>
      <c r="D238" s="8" t="s">
        <v>43</v>
      </c>
      <c r="E238" s="8" t="s">
        <v>24</v>
      </c>
      <c r="F238" s="8" t="s">
        <v>38</v>
      </c>
      <c r="G238" s="8" t="s">
        <v>46</v>
      </c>
      <c r="H238" s="9">
        <v>25820.27</v>
      </c>
      <c r="I238" s="8">
        <v>6</v>
      </c>
      <c r="J238" s="10">
        <v>1912.88</v>
      </c>
      <c r="K238" s="17" t="str" cm="1">
        <f t="array" ref="K238">_xlfn.IFS(Table433[[#This Row],[Sales]]&gt;40000,"Best Sales",Table433[[#This Row],[Sales]]&gt;20000,"Average Sales",Table433[[#This Row],[Sales]]&gt;0,"Poor Sales")</f>
        <v>Average Sales</v>
      </c>
      <c r="L238" s="12">
        <f>YEAR(Table433[[#This Row],[Date]])</f>
        <v>2023</v>
      </c>
      <c r="M238" s="12">
        <f>MONTH(Table433[[#This Row],[Date]])</f>
        <v>5</v>
      </c>
      <c r="N238" s="13">
        <f>DAY(Table433[[#This Row],[Date]])</f>
        <v>21</v>
      </c>
      <c r="O238" s="13" t="str">
        <f>TEXT(DATE(2023,Table433[[#This Row],[Month]],1),"mmm")</f>
        <v>May</v>
      </c>
      <c r="P238" s="13"/>
      <c r="Q238" s="13"/>
    </row>
    <row r="239" spans="1:17" x14ac:dyDescent="0.3">
      <c r="A239" s="14">
        <v>238</v>
      </c>
      <c r="B239" s="15">
        <v>44941</v>
      </c>
      <c r="C239" s="16" t="s">
        <v>22</v>
      </c>
      <c r="D239" s="16" t="s">
        <v>23</v>
      </c>
      <c r="E239" s="16" t="s">
        <v>19</v>
      </c>
      <c r="F239" s="16" t="s">
        <v>38</v>
      </c>
      <c r="G239" s="16" t="s">
        <v>39</v>
      </c>
      <c r="H239" s="17">
        <v>18390.77</v>
      </c>
      <c r="I239" s="16">
        <v>10</v>
      </c>
      <c r="J239" s="18">
        <v>2737.63</v>
      </c>
      <c r="K239" s="17" t="str" cm="1">
        <f t="array" ref="K239">_xlfn.IFS(Table433[[#This Row],[Sales]]&gt;40000,"Best Sales",Table433[[#This Row],[Sales]]&gt;20000,"Average Sales",Table433[[#This Row],[Sales]]&gt;0,"Poor Sales")</f>
        <v>Poor Sales</v>
      </c>
      <c r="L239" s="12">
        <f>YEAR(Table433[[#This Row],[Date]])</f>
        <v>2023</v>
      </c>
      <c r="M239" s="12">
        <f>MONTH(Table433[[#This Row],[Date]])</f>
        <v>1</v>
      </c>
      <c r="N239" s="13">
        <f>DAY(Table433[[#This Row],[Date]])</f>
        <v>15</v>
      </c>
      <c r="O239" s="13" t="str">
        <f>TEXT(DATE(2023,Table433[[#This Row],[Month]],1),"mmm")</f>
        <v>Jan</v>
      </c>
      <c r="P239" s="13"/>
      <c r="Q239" s="13"/>
    </row>
    <row r="240" spans="1:17" x14ac:dyDescent="0.3">
      <c r="A240" s="6">
        <v>239</v>
      </c>
      <c r="B240" s="7">
        <v>44947</v>
      </c>
      <c r="C240" s="8" t="s">
        <v>44</v>
      </c>
      <c r="D240" s="8" t="s">
        <v>34</v>
      </c>
      <c r="E240" s="8" t="s">
        <v>24</v>
      </c>
      <c r="F240" s="8" t="s">
        <v>31</v>
      </c>
      <c r="G240" s="8" t="s">
        <v>32</v>
      </c>
      <c r="H240" s="9">
        <v>9511</v>
      </c>
      <c r="I240" s="8">
        <v>2</v>
      </c>
      <c r="J240" s="10">
        <v>1162.99</v>
      </c>
      <c r="K240" s="17" t="str" cm="1">
        <f t="array" ref="K240">_xlfn.IFS(Table433[[#This Row],[Sales]]&gt;40000,"Best Sales",Table433[[#This Row],[Sales]]&gt;20000,"Average Sales",Table433[[#This Row],[Sales]]&gt;0,"Poor Sales")</f>
        <v>Poor Sales</v>
      </c>
      <c r="L240" s="12">
        <f>YEAR(Table433[[#This Row],[Date]])</f>
        <v>2023</v>
      </c>
      <c r="M240" s="12">
        <f>MONTH(Table433[[#This Row],[Date]])</f>
        <v>1</v>
      </c>
      <c r="N240" s="13">
        <f>DAY(Table433[[#This Row],[Date]])</f>
        <v>21</v>
      </c>
      <c r="O240" s="13" t="str">
        <f>TEXT(DATE(2023,Table433[[#This Row],[Month]],1),"mmm")</f>
        <v>Jan</v>
      </c>
      <c r="P240" s="13"/>
      <c r="Q240" s="13"/>
    </row>
    <row r="241" spans="1:17" x14ac:dyDescent="0.3">
      <c r="A241" s="14">
        <v>240</v>
      </c>
      <c r="B241" s="15">
        <v>45001</v>
      </c>
      <c r="C241" s="16" t="s">
        <v>17</v>
      </c>
      <c r="D241" s="16" t="s">
        <v>18</v>
      </c>
      <c r="E241" s="16" t="s">
        <v>27</v>
      </c>
      <c r="F241" s="16" t="s">
        <v>20</v>
      </c>
      <c r="G241" s="16" t="s">
        <v>28</v>
      </c>
      <c r="H241" s="17">
        <v>36211.370000000003</v>
      </c>
      <c r="I241" s="16">
        <v>6</v>
      </c>
      <c r="J241" s="18">
        <v>7076.58</v>
      </c>
      <c r="K241" s="17" t="str" cm="1">
        <f t="array" ref="K241">_xlfn.IFS(Table433[[#This Row],[Sales]]&gt;40000,"Best Sales",Table433[[#This Row],[Sales]]&gt;20000,"Average Sales",Table433[[#This Row],[Sales]]&gt;0,"Poor Sales")</f>
        <v>Average Sales</v>
      </c>
      <c r="L241" s="12">
        <f>YEAR(Table433[[#This Row],[Date]])</f>
        <v>2023</v>
      </c>
      <c r="M241" s="12">
        <f>MONTH(Table433[[#This Row],[Date]])</f>
        <v>3</v>
      </c>
      <c r="N241" s="13">
        <f>DAY(Table433[[#This Row],[Date]])</f>
        <v>16</v>
      </c>
      <c r="O241" s="13" t="str">
        <f>TEXT(DATE(2023,Table433[[#This Row],[Month]],1),"mmm")</f>
        <v>Mar</v>
      </c>
      <c r="P241" s="13"/>
      <c r="Q241" s="13"/>
    </row>
    <row r="242" spans="1:17" x14ac:dyDescent="0.3">
      <c r="A242" s="6">
        <v>241</v>
      </c>
      <c r="B242" s="7">
        <v>45034</v>
      </c>
      <c r="C242" s="8" t="s">
        <v>22</v>
      </c>
      <c r="D242" s="8" t="s">
        <v>23</v>
      </c>
      <c r="E242" s="8" t="s">
        <v>27</v>
      </c>
      <c r="F242" s="8" t="s">
        <v>20</v>
      </c>
      <c r="G242" s="8" t="s">
        <v>28</v>
      </c>
      <c r="H242" s="9">
        <v>38204.660000000003</v>
      </c>
      <c r="I242" s="8">
        <v>1</v>
      </c>
      <c r="J242" s="10">
        <v>10074.93</v>
      </c>
      <c r="K242" s="17" t="str" cm="1">
        <f t="array" ref="K242">_xlfn.IFS(Table433[[#This Row],[Sales]]&gt;40000,"Best Sales",Table433[[#This Row],[Sales]]&gt;20000,"Average Sales",Table433[[#This Row],[Sales]]&gt;0,"Poor Sales")</f>
        <v>Average Sales</v>
      </c>
      <c r="L242" s="12">
        <f>YEAR(Table433[[#This Row],[Date]])</f>
        <v>2023</v>
      </c>
      <c r="M242" s="12">
        <f>MONTH(Table433[[#This Row],[Date]])</f>
        <v>4</v>
      </c>
      <c r="N242" s="13">
        <f>DAY(Table433[[#This Row],[Date]])</f>
        <v>18</v>
      </c>
      <c r="O242" s="13" t="str">
        <f>TEXT(DATE(2023,Table433[[#This Row],[Month]],1),"mmm")</f>
        <v>Apr</v>
      </c>
      <c r="P242" s="13"/>
      <c r="Q242" s="13"/>
    </row>
    <row r="243" spans="1:17" x14ac:dyDescent="0.3">
      <c r="A243" s="14">
        <v>242</v>
      </c>
      <c r="B243" s="15">
        <v>44930</v>
      </c>
      <c r="C243" s="16" t="s">
        <v>45</v>
      </c>
      <c r="D243" s="16" t="s">
        <v>34</v>
      </c>
      <c r="E243" s="16" t="s">
        <v>19</v>
      </c>
      <c r="F243" s="16" t="s">
        <v>31</v>
      </c>
      <c r="G243" s="16" t="s">
        <v>32</v>
      </c>
      <c r="H243" s="17">
        <v>40939.94</v>
      </c>
      <c r="I243" s="16">
        <v>7</v>
      </c>
      <c r="J243" s="18">
        <v>7280.08</v>
      </c>
      <c r="K243" s="17" t="str" cm="1">
        <f t="array" ref="K243">_xlfn.IFS(Table433[[#This Row],[Sales]]&gt;40000,"Best Sales",Table433[[#This Row],[Sales]]&gt;20000,"Average Sales",Table433[[#This Row],[Sales]]&gt;0,"Poor Sales")</f>
        <v>Best Sales</v>
      </c>
      <c r="L243" s="12">
        <f>YEAR(Table433[[#This Row],[Date]])</f>
        <v>2023</v>
      </c>
      <c r="M243" s="12">
        <f>MONTH(Table433[[#This Row],[Date]])</f>
        <v>1</v>
      </c>
      <c r="N243" s="13">
        <f>DAY(Table433[[#This Row],[Date]])</f>
        <v>4</v>
      </c>
      <c r="O243" s="13" t="str">
        <f>TEXT(DATE(2023,Table433[[#This Row],[Month]],1),"mmm")</f>
        <v>Jan</v>
      </c>
      <c r="P243" s="13"/>
      <c r="Q243" s="13"/>
    </row>
    <row r="244" spans="1:17" x14ac:dyDescent="0.3">
      <c r="A244" s="6">
        <v>243</v>
      </c>
      <c r="B244" s="7">
        <v>45019</v>
      </c>
      <c r="C244" s="8" t="s">
        <v>29</v>
      </c>
      <c r="D244" s="8" t="s">
        <v>29</v>
      </c>
      <c r="E244" s="8" t="s">
        <v>24</v>
      </c>
      <c r="F244" s="8" t="s">
        <v>31</v>
      </c>
      <c r="G244" s="8" t="s">
        <v>36</v>
      </c>
      <c r="H244" s="9">
        <v>26046.11</v>
      </c>
      <c r="I244" s="8">
        <v>2</v>
      </c>
      <c r="J244" s="10">
        <v>3289.52</v>
      </c>
      <c r="K244" s="17" t="str" cm="1">
        <f t="array" ref="K244">_xlfn.IFS(Table433[[#This Row],[Sales]]&gt;40000,"Best Sales",Table433[[#This Row],[Sales]]&gt;20000,"Average Sales",Table433[[#This Row],[Sales]]&gt;0,"Poor Sales")</f>
        <v>Average Sales</v>
      </c>
      <c r="L244" s="12">
        <f>YEAR(Table433[[#This Row],[Date]])</f>
        <v>2023</v>
      </c>
      <c r="M244" s="12">
        <f>MONTH(Table433[[#This Row],[Date]])</f>
        <v>4</v>
      </c>
      <c r="N244" s="13">
        <f>DAY(Table433[[#This Row],[Date]])</f>
        <v>3</v>
      </c>
      <c r="O244" s="13" t="str">
        <f>TEXT(DATE(2023,Table433[[#This Row],[Month]],1),"mmm")</f>
        <v>Apr</v>
      </c>
      <c r="P244" s="13"/>
      <c r="Q244" s="13"/>
    </row>
    <row r="245" spans="1:17" x14ac:dyDescent="0.3">
      <c r="A245" s="14">
        <v>244</v>
      </c>
      <c r="B245" s="15">
        <v>45000</v>
      </c>
      <c r="C245" s="16" t="s">
        <v>33</v>
      </c>
      <c r="D245" s="16" t="s">
        <v>34</v>
      </c>
      <c r="E245" s="16" t="s">
        <v>19</v>
      </c>
      <c r="F245" s="16" t="s">
        <v>38</v>
      </c>
      <c r="G245" s="16" t="s">
        <v>40</v>
      </c>
      <c r="H245" s="17">
        <v>40691.96</v>
      </c>
      <c r="I245" s="16">
        <v>4</v>
      </c>
      <c r="J245" s="18">
        <v>2624.84</v>
      </c>
      <c r="K245" s="17" t="str" cm="1">
        <f t="array" ref="K245">_xlfn.IFS(Table433[[#This Row],[Sales]]&gt;40000,"Best Sales",Table433[[#This Row],[Sales]]&gt;20000,"Average Sales",Table433[[#This Row],[Sales]]&gt;0,"Poor Sales")</f>
        <v>Best Sales</v>
      </c>
      <c r="L245" s="12">
        <f>YEAR(Table433[[#This Row],[Date]])</f>
        <v>2023</v>
      </c>
      <c r="M245" s="12">
        <f>MONTH(Table433[[#This Row],[Date]])</f>
        <v>3</v>
      </c>
      <c r="N245" s="13">
        <f>DAY(Table433[[#This Row],[Date]])</f>
        <v>15</v>
      </c>
      <c r="O245" s="13" t="str">
        <f>TEXT(DATE(2023,Table433[[#This Row],[Month]],1),"mmm")</f>
        <v>Mar</v>
      </c>
      <c r="P245" s="13"/>
      <c r="Q245" s="13"/>
    </row>
    <row r="246" spans="1:17" x14ac:dyDescent="0.3">
      <c r="A246" s="6">
        <v>245</v>
      </c>
      <c r="B246" s="7">
        <v>45053</v>
      </c>
      <c r="C246" s="8" t="s">
        <v>29</v>
      </c>
      <c r="D246" s="8" t="s">
        <v>29</v>
      </c>
      <c r="E246" s="8" t="s">
        <v>24</v>
      </c>
      <c r="F246" s="8" t="s">
        <v>31</v>
      </c>
      <c r="G246" s="8" t="s">
        <v>36</v>
      </c>
      <c r="H246" s="9">
        <v>49598.16</v>
      </c>
      <c r="I246" s="8">
        <v>2</v>
      </c>
      <c r="J246" s="10">
        <v>8746.65</v>
      </c>
      <c r="K246" s="17" t="str" cm="1">
        <f t="array" ref="K246">_xlfn.IFS(Table433[[#This Row],[Sales]]&gt;40000,"Best Sales",Table433[[#This Row],[Sales]]&gt;20000,"Average Sales",Table433[[#This Row],[Sales]]&gt;0,"Poor Sales")</f>
        <v>Best Sales</v>
      </c>
      <c r="L246" s="12">
        <f>YEAR(Table433[[#This Row],[Date]])</f>
        <v>2023</v>
      </c>
      <c r="M246" s="12">
        <f>MONTH(Table433[[#This Row],[Date]])</f>
        <v>5</v>
      </c>
      <c r="N246" s="13">
        <f>DAY(Table433[[#This Row],[Date]])</f>
        <v>7</v>
      </c>
      <c r="O246" s="13" t="str">
        <f>TEXT(DATE(2023,Table433[[#This Row],[Month]],1),"mmm")</f>
        <v>May</v>
      </c>
      <c r="P246" s="13"/>
      <c r="Q246" s="13"/>
    </row>
    <row r="247" spans="1:17" x14ac:dyDescent="0.3">
      <c r="A247" s="14">
        <v>246</v>
      </c>
      <c r="B247" s="15">
        <v>45088</v>
      </c>
      <c r="C247" s="16" t="s">
        <v>33</v>
      </c>
      <c r="D247" s="16" t="s">
        <v>34</v>
      </c>
      <c r="E247" s="16" t="s">
        <v>27</v>
      </c>
      <c r="F247" s="16" t="s">
        <v>31</v>
      </c>
      <c r="G247" s="16" t="s">
        <v>32</v>
      </c>
      <c r="H247" s="17">
        <v>13177.69</v>
      </c>
      <c r="I247" s="16">
        <v>2</v>
      </c>
      <c r="J247" s="18">
        <v>1536.55</v>
      </c>
      <c r="K247" s="17" t="str" cm="1">
        <f t="array" ref="K247">_xlfn.IFS(Table433[[#This Row],[Sales]]&gt;40000,"Best Sales",Table433[[#This Row],[Sales]]&gt;20000,"Average Sales",Table433[[#This Row],[Sales]]&gt;0,"Poor Sales")</f>
        <v>Poor Sales</v>
      </c>
      <c r="L247" s="12">
        <f>YEAR(Table433[[#This Row],[Date]])</f>
        <v>2023</v>
      </c>
      <c r="M247" s="12">
        <f>MONTH(Table433[[#This Row],[Date]])</f>
        <v>6</v>
      </c>
      <c r="N247" s="13">
        <f>DAY(Table433[[#This Row],[Date]])</f>
        <v>11</v>
      </c>
      <c r="O247" s="13" t="str">
        <f>TEXT(DATE(2023,Table433[[#This Row],[Month]],1),"mmm")</f>
        <v>Jun</v>
      </c>
      <c r="P247" s="13"/>
      <c r="Q247" s="13"/>
    </row>
    <row r="248" spans="1:17" x14ac:dyDescent="0.3">
      <c r="A248" s="6">
        <v>247</v>
      </c>
      <c r="B248" s="7">
        <v>45204</v>
      </c>
      <c r="C248" s="8" t="s">
        <v>45</v>
      </c>
      <c r="D248" s="8" t="s">
        <v>34</v>
      </c>
      <c r="E248" s="8" t="s">
        <v>27</v>
      </c>
      <c r="F248" s="8" t="s">
        <v>20</v>
      </c>
      <c r="G248" s="8" t="s">
        <v>28</v>
      </c>
      <c r="H248" s="9">
        <v>25816.6</v>
      </c>
      <c r="I248" s="8">
        <v>1</v>
      </c>
      <c r="J248" s="10">
        <v>6376.67</v>
      </c>
      <c r="K248" s="17" t="str" cm="1">
        <f t="array" ref="K248">_xlfn.IFS(Table433[[#This Row],[Sales]]&gt;40000,"Best Sales",Table433[[#This Row],[Sales]]&gt;20000,"Average Sales",Table433[[#This Row],[Sales]]&gt;0,"Poor Sales")</f>
        <v>Average Sales</v>
      </c>
      <c r="L248" s="12">
        <f>YEAR(Table433[[#This Row],[Date]])</f>
        <v>2023</v>
      </c>
      <c r="M248" s="12">
        <f>MONTH(Table433[[#This Row],[Date]])</f>
        <v>10</v>
      </c>
      <c r="N248" s="13">
        <f>DAY(Table433[[#This Row],[Date]])</f>
        <v>5</v>
      </c>
      <c r="O248" s="13" t="str">
        <f>TEXT(DATE(2023,Table433[[#This Row],[Month]],1),"mmm")</f>
        <v>Oct</v>
      </c>
      <c r="P248" s="13"/>
      <c r="Q248" s="13"/>
    </row>
    <row r="249" spans="1:17" x14ac:dyDescent="0.3">
      <c r="A249" s="14">
        <v>248</v>
      </c>
      <c r="B249" s="15">
        <v>44981</v>
      </c>
      <c r="C249" s="16" t="s">
        <v>33</v>
      </c>
      <c r="D249" s="16" t="s">
        <v>34</v>
      </c>
      <c r="E249" s="16" t="s">
        <v>19</v>
      </c>
      <c r="F249" s="16" t="s">
        <v>20</v>
      </c>
      <c r="G249" s="16" t="s">
        <v>41</v>
      </c>
      <c r="H249" s="17">
        <v>4142.42</v>
      </c>
      <c r="I249" s="16">
        <v>7</v>
      </c>
      <c r="J249" s="18">
        <v>987.96</v>
      </c>
      <c r="K249" s="17" t="str" cm="1">
        <f t="array" ref="K249">_xlfn.IFS(Table433[[#This Row],[Sales]]&gt;40000,"Best Sales",Table433[[#This Row],[Sales]]&gt;20000,"Average Sales",Table433[[#This Row],[Sales]]&gt;0,"Poor Sales")</f>
        <v>Poor Sales</v>
      </c>
      <c r="L249" s="12">
        <f>YEAR(Table433[[#This Row],[Date]])</f>
        <v>2023</v>
      </c>
      <c r="M249" s="12">
        <f>MONTH(Table433[[#This Row],[Date]])</f>
        <v>2</v>
      </c>
      <c r="N249" s="13">
        <f>DAY(Table433[[#This Row],[Date]])</f>
        <v>24</v>
      </c>
      <c r="O249" s="13" t="str">
        <f>TEXT(DATE(2023,Table433[[#This Row],[Month]],1),"mmm")</f>
        <v>Feb</v>
      </c>
      <c r="P249" s="13"/>
      <c r="Q249" s="13"/>
    </row>
    <row r="250" spans="1:17" x14ac:dyDescent="0.3">
      <c r="A250" s="6">
        <v>249</v>
      </c>
      <c r="B250" s="7">
        <v>45149</v>
      </c>
      <c r="C250" s="8" t="s">
        <v>33</v>
      </c>
      <c r="D250" s="8" t="s">
        <v>34</v>
      </c>
      <c r="E250" s="8" t="s">
        <v>24</v>
      </c>
      <c r="F250" s="8" t="s">
        <v>20</v>
      </c>
      <c r="G250" s="8" t="s">
        <v>41</v>
      </c>
      <c r="H250" s="9">
        <v>48741.85</v>
      </c>
      <c r="I250" s="8">
        <v>2</v>
      </c>
      <c r="J250" s="10">
        <v>6991.38</v>
      </c>
      <c r="K250" s="17" t="str" cm="1">
        <f t="array" ref="K250">_xlfn.IFS(Table433[[#This Row],[Sales]]&gt;40000,"Best Sales",Table433[[#This Row],[Sales]]&gt;20000,"Average Sales",Table433[[#This Row],[Sales]]&gt;0,"Poor Sales")</f>
        <v>Best Sales</v>
      </c>
      <c r="L250" s="12">
        <f>YEAR(Table433[[#This Row],[Date]])</f>
        <v>2023</v>
      </c>
      <c r="M250" s="12">
        <f>MONTH(Table433[[#This Row],[Date]])</f>
        <v>8</v>
      </c>
      <c r="N250" s="13">
        <f>DAY(Table433[[#This Row],[Date]])</f>
        <v>11</v>
      </c>
      <c r="O250" s="13" t="str">
        <f>TEXT(DATE(2023,Table433[[#This Row],[Month]],1),"mmm")</f>
        <v>Aug</v>
      </c>
      <c r="P250" s="13"/>
      <c r="Q250" s="13"/>
    </row>
    <row r="251" spans="1:17" x14ac:dyDescent="0.3">
      <c r="A251" s="14">
        <v>250</v>
      </c>
      <c r="B251" s="15">
        <v>45268</v>
      </c>
      <c r="C251" s="16" t="s">
        <v>37</v>
      </c>
      <c r="D251" s="16" t="s">
        <v>23</v>
      </c>
      <c r="E251" s="16" t="s">
        <v>19</v>
      </c>
      <c r="F251" s="16" t="s">
        <v>20</v>
      </c>
      <c r="G251" s="16" t="s">
        <v>41</v>
      </c>
      <c r="H251" s="17">
        <v>22157.78</v>
      </c>
      <c r="I251" s="16">
        <v>2</v>
      </c>
      <c r="J251" s="18">
        <v>4517.67</v>
      </c>
      <c r="K251" s="17" t="str" cm="1">
        <f t="array" ref="K251">_xlfn.IFS(Table433[[#This Row],[Sales]]&gt;40000,"Best Sales",Table433[[#This Row],[Sales]]&gt;20000,"Average Sales",Table433[[#This Row],[Sales]]&gt;0,"Poor Sales")</f>
        <v>Average Sales</v>
      </c>
      <c r="L251" s="12">
        <f>YEAR(Table433[[#This Row],[Date]])</f>
        <v>2023</v>
      </c>
      <c r="M251" s="12">
        <f>MONTH(Table433[[#This Row],[Date]])</f>
        <v>12</v>
      </c>
      <c r="N251" s="13">
        <f>DAY(Table433[[#This Row],[Date]])</f>
        <v>8</v>
      </c>
      <c r="O251" s="13" t="str">
        <f>TEXT(DATE(2023,Table433[[#This Row],[Month]],1),"mmm")</f>
        <v>Dec</v>
      </c>
      <c r="P251" s="13"/>
      <c r="Q251" s="13"/>
    </row>
    <row r="252" spans="1:17" x14ac:dyDescent="0.3">
      <c r="A252" s="6">
        <v>251</v>
      </c>
      <c r="B252" s="7">
        <v>45094</v>
      </c>
      <c r="C252" s="8" t="s">
        <v>22</v>
      </c>
      <c r="D252" s="8" t="s">
        <v>23</v>
      </c>
      <c r="E252" s="8" t="s">
        <v>24</v>
      </c>
      <c r="F252" s="8" t="s">
        <v>31</v>
      </c>
      <c r="G252" s="8" t="s">
        <v>32</v>
      </c>
      <c r="H252" s="9">
        <v>17751.919999999998</v>
      </c>
      <c r="I252" s="8">
        <v>7</v>
      </c>
      <c r="J252" s="10">
        <v>4931.21</v>
      </c>
      <c r="K252" s="17" t="str" cm="1">
        <f t="array" ref="K252">_xlfn.IFS(Table433[[#This Row],[Sales]]&gt;40000,"Best Sales",Table433[[#This Row],[Sales]]&gt;20000,"Average Sales",Table433[[#This Row],[Sales]]&gt;0,"Poor Sales")</f>
        <v>Poor Sales</v>
      </c>
      <c r="L252" s="12">
        <f>YEAR(Table433[[#This Row],[Date]])</f>
        <v>2023</v>
      </c>
      <c r="M252" s="12">
        <f>MONTH(Table433[[#This Row],[Date]])</f>
        <v>6</v>
      </c>
      <c r="N252" s="13">
        <f>DAY(Table433[[#This Row],[Date]])</f>
        <v>17</v>
      </c>
      <c r="O252" s="13" t="str">
        <f>TEXT(DATE(2023,Table433[[#This Row],[Month]],1),"mmm")</f>
        <v>Jun</v>
      </c>
      <c r="P252" s="13"/>
      <c r="Q252" s="13"/>
    </row>
    <row r="253" spans="1:17" x14ac:dyDescent="0.3">
      <c r="A253" s="14">
        <v>252</v>
      </c>
      <c r="B253" s="15">
        <v>45011</v>
      </c>
      <c r="C253" s="16" t="s">
        <v>45</v>
      </c>
      <c r="D253" s="16" t="s">
        <v>34</v>
      </c>
      <c r="E253" s="16" t="s">
        <v>27</v>
      </c>
      <c r="F253" s="16" t="s">
        <v>38</v>
      </c>
      <c r="G253" s="16" t="s">
        <v>46</v>
      </c>
      <c r="H253" s="17">
        <v>11067.21</v>
      </c>
      <c r="I253" s="16">
        <v>3</v>
      </c>
      <c r="J253" s="18">
        <v>2057.92</v>
      </c>
      <c r="K253" s="17" t="str" cm="1">
        <f t="array" ref="K253">_xlfn.IFS(Table433[[#This Row],[Sales]]&gt;40000,"Best Sales",Table433[[#This Row],[Sales]]&gt;20000,"Average Sales",Table433[[#This Row],[Sales]]&gt;0,"Poor Sales")</f>
        <v>Poor Sales</v>
      </c>
      <c r="L253" s="12">
        <f>YEAR(Table433[[#This Row],[Date]])</f>
        <v>2023</v>
      </c>
      <c r="M253" s="12">
        <f>MONTH(Table433[[#This Row],[Date]])</f>
        <v>3</v>
      </c>
      <c r="N253" s="13">
        <f>DAY(Table433[[#This Row],[Date]])</f>
        <v>26</v>
      </c>
      <c r="O253" s="13" t="str">
        <f>TEXT(DATE(2023,Table433[[#This Row],[Month]],1),"mmm")</f>
        <v>Mar</v>
      </c>
      <c r="P253" s="13"/>
      <c r="Q253" s="13"/>
    </row>
    <row r="254" spans="1:17" x14ac:dyDescent="0.3">
      <c r="A254" s="6">
        <v>253</v>
      </c>
      <c r="B254" s="7">
        <v>45131</v>
      </c>
      <c r="C254" s="8" t="s">
        <v>45</v>
      </c>
      <c r="D254" s="8" t="s">
        <v>34</v>
      </c>
      <c r="E254" s="8" t="s">
        <v>27</v>
      </c>
      <c r="F254" s="8" t="s">
        <v>31</v>
      </c>
      <c r="G254" s="8" t="s">
        <v>36</v>
      </c>
      <c r="H254" s="9">
        <v>13954.05</v>
      </c>
      <c r="I254" s="8">
        <v>10</v>
      </c>
      <c r="J254" s="10">
        <v>3139.56</v>
      </c>
      <c r="K254" s="17" t="str" cm="1">
        <f t="array" ref="K254">_xlfn.IFS(Table433[[#This Row],[Sales]]&gt;40000,"Best Sales",Table433[[#This Row],[Sales]]&gt;20000,"Average Sales",Table433[[#This Row],[Sales]]&gt;0,"Poor Sales")</f>
        <v>Poor Sales</v>
      </c>
      <c r="L254" s="12">
        <f>YEAR(Table433[[#This Row],[Date]])</f>
        <v>2023</v>
      </c>
      <c r="M254" s="12">
        <f>MONTH(Table433[[#This Row],[Date]])</f>
        <v>7</v>
      </c>
      <c r="N254" s="13">
        <f>DAY(Table433[[#This Row],[Date]])</f>
        <v>24</v>
      </c>
      <c r="O254" s="13" t="str">
        <f>TEXT(DATE(2023,Table433[[#This Row],[Month]],1),"mmm")</f>
        <v>Jul</v>
      </c>
      <c r="P254" s="13"/>
      <c r="Q254" s="13"/>
    </row>
    <row r="255" spans="1:17" x14ac:dyDescent="0.3">
      <c r="A255" s="14">
        <v>254</v>
      </c>
      <c r="B255" s="15">
        <v>44976</v>
      </c>
      <c r="C255" s="16" t="s">
        <v>29</v>
      </c>
      <c r="D255" s="16" t="s">
        <v>29</v>
      </c>
      <c r="E255" s="16" t="s">
        <v>19</v>
      </c>
      <c r="F255" s="16" t="s">
        <v>31</v>
      </c>
      <c r="G255" s="16" t="s">
        <v>32</v>
      </c>
      <c r="H255" s="17">
        <v>10782.97</v>
      </c>
      <c r="I255" s="16">
        <v>7</v>
      </c>
      <c r="J255" s="18">
        <v>772.84</v>
      </c>
      <c r="K255" s="17" t="str" cm="1">
        <f t="array" ref="K255">_xlfn.IFS(Table433[[#This Row],[Sales]]&gt;40000,"Best Sales",Table433[[#This Row],[Sales]]&gt;20000,"Average Sales",Table433[[#This Row],[Sales]]&gt;0,"Poor Sales")</f>
        <v>Poor Sales</v>
      </c>
      <c r="L255" s="12">
        <f>YEAR(Table433[[#This Row],[Date]])</f>
        <v>2023</v>
      </c>
      <c r="M255" s="12">
        <f>MONTH(Table433[[#This Row],[Date]])</f>
        <v>2</v>
      </c>
      <c r="N255" s="13">
        <f>DAY(Table433[[#This Row],[Date]])</f>
        <v>19</v>
      </c>
      <c r="O255" s="13" t="str">
        <f>TEXT(DATE(2023,Table433[[#This Row],[Month]],1),"mmm")</f>
        <v>Feb</v>
      </c>
      <c r="P255" s="13"/>
      <c r="Q255" s="13"/>
    </row>
    <row r="256" spans="1:17" x14ac:dyDescent="0.3">
      <c r="A256" s="6">
        <v>255</v>
      </c>
      <c r="B256" s="7">
        <v>45247</v>
      </c>
      <c r="C256" s="8" t="s">
        <v>42</v>
      </c>
      <c r="D256" s="8" t="s">
        <v>43</v>
      </c>
      <c r="E256" s="8" t="s">
        <v>24</v>
      </c>
      <c r="F256" s="8" t="s">
        <v>38</v>
      </c>
      <c r="G256" s="8" t="s">
        <v>39</v>
      </c>
      <c r="H256" s="9">
        <v>49437.25</v>
      </c>
      <c r="I256" s="8">
        <v>8</v>
      </c>
      <c r="J256" s="10">
        <v>14199.96</v>
      </c>
      <c r="K256" s="17" t="str" cm="1">
        <f t="array" ref="K256">_xlfn.IFS(Table433[[#This Row],[Sales]]&gt;40000,"Best Sales",Table433[[#This Row],[Sales]]&gt;20000,"Average Sales",Table433[[#This Row],[Sales]]&gt;0,"Poor Sales")</f>
        <v>Best Sales</v>
      </c>
      <c r="L256" s="12">
        <f>YEAR(Table433[[#This Row],[Date]])</f>
        <v>2023</v>
      </c>
      <c r="M256" s="12">
        <f>MONTH(Table433[[#This Row],[Date]])</f>
        <v>11</v>
      </c>
      <c r="N256" s="13">
        <f>DAY(Table433[[#This Row],[Date]])</f>
        <v>17</v>
      </c>
      <c r="O256" s="13" t="str">
        <f>TEXT(DATE(2023,Table433[[#This Row],[Month]],1),"mmm")</f>
        <v>Nov</v>
      </c>
      <c r="P256" s="13"/>
      <c r="Q256" s="13"/>
    </row>
    <row r="257" spans="1:17" x14ac:dyDescent="0.3">
      <c r="A257" s="14">
        <v>256</v>
      </c>
      <c r="B257" s="15">
        <v>45195</v>
      </c>
      <c r="C257" s="16" t="s">
        <v>42</v>
      </c>
      <c r="D257" s="16" t="s">
        <v>43</v>
      </c>
      <c r="E257" s="16" t="s">
        <v>19</v>
      </c>
      <c r="F257" s="16" t="s">
        <v>20</v>
      </c>
      <c r="G257" s="16" t="s">
        <v>28</v>
      </c>
      <c r="H257" s="17">
        <v>31032.49</v>
      </c>
      <c r="I257" s="16">
        <v>9</v>
      </c>
      <c r="J257" s="18">
        <v>7395</v>
      </c>
      <c r="K257" s="17" t="str" cm="1">
        <f t="array" ref="K257">_xlfn.IFS(Table433[[#This Row],[Sales]]&gt;40000,"Best Sales",Table433[[#This Row],[Sales]]&gt;20000,"Average Sales",Table433[[#This Row],[Sales]]&gt;0,"Poor Sales")</f>
        <v>Average Sales</v>
      </c>
      <c r="L257" s="12">
        <f>YEAR(Table433[[#This Row],[Date]])</f>
        <v>2023</v>
      </c>
      <c r="M257" s="12">
        <f>MONTH(Table433[[#This Row],[Date]])</f>
        <v>9</v>
      </c>
      <c r="N257" s="13">
        <f>DAY(Table433[[#This Row],[Date]])</f>
        <v>26</v>
      </c>
      <c r="O257" s="13" t="str">
        <f>TEXT(DATE(2023,Table433[[#This Row],[Month]],1),"mmm")</f>
        <v>Sep</v>
      </c>
      <c r="P257" s="13"/>
      <c r="Q257" s="13"/>
    </row>
    <row r="258" spans="1:17" x14ac:dyDescent="0.3">
      <c r="A258" s="6">
        <v>257</v>
      </c>
      <c r="B258" s="7">
        <v>45158</v>
      </c>
      <c r="C258" s="8" t="s">
        <v>37</v>
      </c>
      <c r="D258" s="8" t="s">
        <v>23</v>
      </c>
      <c r="E258" s="8" t="s">
        <v>24</v>
      </c>
      <c r="F258" s="8" t="s">
        <v>31</v>
      </c>
      <c r="G258" s="8" t="s">
        <v>32</v>
      </c>
      <c r="H258" s="9">
        <v>27868.7</v>
      </c>
      <c r="I258" s="8">
        <v>2</v>
      </c>
      <c r="J258" s="10">
        <v>6973.6</v>
      </c>
      <c r="K258" s="17" t="str" cm="1">
        <f t="array" ref="K258">_xlfn.IFS(Table433[[#This Row],[Sales]]&gt;40000,"Best Sales",Table433[[#This Row],[Sales]]&gt;20000,"Average Sales",Table433[[#This Row],[Sales]]&gt;0,"Poor Sales")</f>
        <v>Average Sales</v>
      </c>
      <c r="L258" s="12">
        <f>YEAR(Table433[[#This Row],[Date]])</f>
        <v>2023</v>
      </c>
      <c r="M258" s="12">
        <f>MONTH(Table433[[#This Row],[Date]])</f>
        <v>8</v>
      </c>
      <c r="N258" s="13">
        <f>DAY(Table433[[#This Row],[Date]])</f>
        <v>20</v>
      </c>
      <c r="O258" s="13" t="str">
        <f>TEXT(DATE(2023,Table433[[#This Row],[Month]],1),"mmm")</f>
        <v>Aug</v>
      </c>
      <c r="P258" s="13"/>
      <c r="Q258" s="13"/>
    </row>
    <row r="259" spans="1:17" x14ac:dyDescent="0.3">
      <c r="A259" s="14">
        <v>258</v>
      </c>
      <c r="B259" s="15">
        <v>45269</v>
      </c>
      <c r="C259" s="16" t="s">
        <v>17</v>
      </c>
      <c r="D259" s="16" t="s">
        <v>18</v>
      </c>
      <c r="E259" s="16" t="s">
        <v>27</v>
      </c>
      <c r="F259" s="16" t="s">
        <v>38</v>
      </c>
      <c r="G259" s="16" t="s">
        <v>46</v>
      </c>
      <c r="H259" s="17">
        <v>40634.300000000003</v>
      </c>
      <c r="I259" s="16">
        <v>10</v>
      </c>
      <c r="J259" s="18">
        <v>11614.53</v>
      </c>
      <c r="K259" s="17" t="str" cm="1">
        <f t="array" ref="K259">_xlfn.IFS(Table433[[#This Row],[Sales]]&gt;40000,"Best Sales",Table433[[#This Row],[Sales]]&gt;20000,"Average Sales",Table433[[#This Row],[Sales]]&gt;0,"Poor Sales")</f>
        <v>Best Sales</v>
      </c>
      <c r="L259" s="12">
        <f>YEAR(Table433[[#This Row],[Date]])</f>
        <v>2023</v>
      </c>
      <c r="M259" s="12">
        <f>MONTH(Table433[[#This Row],[Date]])</f>
        <v>12</v>
      </c>
      <c r="N259" s="13">
        <f>DAY(Table433[[#This Row],[Date]])</f>
        <v>9</v>
      </c>
      <c r="O259" s="13" t="str">
        <f>TEXT(DATE(2023,Table433[[#This Row],[Month]],1),"mmm")</f>
        <v>Dec</v>
      </c>
      <c r="P259" s="13"/>
      <c r="Q259" s="13"/>
    </row>
    <row r="260" spans="1:17" x14ac:dyDescent="0.3">
      <c r="A260" s="6">
        <v>259</v>
      </c>
      <c r="B260" s="7">
        <v>45164</v>
      </c>
      <c r="C260" s="8" t="s">
        <v>33</v>
      </c>
      <c r="D260" s="8" t="s">
        <v>34</v>
      </c>
      <c r="E260" s="8" t="s">
        <v>27</v>
      </c>
      <c r="F260" s="8" t="s">
        <v>38</v>
      </c>
      <c r="G260" s="8" t="s">
        <v>39</v>
      </c>
      <c r="H260" s="9">
        <v>2252.35</v>
      </c>
      <c r="I260" s="8">
        <v>2</v>
      </c>
      <c r="J260" s="10">
        <v>469.57</v>
      </c>
      <c r="K260" s="17" t="str" cm="1">
        <f t="array" ref="K260">_xlfn.IFS(Table433[[#This Row],[Sales]]&gt;40000,"Best Sales",Table433[[#This Row],[Sales]]&gt;20000,"Average Sales",Table433[[#This Row],[Sales]]&gt;0,"Poor Sales")</f>
        <v>Poor Sales</v>
      </c>
      <c r="L260" s="12">
        <f>YEAR(Table433[[#This Row],[Date]])</f>
        <v>2023</v>
      </c>
      <c r="M260" s="12">
        <f>MONTH(Table433[[#This Row],[Date]])</f>
        <v>8</v>
      </c>
      <c r="N260" s="13">
        <f>DAY(Table433[[#This Row],[Date]])</f>
        <v>26</v>
      </c>
      <c r="O260" s="13" t="str">
        <f>TEXT(DATE(2023,Table433[[#This Row],[Month]],1),"mmm")</f>
        <v>Aug</v>
      </c>
      <c r="P260" s="13"/>
      <c r="Q260" s="13"/>
    </row>
    <row r="261" spans="1:17" x14ac:dyDescent="0.3">
      <c r="A261" s="14">
        <v>260</v>
      </c>
      <c r="B261" s="15">
        <v>45289</v>
      </c>
      <c r="C261" s="16" t="s">
        <v>22</v>
      </c>
      <c r="D261" s="16" t="s">
        <v>23</v>
      </c>
      <c r="E261" s="16" t="s">
        <v>19</v>
      </c>
      <c r="F261" s="16" t="s">
        <v>31</v>
      </c>
      <c r="G261" s="16" t="s">
        <v>36</v>
      </c>
      <c r="H261" s="17">
        <v>24406.17</v>
      </c>
      <c r="I261" s="16">
        <v>2</v>
      </c>
      <c r="J261" s="18">
        <v>1809.18</v>
      </c>
      <c r="K261" s="17" t="str" cm="1">
        <f t="array" ref="K261">_xlfn.IFS(Table433[[#This Row],[Sales]]&gt;40000,"Best Sales",Table433[[#This Row],[Sales]]&gt;20000,"Average Sales",Table433[[#This Row],[Sales]]&gt;0,"Poor Sales")</f>
        <v>Average Sales</v>
      </c>
      <c r="L261" s="12">
        <f>YEAR(Table433[[#This Row],[Date]])</f>
        <v>2023</v>
      </c>
      <c r="M261" s="12">
        <f>MONTH(Table433[[#This Row],[Date]])</f>
        <v>12</v>
      </c>
      <c r="N261" s="13">
        <f>DAY(Table433[[#This Row],[Date]])</f>
        <v>29</v>
      </c>
      <c r="O261" s="13" t="str">
        <f>TEXT(DATE(2023,Table433[[#This Row],[Month]],1),"mmm")</f>
        <v>Dec</v>
      </c>
      <c r="P261" s="13"/>
      <c r="Q261" s="13"/>
    </row>
    <row r="262" spans="1:17" x14ac:dyDescent="0.3">
      <c r="A262" s="6">
        <v>261</v>
      </c>
      <c r="B262" s="7">
        <v>45238</v>
      </c>
      <c r="C262" s="8" t="s">
        <v>29</v>
      </c>
      <c r="D262" s="8" t="s">
        <v>29</v>
      </c>
      <c r="E262" s="8" t="s">
        <v>24</v>
      </c>
      <c r="F262" s="8" t="s">
        <v>20</v>
      </c>
      <c r="G262" s="8" t="s">
        <v>41</v>
      </c>
      <c r="H262" s="9">
        <v>14529.22</v>
      </c>
      <c r="I262" s="8">
        <v>8</v>
      </c>
      <c r="J262" s="10">
        <v>3777.18</v>
      </c>
      <c r="K262" s="17" t="str" cm="1">
        <f t="array" ref="K262">_xlfn.IFS(Table433[[#This Row],[Sales]]&gt;40000,"Best Sales",Table433[[#This Row],[Sales]]&gt;20000,"Average Sales",Table433[[#This Row],[Sales]]&gt;0,"Poor Sales")</f>
        <v>Poor Sales</v>
      </c>
      <c r="L262" s="12">
        <f>YEAR(Table433[[#This Row],[Date]])</f>
        <v>2023</v>
      </c>
      <c r="M262" s="12">
        <f>MONTH(Table433[[#This Row],[Date]])</f>
        <v>11</v>
      </c>
      <c r="N262" s="13">
        <f>DAY(Table433[[#This Row],[Date]])</f>
        <v>8</v>
      </c>
      <c r="O262" s="13" t="str">
        <f>TEXT(DATE(2023,Table433[[#This Row],[Month]],1),"mmm")</f>
        <v>Nov</v>
      </c>
      <c r="P262" s="13"/>
      <c r="Q262" s="13"/>
    </row>
    <row r="263" spans="1:17" x14ac:dyDescent="0.3">
      <c r="A263" s="14">
        <v>262</v>
      </c>
      <c r="B263" s="15">
        <v>45013</v>
      </c>
      <c r="C263" s="16" t="s">
        <v>44</v>
      </c>
      <c r="D263" s="16" t="s">
        <v>34</v>
      </c>
      <c r="E263" s="16" t="s">
        <v>19</v>
      </c>
      <c r="F263" s="16" t="s">
        <v>20</v>
      </c>
      <c r="G263" s="16" t="s">
        <v>21</v>
      </c>
      <c r="H263" s="17">
        <v>19364.93</v>
      </c>
      <c r="I263" s="16">
        <v>3</v>
      </c>
      <c r="J263" s="18">
        <v>5725.87</v>
      </c>
      <c r="K263" s="17" t="str" cm="1">
        <f t="array" ref="K263">_xlfn.IFS(Table433[[#This Row],[Sales]]&gt;40000,"Best Sales",Table433[[#This Row],[Sales]]&gt;20000,"Average Sales",Table433[[#This Row],[Sales]]&gt;0,"Poor Sales")</f>
        <v>Poor Sales</v>
      </c>
      <c r="L263" s="12">
        <f>YEAR(Table433[[#This Row],[Date]])</f>
        <v>2023</v>
      </c>
      <c r="M263" s="12">
        <f>MONTH(Table433[[#This Row],[Date]])</f>
        <v>3</v>
      </c>
      <c r="N263" s="13">
        <f>DAY(Table433[[#This Row],[Date]])</f>
        <v>28</v>
      </c>
      <c r="O263" s="13" t="str">
        <f>TEXT(DATE(2023,Table433[[#This Row],[Month]],1),"mmm")</f>
        <v>Mar</v>
      </c>
      <c r="P263" s="13"/>
      <c r="Q263" s="13"/>
    </row>
    <row r="264" spans="1:17" x14ac:dyDescent="0.3">
      <c r="A264" s="6">
        <v>263</v>
      </c>
      <c r="B264" s="7">
        <v>45214</v>
      </c>
      <c r="C264" s="8" t="s">
        <v>37</v>
      </c>
      <c r="D264" s="8" t="s">
        <v>23</v>
      </c>
      <c r="E264" s="8" t="s">
        <v>24</v>
      </c>
      <c r="F264" s="8" t="s">
        <v>38</v>
      </c>
      <c r="G264" s="8" t="s">
        <v>39</v>
      </c>
      <c r="H264" s="9">
        <v>39741.019999999997</v>
      </c>
      <c r="I264" s="8">
        <v>6</v>
      </c>
      <c r="J264" s="10">
        <v>11691.37</v>
      </c>
      <c r="K264" s="17" t="str" cm="1">
        <f t="array" ref="K264">_xlfn.IFS(Table433[[#This Row],[Sales]]&gt;40000,"Best Sales",Table433[[#This Row],[Sales]]&gt;20000,"Average Sales",Table433[[#This Row],[Sales]]&gt;0,"Poor Sales")</f>
        <v>Average Sales</v>
      </c>
      <c r="L264" s="12">
        <f>YEAR(Table433[[#This Row],[Date]])</f>
        <v>2023</v>
      </c>
      <c r="M264" s="12">
        <f>MONTH(Table433[[#This Row],[Date]])</f>
        <v>10</v>
      </c>
      <c r="N264" s="13">
        <f>DAY(Table433[[#This Row],[Date]])</f>
        <v>15</v>
      </c>
      <c r="O264" s="13" t="str">
        <f>TEXT(DATE(2023,Table433[[#This Row],[Month]],1),"mmm")</f>
        <v>Oct</v>
      </c>
      <c r="P264" s="13"/>
      <c r="Q264" s="13"/>
    </row>
    <row r="265" spans="1:17" x14ac:dyDescent="0.3">
      <c r="A265" s="14">
        <v>264</v>
      </c>
      <c r="B265" s="15">
        <v>45114</v>
      </c>
      <c r="C265" s="16" t="s">
        <v>29</v>
      </c>
      <c r="D265" s="16" t="s">
        <v>29</v>
      </c>
      <c r="E265" s="16" t="s">
        <v>27</v>
      </c>
      <c r="F265" s="16" t="s">
        <v>31</v>
      </c>
      <c r="G265" s="16" t="s">
        <v>36</v>
      </c>
      <c r="H265" s="17">
        <v>28526.5</v>
      </c>
      <c r="I265" s="16">
        <v>9</v>
      </c>
      <c r="J265" s="18">
        <v>2168.42</v>
      </c>
      <c r="K265" s="17" t="str" cm="1">
        <f t="array" ref="K265">_xlfn.IFS(Table433[[#This Row],[Sales]]&gt;40000,"Best Sales",Table433[[#This Row],[Sales]]&gt;20000,"Average Sales",Table433[[#This Row],[Sales]]&gt;0,"Poor Sales")</f>
        <v>Average Sales</v>
      </c>
      <c r="L265" s="12">
        <f>YEAR(Table433[[#This Row],[Date]])</f>
        <v>2023</v>
      </c>
      <c r="M265" s="12">
        <f>MONTH(Table433[[#This Row],[Date]])</f>
        <v>7</v>
      </c>
      <c r="N265" s="13">
        <f>DAY(Table433[[#This Row],[Date]])</f>
        <v>7</v>
      </c>
      <c r="O265" s="13" t="str">
        <f>TEXT(DATE(2023,Table433[[#This Row],[Month]],1),"mmm")</f>
        <v>Jul</v>
      </c>
      <c r="P265" s="13"/>
      <c r="Q265" s="13"/>
    </row>
    <row r="266" spans="1:17" x14ac:dyDescent="0.3">
      <c r="A266" s="6">
        <v>265</v>
      </c>
      <c r="B266" s="7">
        <v>45156</v>
      </c>
      <c r="C266" s="8" t="s">
        <v>33</v>
      </c>
      <c r="D266" s="8" t="s">
        <v>34</v>
      </c>
      <c r="E266" s="8" t="s">
        <v>27</v>
      </c>
      <c r="F266" s="8" t="s">
        <v>31</v>
      </c>
      <c r="G266" s="8" t="s">
        <v>35</v>
      </c>
      <c r="H266" s="9">
        <v>23711.97</v>
      </c>
      <c r="I266" s="8">
        <v>10</v>
      </c>
      <c r="J266" s="10">
        <v>3673.28</v>
      </c>
      <c r="K266" s="17" t="str" cm="1">
        <f t="array" ref="K266">_xlfn.IFS(Table433[[#This Row],[Sales]]&gt;40000,"Best Sales",Table433[[#This Row],[Sales]]&gt;20000,"Average Sales",Table433[[#This Row],[Sales]]&gt;0,"Poor Sales")</f>
        <v>Average Sales</v>
      </c>
      <c r="L266" s="12">
        <f>YEAR(Table433[[#This Row],[Date]])</f>
        <v>2023</v>
      </c>
      <c r="M266" s="12">
        <f>MONTH(Table433[[#This Row],[Date]])</f>
        <v>8</v>
      </c>
      <c r="N266" s="13">
        <f>DAY(Table433[[#This Row],[Date]])</f>
        <v>18</v>
      </c>
      <c r="O266" s="13" t="str">
        <f>TEXT(DATE(2023,Table433[[#This Row],[Month]],1),"mmm")</f>
        <v>Aug</v>
      </c>
      <c r="P266" s="13"/>
      <c r="Q266" s="13"/>
    </row>
    <row r="267" spans="1:17" x14ac:dyDescent="0.3">
      <c r="A267" s="14">
        <v>266</v>
      </c>
      <c r="B267" s="15">
        <v>45127</v>
      </c>
      <c r="C267" s="16" t="s">
        <v>33</v>
      </c>
      <c r="D267" s="16" t="s">
        <v>34</v>
      </c>
      <c r="E267" s="16" t="s">
        <v>19</v>
      </c>
      <c r="F267" s="16" t="s">
        <v>38</v>
      </c>
      <c r="G267" s="16" t="s">
        <v>46</v>
      </c>
      <c r="H267" s="17">
        <v>28029.09</v>
      </c>
      <c r="I267" s="16">
        <v>2</v>
      </c>
      <c r="J267" s="18">
        <v>5086.72</v>
      </c>
      <c r="K267" s="17" t="str" cm="1">
        <f t="array" ref="K267">_xlfn.IFS(Table433[[#This Row],[Sales]]&gt;40000,"Best Sales",Table433[[#This Row],[Sales]]&gt;20000,"Average Sales",Table433[[#This Row],[Sales]]&gt;0,"Poor Sales")</f>
        <v>Average Sales</v>
      </c>
      <c r="L267" s="12">
        <f>YEAR(Table433[[#This Row],[Date]])</f>
        <v>2023</v>
      </c>
      <c r="M267" s="12">
        <f>MONTH(Table433[[#This Row],[Date]])</f>
        <v>7</v>
      </c>
      <c r="N267" s="13">
        <f>DAY(Table433[[#This Row],[Date]])</f>
        <v>20</v>
      </c>
      <c r="O267" s="13" t="str">
        <f>TEXT(DATE(2023,Table433[[#This Row],[Month]],1),"mmm")</f>
        <v>Jul</v>
      </c>
      <c r="P267" s="13"/>
      <c r="Q267" s="13"/>
    </row>
    <row r="268" spans="1:17" x14ac:dyDescent="0.3">
      <c r="A268" s="6">
        <v>267</v>
      </c>
      <c r="B268" s="7">
        <v>45268</v>
      </c>
      <c r="C268" s="8" t="s">
        <v>44</v>
      </c>
      <c r="D268" s="8" t="s">
        <v>34</v>
      </c>
      <c r="E268" s="8" t="s">
        <v>24</v>
      </c>
      <c r="F268" s="8" t="s">
        <v>38</v>
      </c>
      <c r="G268" s="8" t="s">
        <v>46</v>
      </c>
      <c r="H268" s="9">
        <v>5734.42</v>
      </c>
      <c r="I268" s="8">
        <v>4</v>
      </c>
      <c r="J268" s="10">
        <v>1489.22</v>
      </c>
      <c r="K268" s="17" t="str" cm="1">
        <f t="array" ref="K268">_xlfn.IFS(Table433[[#This Row],[Sales]]&gt;40000,"Best Sales",Table433[[#This Row],[Sales]]&gt;20000,"Average Sales",Table433[[#This Row],[Sales]]&gt;0,"Poor Sales")</f>
        <v>Poor Sales</v>
      </c>
      <c r="L268" s="12">
        <f>YEAR(Table433[[#This Row],[Date]])</f>
        <v>2023</v>
      </c>
      <c r="M268" s="12">
        <f>MONTH(Table433[[#This Row],[Date]])</f>
        <v>12</v>
      </c>
      <c r="N268" s="13">
        <f>DAY(Table433[[#This Row],[Date]])</f>
        <v>8</v>
      </c>
      <c r="O268" s="13" t="str">
        <f>TEXT(DATE(2023,Table433[[#This Row],[Month]],1),"mmm")</f>
        <v>Dec</v>
      </c>
      <c r="P268" s="13"/>
      <c r="Q268" s="13"/>
    </row>
    <row r="269" spans="1:17" x14ac:dyDescent="0.3">
      <c r="A269" s="14">
        <v>268</v>
      </c>
      <c r="B269" s="15">
        <v>45136</v>
      </c>
      <c r="C269" s="16" t="s">
        <v>37</v>
      </c>
      <c r="D269" s="16" t="s">
        <v>23</v>
      </c>
      <c r="E269" s="16" t="s">
        <v>19</v>
      </c>
      <c r="F269" s="16" t="s">
        <v>38</v>
      </c>
      <c r="G269" s="16" t="s">
        <v>39</v>
      </c>
      <c r="H269" s="17">
        <v>39653.46</v>
      </c>
      <c r="I269" s="16">
        <v>5</v>
      </c>
      <c r="J269" s="18">
        <v>11436.72</v>
      </c>
      <c r="K269" s="17" t="str" cm="1">
        <f t="array" ref="K269">_xlfn.IFS(Table433[[#This Row],[Sales]]&gt;40000,"Best Sales",Table433[[#This Row],[Sales]]&gt;20000,"Average Sales",Table433[[#This Row],[Sales]]&gt;0,"Poor Sales")</f>
        <v>Average Sales</v>
      </c>
      <c r="L269" s="12">
        <f>YEAR(Table433[[#This Row],[Date]])</f>
        <v>2023</v>
      </c>
      <c r="M269" s="12">
        <f>MONTH(Table433[[#This Row],[Date]])</f>
        <v>7</v>
      </c>
      <c r="N269" s="13">
        <f>DAY(Table433[[#This Row],[Date]])</f>
        <v>29</v>
      </c>
      <c r="O269" s="13" t="str">
        <f>TEXT(DATE(2023,Table433[[#This Row],[Month]],1),"mmm")</f>
        <v>Jul</v>
      </c>
      <c r="P269" s="13"/>
      <c r="Q269" s="13"/>
    </row>
    <row r="270" spans="1:17" x14ac:dyDescent="0.3">
      <c r="A270" s="6">
        <v>269</v>
      </c>
      <c r="B270" s="7">
        <v>45100</v>
      </c>
      <c r="C270" s="8" t="s">
        <v>37</v>
      </c>
      <c r="D270" s="8" t="s">
        <v>23</v>
      </c>
      <c r="E270" s="8" t="s">
        <v>24</v>
      </c>
      <c r="F270" s="8" t="s">
        <v>31</v>
      </c>
      <c r="G270" s="8" t="s">
        <v>35</v>
      </c>
      <c r="H270" s="9">
        <v>31139.39</v>
      </c>
      <c r="I270" s="8">
        <v>5</v>
      </c>
      <c r="J270" s="10">
        <v>5027.6499999999996</v>
      </c>
      <c r="K270" s="17" t="str" cm="1">
        <f t="array" ref="K270">_xlfn.IFS(Table433[[#This Row],[Sales]]&gt;40000,"Best Sales",Table433[[#This Row],[Sales]]&gt;20000,"Average Sales",Table433[[#This Row],[Sales]]&gt;0,"Poor Sales")</f>
        <v>Average Sales</v>
      </c>
      <c r="L270" s="12">
        <f>YEAR(Table433[[#This Row],[Date]])</f>
        <v>2023</v>
      </c>
      <c r="M270" s="12">
        <f>MONTH(Table433[[#This Row],[Date]])</f>
        <v>6</v>
      </c>
      <c r="N270" s="13">
        <f>DAY(Table433[[#This Row],[Date]])</f>
        <v>23</v>
      </c>
      <c r="O270" s="13" t="str">
        <f>TEXT(DATE(2023,Table433[[#This Row],[Month]],1),"mmm")</f>
        <v>Jun</v>
      </c>
      <c r="P270" s="13"/>
      <c r="Q270" s="13"/>
    </row>
    <row r="271" spans="1:17" x14ac:dyDescent="0.3">
      <c r="A271" s="14">
        <v>270</v>
      </c>
      <c r="B271" s="15">
        <v>44981</v>
      </c>
      <c r="C271" s="16" t="s">
        <v>37</v>
      </c>
      <c r="D271" s="16" t="s">
        <v>23</v>
      </c>
      <c r="E271" s="16" t="s">
        <v>27</v>
      </c>
      <c r="F271" s="16" t="s">
        <v>31</v>
      </c>
      <c r="G271" s="16" t="s">
        <v>35</v>
      </c>
      <c r="H271" s="17">
        <v>22141.33</v>
      </c>
      <c r="I271" s="16">
        <v>7</v>
      </c>
      <c r="J271" s="18">
        <v>4473.1400000000003</v>
      </c>
      <c r="K271" s="17" t="str" cm="1">
        <f t="array" ref="K271">_xlfn.IFS(Table433[[#This Row],[Sales]]&gt;40000,"Best Sales",Table433[[#This Row],[Sales]]&gt;20000,"Average Sales",Table433[[#This Row],[Sales]]&gt;0,"Poor Sales")</f>
        <v>Average Sales</v>
      </c>
      <c r="L271" s="12">
        <f>YEAR(Table433[[#This Row],[Date]])</f>
        <v>2023</v>
      </c>
      <c r="M271" s="12">
        <f>MONTH(Table433[[#This Row],[Date]])</f>
        <v>2</v>
      </c>
      <c r="N271" s="13">
        <f>DAY(Table433[[#This Row],[Date]])</f>
        <v>24</v>
      </c>
      <c r="O271" s="13" t="str">
        <f>TEXT(DATE(2023,Table433[[#This Row],[Month]],1),"mmm")</f>
        <v>Feb</v>
      </c>
      <c r="P271" s="13"/>
      <c r="Q271" s="13"/>
    </row>
    <row r="272" spans="1:17" x14ac:dyDescent="0.3">
      <c r="A272" s="6">
        <v>271</v>
      </c>
      <c r="B272" s="7">
        <v>45238</v>
      </c>
      <c r="C272" s="8" t="s">
        <v>22</v>
      </c>
      <c r="D272" s="8" t="s">
        <v>23</v>
      </c>
      <c r="E272" s="8" t="s">
        <v>27</v>
      </c>
      <c r="F272" s="8" t="s">
        <v>20</v>
      </c>
      <c r="G272" s="8" t="s">
        <v>41</v>
      </c>
      <c r="H272" s="9">
        <v>44279.01</v>
      </c>
      <c r="I272" s="8">
        <v>7</v>
      </c>
      <c r="J272" s="10">
        <v>6441.93</v>
      </c>
      <c r="K272" s="17" t="str" cm="1">
        <f t="array" ref="K272">_xlfn.IFS(Table433[[#This Row],[Sales]]&gt;40000,"Best Sales",Table433[[#This Row],[Sales]]&gt;20000,"Average Sales",Table433[[#This Row],[Sales]]&gt;0,"Poor Sales")</f>
        <v>Best Sales</v>
      </c>
      <c r="L272" s="12">
        <f>YEAR(Table433[[#This Row],[Date]])</f>
        <v>2023</v>
      </c>
      <c r="M272" s="12">
        <f>MONTH(Table433[[#This Row],[Date]])</f>
        <v>11</v>
      </c>
      <c r="N272" s="13">
        <f>DAY(Table433[[#This Row],[Date]])</f>
        <v>8</v>
      </c>
      <c r="O272" s="13" t="str">
        <f>TEXT(DATE(2023,Table433[[#This Row],[Month]],1),"mmm")</f>
        <v>Nov</v>
      </c>
      <c r="P272" s="13"/>
      <c r="Q272" s="13"/>
    </row>
    <row r="273" spans="1:17" x14ac:dyDescent="0.3">
      <c r="A273" s="14">
        <v>272</v>
      </c>
      <c r="B273" s="15">
        <v>44927</v>
      </c>
      <c r="C273" s="16" t="s">
        <v>42</v>
      </c>
      <c r="D273" s="16" t="s">
        <v>43</v>
      </c>
      <c r="E273" s="16" t="s">
        <v>19</v>
      </c>
      <c r="F273" s="16" t="s">
        <v>31</v>
      </c>
      <c r="G273" s="16" t="s">
        <v>32</v>
      </c>
      <c r="H273" s="17">
        <v>34850.58</v>
      </c>
      <c r="I273" s="16">
        <v>6</v>
      </c>
      <c r="J273" s="18">
        <v>7187.87</v>
      </c>
      <c r="K273" s="17" t="str" cm="1">
        <f t="array" ref="K273">_xlfn.IFS(Table433[[#This Row],[Sales]]&gt;40000,"Best Sales",Table433[[#This Row],[Sales]]&gt;20000,"Average Sales",Table433[[#This Row],[Sales]]&gt;0,"Poor Sales")</f>
        <v>Average Sales</v>
      </c>
      <c r="L273" s="12">
        <f>YEAR(Table433[[#This Row],[Date]])</f>
        <v>2023</v>
      </c>
      <c r="M273" s="12">
        <f>MONTH(Table433[[#This Row],[Date]])</f>
        <v>1</v>
      </c>
      <c r="N273" s="13">
        <f>DAY(Table433[[#This Row],[Date]])</f>
        <v>1</v>
      </c>
      <c r="O273" s="13" t="str">
        <f>TEXT(DATE(2023,Table433[[#This Row],[Month]],1),"mmm")</f>
        <v>Jan</v>
      </c>
      <c r="P273" s="13"/>
      <c r="Q273" s="13"/>
    </row>
    <row r="274" spans="1:17" x14ac:dyDescent="0.3">
      <c r="A274" s="6">
        <v>273</v>
      </c>
      <c r="B274" s="7">
        <v>45155</v>
      </c>
      <c r="C274" s="8" t="s">
        <v>29</v>
      </c>
      <c r="D274" s="8" t="s">
        <v>29</v>
      </c>
      <c r="E274" s="8" t="s">
        <v>24</v>
      </c>
      <c r="F274" s="8" t="s">
        <v>38</v>
      </c>
      <c r="G274" s="8" t="s">
        <v>40</v>
      </c>
      <c r="H274" s="9">
        <v>5858.59</v>
      </c>
      <c r="I274" s="8">
        <v>3</v>
      </c>
      <c r="J274" s="10">
        <v>796.7</v>
      </c>
      <c r="K274" s="17" t="str" cm="1">
        <f t="array" ref="K274">_xlfn.IFS(Table433[[#This Row],[Sales]]&gt;40000,"Best Sales",Table433[[#This Row],[Sales]]&gt;20000,"Average Sales",Table433[[#This Row],[Sales]]&gt;0,"Poor Sales")</f>
        <v>Poor Sales</v>
      </c>
      <c r="L274" s="12">
        <f>YEAR(Table433[[#This Row],[Date]])</f>
        <v>2023</v>
      </c>
      <c r="M274" s="12">
        <f>MONTH(Table433[[#This Row],[Date]])</f>
        <v>8</v>
      </c>
      <c r="N274" s="13">
        <f>DAY(Table433[[#This Row],[Date]])</f>
        <v>17</v>
      </c>
      <c r="O274" s="13" t="str">
        <f>TEXT(DATE(2023,Table433[[#This Row],[Month]],1),"mmm")</f>
        <v>Aug</v>
      </c>
      <c r="P274" s="13"/>
      <c r="Q274" s="13"/>
    </row>
    <row r="275" spans="1:17" x14ac:dyDescent="0.3">
      <c r="A275" s="14">
        <v>274</v>
      </c>
      <c r="B275" s="15">
        <v>45162</v>
      </c>
      <c r="C275" s="16" t="s">
        <v>45</v>
      </c>
      <c r="D275" s="16" t="s">
        <v>34</v>
      </c>
      <c r="E275" s="16" t="s">
        <v>19</v>
      </c>
      <c r="F275" s="16" t="s">
        <v>38</v>
      </c>
      <c r="G275" s="16" t="s">
        <v>46</v>
      </c>
      <c r="H275" s="17">
        <v>48376.78</v>
      </c>
      <c r="I275" s="16">
        <v>2</v>
      </c>
      <c r="J275" s="18">
        <v>6380.96</v>
      </c>
      <c r="K275" s="17" t="str" cm="1">
        <f t="array" ref="K275">_xlfn.IFS(Table433[[#This Row],[Sales]]&gt;40000,"Best Sales",Table433[[#This Row],[Sales]]&gt;20000,"Average Sales",Table433[[#This Row],[Sales]]&gt;0,"Poor Sales")</f>
        <v>Best Sales</v>
      </c>
      <c r="L275" s="12">
        <f>YEAR(Table433[[#This Row],[Date]])</f>
        <v>2023</v>
      </c>
      <c r="M275" s="12">
        <f>MONTH(Table433[[#This Row],[Date]])</f>
        <v>8</v>
      </c>
      <c r="N275" s="13">
        <f>DAY(Table433[[#This Row],[Date]])</f>
        <v>24</v>
      </c>
      <c r="O275" s="13" t="str">
        <f>TEXT(DATE(2023,Table433[[#This Row],[Month]],1),"mmm")</f>
        <v>Aug</v>
      </c>
      <c r="P275" s="13"/>
      <c r="Q275" s="13"/>
    </row>
    <row r="276" spans="1:17" x14ac:dyDescent="0.3">
      <c r="A276" s="6">
        <v>275</v>
      </c>
      <c r="B276" s="7">
        <v>45003</v>
      </c>
      <c r="C276" s="8" t="s">
        <v>44</v>
      </c>
      <c r="D276" s="8" t="s">
        <v>34</v>
      </c>
      <c r="E276" s="8" t="s">
        <v>24</v>
      </c>
      <c r="F276" s="8" t="s">
        <v>38</v>
      </c>
      <c r="G276" s="8" t="s">
        <v>46</v>
      </c>
      <c r="H276" s="9">
        <v>45474.51</v>
      </c>
      <c r="I276" s="8">
        <v>5</v>
      </c>
      <c r="J276" s="10">
        <v>10209.879999999999</v>
      </c>
      <c r="K276" s="17" t="str" cm="1">
        <f t="array" ref="K276">_xlfn.IFS(Table433[[#This Row],[Sales]]&gt;40000,"Best Sales",Table433[[#This Row],[Sales]]&gt;20000,"Average Sales",Table433[[#This Row],[Sales]]&gt;0,"Poor Sales")</f>
        <v>Best Sales</v>
      </c>
      <c r="L276" s="12">
        <f>YEAR(Table433[[#This Row],[Date]])</f>
        <v>2023</v>
      </c>
      <c r="M276" s="12">
        <f>MONTH(Table433[[#This Row],[Date]])</f>
        <v>3</v>
      </c>
      <c r="N276" s="13">
        <f>DAY(Table433[[#This Row],[Date]])</f>
        <v>18</v>
      </c>
      <c r="O276" s="13" t="str">
        <f>TEXT(DATE(2023,Table433[[#This Row],[Month]],1),"mmm")</f>
        <v>Mar</v>
      </c>
      <c r="P276" s="13"/>
      <c r="Q276" s="13"/>
    </row>
    <row r="277" spans="1:17" x14ac:dyDescent="0.3">
      <c r="A277" s="14">
        <v>276</v>
      </c>
      <c r="B277" s="15">
        <v>45184</v>
      </c>
      <c r="C277" s="16" t="s">
        <v>45</v>
      </c>
      <c r="D277" s="16" t="s">
        <v>34</v>
      </c>
      <c r="E277" s="16" t="s">
        <v>27</v>
      </c>
      <c r="F277" s="16" t="s">
        <v>38</v>
      </c>
      <c r="G277" s="16" t="s">
        <v>39</v>
      </c>
      <c r="H277" s="17">
        <v>38210.57</v>
      </c>
      <c r="I277" s="16">
        <v>1</v>
      </c>
      <c r="J277" s="18">
        <v>8172.28</v>
      </c>
      <c r="K277" s="17" t="str" cm="1">
        <f t="array" ref="K277">_xlfn.IFS(Table433[[#This Row],[Sales]]&gt;40000,"Best Sales",Table433[[#This Row],[Sales]]&gt;20000,"Average Sales",Table433[[#This Row],[Sales]]&gt;0,"Poor Sales")</f>
        <v>Average Sales</v>
      </c>
      <c r="L277" s="12">
        <f>YEAR(Table433[[#This Row],[Date]])</f>
        <v>2023</v>
      </c>
      <c r="M277" s="12">
        <f>MONTH(Table433[[#This Row],[Date]])</f>
        <v>9</v>
      </c>
      <c r="N277" s="13">
        <f>DAY(Table433[[#This Row],[Date]])</f>
        <v>15</v>
      </c>
      <c r="O277" s="13" t="str">
        <f>TEXT(DATE(2023,Table433[[#This Row],[Month]],1),"mmm")</f>
        <v>Sep</v>
      </c>
      <c r="P277" s="13"/>
      <c r="Q277" s="13"/>
    </row>
    <row r="278" spans="1:17" x14ac:dyDescent="0.3">
      <c r="A278" s="6">
        <v>277</v>
      </c>
      <c r="B278" s="7">
        <v>45064</v>
      </c>
      <c r="C278" s="8" t="s">
        <v>42</v>
      </c>
      <c r="D278" s="8" t="s">
        <v>43</v>
      </c>
      <c r="E278" s="8" t="s">
        <v>27</v>
      </c>
      <c r="F278" s="8" t="s">
        <v>31</v>
      </c>
      <c r="G278" s="8" t="s">
        <v>35</v>
      </c>
      <c r="H278" s="9">
        <v>2743.4</v>
      </c>
      <c r="I278" s="8">
        <v>2</v>
      </c>
      <c r="J278" s="10">
        <v>324.44</v>
      </c>
      <c r="K278" s="17" t="str" cm="1">
        <f t="array" ref="K278">_xlfn.IFS(Table433[[#This Row],[Sales]]&gt;40000,"Best Sales",Table433[[#This Row],[Sales]]&gt;20000,"Average Sales",Table433[[#This Row],[Sales]]&gt;0,"Poor Sales")</f>
        <v>Poor Sales</v>
      </c>
      <c r="L278" s="12">
        <f>YEAR(Table433[[#This Row],[Date]])</f>
        <v>2023</v>
      </c>
      <c r="M278" s="12">
        <f>MONTH(Table433[[#This Row],[Date]])</f>
        <v>5</v>
      </c>
      <c r="N278" s="13">
        <f>DAY(Table433[[#This Row],[Date]])</f>
        <v>18</v>
      </c>
      <c r="O278" s="13" t="str">
        <f>TEXT(DATE(2023,Table433[[#This Row],[Month]],1),"mmm")</f>
        <v>May</v>
      </c>
      <c r="P278" s="13"/>
      <c r="Q278" s="13"/>
    </row>
    <row r="279" spans="1:17" x14ac:dyDescent="0.3">
      <c r="A279" s="14">
        <v>278</v>
      </c>
      <c r="B279" s="15">
        <v>45010</v>
      </c>
      <c r="C279" s="16" t="s">
        <v>22</v>
      </c>
      <c r="D279" s="16" t="s">
        <v>23</v>
      </c>
      <c r="E279" s="16" t="s">
        <v>19</v>
      </c>
      <c r="F279" s="16" t="s">
        <v>38</v>
      </c>
      <c r="G279" s="16" t="s">
        <v>39</v>
      </c>
      <c r="H279" s="17">
        <v>17723.98</v>
      </c>
      <c r="I279" s="16">
        <v>3</v>
      </c>
      <c r="J279" s="18">
        <v>3188.41</v>
      </c>
      <c r="K279" s="17" t="str" cm="1">
        <f t="array" ref="K279">_xlfn.IFS(Table433[[#This Row],[Sales]]&gt;40000,"Best Sales",Table433[[#This Row],[Sales]]&gt;20000,"Average Sales",Table433[[#This Row],[Sales]]&gt;0,"Poor Sales")</f>
        <v>Poor Sales</v>
      </c>
      <c r="L279" s="12">
        <f>YEAR(Table433[[#This Row],[Date]])</f>
        <v>2023</v>
      </c>
      <c r="M279" s="12">
        <f>MONTH(Table433[[#This Row],[Date]])</f>
        <v>3</v>
      </c>
      <c r="N279" s="13">
        <f>DAY(Table433[[#This Row],[Date]])</f>
        <v>25</v>
      </c>
      <c r="O279" s="13" t="str">
        <f>TEXT(DATE(2023,Table433[[#This Row],[Month]],1),"mmm")</f>
        <v>Mar</v>
      </c>
      <c r="P279" s="13"/>
      <c r="Q279" s="13"/>
    </row>
    <row r="280" spans="1:17" x14ac:dyDescent="0.3">
      <c r="A280" s="6">
        <v>279</v>
      </c>
      <c r="B280" s="7">
        <v>44973</v>
      </c>
      <c r="C280" s="8" t="s">
        <v>22</v>
      </c>
      <c r="D280" s="8" t="s">
        <v>23</v>
      </c>
      <c r="E280" s="8" t="s">
        <v>24</v>
      </c>
      <c r="F280" s="8" t="s">
        <v>20</v>
      </c>
      <c r="G280" s="8" t="s">
        <v>28</v>
      </c>
      <c r="H280" s="9">
        <v>37126.15</v>
      </c>
      <c r="I280" s="8">
        <v>7</v>
      </c>
      <c r="J280" s="10">
        <v>7778.08</v>
      </c>
      <c r="K280" s="17" t="str" cm="1">
        <f t="array" ref="K280">_xlfn.IFS(Table433[[#This Row],[Sales]]&gt;40000,"Best Sales",Table433[[#This Row],[Sales]]&gt;20000,"Average Sales",Table433[[#This Row],[Sales]]&gt;0,"Poor Sales")</f>
        <v>Average Sales</v>
      </c>
      <c r="L280" s="12">
        <f>YEAR(Table433[[#This Row],[Date]])</f>
        <v>2023</v>
      </c>
      <c r="M280" s="12">
        <f>MONTH(Table433[[#This Row],[Date]])</f>
        <v>2</v>
      </c>
      <c r="N280" s="13">
        <f>DAY(Table433[[#This Row],[Date]])</f>
        <v>16</v>
      </c>
      <c r="O280" s="13" t="str">
        <f>TEXT(DATE(2023,Table433[[#This Row],[Month]],1),"mmm")</f>
        <v>Feb</v>
      </c>
      <c r="P280" s="13"/>
      <c r="Q280" s="13"/>
    </row>
    <row r="281" spans="1:17" x14ac:dyDescent="0.3">
      <c r="A281" s="14">
        <v>280</v>
      </c>
      <c r="B281" s="15">
        <v>45043</v>
      </c>
      <c r="C281" s="16" t="s">
        <v>17</v>
      </c>
      <c r="D281" s="16" t="s">
        <v>18</v>
      </c>
      <c r="E281" s="16" t="s">
        <v>19</v>
      </c>
      <c r="F281" s="16" t="s">
        <v>20</v>
      </c>
      <c r="G281" s="16" t="s">
        <v>21</v>
      </c>
      <c r="H281" s="17">
        <v>33645.160000000003</v>
      </c>
      <c r="I281" s="16">
        <v>9</v>
      </c>
      <c r="J281" s="18">
        <v>3910.56</v>
      </c>
      <c r="K281" s="17" t="str" cm="1">
        <f t="array" ref="K281">_xlfn.IFS(Table433[[#This Row],[Sales]]&gt;40000,"Best Sales",Table433[[#This Row],[Sales]]&gt;20000,"Average Sales",Table433[[#This Row],[Sales]]&gt;0,"Poor Sales")</f>
        <v>Average Sales</v>
      </c>
      <c r="L281" s="12">
        <f>YEAR(Table433[[#This Row],[Date]])</f>
        <v>2023</v>
      </c>
      <c r="M281" s="12">
        <f>MONTH(Table433[[#This Row],[Date]])</f>
        <v>4</v>
      </c>
      <c r="N281" s="13">
        <f>DAY(Table433[[#This Row],[Date]])</f>
        <v>27</v>
      </c>
      <c r="O281" s="13" t="str">
        <f>TEXT(DATE(2023,Table433[[#This Row],[Month]],1),"mmm")</f>
        <v>Apr</v>
      </c>
      <c r="P281" s="13"/>
      <c r="Q281" s="13"/>
    </row>
    <row r="282" spans="1:17" x14ac:dyDescent="0.3">
      <c r="A282" s="6">
        <v>281</v>
      </c>
      <c r="B282" s="7">
        <v>44956</v>
      </c>
      <c r="C282" s="8" t="s">
        <v>42</v>
      </c>
      <c r="D282" s="8" t="s">
        <v>43</v>
      </c>
      <c r="E282" s="8" t="s">
        <v>24</v>
      </c>
      <c r="F282" s="8" t="s">
        <v>31</v>
      </c>
      <c r="G282" s="8" t="s">
        <v>32</v>
      </c>
      <c r="H282" s="9">
        <v>16719.09</v>
      </c>
      <c r="I282" s="8">
        <v>4</v>
      </c>
      <c r="J282" s="10">
        <v>1211.3699999999999</v>
      </c>
      <c r="K282" s="17" t="str" cm="1">
        <f t="array" ref="K282">_xlfn.IFS(Table433[[#This Row],[Sales]]&gt;40000,"Best Sales",Table433[[#This Row],[Sales]]&gt;20000,"Average Sales",Table433[[#This Row],[Sales]]&gt;0,"Poor Sales")</f>
        <v>Poor Sales</v>
      </c>
      <c r="L282" s="12">
        <f>YEAR(Table433[[#This Row],[Date]])</f>
        <v>2023</v>
      </c>
      <c r="M282" s="12">
        <f>MONTH(Table433[[#This Row],[Date]])</f>
        <v>1</v>
      </c>
      <c r="N282" s="13">
        <f>DAY(Table433[[#This Row],[Date]])</f>
        <v>30</v>
      </c>
      <c r="O282" s="13" t="str">
        <f>TEXT(DATE(2023,Table433[[#This Row],[Month]],1),"mmm")</f>
        <v>Jan</v>
      </c>
      <c r="P282" s="13"/>
      <c r="Q282" s="13"/>
    </row>
    <row r="283" spans="1:17" x14ac:dyDescent="0.3">
      <c r="A283" s="14">
        <v>282</v>
      </c>
      <c r="B283" s="15">
        <v>45046</v>
      </c>
      <c r="C283" s="16" t="s">
        <v>17</v>
      </c>
      <c r="D283" s="16" t="s">
        <v>18</v>
      </c>
      <c r="E283" s="16" t="s">
        <v>27</v>
      </c>
      <c r="F283" s="16" t="s">
        <v>38</v>
      </c>
      <c r="G283" s="16" t="s">
        <v>39</v>
      </c>
      <c r="H283" s="17">
        <v>25813.7</v>
      </c>
      <c r="I283" s="16">
        <v>4</v>
      </c>
      <c r="J283" s="18">
        <v>5481.41</v>
      </c>
      <c r="K283" s="17" t="str" cm="1">
        <f t="array" ref="K283">_xlfn.IFS(Table433[[#This Row],[Sales]]&gt;40000,"Best Sales",Table433[[#This Row],[Sales]]&gt;20000,"Average Sales",Table433[[#This Row],[Sales]]&gt;0,"Poor Sales")</f>
        <v>Average Sales</v>
      </c>
      <c r="L283" s="12">
        <f>YEAR(Table433[[#This Row],[Date]])</f>
        <v>2023</v>
      </c>
      <c r="M283" s="12">
        <f>MONTH(Table433[[#This Row],[Date]])</f>
        <v>4</v>
      </c>
      <c r="N283" s="13">
        <f>DAY(Table433[[#This Row],[Date]])</f>
        <v>30</v>
      </c>
      <c r="O283" s="13" t="str">
        <f>TEXT(DATE(2023,Table433[[#This Row],[Month]],1),"mmm")</f>
        <v>Apr</v>
      </c>
      <c r="P283" s="13"/>
      <c r="Q283" s="13"/>
    </row>
    <row r="284" spans="1:17" x14ac:dyDescent="0.3">
      <c r="A284" s="6">
        <v>283</v>
      </c>
      <c r="B284" s="7">
        <v>45087</v>
      </c>
      <c r="C284" s="8" t="s">
        <v>44</v>
      </c>
      <c r="D284" s="8" t="s">
        <v>34</v>
      </c>
      <c r="E284" s="8" t="s">
        <v>27</v>
      </c>
      <c r="F284" s="8" t="s">
        <v>20</v>
      </c>
      <c r="G284" s="8" t="s">
        <v>28</v>
      </c>
      <c r="H284" s="9">
        <v>4086.81</v>
      </c>
      <c r="I284" s="8">
        <v>4</v>
      </c>
      <c r="J284" s="10">
        <v>760.68</v>
      </c>
      <c r="K284" s="17" t="str" cm="1">
        <f t="array" ref="K284">_xlfn.IFS(Table433[[#This Row],[Sales]]&gt;40000,"Best Sales",Table433[[#This Row],[Sales]]&gt;20000,"Average Sales",Table433[[#This Row],[Sales]]&gt;0,"Poor Sales")</f>
        <v>Poor Sales</v>
      </c>
      <c r="L284" s="12">
        <f>YEAR(Table433[[#This Row],[Date]])</f>
        <v>2023</v>
      </c>
      <c r="M284" s="12">
        <f>MONTH(Table433[[#This Row],[Date]])</f>
        <v>6</v>
      </c>
      <c r="N284" s="13">
        <f>DAY(Table433[[#This Row],[Date]])</f>
        <v>10</v>
      </c>
      <c r="O284" s="13" t="str">
        <f>TEXT(DATE(2023,Table433[[#This Row],[Month]],1),"mmm")</f>
        <v>Jun</v>
      </c>
      <c r="P284" s="13"/>
      <c r="Q284" s="13"/>
    </row>
    <row r="285" spans="1:17" x14ac:dyDescent="0.3">
      <c r="A285" s="14">
        <v>284</v>
      </c>
      <c r="B285" s="15">
        <v>45145</v>
      </c>
      <c r="C285" s="16" t="s">
        <v>45</v>
      </c>
      <c r="D285" s="16" t="s">
        <v>34</v>
      </c>
      <c r="E285" s="16" t="s">
        <v>19</v>
      </c>
      <c r="F285" s="16" t="s">
        <v>20</v>
      </c>
      <c r="G285" s="16" t="s">
        <v>28</v>
      </c>
      <c r="H285" s="17">
        <v>18521.38</v>
      </c>
      <c r="I285" s="16">
        <v>1</v>
      </c>
      <c r="J285" s="18">
        <v>1946.16</v>
      </c>
      <c r="K285" s="17" t="str" cm="1">
        <f t="array" ref="K285">_xlfn.IFS(Table433[[#This Row],[Sales]]&gt;40000,"Best Sales",Table433[[#This Row],[Sales]]&gt;20000,"Average Sales",Table433[[#This Row],[Sales]]&gt;0,"Poor Sales")</f>
        <v>Poor Sales</v>
      </c>
      <c r="L285" s="12">
        <f>YEAR(Table433[[#This Row],[Date]])</f>
        <v>2023</v>
      </c>
      <c r="M285" s="12">
        <f>MONTH(Table433[[#This Row],[Date]])</f>
        <v>8</v>
      </c>
      <c r="N285" s="13">
        <f>DAY(Table433[[#This Row],[Date]])</f>
        <v>7</v>
      </c>
      <c r="O285" s="13" t="str">
        <f>TEXT(DATE(2023,Table433[[#This Row],[Month]],1),"mmm")</f>
        <v>Aug</v>
      </c>
      <c r="P285" s="13"/>
      <c r="Q285" s="13"/>
    </row>
    <row r="286" spans="1:17" x14ac:dyDescent="0.3">
      <c r="A286" s="6">
        <v>285</v>
      </c>
      <c r="B286" s="7">
        <v>45165</v>
      </c>
      <c r="C286" s="8" t="s">
        <v>44</v>
      </c>
      <c r="D286" s="8" t="s">
        <v>34</v>
      </c>
      <c r="E286" s="8" t="s">
        <v>24</v>
      </c>
      <c r="F286" s="8" t="s">
        <v>31</v>
      </c>
      <c r="G286" s="8" t="s">
        <v>36</v>
      </c>
      <c r="H286" s="9">
        <v>35464.68</v>
      </c>
      <c r="I286" s="8">
        <v>3</v>
      </c>
      <c r="J286" s="10">
        <v>4946.6099999999997</v>
      </c>
      <c r="K286" s="17" t="str" cm="1">
        <f t="array" ref="K286">_xlfn.IFS(Table433[[#This Row],[Sales]]&gt;40000,"Best Sales",Table433[[#This Row],[Sales]]&gt;20000,"Average Sales",Table433[[#This Row],[Sales]]&gt;0,"Poor Sales")</f>
        <v>Average Sales</v>
      </c>
      <c r="L286" s="12">
        <f>YEAR(Table433[[#This Row],[Date]])</f>
        <v>2023</v>
      </c>
      <c r="M286" s="12">
        <f>MONTH(Table433[[#This Row],[Date]])</f>
        <v>8</v>
      </c>
      <c r="N286" s="13">
        <f>DAY(Table433[[#This Row],[Date]])</f>
        <v>27</v>
      </c>
      <c r="O286" s="13" t="str">
        <f>TEXT(DATE(2023,Table433[[#This Row],[Month]],1),"mmm")</f>
        <v>Aug</v>
      </c>
      <c r="P286" s="13"/>
      <c r="Q286" s="13"/>
    </row>
    <row r="287" spans="1:17" x14ac:dyDescent="0.3">
      <c r="A287" s="14">
        <v>286</v>
      </c>
      <c r="B287" s="15">
        <v>45228</v>
      </c>
      <c r="C287" s="16" t="s">
        <v>42</v>
      </c>
      <c r="D287" s="16" t="s">
        <v>43</v>
      </c>
      <c r="E287" s="16" t="s">
        <v>19</v>
      </c>
      <c r="F287" s="16" t="s">
        <v>20</v>
      </c>
      <c r="G287" s="16" t="s">
        <v>41</v>
      </c>
      <c r="H287" s="17">
        <v>49796.639999999999</v>
      </c>
      <c r="I287" s="16">
        <v>9</v>
      </c>
      <c r="J287" s="18">
        <v>11826.36</v>
      </c>
      <c r="K287" s="17" t="str" cm="1">
        <f t="array" ref="K287">_xlfn.IFS(Table433[[#This Row],[Sales]]&gt;40000,"Best Sales",Table433[[#This Row],[Sales]]&gt;20000,"Average Sales",Table433[[#This Row],[Sales]]&gt;0,"Poor Sales")</f>
        <v>Best Sales</v>
      </c>
      <c r="L287" s="12">
        <f>YEAR(Table433[[#This Row],[Date]])</f>
        <v>2023</v>
      </c>
      <c r="M287" s="12">
        <f>MONTH(Table433[[#This Row],[Date]])</f>
        <v>10</v>
      </c>
      <c r="N287" s="13">
        <f>DAY(Table433[[#This Row],[Date]])</f>
        <v>29</v>
      </c>
      <c r="O287" s="13" t="str">
        <f>TEXT(DATE(2023,Table433[[#This Row],[Month]],1),"mmm")</f>
        <v>Oct</v>
      </c>
      <c r="P287" s="13"/>
      <c r="Q287" s="13"/>
    </row>
    <row r="288" spans="1:17" x14ac:dyDescent="0.3">
      <c r="A288" s="6">
        <v>287</v>
      </c>
      <c r="B288" s="7">
        <v>45075</v>
      </c>
      <c r="C288" s="8" t="s">
        <v>33</v>
      </c>
      <c r="D288" s="8" t="s">
        <v>34</v>
      </c>
      <c r="E288" s="8" t="s">
        <v>24</v>
      </c>
      <c r="F288" s="8" t="s">
        <v>31</v>
      </c>
      <c r="G288" s="8" t="s">
        <v>32</v>
      </c>
      <c r="H288" s="9">
        <v>6484.96</v>
      </c>
      <c r="I288" s="8">
        <v>3</v>
      </c>
      <c r="J288" s="10">
        <v>1208.78</v>
      </c>
      <c r="K288" s="17" t="str" cm="1">
        <f t="array" ref="K288">_xlfn.IFS(Table433[[#This Row],[Sales]]&gt;40000,"Best Sales",Table433[[#This Row],[Sales]]&gt;20000,"Average Sales",Table433[[#This Row],[Sales]]&gt;0,"Poor Sales")</f>
        <v>Poor Sales</v>
      </c>
      <c r="L288" s="12">
        <f>YEAR(Table433[[#This Row],[Date]])</f>
        <v>2023</v>
      </c>
      <c r="M288" s="12">
        <f>MONTH(Table433[[#This Row],[Date]])</f>
        <v>5</v>
      </c>
      <c r="N288" s="13">
        <f>DAY(Table433[[#This Row],[Date]])</f>
        <v>29</v>
      </c>
      <c r="O288" s="13" t="str">
        <f>TEXT(DATE(2023,Table433[[#This Row],[Month]],1),"mmm")</f>
        <v>May</v>
      </c>
      <c r="P288" s="13"/>
      <c r="Q288" s="13"/>
    </row>
    <row r="289" spans="1:17" x14ac:dyDescent="0.3">
      <c r="A289" s="14">
        <v>288</v>
      </c>
      <c r="B289" s="15">
        <v>45197</v>
      </c>
      <c r="C289" s="16" t="s">
        <v>42</v>
      </c>
      <c r="D289" s="16" t="s">
        <v>43</v>
      </c>
      <c r="E289" s="16" t="s">
        <v>27</v>
      </c>
      <c r="F289" s="16" t="s">
        <v>20</v>
      </c>
      <c r="G289" s="16" t="s">
        <v>28</v>
      </c>
      <c r="H289" s="17">
        <v>33163.33</v>
      </c>
      <c r="I289" s="16">
        <v>10</v>
      </c>
      <c r="J289" s="18">
        <v>7488.7</v>
      </c>
      <c r="K289" s="17" t="str" cm="1">
        <f t="array" ref="K289">_xlfn.IFS(Table433[[#This Row],[Sales]]&gt;40000,"Best Sales",Table433[[#This Row],[Sales]]&gt;20000,"Average Sales",Table433[[#This Row],[Sales]]&gt;0,"Poor Sales")</f>
        <v>Average Sales</v>
      </c>
      <c r="L289" s="12">
        <f>YEAR(Table433[[#This Row],[Date]])</f>
        <v>2023</v>
      </c>
      <c r="M289" s="12">
        <f>MONTH(Table433[[#This Row],[Date]])</f>
        <v>9</v>
      </c>
      <c r="N289" s="13">
        <f>DAY(Table433[[#This Row],[Date]])</f>
        <v>28</v>
      </c>
      <c r="O289" s="13" t="str">
        <f>TEXT(DATE(2023,Table433[[#This Row],[Month]],1),"mmm")</f>
        <v>Sep</v>
      </c>
      <c r="P289" s="13"/>
      <c r="Q289" s="13"/>
    </row>
    <row r="290" spans="1:17" x14ac:dyDescent="0.3">
      <c r="A290" s="6">
        <v>289</v>
      </c>
      <c r="B290" s="7">
        <v>44994</v>
      </c>
      <c r="C290" s="8" t="s">
        <v>17</v>
      </c>
      <c r="D290" s="8" t="s">
        <v>18</v>
      </c>
      <c r="E290" s="8" t="s">
        <v>27</v>
      </c>
      <c r="F290" s="8" t="s">
        <v>38</v>
      </c>
      <c r="G290" s="8" t="s">
        <v>46</v>
      </c>
      <c r="H290" s="9">
        <v>13149.05</v>
      </c>
      <c r="I290" s="8">
        <v>7</v>
      </c>
      <c r="J290" s="10">
        <v>3576.49</v>
      </c>
      <c r="K290" s="17" t="str" cm="1">
        <f t="array" ref="K290">_xlfn.IFS(Table433[[#This Row],[Sales]]&gt;40000,"Best Sales",Table433[[#This Row],[Sales]]&gt;20000,"Average Sales",Table433[[#This Row],[Sales]]&gt;0,"Poor Sales")</f>
        <v>Poor Sales</v>
      </c>
      <c r="L290" s="12">
        <f>YEAR(Table433[[#This Row],[Date]])</f>
        <v>2023</v>
      </c>
      <c r="M290" s="12">
        <f>MONTH(Table433[[#This Row],[Date]])</f>
        <v>3</v>
      </c>
      <c r="N290" s="13">
        <f>DAY(Table433[[#This Row],[Date]])</f>
        <v>9</v>
      </c>
      <c r="O290" s="13" t="str">
        <f>TEXT(DATE(2023,Table433[[#This Row],[Month]],1),"mmm")</f>
        <v>Mar</v>
      </c>
      <c r="P290" s="13"/>
      <c r="Q290" s="13"/>
    </row>
    <row r="291" spans="1:17" x14ac:dyDescent="0.3">
      <c r="A291" s="14">
        <v>290</v>
      </c>
      <c r="B291" s="15">
        <v>44958</v>
      </c>
      <c r="C291" s="16" t="s">
        <v>29</v>
      </c>
      <c r="D291" s="16" t="s">
        <v>29</v>
      </c>
      <c r="E291" s="16" t="s">
        <v>19</v>
      </c>
      <c r="F291" s="16" t="s">
        <v>38</v>
      </c>
      <c r="G291" s="16" t="s">
        <v>39</v>
      </c>
      <c r="H291" s="17">
        <v>34621.160000000003</v>
      </c>
      <c r="I291" s="16">
        <v>3</v>
      </c>
      <c r="J291" s="18">
        <v>7130.72</v>
      </c>
      <c r="K291" s="17" t="str" cm="1">
        <f t="array" ref="K291">_xlfn.IFS(Table433[[#This Row],[Sales]]&gt;40000,"Best Sales",Table433[[#This Row],[Sales]]&gt;20000,"Average Sales",Table433[[#This Row],[Sales]]&gt;0,"Poor Sales")</f>
        <v>Average Sales</v>
      </c>
      <c r="L291" s="12">
        <f>YEAR(Table433[[#This Row],[Date]])</f>
        <v>2023</v>
      </c>
      <c r="M291" s="12">
        <f>MONTH(Table433[[#This Row],[Date]])</f>
        <v>2</v>
      </c>
      <c r="N291" s="13">
        <f>DAY(Table433[[#This Row],[Date]])</f>
        <v>1</v>
      </c>
      <c r="O291" s="13" t="str">
        <f>TEXT(DATE(2023,Table433[[#This Row],[Month]],1),"mmm")</f>
        <v>Feb</v>
      </c>
      <c r="P291" s="13"/>
      <c r="Q291" s="13"/>
    </row>
    <row r="292" spans="1:17" x14ac:dyDescent="0.3">
      <c r="A292" s="6">
        <v>291</v>
      </c>
      <c r="B292" s="7">
        <v>45221</v>
      </c>
      <c r="C292" s="8" t="s">
        <v>17</v>
      </c>
      <c r="D292" s="8" t="s">
        <v>18</v>
      </c>
      <c r="E292" s="8" t="s">
        <v>24</v>
      </c>
      <c r="F292" s="8" t="s">
        <v>31</v>
      </c>
      <c r="G292" s="8" t="s">
        <v>36</v>
      </c>
      <c r="H292" s="9">
        <v>11966.24</v>
      </c>
      <c r="I292" s="8">
        <v>5</v>
      </c>
      <c r="J292" s="10">
        <v>2420.86</v>
      </c>
      <c r="K292" s="17" t="str" cm="1">
        <f t="array" ref="K292">_xlfn.IFS(Table433[[#This Row],[Sales]]&gt;40000,"Best Sales",Table433[[#This Row],[Sales]]&gt;20000,"Average Sales",Table433[[#This Row],[Sales]]&gt;0,"Poor Sales")</f>
        <v>Poor Sales</v>
      </c>
      <c r="L292" s="12">
        <f>YEAR(Table433[[#This Row],[Date]])</f>
        <v>2023</v>
      </c>
      <c r="M292" s="12">
        <f>MONTH(Table433[[#This Row],[Date]])</f>
        <v>10</v>
      </c>
      <c r="N292" s="13">
        <f>DAY(Table433[[#This Row],[Date]])</f>
        <v>22</v>
      </c>
      <c r="O292" s="13" t="str">
        <f>TEXT(DATE(2023,Table433[[#This Row],[Month]],1),"mmm")</f>
        <v>Oct</v>
      </c>
      <c r="P292" s="13"/>
      <c r="Q292" s="13"/>
    </row>
    <row r="293" spans="1:17" x14ac:dyDescent="0.3">
      <c r="A293" s="14">
        <v>292</v>
      </c>
      <c r="B293" s="15">
        <v>44960</v>
      </c>
      <c r="C293" s="16" t="s">
        <v>44</v>
      </c>
      <c r="D293" s="16" t="s">
        <v>34</v>
      </c>
      <c r="E293" s="16" t="s">
        <v>19</v>
      </c>
      <c r="F293" s="16" t="s">
        <v>20</v>
      </c>
      <c r="G293" s="16" t="s">
        <v>41</v>
      </c>
      <c r="H293" s="17">
        <v>20790.45</v>
      </c>
      <c r="I293" s="16">
        <v>10</v>
      </c>
      <c r="J293" s="18">
        <v>2754</v>
      </c>
      <c r="K293" s="17" t="str" cm="1">
        <f t="array" ref="K293">_xlfn.IFS(Table433[[#This Row],[Sales]]&gt;40000,"Best Sales",Table433[[#This Row],[Sales]]&gt;20000,"Average Sales",Table433[[#This Row],[Sales]]&gt;0,"Poor Sales")</f>
        <v>Average Sales</v>
      </c>
      <c r="L293" s="12">
        <f>YEAR(Table433[[#This Row],[Date]])</f>
        <v>2023</v>
      </c>
      <c r="M293" s="12">
        <f>MONTH(Table433[[#This Row],[Date]])</f>
        <v>2</v>
      </c>
      <c r="N293" s="13">
        <f>DAY(Table433[[#This Row],[Date]])</f>
        <v>3</v>
      </c>
      <c r="O293" s="13" t="str">
        <f>TEXT(DATE(2023,Table433[[#This Row],[Month]],1),"mmm")</f>
        <v>Feb</v>
      </c>
      <c r="P293" s="13"/>
      <c r="Q293" s="13"/>
    </row>
    <row r="294" spans="1:17" x14ac:dyDescent="0.3">
      <c r="A294" s="6">
        <v>293</v>
      </c>
      <c r="B294" s="7">
        <v>44982</v>
      </c>
      <c r="C294" s="8" t="s">
        <v>29</v>
      </c>
      <c r="D294" s="8" t="s">
        <v>29</v>
      </c>
      <c r="E294" s="8" t="s">
        <v>24</v>
      </c>
      <c r="F294" s="8" t="s">
        <v>20</v>
      </c>
      <c r="G294" s="8" t="s">
        <v>41</v>
      </c>
      <c r="H294" s="9">
        <v>20312.77</v>
      </c>
      <c r="I294" s="8">
        <v>5</v>
      </c>
      <c r="J294" s="10">
        <v>5618.1</v>
      </c>
      <c r="K294" s="17" t="str" cm="1">
        <f t="array" ref="K294">_xlfn.IFS(Table433[[#This Row],[Sales]]&gt;40000,"Best Sales",Table433[[#This Row],[Sales]]&gt;20000,"Average Sales",Table433[[#This Row],[Sales]]&gt;0,"Poor Sales")</f>
        <v>Average Sales</v>
      </c>
      <c r="L294" s="12">
        <f>YEAR(Table433[[#This Row],[Date]])</f>
        <v>2023</v>
      </c>
      <c r="M294" s="12">
        <f>MONTH(Table433[[#This Row],[Date]])</f>
        <v>2</v>
      </c>
      <c r="N294" s="13">
        <f>DAY(Table433[[#This Row],[Date]])</f>
        <v>25</v>
      </c>
      <c r="O294" s="13" t="str">
        <f>TEXT(DATE(2023,Table433[[#This Row],[Month]],1),"mmm")</f>
        <v>Feb</v>
      </c>
      <c r="P294" s="13"/>
      <c r="Q294" s="13"/>
    </row>
    <row r="295" spans="1:17" x14ac:dyDescent="0.3">
      <c r="A295" s="14">
        <v>294</v>
      </c>
      <c r="B295" s="15">
        <v>44982</v>
      </c>
      <c r="C295" s="16" t="s">
        <v>22</v>
      </c>
      <c r="D295" s="16" t="s">
        <v>23</v>
      </c>
      <c r="E295" s="16" t="s">
        <v>27</v>
      </c>
      <c r="F295" s="16" t="s">
        <v>31</v>
      </c>
      <c r="G295" s="16" t="s">
        <v>32</v>
      </c>
      <c r="H295" s="17">
        <v>39381.9</v>
      </c>
      <c r="I295" s="16">
        <v>10</v>
      </c>
      <c r="J295" s="18">
        <v>7457.7</v>
      </c>
      <c r="K295" s="17" t="str" cm="1">
        <f t="array" ref="K295">_xlfn.IFS(Table433[[#This Row],[Sales]]&gt;40000,"Best Sales",Table433[[#This Row],[Sales]]&gt;20000,"Average Sales",Table433[[#This Row],[Sales]]&gt;0,"Poor Sales")</f>
        <v>Average Sales</v>
      </c>
      <c r="L295" s="12">
        <f>YEAR(Table433[[#This Row],[Date]])</f>
        <v>2023</v>
      </c>
      <c r="M295" s="12">
        <f>MONTH(Table433[[#This Row],[Date]])</f>
        <v>2</v>
      </c>
      <c r="N295" s="13">
        <f>DAY(Table433[[#This Row],[Date]])</f>
        <v>25</v>
      </c>
      <c r="O295" s="13" t="str">
        <f>TEXT(DATE(2023,Table433[[#This Row],[Month]],1),"mmm")</f>
        <v>Feb</v>
      </c>
      <c r="P295" s="13"/>
      <c r="Q295" s="13"/>
    </row>
    <row r="296" spans="1:17" x14ac:dyDescent="0.3">
      <c r="A296" s="6">
        <v>295</v>
      </c>
      <c r="B296" s="7">
        <v>45286</v>
      </c>
      <c r="C296" s="8" t="s">
        <v>22</v>
      </c>
      <c r="D296" s="8" t="s">
        <v>23</v>
      </c>
      <c r="E296" s="8" t="s">
        <v>27</v>
      </c>
      <c r="F296" s="8" t="s">
        <v>31</v>
      </c>
      <c r="G296" s="8" t="s">
        <v>32</v>
      </c>
      <c r="H296" s="9">
        <v>32040.32</v>
      </c>
      <c r="I296" s="8">
        <v>10</v>
      </c>
      <c r="J296" s="10">
        <v>7617.08</v>
      </c>
      <c r="K296" s="17" t="str" cm="1">
        <f t="array" ref="K296">_xlfn.IFS(Table433[[#This Row],[Sales]]&gt;40000,"Best Sales",Table433[[#This Row],[Sales]]&gt;20000,"Average Sales",Table433[[#This Row],[Sales]]&gt;0,"Poor Sales")</f>
        <v>Average Sales</v>
      </c>
      <c r="L296" s="12">
        <f>YEAR(Table433[[#This Row],[Date]])</f>
        <v>2023</v>
      </c>
      <c r="M296" s="12">
        <f>MONTH(Table433[[#This Row],[Date]])</f>
        <v>12</v>
      </c>
      <c r="N296" s="13">
        <f>DAY(Table433[[#This Row],[Date]])</f>
        <v>26</v>
      </c>
      <c r="O296" s="13" t="str">
        <f>TEXT(DATE(2023,Table433[[#This Row],[Month]],1),"mmm")</f>
        <v>Dec</v>
      </c>
      <c r="P296" s="13"/>
      <c r="Q296" s="13"/>
    </row>
    <row r="297" spans="1:17" x14ac:dyDescent="0.3">
      <c r="A297" s="14">
        <v>296</v>
      </c>
      <c r="B297" s="15">
        <v>45200</v>
      </c>
      <c r="C297" s="16" t="s">
        <v>37</v>
      </c>
      <c r="D297" s="16" t="s">
        <v>23</v>
      </c>
      <c r="E297" s="16" t="s">
        <v>19</v>
      </c>
      <c r="F297" s="16" t="s">
        <v>31</v>
      </c>
      <c r="G297" s="16" t="s">
        <v>32</v>
      </c>
      <c r="H297" s="17">
        <v>9943.7099999999991</v>
      </c>
      <c r="I297" s="16">
        <v>2</v>
      </c>
      <c r="J297" s="18">
        <v>1663.61</v>
      </c>
      <c r="K297" s="17" t="str" cm="1">
        <f t="array" ref="K297">_xlfn.IFS(Table433[[#This Row],[Sales]]&gt;40000,"Best Sales",Table433[[#This Row],[Sales]]&gt;20000,"Average Sales",Table433[[#This Row],[Sales]]&gt;0,"Poor Sales")</f>
        <v>Poor Sales</v>
      </c>
      <c r="L297" s="12">
        <f>YEAR(Table433[[#This Row],[Date]])</f>
        <v>2023</v>
      </c>
      <c r="M297" s="12">
        <f>MONTH(Table433[[#This Row],[Date]])</f>
        <v>10</v>
      </c>
      <c r="N297" s="13">
        <f>DAY(Table433[[#This Row],[Date]])</f>
        <v>1</v>
      </c>
      <c r="O297" s="13" t="str">
        <f>TEXT(DATE(2023,Table433[[#This Row],[Month]],1),"mmm")</f>
        <v>Oct</v>
      </c>
      <c r="P297" s="13"/>
      <c r="Q297" s="13"/>
    </row>
    <row r="298" spans="1:17" x14ac:dyDescent="0.3">
      <c r="A298" s="6">
        <v>297</v>
      </c>
      <c r="B298" s="7">
        <v>45141</v>
      </c>
      <c r="C298" s="8" t="s">
        <v>42</v>
      </c>
      <c r="D298" s="8" t="s">
        <v>43</v>
      </c>
      <c r="E298" s="8" t="s">
        <v>24</v>
      </c>
      <c r="F298" s="8" t="s">
        <v>31</v>
      </c>
      <c r="G298" s="8" t="s">
        <v>35</v>
      </c>
      <c r="H298" s="9">
        <v>44799.3</v>
      </c>
      <c r="I298" s="8">
        <v>10</v>
      </c>
      <c r="J298" s="10">
        <v>5560.78</v>
      </c>
      <c r="K298" s="17" t="str" cm="1">
        <f t="array" ref="K298">_xlfn.IFS(Table433[[#This Row],[Sales]]&gt;40000,"Best Sales",Table433[[#This Row],[Sales]]&gt;20000,"Average Sales",Table433[[#This Row],[Sales]]&gt;0,"Poor Sales")</f>
        <v>Best Sales</v>
      </c>
      <c r="L298" s="12">
        <f>YEAR(Table433[[#This Row],[Date]])</f>
        <v>2023</v>
      </c>
      <c r="M298" s="12">
        <f>MONTH(Table433[[#This Row],[Date]])</f>
        <v>8</v>
      </c>
      <c r="N298" s="13">
        <f>DAY(Table433[[#This Row],[Date]])</f>
        <v>3</v>
      </c>
      <c r="O298" s="13" t="str">
        <f>TEXT(DATE(2023,Table433[[#This Row],[Month]],1),"mmm")</f>
        <v>Aug</v>
      </c>
      <c r="P298" s="13"/>
      <c r="Q298" s="13"/>
    </row>
    <row r="299" spans="1:17" x14ac:dyDescent="0.3">
      <c r="A299" s="14">
        <v>298</v>
      </c>
      <c r="B299" s="15">
        <v>45109</v>
      </c>
      <c r="C299" s="16" t="s">
        <v>33</v>
      </c>
      <c r="D299" s="16" t="s">
        <v>34</v>
      </c>
      <c r="E299" s="16" t="s">
        <v>19</v>
      </c>
      <c r="F299" s="16" t="s">
        <v>31</v>
      </c>
      <c r="G299" s="16" t="s">
        <v>35</v>
      </c>
      <c r="H299" s="17">
        <v>30482.42</v>
      </c>
      <c r="I299" s="16">
        <v>8</v>
      </c>
      <c r="J299" s="18">
        <v>4421.99</v>
      </c>
      <c r="K299" s="17" t="str" cm="1">
        <f t="array" ref="K299">_xlfn.IFS(Table433[[#This Row],[Sales]]&gt;40000,"Best Sales",Table433[[#This Row],[Sales]]&gt;20000,"Average Sales",Table433[[#This Row],[Sales]]&gt;0,"Poor Sales")</f>
        <v>Average Sales</v>
      </c>
      <c r="L299" s="12">
        <f>YEAR(Table433[[#This Row],[Date]])</f>
        <v>2023</v>
      </c>
      <c r="M299" s="12">
        <f>MONTH(Table433[[#This Row],[Date]])</f>
        <v>7</v>
      </c>
      <c r="N299" s="13">
        <f>DAY(Table433[[#This Row],[Date]])</f>
        <v>2</v>
      </c>
      <c r="O299" s="13" t="str">
        <f>TEXT(DATE(2023,Table433[[#This Row],[Month]],1),"mmm")</f>
        <v>Jul</v>
      </c>
      <c r="P299" s="13"/>
      <c r="Q299" s="13"/>
    </row>
    <row r="300" spans="1:17" x14ac:dyDescent="0.3">
      <c r="A300" s="6">
        <v>299</v>
      </c>
      <c r="B300" s="7">
        <v>45065</v>
      </c>
      <c r="C300" s="8" t="s">
        <v>44</v>
      </c>
      <c r="D300" s="8" t="s">
        <v>34</v>
      </c>
      <c r="E300" s="8" t="s">
        <v>24</v>
      </c>
      <c r="F300" s="8" t="s">
        <v>38</v>
      </c>
      <c r="G300" s="8" t="s">
        <v>46</v>
      </c>
      <c r="H300" s="9">
        <v>46018.66</v>
      </c>
      <c r="I300" s="8">
        <v>4</v>
      </c>
      <c r="J300" s="10">
        <v>11286.35</v>
      </c>
      <c r="K300" s="17" t="str" cm="1">
        <f t="array" ref="K300">_xlfn.IFS(Table433[[#This Row],[Sales]]&gt;40000,"Best Sales",Table433[[#This Row],[Sales]]&gt;20000,"Average Sales",Table433[[#This Row],[Sales]]&gt;0,"Poor Sales")</f>
        <v>Best Sales</v>
      </c>
      <c r="L300" s="12">
        <f>YEAR(Table433[[#This Row],[Date]])</f>
        <v>2023</v>
      </c>
      <c r="M300" s="12">
        <f>MONTH(Table433[[#This Row],[Date]])</f>
        <v>5</v>
      </c>
      <c r="N300" s="13">
        <f>DAY(Table433[[#This Row],[Date]])</f>
        <v>19</v>
      </c>
      <c r="O300" s="13" t="str">
        <f>TEXT(DATE(2023,Table433[[#This Row],[Month]],1),"mmm")</f>
        <v>May</v>
      </c>
      <c r="P300" s="13"/>
      <c r="Q300" s="13"/>
    </row>
    <row r="301" spans="1:17" x14ac:dyDescent="0.3">
      <c r="A301" s="14">
        <v>300</v>
      </c>
      <c r="B301" s="15">
        <v>44947</v>
      </c>
      <c r="C301" s="16" t="s">
        <v>37</v>
      </c>
      <c r="D301" s="16" t="s">
        <v>23</v>
      </c>
      <c r="E301" s="16" t="s">
        <v>27</v>
      </c>
      <c r="F301" s="16" t="s">
        <v>20</v>
      </c>
      <c r="G301" s="16" t="s">
        <v>28</v>
      </c>
      <c r="H301" s="17">
        <v>45604.85</v>
      </c>
      <c r="I301" s="16">
        <v>4</v>
      </c>
      <c r="J301" s="18">
        <v>10780.42</v>
      </c>
      <c r="K301" s="17" t="str" cm="1">
        <f t="array" ref="K301">_xlfn.IFS(Table433[[#This Row],[Sales]]&gt;40000,"Best Sales",Table433[[#This Row],[Sales]]&gt;20000,"Average Sales",Table433[[#This Row],[Sales]]&gt;0,"Poor Sales")</f>
        <v>Best Sales</v>
      </c>
      <c r="L301" s="12">
        <f>YEAR(Table433[[#This Row],[Date]])</f>
        <v>2023</v>
      </c>
      <c r="M301" s="12">
        <f>MONTH(Table433[[#This Row],[Date]])</f>
        <v>1</v>
      </c>
      <c r="N301" s="13">
        <f>DAY(Table433[[#This Row],[Date]])</f>
        <v>21</v>
      </c>
      <c r="O301" s="13" t="str">
        <f>TEXT(DATE(2023,Table433[[#This Row],[Month]],1),"mmm")</f>
        <v>Jan</v>
      </c>
      <c r="P301" s="13"/>
      <c r="Q301" s="13"/>
    </row>
    <row r="302" spans="1:17" x14ac:dyDescent="0.3">
      <c r="A302" s="6">
        <v>301</v>
      </c>
      <c r="B302" s="7">
        <v>45205</v>
      </c>
      <c r="C302" s="8" t="s">
        <v>17</v>
      </c>
      <c r="D302" s="8" t="s">
        <v>18</v>
      </c>
      <c r="E302" s="8" t="s">
        <v>27</v>
      </c>
      <c r="F302" s="8" t="s">
        <v>31</v>
      </c>
      <c r="G302" s="8" t="s">
        <v>36</v>
      </c>
      <c r="H302" s="9">
        <v>10568</v>
      </c>
      <c r="I302" s="8">
        <v>9</v>
      </c>
      <c r="J302" s="10">
        <v>1896.29</v>
      </c>
      <c r="K302" s="17" t="str" cm="1">
        <f t="array" ref="K302">_xlfn.IFS(Table433[[#This Row],[Sales]]&gt;40000,"Best Sales",Table433[[#This Row],[Sales]]&gt;20000,"Average Sales",Table433[[#This Row],[Sales]]&gt;0,"Poor Sales")</f>
        <v>Poor Sales</v>
      </c>
      <c r="L302" s="12">
        <f>YEAR(Table433[[#This Row],[Date]])</f>
        <v>2023</v>
      </c>
      <c r="M302" s="12">
        <f>MONTH(Table433[[#This Row],[Date]])</f>
        <v>10</v>
      </c>
      <c r="N302" s="13">
        <f>DAY(Table433[[#This Row],[Date]])</f>
        <v>6</v>
      </c>
      <c r="O302" s="13" t="str">
        <f>TEXT(DATE(2023,Table433[[#This Row],[Month]],1),"mmm")</f>
        <v>Oct</v>
      </c>
      <c r="P302" s="13"/>
      <c r="Q302" s="13"/>
    </row>
    <row r="303" spans="1:17" x14ac:dyDescent="0.3">
      <c r="A303" s="14">
        <v>302</v>
      </c>
      <c r="B303" s="15">
        <v>45020</v>
      </c>
      <c r="C303" s="16" t="s">
        <v>37</v>
      </c>
      <c r="D303" s="16" t="s">
        <v>23</v>
      </c>
      <c r="E303" s="16" t="s">
        <v>19</v>
      </c>
      <c r="F303" s="16" t="s">
        <v>31</v>
      </c>
      <c r="G303" s="16" t="s">
        <v>36</v>
      </c>
      <c r="H303" s="17">
        <v>36013.07</v>
      </c>
      <c r="I303" s="16">
        <v>7</v>
      </c>
      <c r="J303" s="18">
        <v>2887.26</v>
      </c>
      <c r="K303" s="17" t="str" cm="1">
        <f t="array" ref="K303">_xlfn.IFS(Table433[[#This Row],[Sales]]&gt;40000,"Best Sales",Table433[[#This Row],[Sales]]&gt;20000,"Average Sales",Table433[[#This Row],[Sales]]&gt;0,"Poor Sales")</f>
        <v>Average Sales</v>
      </c>
      <c r="L303" s="12">
        <f>YEAR(Table433[[#This Row],[Date]])</f>
        <v>2023</v>
      </c>
      <c r="M303" s="12">
        <f>MONTH(Table433[[#This Row],[Date]])</f>
        <v>4</v>
      </c>
      <c r="N303" s="13">
        <f>DAY(Table433[[#This Row],[Date]])</f>
        <v>4</v>
      </c>
      <c r="O303" s="13" t="str">
        <f>TEXT(DATE(2023,Table433[[#This Row],[Month]],1),"mmm")</f>
        <v>Apr</v>
      </c>
      <c r="P303" s="13"/>
      <c r="Q303" s="13"/>
    </row>
    <row r="304" spans="1:17" x14ac:dyDescent="0.3">
      <c r="A304" s="6">
        <v>303</v>
      </c>
      <c r="B304" s="7">
        <v>44950</v>
      </c>
      <c r="C304" s="8" t="s">
        <v>29</v>
      </c>
      <c r="D304" s="8" t="s">
        <v>29</v>
      </c>
      <c r="E304" s="8" t="s">
        <v>24</v>
      </c>
      <c r="F304" s="8" t="s">
        <v>31</v>
      </c>
      <c r="G304" s="8" t="s">
        <v>35</v>
      </c>
      <c r="H304" s="9">
        <v>8545.89</v>
      </c>
      <c r="I304" s="8">
        <v>8</v>
      </c>
      <c r="J304" s="10">
        <v>998.97</v>
      </c>
      <c r="K304" s="17" t="str" cm="1">
        <f t="array" ref="K304">_xlfn.IFS(Table433[[#This Row],[Sales]]&gt;40000,"Best Sales",Table433[[#This Row],[Sales]]&gt;20000,"Average Sales",Table433[[#This Row],[Sales]]&gt;0,"Poor Sales")</f>
        <v>Poor Sales</v>
      </c>
      <c r="L304" s="12">
        <f>YEAR(Table433[[#This Row],[Date]])</f>
        <v>2023</v>
      </c>
      <c r="M304" s="12">
        <f>MONTH(Table433[[#This Row],[Date]])</f>
        <v>1</v>
      </c>
      <c r="N304" s="13">
        <f>DAY(Table433[[#This Row],[Date]])</f>
        <v>24</v>
      </c>
      <c r="O304" s="13" t="str">
        <f>TEXT(DATE(2023,Table433[[#This Row],[Month]],1),"mmm")</f>
        <v>Jan</v>
      </c>
      <c r="P304" s="13"/>
      <c r="Q304" s="13"/>
    </row>
    <row r="305" spans="1:17" x14ac:dyDescent="0.3">
      <c r="A305" s="14">
        <v>304</v>
      </c>
      <c r="B305" s="15">
        <v>44976</v>
      </c>
      <c r="C305" s="16" t="s">
        <v>29</v>
      </c>
      <c r="D305" s="16" t="s">
        <v>29</v>
      </c>
      <c r="E305" s="16" t="s">
        <v>19</v>
      </c>
      <c r="F305" s="16" t="s">
        <v>31</v>
      </c>
      <c r="G305" s="16" t="s">
        <v>36</v>
      </c>
      <c r="H305" s="17">
        <v>46736.67</v>
      </c>
      <c r="I305" s="16">
        <v>5</v>
      </c>
      <c r="J305" s="18">
        <v>4010.98</v>
      </c>
      <c r="K305" s="17" t="str" cm="1">
        <f t="array" ref="K305">_xlfn.IFS(Table433[[#This Row],[Sales]]&gt;40000,"Best Sales",Table433[[#This Row],[Sales]]&gt;20000,"Average Sales",Table433[[#This Row],[Sales]]&gt;0,"Poor Sales")</f>
        <v>Best Sales</v>
      </c>
      <c r="L305" s="12">
        <f>YEAR(Table433[[#This Row],[Date]])</f>
        <v>2023</v>
      </c>
      <c r="M305" s="12">
        <f>MONTH(Table433[[#This Row],[Date]])</f>
        <v>2</v>
      </c>
      <c r="N305" s="13">
        <f>DAY(Table433[[#This Row],[Date]])</f>
        <v>19</v>
      </c>
      <c r="O305" s="13" t="str">
        <f>TEXT(DATE(2023,Table433[[#This Row],[Month]],1),"mmm")</f>
        <v>Feb</v>
      </c>
      <c r="P305" s="13"/>
      <c r="Q305" s="13"/>
    </row>
    <row r="306" spans="1:17" x14ac:dyDescent="0.3">
      <c r="A306" s="6">
        <v>305</v>
      </c>
      <c r="B306" s="7">
        <v>45221</v>
      </c>
      <c r="C306" s="8" t="s">
        <v>45</v>
      </c>
      <c r="D306" s="8" t="s">
        <v>34</v>
      </c>
      <c r="E306" s="8" t="s">
        <v>24</v>
      </c>
      <c r="F306" s="8" t="s">
        <v>38</v>
      </c>
      <c r="G306" s="8" t="s">
        <v>46</v>
      </c>
      <c r="H306" s="9">
        <v>42026.12</v>
      </c>
      <c r="I306" s="8">
        <v>5</v>
      </c>
      <c r="J306" s="10">
        <v>7474.37</v>
      </c>
      <c r="K306" s="17" t="str" cm="1">
        <f t="array" ref="K306">_xlfn.IFS(Table433[[#This Row],[Sales]]&gt;40000,"Best Sales",Table433[[#This Row],[Sales]]&gt;20000,"Average Sales",Table433[[#This Row],[Sales]]&gt;0,"Poor Sales")</f>
        <v>Best Sales</v>
      </c>
      <c r="L306" s="12">
        <f>YEAR(Table433[[#This Row],[Date]])</f>
        <v>2023</v>
      </c>
      <c r="M306" s="12">
        <f>MONTH(Table433[[#This Row],[Date]])</f>
        <v>10</v>
      </c>
      <c r="N306" s="13">
        <f>DAY(Table433[[#This Row],[Date]])</f>
        <v>22</v>
      </c>
      <c r="O306" s="13" t="str">
        <f>TEXT(DATE(2023,Table433[[#This Row],[Month]],1),"mmm")</f>
        <v>Oct</v>
      </c>
      <c r="P306" s="13"/>
      <c r="Q306" s="13"/>
    </row>
    <row r="307" spans="1:17" x14ac:dyDescent="0.3">
      <c r="A307" s="14">
        <v>306</v>
      </c>
      <c r="B307" s="15">
        <v>45115</v>
      </c>
      <c r="C307" s="16" t="s">
        <v>33</v>
      </c>
      <c r="D307" s="16" t="s">
        <v>34</v>
      </c>
      <c r="E307" s="16" t="s">
        <v>27</v>
      </c>
      <c r="F307" s="16" t="s">
        <v>38</v>
      </c>
      <c r="G307" s="16" t="s">
        <v>39</v>
      </c>
      <c r="H307" s="17">
        <v>31540.15</v>
      </c>
      <c r="I307" s="16">
        <v>8</v>
      </c>
      <c r="J307" s="18">
        <v>4128.9799999999996</v>
      </c>
      <c r="K307" s="17" t="str" cm="1">
        <f t="array" ref="K307">_xlfn.IFS(Table433[[#This Row],[Sales]]&gt;40000,"Best Sales",Table433[[#This Row],[Sales]]&gt;20000,"Average Sales",Table433[[#This Row],[Sales]]&gt;0,"Poor Sales")</f>
        <v>Average Sales</v>
      </c>
      <c r="L307" s="12">
        <f>YEAR(Table433[[#This Row],[Date]])</f>
        <v>2023</v>
      </c>
      <c r="M307" s="12">
        <f>MONTH(Table433[[#This Row],[Date]])</f>
        <v>7</v>
      </c>
      <c r="N307" s="13">
        <f>DAY(Table433[[#This Row],[Date]])</f>
        <v>8</v>
      </c>
      <c r="O307" s="13" t="str">
        <f>TEXT(DATE(2023,Table433[[#This Row],[Month]],1),"mmm")</f>
        <v>Jul</v>
      </c>
      <c r="P307" s="13"/>
      <c r="Q307" s="13"/>
    </row>
    <row r="308" spans="1:17" x14ac:dyDescent="0.3">
      <c r="A308" s="6">
        <v>307</v>
      </c>
      <c r="B308" s="7">
        <v>45135</v>
      </c>
      <c r="C308" s="8" t="s">
        <v>25</v>
      </c>
      <c r="D308" s="8" t="s">
        <v>26</v>
      </c>
      <c r="E308" s="8" t="s">
        <v>27</v>
      </c>
      <c r="F308" s="8" t="s">
        <v>31</v>
      </c>
      <c r="G308" s="8" t="s">
        <v>32</v>
      </c>
      <c r="H308" s="9">
        <v>29281.72</v>
      </c>
      <c r="I308" s="8">
        <v>10</v>
      </c>
      <c r="J308" s="10">
        <v>2759</v>
      </c>
      <c r="K308" s="17" t="str" cm="1">
        <f t="array" ref="K308">_xlfn.IFS(Table433[[#This Row],[Sales]]&gt;40000,"Best Sales",Table433[[#This Row],[Sales]]&gt;20000,"Average Sales",Table433[[#This Row],[Sales]]&gt;0,"Poor Sales")</f>
        <v>Average Sales</v>
      </c>
      <c r="L308" s="12">
        <f>YEAR(Table433[[#This Row],[Date]])</f>
        <v>2023</v>
      </c>
      <c r="M308" s="12">
        <f>MONTH(Table433[[#This Row],[Date]])</f>
        <v>7</v>
      </c>
      <c r="N308" s="13">
        <f>DAY(Table433[[#This Row],[Date]])</f>
        <v>28</v>
      </c>
      <c r="O308" s="13" t="str">
        <f>TEXT(DATE(2023,Table433[[#This Row],[Month]],1),"mmm")</f>
        <v>Jul</v>
      </c>
      <c r="P308" s="13"/>
      <c r="Q308" s="13"/>
    </row>
    <row r="309" spans="1:17" x14ac:dyDescent="0.3">
      <c r="A309" s="14">
        <v>308</v>
      </c>
      <c r="B309" s="15">
        <v>44974</v>
      </c>
      <c r="C309" s="16" t="s">
        <v>45</v>
      </c>
      <c r="D309" s="16" t="s">
        <v>34</v>
      </c>
      <c r="E309" s="16" t="s">
        <v>19</v>
      </c>
      <c r="F309" s="16" t="s">
        <v>38</v>
      </c>
      <c r="G309" s="16" t="s">
        <v>40</v>
      </c>
      <c r="H309" s="17">
        <v>23981.49</v>
      </c>
      <c r="I309" s="16">
        <v>2</v>
      </c>
      <c r="J309" s="18">
        <v>5193.12</v>
      </c>
      <c r="K309" s="17" t="str" cm="1">
        <f t="array" ref="K309">_xlfn.IFS(Table433[[#This Row],[Sales]]&gt;40000,"Best Sales",Table433[[#This Row],[Sales]]&gt;20000,"Average Sales",Table433[[#This Row],[Sales]]&gt;0,"Poor Sales")</f>
        <v>Average Sales</v>
      </c>
      <c r="L309" s="12">
        <f>YEAR(Table433[[#This Row],[Date]])</f>
        <v>2023</v>
      </c>
      <c r="M309" s="12">
        <f>MONTH(Table433[[#This Row],[Date]])</f>
        <v>2</v>
      </c>
      <c r="N309" s="13">
        <f>DAY(Table433[[#This Row],[Date]])</f>
        <v>17</v>
      </c>
      <c r="O309" s="13" t="str">
        <f>TEXT(DATE(2023,Table433[[#This Row],[Month]],1),"mmm")</f>
        <v>Feb</v>
      </c>
      <c r="P309" s="13"/>
      <c r="Q309" s="13"/>
    </row>
    <row r="310" spans="1:17" x14ac:dyDescent="0.3">
      <c r="A310" s="6">
        <v>309</v>
      </c>
      <c r="B310" s="7">
        <v>45086</v>
      </c>
      <c r="C310" s="8" t="s">
        <v>44</v>
      </c>
      <c r="D310" s="8" t="s">
        <v>34</v>
      </c>
      <c r="E310" s="8" t="s">
        <v>24</v>
      </c>
      <c r="F310" s="8" t="s">
        <v>31</v>
      </c>
      <c r="G310" s="8" t="s">
        <v>32</v>
      </c>
      <c r="H310" s="9">
        <v>11039.74</v>
      </c>
      <c r="I310" s="8">
        <v>6</v>
      </c>
      <c r="J310" s="10">
        <v>642.16999999999996</v>
      </c>
      <c r="K310" s="17" t="str" cm="1">
        <f t="array" ref="K310">_xlfn.IFS(Table433[[#This Row],[Sales]]&gt;40000,"Best Sales",Table433[[#This Row],[Sales]]&gt;20000,"Average Sales",Table433[[#This Row],[Sales]]&gt;0,"Poor Sales")</f>
        <v>Poor Sales</v>
      </c>
      <c r="L310" s="12">
        <f>YEAR(Table433[[#This Row],[Date]])</f>
        <v>2023</v>
      </c>
      <c r="M310" s="12">
        <f>MONTH(Table433[[#This Row],[Date]])</f>
        <v>6</v>
      </c>
      <c r="N310" s="13">
        <f>DAY(Table433[[#This Row],[Date]])</f>
        <v>9</v>
      </c>
      <c r="O310" s="13" t="str">
        <f>TEXT(DATE(2023,Table433[[#This Row],[Month]],1),"mmm")</f>
        <v>Jun</v>
      </c>
      <c r="P310" s="13"/>
      <c r="Q310" s="13"/>
    </row>
    <row r="311" spans="1:17" x14ac:dyDescent="0.3">
      <c r="A311" s="14">
        <v>310</v>
      </c>
      <c r="B311" s="15">
        <v>44967</v>
      </c>
      <c r="C311" s="16" t="s">
        <v>42</v>
      </c>
      <c r="D311" s="16" t="s">
        <v>43</v>
      </c>
      <c r="E311" s="16" t="s">
        <v>19</v>
      </c>
      <c r="F311" s="16" t="s">
        <v>20</v>
      </c>
      <c r="G311" s="16" t="s">
        <v>28</v>
      </c>
      <c r="H311" s="17">
        <v>24072.58</v>
      </c>
      <c r="I311" s="16">
        <v>2</v>
      </c>
      <c r="J311" s="18">
        <v>4237.45</v>
      </c>
      <c r="K311" s="17" t="str" cm="1">
        <f t="array" ref="K311">_xlfn.IFS(Table433[[#This Row],[Sales]]&gt;40000,"Best Sales",Table433[[#This Row],[Sales]]&gt;20000,"Average Sales",Table433[[#This Row],[Sales]]&gt;0,"Poor Sales")</f>
        <v>Average Sales</v>
      </c>
      <c r="L311" s="12">
        <f>YEAR(Table433[[#This Row],[Date]])</f>
        <v>2023</v>
      </c>
      <c r="M311" s="12">
        <f>MONTH(Table433[[#This Row],[Date]])</f>
        <v>2</v>
      </c>
      <c r="N311" s="13">
        <f>DAY(Table433[[#This Row],[Date]])</f>
        <v>10</v>
      </c>
      <c r="O311" s="13" t="str">
        <f>TEXT(DATE(2023,Table433[[#This Row],[Month]],1),"mmm")</f>
        <v>Feb</v>
      </c>
      <c r="P311" s="13"/>
      <c r="Q311" s="13"/>
    </row>
    <row r="312" spans="1:17" x14ac:dyDescent="0.3">
      <c r="A312" s="6">
        <v>311</v>
      </c>
      <c r="B312" s="7">
        <v>44969</v>
      </c>
      <c r="C312" s="8" t="s">
        <v>22</v>
      </c>
      <c r="D312" s="8" t="s">
        <v>23</v>
      </c>
      <c r="E312" s="8" t="s">
        <v>24</v>
      </c>
      <c r="F312" s="8" t="s">
        <v>38</v>
      </c>
      <c r="G312" s="8" t="s">
        <v>46</v>
      </c>
      <c r="H312" s="9">
        <v>48043.43</v>
      </c>
      <c r="I312" s="8">
        <v>6</v>
      </c>
      <c r="J312" s="10">
        <v>6191.26</v>
      </c>
      <c r="K312" s="17" t="str" cm="1">
        <f t="array" ref="K312">_xlfn.IFS(Table433[[#This Row],[Sales]]&gt;40000,"Best Sales",Table433[[#This Row],[Sales]]&gt;20000,"Average Sales",Table433[[#This Row],[Sales]]&gt;0,"Poor Sales")</f>
        <v>Best Sales</v>
      </c>
      <c r="L312" s="12">
        <f>YEAR(Table433[[#This Row],[Date]])</f>
        <v>2023</v>
      </c>
      <c r="M312" s="12">
        <f>MONTH(Table433[[#This Row],[Date]])</f>
        <v>2</v>
      </c>
      <c r="N312" s="13">
        <f>DAY(Table433[[#This Row],[Date]])</f>
        <v>12</v>
      </c>
      <c r="O312" s="13" t="str">
        <f>TEXT(DATE(2023,Table433[[#This Row],[Month]],1),"mmm")</f>
        <v>Feb</v>
      </c>
      <c r="P312" s="13"/>
      <c r="Q312" s="13"/>
    </row>
    <row r="313" spans="1:17" x14ac:dyDescent="0.3">
      <c r="A313" s="14">
        <v>312</v>
      </c>
      <c r="B313" s="15">
        <v>44999</v>
      </c>
      <c r="C313" s="16" t="s">
        <v>45</v>
      </c>
      <c r="D313" s="16" t="s">
        <v>34</v>
      </c>
      <c r="E313" s="16" t="s">
        <v>27</v>
      </c>
      <c r="F313" s="16" t="s">
        <v>31</v>
      </c>
      <c r="G313" s="16" t="s">
        <v>32</v>
      </c>
      <c r="H313" s="17">
        <v>45172.53</v>
      </c>
      <c r="I313" s="16">
        <v>6</v>
      </c>
      <c r="J313" s="18">
        <v>3057.46</v>
      </c>
      <c r="K313" s="17" t="str" cm="1">
        <f t="array" ref="K313">_xlfn.IFS(Table433[[#This Row],[Sales]]&gt;40000,"Best Sales",Table433[[#This Row],[Sales]]&gt;20000,"Average Sales",Table433[[#This Row],[Sales]]&gt;0,"Poor Sales")</f>
        <v>Best Sales</v>
      </c>
      <c r="L313" s="12">
        <f>YEAR(Table433[[#This Row],[Date]])</f>
        <v>2023</v>
      </c>
      <c r="M313" s="12">
        <f>MONTH(Table433[[#This Row],[Date]])</f>
        <v>3</v>
      </c>
      <c r="N313" s="13">
        <f>DAY(Table433[[#This Row],[Date]])</f>
        <v>14</v>
      </c>
      <c r="O313" s="13" t="str">
        <f>TEXT(DATE(2023,Table433[[#This Row],[Month]],1),"mmm")</f>
        <v>Mar</v>
      </c>
      <c r="P313" s="13"/>
      <c r="Q313" s="13"/>
    </row>
    <row r="314" spans="1:17" x14ac:dyDescent="0.3">
      <c r="A314" s="6">
        <v>313</v>
      </c>
      <c r="B314" s="7">
        <v>45150</v>
      </c>
      <c r="C314" s="8" t="s">
        <v>33</v>
      </c>
      <c r="D314" s="8" t="s">
        <v>34</v>
      </c>
      <c r="E314" s="8" t="s">
        <v>27</v>
      </c>
      <c r="F314" s="8" t="s">
        <v>38</v>
      </c>
      <c r="G314" s="8" t="s">
        <v>40</v>
      </c>
      <c r="H314" s="9">
        <v>36425.279999999999</v>
      </c>
      <c r="I314" s="8">
        <v>2</v>
      </c>
      <c r="J314" s="10">
        <v>2652.3</v>
      </c>
      <c r="K314" s="17" t="str" cm="1">
        <f t="array" ref="K314">_xlfn.IFS(Table433[[#This Row],[Sales]]&gt;40000,"Best Sales",Table433[[#This Row],[Sales]]&gt;20000,"Average Sales",Table433[[#This Row],[Sales]]&gt;0,"Poor Sales")</f>
        <v>Average Sales</v>
      </c>
      <c r="L314" s="12">
        <f>YEAR(Table433[[#This Row],[Date]])</f>
        <v>2023</v>
      </c>
      <c r="M314" s="12">
        <f>MONTH(Table433[[#This Row],[Date]])</f>
        <v>8</v>
      </c>
      <c r="N314" s="13">
        <f>DAY(Table433[[#This Row],[Date]])</f>
        <v>12</v>
      </c>
      <c r="O314" s="13" t="str">
        <f>TEXT(DATE(2023,Table433[[#This Row],[Month]],1),"mmm")</f>
        <v>Aug</v>
      </c>
      <c r="P314" s="13"/>
      <c r="Q314" s="13"/>
    </row>
    <row r="315" spans="1:17" x14ac:dyDescent="0.3">
      <c r="A315" s="14">
        <v>314</v>
      </c>
      <c r="B315" s="15">
        <v>45204</v>
      </c>
      <c r="C315" s="16" t="s">
        <v>45</v>
      </c>
      <c r="D315" s="16" t="s">
        <v>34</v>
      </c>
      <c r="E315" s="16" t="s">
        <v>19</v>
      </c>
      <c r="F315" s="16" t="s">
        <v>31</v>
      </c>
      <c r="G315" s="16" t="s">
        <v>36</v>
      </c>
      <c r="H315" s="17">
        <v>34225.440000000002</v>
      </c>
      <c r="I315" s="16">
        <v>5</v>
      </c>
      <c r="J315" s="18">
        <v>7171.55</v>
      </c>
      <c r="K315" s="17" t="str" cm="1">
        <f t="array" ref="K315">_xlfn.IFS(Table433[[#This Row],[Sales]]&gt;40000,"Best Sales",Table433[[#This Row],[Sales]]&gt;20000,"Average Sales",Table433[[#This Row],[Sales]]&gt;0,"Poor Sales")</f>
        <v>Average Sales</v>
      </c>
      <c r="L315" s="12">
        <f>YEAR(Table433[[#This Row],[Date]])</f>
        <v>2023</v>
      </c>
      <c r="M315" s="12">
        <f>MONTH(Table433[[#This Row],[Date]])</f>
        <v>10</v>
      </c>
      <c r="N315" s="13">
        <f>DAY(Table433[[#This Row],[Date]])</f>
        <v>5</v>
      </c>
      <c r="O315" s="13" t="str">
        <f>TEXT(DATE(2023,Table433[[#This Row],[Month]],1),"mmm")</f>
        <v>Oct</v>
      </c>
      <c r="P315" s="13"/>
      <c r="Q315" s="13"/>
    </row>
    <row r="316" spans="1:17" x14ac:dyDescent="0.3">
      <c r="A316" s="6">
        <v>315</v>
      </c>
      <c r="B316" s="7">
        <v>45240</v>
      </c>
      <c r="C316" s="8" t="s">
        <v>44</v>
      </c>
      <c r="D316" s="8" t="s">
        <v>34</v>
      </c>
      <c r="E316" s="8" t="s">
        <v>24</v>
      </c>
      <c r="F316" s="8" t="s">
        <v>20</v>
      </c>
      <c r="G316" s="8" t="s">
        <v>21</v>
      </c>
      <c r="H316" s="9">
        <v>47580.01</v>
      </c>
      <c r="I316" s="8">
        <v>1</v>
      </c>
      <c r="J316" s="10">
        <v>13586.56</v>
      </c>
      <c r="K316" s="17" t="str" cm="1">
        <f t="array" ref="K316">_xlfn.IFS(Table433[[#This Row],[Sales]]&gt;40000,"Best Sales",Table433[[#This Row],[Sales]]&gt;20000,"Average Sales",Table433[[#This Row],[Sales]]&gt;0,"Poor Sales")</f>
        <v>Best Sales</v>
      </c>
      <c r="L316" s="12">
        <f>YEAR(Table433[[#This Row],[Date]])</f>
        <v>2023</v>
      </c>
      <c r="M316" s="12">
        <f>MONTH(Table433[[#This Row],[Date]])</f>
        <v>11</v>
      </c>
      <c r="N316" s="13">
        <f>DAY(Table433[[#This Row],[Date]])</f>
        <v>10</v>
      </c>
      <c r="O316" s="13" t="str">
        <f>TEXT(DATE(2023,Table433[[#This Row],[Month]],1),"mmm")</f>
        <v>Nov</v>
      </c>
      <c r="P316" s="13"/>
      <c r="Q316" s="13"/>
    </row>
    <row r="317" spans="1:17" x14ac:dyDescent="0.3">
      <c r="A317" s="14">
        <v>316</v>
      </c>
      <c r="B317" s="15">
        <v>44975</v>
      </c>
      <c r="C317" s="16" t="s">
        <v>45</v>
      </c>
      <c r="D317" s="16" t="s">
        <v>34</v>
      </c>
      <c r="E317" s="16" t="s">
        <v>19</v>
      </c>
      <c r="F317" s="16" t="s">
        <v>20</v>
      </c>
      <c r="G317" s="16" t="s">
        <v>21</v>
      </c>
      <c r="H317" s="17">
        <v>17212.37</v>
      </c>
      <c r="I317" s="16">
        <v>6</v>
      </c>
      <c r="J317" s="18">
        <v>4577.87</v>
      </c>
      <c r="K317" s="17" t="str" cm="1">
        <f t="array" ref="K317">_xlfn.IFS(Table433[[#This Row],[Sales]]&gt;40000,"Best Sales",Table433[[#This Row],[Sales]]&gt;20000,"Average Sales",Table433[[#This Row],[Sales]]&gt;0,"Poor Sales")</f>
        <v>Poor Sales</v>
      </c>
      <c r="L317" s="12">
        <f>YEAR(Table433[[#This Row],[Date]])</f>
        <v>2023</v>
      </c>
      <c r="M317" s="12">
        <f>MONTH(Table433[[#This Row],[Date]])</f>
        <v>2</v>
      </c>
      <c r="N317" s="13">
        <f>DAY(Table433[[#This Row],[Date]])</f>
        <v>18</v>
      </c>
      <c r="O317" s="13" t="str">
        <f>TEXT(DATE(2023,Table433[[#This Row],[Month]],1),"mmm")</f>
        <v>Feb</v>
      </c>
      <c r="P317" s="13"/>
      <c r="Q317" s="13"/>
    </row>
    <row r="318" spans="1:17" x14ac:dyDescent="0.3">
      <c r="A318" s="6">
        <v>317</v>
      </c>
      <c r="B318" s="7">
        <v>44949</v>
      </c>
      <c r="C318" s="8" t="s">
        <v>25</v>
      </c>
      <c r="D318" s="8" t="s">
        <v>26</v>
      </c>
      <c r="E318" s="8" t="s">
        <v>24</v>
      </c>
      <c r="F318" s="8" t="s">
        <v>20</v>
      </c>
      <c r="G318" s="8" t="s">
        <v>28</v>
      </c>
      <c r="H318" s="9">
        <v>48075.95</v>
      </c>
      <c r="I318" s="8">
        <v>7</v>
      </c>
      <c r="J318" s="10">
        <v>4672.51</v>
      </c>
      <c r="K318" s="17" t="str" cm="1">
        <f t="array" ref="K318">_xlfn.IFS(Table433[[#This Row],[Sales]]&gt;40000,"Best Sales",Table433[[#This Row],[Sales]]&gt;20000,"Average Sales",Table433[[#This Row],[Sales]]&gt;0,"Poor Sales")</f>
        <v>Best Sales</v>
      </c>
      <c r="L318" s="12">
        <f>YEAR(Table433[[#This Row],[Date]])</f>
        <v>2023</v>
      </c>
      <c r="M318" s="12">
        <f>MONTH(Table433[[#This Row],[Date]])</f>
        <v>1</v>
      </c>
      <c r="N318" s="13">
        <f>DAY(Table433[[#This Row],[Date]])</f>
        <v>23</v>
      </c>
      <c r="O318" s="13" t="str">
        <f>TEXT(DATE(2023,Table433[[#This Row],[Month]],1),"mmm")</f>
        <v>Jan</v>
      </c>
      <c r="P318" s="13"/>
      <c r="Q318" s="13"/>
    </row>
    <row r="319" spans="1:17" x14ac:dyDescent="0.3">
      <c r="A319" s="14">
        <v>318</v>
      </c>
      <c r="B319" s="15">
        <v>45003</v>
      </c>
      <c r="C319" s="16" t="s">
        <v>37</v>
      </c>
      <c r="D319" s="16" t="s">
        <v>23</v>
      </c>
      <c r="E319" s="16" t="s">
        <v>27</v>
      </c>
      <c r="F319" s="16" t="s">
        <v>31</v>
      </c>
      <c r="G319" s="16" t="s">
        <v>35</v>
      </c>
      <c r="H319" s="17">
        <v>9681.73</v>
      </c>
      <c r="I319" s="16">
        <v>10</v>
      </c>
      <c r="J319" s="18">
        <v>628.19000000000005</v>
      </c>
      <c r="K319" s="17" t="str" cm="1">
        <f t="array" ref="K319">_xlfn.IFS(Table433[[#This Row],[Sales]]&gt;40000,"Best Sales",Table433[[#This Row],[Sales]]&gt;20000,"Average Sales",Table433[[#This Row],[Sales]]&gt;0,"Poor Sales")</f>
        <v>Poor Sales</v>
      </c>
      <c r="L319" s="12">
        <f>YEAR(Table433[[#This Row],[Date]])</f>
        <v>2023</v>
      </c>
      <c r="M319" s="12">
        <f>MONTH(Table433[[#This Row],[Date]])</f>
        <v>3</v>
      </c>
      <c r="N319" s="13">
        <f>DAY(Table433[[#This Row],[Date]])</f>
        <v>18</v>
      </c>
      <c r="O319" s="13" t="str">
        <f>TEXT(DATE(2023,Table433[[#This Row],[Month]],1),"mmm")</f>
        <v>Mar</v>
      </c>
      <c r="P319" s="13"/>
      <c r="Q319" s="13"/>
    </row>
    <row r="320" spans="1:17" x14ac:dyDescent="0.3">
      <c r="A320" s="6">
        <v>319</v>
      </c>
      <c r="B320" s="7">
        <v>45245</v>
      </c>
      <c r="C320" s="8" t="s">
        <v>37</v>
      </c>
      <c r="D320" s="8" t="s">
        <v>23</v>
      </c>
      <c r="E320" s="8" t="s">
        <v>27</v>
      </c>
      <c r="F320" s="8" t="s">
        <v>38</v>
      </c>
      <c r="G320" s="8" t="s">
        <v>39</v>
      </c>
      <c r="H320" s="9">
        <v>31708.44</v>
      </c>
      <c r="I320" s="8">
        <v>4</v>
      </c>
      <c r="J320" s="10">
        <v>1986.92</v>
      </c>
      <c r="K320" s="17" t="str" cm="1">
        <f t="array" ref="K320">_xlfn.IFS(Table433[[#This Row],[Sales]]&gt;40000,"Best Sales",Table433[[#This Row],[Sales]]&gt;20000,"Average Sales",Table433[[#This Row],[Sales]]&gt;0,"Poor Sales")</f>
        <v>Average Sales</v>
      </c>
      <c r="L320" s="12">
        <f>YEAR(Table433[[#This Row],[Date]])</f>
        <v>2023</v>
      </c>
      <c r="M320" s="12">
        <f>MONTH(Table433[[#This Row],[Date]])</f>
        <v>11</v>
      </c>
      <c r="N320" s="13">
        <f>DAY(Table433[[#This Row],[Date]])</f>
        <v>15</v>
      </c>
      <c r="O320" s="13" t="str">
        <f>TEXT(DATE(2023,Table433[[#This Row],[Month]],1),"mmm")</f>
        <v>Nov</v>
      </c>
      <c r="P320" s="13"/>
      <c r="Q320" s="13"/>
    </row>
    <row r="321" spans="1:17" x14ac:dyDescent="0.3">
      <c r="A321" s="14">
        <v>320</v>
      </c>
      <c r="B321" s="15">
        <v>45008</v>
      </c>
      <c r="C321" s="16" t="s">
        <v>37</v>
      </c>
      <c r="D321" s="16" t="s">
        <v>23</v>
      </c>
      <c r="E321" s="16" t="s">
        <v>19</v>
      </c>
      <c r="F321" s="16" t="s">
        <v>31</v>
      </c>
      <c r="G321" s="16" t="s">
        <v>36</v>
      </c>
      <c r="H321" s="17">
        <v>23576.81</v>
      </c>
      <c r="I321" s="16">
        <v>5</v>
      </c>
      <c r="J321" s="18">
        <v>5469.68</v>
      </c>
      <c r="K321" s="17" t="str" cm="1">
        <f t="array" ref="K321">_xlfn.IFS(Table433[[#This Row],[Sales]]&gt;40000,"Best Sales",Table433[[#This Row],[Sales]]&gt;20000,"Average Sales",Table433[[#This Row],[Sales]]&gt;0,"Poor Sales")</f>
        <v>Average Sales</v>
      </c>
      <c r="L321" s="12">
        <f>YEAR(Table433[[#This Row],[Date]])</f>
        <v>2023</v>
      </c>
      <c r="M321" s="12">
        <f>MONTH(Table433[[#This Row],[Date]])</f>
        <v>3</v>
      </c>
      <c r="N321" s="13">
        <f>DAY(Table433[[#This Row],[Date]])</f>
        <v>23</v>
      </c>
      <c r="O321" s="13" t="str">
        <f>TEXT(DATE(2023,Table433[[#This Row],[Month]],1),"mmm")</f>
        <v>Mar</v>
      </c>
      <c r="P321" s="13"/>
      <c r="Q321" s="13"/>
    </row>
    <row r="322" spans="1:17" x14ac:dyDescent="0.3">
      <c r="A322" s="6">
        <v>321</v>
      </c>
      <c r="B322" s="7">
        <v>45048</v>
      </c>
      <c r="C322" s="8" t="s">
        <v>42</v>
      </c>
      <c r="D322" s="8" t="s">
        <v>43</v>
      </c>
      <c r="E322" s="8" t="s">
        <v>24</v>
      </c>
      <c r="F322" s="8" t="s">
        <v>38</v>
      </c>
      <c r="G322" s="8" t="s">
        <v>46</v>
      </c>
      <c r="H322" s="9">
        <v>46941.22</v>
      </c>
      <c r="I322" s="8">
        <v>3</v>
      </c>
      <c r="J322" s="10">
        <v>11351.59</v>
      </c>
      <c r="K322" s="17" t="str" cm="1">
        <f t="array" ref="K322">_xlfn.IFS(Table433[[#This Row],[Sales]]&gt;40000,"Best Sales",Table433[[#This Row],[Sales]]&gt;20000,"Average Sales",Table433[[#This Row],[Sales]]&gt;0,"Poor Sales")</f>
        <v>Best Sales</v>
      </c>
      <c r="L322" s="12">
        <f>YEAR(Table433[[#This Row],[Date]])</f>
        <v>2023</v>
      </c>
      <c r="M322" s="12">
        <f>MONTH(Table433[[#This Row],[Date]])</f>
        <v>5</v>
      </c>
      <c r="N322" s="13">
        <f>DAY(Table433[[#This Row],[Date]])</f>
        <v>2</v>
      </c>
      <c r="O322" s="13" t="str">
        <f>TEXT(DATE(2023,Table433[[#This Row],[Month]],1),"mmm")</f>
        <v>May</v>
      </c>
      <c r="P322" s="13"/>
      <c r="Q322" s="13"/>
    </row>
    <row r="323" spans="1:17" x14ac:dyDescent="0.3">
      <c r="A323" s="14">
        <v>322</v>
      </c>
      <c r="B323" s="15">
        <v>45021</v>
      </c>
      <c r="C323" s="16" t="s">
        <v>37</v>
      </c>
      <c r="D323" s="16" t="s">
        <v>23</v>
      </c>
      <c r="E323" s="16" t="s">
        <v>19</v>
      </c>
      <c r="F323" s="16" t="s">
        <v>38</v>
      </c>
      <c r="G323" s="16" t="s">
        <v>40</v>
      </c>
      <c r="H323" s="17">
        <v>30511.77</v>
      </c>
      <c r="I323" s="16">
        <v>4</v>
      </c>
      <c r="J323" s="18">
        <v>2577.4699999999998</v>
      </c>
      <c r="K323" s="17" t="str" cm="1">
        <f t="array" ref="K323">_xlfn.IFS(Table433[[#This Row],[Sales]]&gt;40000,"Best Sales",Table433[[#This Row],[Sales]]&gt;20000,"Average Sales",Table433[[#This Row],[Sales]]&gt;0,"Poor Sales")</f>
        <v>Average Sales</v>
      </c>
      <c r="L323" s="12">
        <f>YEAR(Table433[[#This Row],[Date]])</f>
        <v>2023</v>
      </c>
      <c r="M323" s="12">
        <f>MONTH(Table433[[#This Row],[Date]])</f>
        <v>4</v>
      </c>
      <c r="N323" s="13">
        <f>DAY(Table433[[#This Row],[Date]])</f>
        <v>5</v>
      </c>
      <c r="O323" s="13" t="str">
        <f>TEXT(DATE(2023,Table433[[#This Row],[Month]],1),"mmm")</f>
        <v>Apr</v>
      </c>
      <c r="P323" s="13"/>
      <c r="Q323" s="13"/>
    </row>
    <row r="324" spans="1:17" x14ac:dyDescent="0.3">
      <c r="A324" s="6">
        <v>323</v>
      </c>
      <c r="B324" s="7">
        <v>45225</v>
      </c>
      <c r="C324" s="8" t="s">
        <v>45</v>
      </c>
      <c r="D324" s="8" t="s">
        <v>34</v>
      </c>
      <c r="E324" s="8" t="s">
        <v>24</v>
      </c>
      <c r="F324" s="8" t="s">
        <v>20</v>
      </c>
      <c r="G324" s="8" t="s">
        <v>28</v>
      </c>
      <c r="H324" s="9">
        <v>1705.27</v>
      </c>
      <c r="I324" s="8">
        <v>2</v>
      </c>
      <c r="J324" s="10">
        <v>258.72000000000003</v>
      </c>
      <c r="K324" s="17" t="str" cm="1">
        <f t="array" ref="K324">_xlfn.IFS(Table433[[#This Row],[Sales]]&gt;40000,"Best Sales",Table433[[#This Row],[Sales]]&gt;20000,"Average Sales",Table433[[#This Row],[Sales]]&gt;0,"Poor Sales")</f>
        <v>Poor Sales</v>
      </c>
      <c r="L324" s="12">
        <f>YEAR(Table433[[#This Row],[Date]])</f>
        <v>2023</v>
      </c>
      <c r="M324" s="12">
        <f>MONTH(Table433[[#This Row],[Date]])</f>
        <v>10</v>
      </c>
      <c r="N324" s="13">
        <f>DAY(Table433[[#This Row],[Date]])</f>
        <v>26</v>
      </c>
      <c r="O324" s="13" t="str">
        <f>TEXT(DATE(2023,Table433[[#This Row],[Month]],1),"mmm")</f>
        <v>Oct</v>
      </c>
      <c r="P324" s="13"/>
      <c r="Q324" s="13"/>
    </row>
    <row r="325" spans="1:17" x14ac:dyDescent="0.3">
      <c r="A325" s="14">
        <v>324</v>
      </c>
      <c r="B325" s="15">
        <v>45196</v>
      </c>
      <c r="C325" s="16" t="s">
        <v>29</v>
      </c>
      <c r="D325" s="16" t="s">
        <v>29</v>
      </c>
      <c r="E325" s="16" t="s">
        <v>27</v>
      </c>
      <c r="F325" s="16" t="s">
        <v>20</v>
      </c>
      <c r="G325" s="16" t="s">
        <v>21</v>
      </c>
      <c r="H325" s="17">
        <v>40330.29</v>
      </c>
      <c r="I325" s="16">
        <v>9</v>
      </c>
      <c r="J325" s="18">
        <v>9484.9599999999991</v>
      </c>
      <c r="K325" s="17" t="str" cm="1">
        <f t="array" ref="K325">_xlfn.IFS(Table433[[#This Row],[Sales]]&gt;40000,"Best Sales",Table433[[#This Row],[Sales]]&gt;20000,"Average Sales",Table433[[#This Row],[Sales]]&gt;0,"Poor Sales")</f>
        <v>Best Sales</v>
      </c>
      <c r="L325" s="12">
        <f>YEAR(Table433[[#This Row],[Date]])</f>
        <v>2023</v>
      </c>
      <c r="M325" s="12">
        <f>MONTH(Table433[[#This Row],[Date]])</f>
        <v>9</v>
      </c>
      <c r="N325" s="13">
        <f>DAY(Table433[[#This Row],[Date]])</f>
        <v>27</v>
      </c>
      <c r="O325" s="13" t="str">
        <f>TEXT(DATE(2023,Table433[[#This Row],[Month]],1),"mmm")</f>
        <v>Sep</v>
      </c>
      <c r="P325" s="13"/>
      <c r="Q325" s="13"/>
    </row>
    <row r="326" spans="1:17" x14ac:dyDescent="0.3">
      <c r="A326" s="6">
        <v>325</v>
      </c>
      <c r="B326" s="7">
        <v>44947</v>
      </c>
      <c r="C326" s="8" t="s">
        <v>25</v>
      </c>
      <c r="D326" s="8" t="s">
        <v>26</v>
      </c>
      <c r="E326" s="8" t="s">
        <v>27</v>
      </c>
      <c r="F326" s="8" t="s">
        <v>31</v>
      </c>
      <c r="G326" s="8" t="s">
        <v>36</v>
      </c>
      <c r="H326" s="9">
        <v>22523.13</v>
      </c>
      <c r="I326" s="8">
        <v>3</v>
      </c>
      <c r="J326" s="10">
        <v>5559.51</v>
      </c>
      <c r="K326" s="17" t="str" cm="1">
        <f t="array" ref="K326">_xlfn.IFS(Table433[[#This Row],[Sales]]&gt;40000,"Best Sales",Table433[[#This Row],[Sales]]&gt;20000,"Average Sales",Table433[[#This Row],[Sales]]&gt;0,"Poor Sales")</f>
        <v>Average Sales</v>
      </c>
      <c r="L326" s="12">
        <f>YEAR(Table433[[#This Row],[Date]])</f>
        <v>2023</v>
      </c>
      <c r="M326" s="12">
        <f>MONTH(Table433[[#This Row],[Date]])</f>
        <v>1</v>
      </c>
      <c r="N326" s="13">
        <f>DAY(Table433[[#This Row],[Date]])</f>
        <v>21</v>
      </c>
      <c r="O326" s="13" t="str">
        <f>TEXT(DATE(2023,Table433[[#This Row],[Month]],1),"mmm")</f>
        <v>Jan</v>
      </c>
      <c r="P326" s="13"/>
      <c r="Q326" s="13"/>
    </row>
    <row r="327" spans="1:17" x14ac:dyDescent="0.3">
      <c r="A327" s="14">
        <v>326</v>
      </c>
      <c r="B327" s="15">
        <v>45181</v>
      </c>
      <c r="C327" s="16" t="s">
        <v>37</v>
      </c>
      <c r="D327" s="16" t="s">
        <v>23</v>
      </c>
      <c r="E327" s="16" t="s">
        <v>19</v>
      </c>
      <c r="F327" s="16" t="s">
        <v>38</v>
      </c>
      <c r="G327" s="16" t="s">
        <v>39</v>
      </c>
      <c r="H327" s="17">
        <v>9721.76</v>
      </c>
      <c r="I327" s="16">
        <v>1</v>
      </c>
      <c r="J327" s="18">
        <v>2426.7199999999998</v>
      </c>
      <c r="K327" s="17" t="str" cm="1">
        <f t="array" ref="K327">_xlfn.IFS(Table433[[#This Row],[Sales]]&gt;40000,"Best Sales",Table433[[#This Row],[Sales]]&gt;20000,"Average Sales",Table433[[#This Row],[Sales]]&gt;0,"Poor Sales")</f>
        <v>Poor Sales</v>
      </c>
      <c r="L327" s="12">
        <f>YEAR(Table433[[#This Row],[Date]])</f>
        <v>2023</v>
      </c>
      <c r="M327" s="12">
        <f>MONTH(Table433[[#This Row],[Date]])</f>
        <v>9</v>
      </c>
      <c r="N327" s="13">
        <f>DAY(Table433[[#This Row],[Date]])</f>
        <v>12</v>
      </c>
      <c r="O327" s="13" t="str">
        <f>TEXT(DATE(2023,Table433[[#This Row],[Month]],1),"mmm")</f>
        <v>Sep</v>
      </c>
      <c r="P327" s="13"/>
      <c r="Q327" s="13"/>
    </row>
    <row r="328" spans="1:17" x14ac:dyDescent="0.3">
      <c r="A328" s="6">
        <v>327</v>
      </c>
      <c r="B328" s="7">
        <v>45158</v>
      </c>
      <c r="C328" s="8" t="s">
        <v>44</v>
      </c>
      <c r="D328" s="8" t="s">
        <v>34</v>
      </c>
      <c r="E328" s="8" t="s">
        <v>24</v>
      </c>
      <c r="F328" s="8" t="s">
        <v>38</v>
      </c>
      <c r="G328" s="8" t="s">
        <v>46</v>
      </c>
      <c r="H328" s="9">
        <v>13433.44</v>
      </c>
      <c r="I328" s="8">
        <v>10</v>
      </c>
      <c r="J328" s="10">
        <v>3809.36</v>
      </c>
      <c r="K328" s="17" t="str" cm="1">
        <f t="array" ref="K328">_xlfn.IFS(Table433[[#This Row],[Sales]]&gt;40000,"Best Sales",Table433[[#This Row],[Sales]]&gt;20000,"Average Sales",Table433[[#This Row],[Sales]]&gt;0,"Poor Sales")</f>
        <v>Poor Sales</v>
      </c>
      <c r="L328" s="12">
        <f>YEAR(Table433[[#This Row],[Date]])</f>
        <v>2023</v>
      </c>
      <c r="M328" s="12">
        <f>MONTH(Table433[[#This Row],[Date]])</f>
        <v>8</v>
      </c>
      <c r="N328" s="13">
        <f>DAY(Table433[[#This Row],[Date]])</f>
        <v>20</v>
      </c>
      <c r="O328" s="13" t="str">
        <f>TEXT(DATE(2023,Table433[[#This Row],[Month]],1),"mmm")</f>
        <v>Aug</v>
      </c>
      <c r="P328" s="13"/>
      <c r="Q328" s="13"/>
    </row>
    <row r="329" spans="1:17" x14ac:dyDescent="0.3">
      <c r="A329" s="14">
        <v>328</v>
      </c>
      <c r="B329" s="15">
        <v>44960</v>
      </c>
      <c r="C329" s="16" t="s">
        <v>22</v>
      </c>
      <c r="D329" s="16" t="s">
        <v>23</v>
      </c>
      <c r="E329" s="16" t="s">
        <v>19</v>
      </c>
      <c r="F329" s="16" t="s">
        <v>31</v>
      </c>
      <c r="G329" s="16" t="s">
        <v>35</v>
      </c>
      <c r="H329" s="17">
        <v>42800.72</v>
      </c>
      <c r="I329" s="16">
        <v>2</v>
      </c>
      <c r="J329" s="18">
        <v>3432.12</v>
      </c>
      <c r="K329" s="17" t="str" cm="1">
        <f t="array" ref="K329">_xlfn.IFS(Table433[[#This Row],[Sales]]&gt;40000,"Best Sales",Table433[[#This Row],[Sales]]&gt;20000,"Average Sales",Table433[[#This Row],[Sales]]&gt;0,"Poor Sales")</f>
        <v>Best Sales</v>
      </c>
      <c r="L329" s="12">
        <f>YEAR(Table433[[#This Row],[Date]])</f>
        <v>2023</v>
      </c>
      <c r="M329" s="12">
        <f>MONTH(Table433[[#This Row],[Date]])</f>
        <v>2</v>
      </c>
      <c r="N329" s="13">
        <f>DAY(Table433[[#This Row],[Date]])</f>
        <v>3</v>
      </c>
      <c r="O329" s="13" t="str">
        <f>TEXT(DATE(2023,Table433[[#This Row],[Month]],1),"mmm")</f>
        <v>Feb</v>
      </c>
      <c r="P329" s="13"/>
      <c r="Q329" s="13"/>
    </row>
    <row r="330" spans="1:17" x14ac:dyDescent="0.3">
      <c r="A330" s="6">
        <v>329</v>
      </c>
      <c r="B330" s="7">
        <v>45245</v>
      </c>
      <c r="C330" s="8" t="s">
        <v>44</v>
      </c>
      <c r="D330" s="8" t="s">
        <v>34</v>
      </c>
      <c r="E330" s="8" t="s">
        <v>24</v>
      </c>
      <c r="F330" s="8" t="s">
        <v>31</v>
      </c>
      <c r="G330" s="8" t="s">
        <v>32</v>
      </c>
      <c r="H330" s="9">
        <v>11997.4</v>
      </c>
      <c r="I330" s="8">
        <v>9</v>
      </c>
      <c r="J330" s="10">
        <v>2230.12</v>
      </c>
      <c r="K330" s="17" t="str" cm="1">
        <f t="array" ref="K330">_xlfn.IFS(Table433[[#This Row],[Sales]]&gt;40000,"Best Sales",Table433[[#This Row],[Sales]]&gt;20000,"Average Sales",Table433[[#This Row],[Sales]]&gt;0,"Poor Sales")</f>
        <v>Poor Sales</v>
      </c>
      <c r="L330" s="12">
        <f>YEAR(Table433[[#This Row],[Date]])</f>
        <v>2023</v>
      </c>
      <c r="M330" s="12">
        <f>MONTH(Table433[[#This Row],[Date]])</f>
        <v>11</v>
      </c>
      <c r="N330" s="13">
        <f>DAY(Table433[[#This Row],[Date]])</f>
        <v>15</v>
      </c>
      <c r="O330" s="13" t="str">
        <f>TEXT(DATE(2023,Table433[[#This Row],[Month]],1),"mmm")</f>
        <v>Nov</v>
      </c>
      <c r="P330" s="13"/>
      <c r="Q330" s="13"/>
    </row>
    <row r="331" spans="1:17" x14ac:dyDescent="0.3">
      <c r="A331" s="14">
        <v>330</v>
      </c>
      <c r="B331" s="15">
        <v>45173</v>
      </c>
      <c r="C331" s="16" t="s">
        <v>22</v>
      </c>
      <c r="D331" s="16" t="s">
        <v>23</v>
      </c>
      <c r="E331" s="16" t="s">
        <v>27</v>
      </c>
      <c r="F331" s="16" t="s">
        <v>38</v>
      </c>
      <c r="G331" s="16" t="s">
        <v>40</v>
      </c>
      <c r="H331" s="17">
        <v>16524.43</v>
      </c>
      <c r="I331" s="16">
        <v>5</v>
      </c>
      <c r="J331" s="18">
        <v>3288.46</v>
      </c>
      <c r="K331" s="17" t="str" cm="1">
        <f t="array" ref="K331">_xlfn.IFS(Table433[[#This Row],[Sales]]&gt;40000,"Best Sales",Table433[[#This Row],[Sales]]&gt;20000,"Average Sales",Table433[[#This Row],[Sales]]&gt;0,"Poor Sales")</f>
        <v>Poor Sales</v>
      </c>
      <c r="L331" s="12">
        <f>YEAR(Table433[[#This Row],[Date]])</f>
        <v>2023</v>
      </c>
      <c r="M331" s="12">
        <f>MONTH(Table433[[#This Row],[Date]])</f>
        <v>9</v>
      </c>
      <c r="N331" s="13">
        <f>DAY(Table433[[#This Row],[Date]])</f>
        <v>4</v>
      </c>
      <c r="O331" s="13" t="str">
        <f>TEXT(DATE(2023,Table433[[#This Row],[Month]],1),"mmm")</f>
        <v>Sep</v>
      </c>
      <c r="P331" s="13"/>
      <c r="Q331" s="13"/>
    </row>
    <row r="332" spans="1:17" x14ac:dyDescent="0.3">
      <c r="A332" s="6">
        <v>331</v>
      </c>
      <c r="B332" s="7">
        <v>45270</v>
      </c>
      <c r="C332" s="8" t="s">
        <v>22</v>
      </c>
      <c r="D332" s="8" t="s">
        <v>23</v>
      </c>
      <c r="E332" s="8" t="s">
        <v>27</v>
      </c>
      <c r="F332" s="8" t="s">
        <v>38</v>
      </c>
      <c r="G332" s="8" t="s">
        <v>46</v>
      </c>
      <c r="H332" s="9">
        <v>10353.51</v>
      </c>
      <c r="I332" s="8">
        <v>9</v>
      </c>
      <c r="J332" s="10">
        <v>1656.01</v>
      </c>
      <c r="K332" s="17" t="str" cm="1">
        <f t="array" ref="K332">_xlfn.IFS(Table433[[#This Row],[Sales]]&gt;40000,"Best Sales",Table433[[#This Row],[Sales]]&gt;20000,"Average Sales",Table433[[#This Row],[Sales]]&gt;0,"Poor Sales")</f>
        <v>Poor Sales</v>
      </c>
      <c r="L332" s="12">
        <f>YEAR(Table433[[#This Row],[Date]])</f>
        <v>2023</v>
      </c>
      <c r="M332" s="12">
        <f>MONTH(Table433[[#This Row],[Date]])</f>
        <v>12</v>
      </c>
      <c r="N332" s="13">
        <f>DAY(Table433[[#This Row],[Date]])</f>
        <v>10</v>
      </c>
      <c r="O332" s="13" t="str">
        <f>TEXT(DATE(2023,Table433[[#This Row],[Month]],1),"mmm")</f>
        <v>Dec</v>
      </c>
      <c r="P332" s="13"/>
      <c r="Q332" s="13"/>
    </row>
    <row r="333" spans="1:17" x14ac:dyDescent="0.3">
      <c r="A333" s="14">
        <v>332</v>
      </c>
      <c r="B333" s="15">
        <v>45126</v>
      </c>
      <c r="C333" s="16" t="s">
        <v>17</v>
      </c>
      <c r="D333" s="16" t="s">
        <v>18</v>
      </c>
      <c r="E333" s="16" t="s">
        <v>19</v>
      </c>
      <c r="F333" s="16" t="s">
        <v>31</v>
      </c>
      <c r="G333" s="16" t="s">
        <v>36</v>
      </c>
      <c r="H333" s="17">
        <v>49849.49</v>
      </c>
      <c r="I333" s="16">
        <v>2</v>
      </c>
      <c r="J333" s="18">
        <v>14334.62</v>
      </c>
      <c r="K333" s="17" t="str" cm="1">
        <f t="array" ref="K333">_xlfn.IFS(Table433[[#This Row],[Sales]]&gt;40000,"Best Sales",Table433[[#This Row],[Sales]]&gt;20000,"Average Sales",Table433[[#This Row],[Sales]]&gt;0,"Poor Sales")</f>
        <v>Best Sales</v>
      </c>
      <c r="L333" s="12">
        <f>YEAR(Table433[[#This Row],[Date]])</f>
        <v>2023</v>
      </c>
      <c r="M333" s="12">
        <f>MONTH(Table433[[#This Row],[Date]])</f>
        <v>7</v>
      </c>
      <c r="N333" s="13">
        <f>DAY(Table433[[#This Row],[Date]])</f>
        <v>19</v>
      </c>
      <c r="O333" s="13" t="str">
        <f>TEXT(DATE(2023,Table433[[#This Row],[Month]],1),"mmm")</f>
        <v>Jul</v>
      </c>
      <c r="P333" s="13"/>
      <c r="Q333" s="13"/>
    </row>
    <row r="334" spans="1:17" x14ac:dyDescent="0.3">
      <c r="A334" s="6">
        <v>333</v>
      </c>
      <c r="B334" s="7">
        <v>45150</v>
      </c>
      <c r="C334" s="8" t="s">
        <v>33</v>
      </c>
      <c r="D334" s="8" t="s">
        <v>34</v>
      </c>
      <c r="E334" s="8" t="s">
        <v>24</v>
      </c>
      <c r="F334" s="8" t="s">
        <v>38</v>
      </c>
      <c r="G334" s="8" t="s">
        <v>40</v>
      </c>
      <c r="H334" s="9">
        <v>40482.129999999997</v>
      </c>
      <c r="I334" s="8">
        <v>4</v>
      </c>
      <c r="J334" s="10">
        <v>9904.9599999999991</v>
      </c>
      <c r="K334" s="17" t="str" cm="1">
        <f t="array" ref="K334">_xlfn.IFS(Table433[[#This Row],[Sales]]&gt;40000,"Best Sales",Table433[[#This Row],[Sales]]&gt;20000,"Average Sales",Table433[[#This Row],[Sales]]&gt;0,"Poor Sales")</f>
        <v>Best Sales</v>
      </c>
      <c r="L334" s="12">
        <f>YEAR(Table433[[#This Row],[Date]])</f>
        <v>2023</v>
      </c>
      <c r="M334" s="12">
        <f>MONTH(Table433[[#This Row],[Date]])</f>
        <v>8</v>
      </c>
      <c r="N334" s="13">
        <f>DAY(Table433[[#This Row],[Date]])</f>
        <v>12</v>
      </c>
      <c r="O334" s="13" t="str">
        <f>TEXT(DATE(2023,Table433[[#This Row],[Month]],1),"mmm")</f>
        <v>Aug</v>
      </c>
      <c r="P334" s="13"/>
      <c r="Q334" s="13"/>
    </row>
    <row r="335" spans="1:17" x14ac:dyDescent="0.3">
      <c r="A335" s="14">
        <v>334</v>
      </c>
      <c r="B335" s="15">
        <v>45062</v>
      </c>
      <c r="C335" s="16" t="s">
        <v>25</v>
      </c>
      <c r="D335" s="16" t="s">
        <v>26</v>
      </c>
      <c r="E335" s="16" t="s">
        <v>19</v>
      </c>
      <c r="F335" s="16" t="s">
        <v>31</v>
      </c>
      <c r="G335" s="16" t="s">
        <v>36</v>
      </c>
      <c r="H335" s="17">
        <v>24555.21</v>
      </c>
      <c r="I335" s="16">
        <v>7</v>
      </c>
      <c r="J335" s="18">
        <v>6048.99</v>
      </c>
      <c r="K335" s="17" t="str" cm="1">
        <f t="array" ref="K335">_xlfn.IFS(Table433[[#This Row],[Sales]]&gt;40000,"Best Sales",Table433[[#This Row],[Sales]]&gt;20000,"Average Sales",Table433[[#This Row],[Sales]]&gt;0,"Poor Sales")</f>
        <v>Average Sales</v>
      </c>
      <c r="L335" s="12">
        <f>YEAR(Table433[[#This Row],[Date]])</f>
        <v>2023</v>
      </c>
      <c r="M335" s="12">
        <f>MONTH(Table433[[#This Row],[Date]])</f>
        <v>5</v>
      </c>
      <c r="N335" s="13">
        <f>DAY(Table433[[#This Row],[Date]])</f>
        <v>16</v>
      </c>
      <c r="O335" s="13" t="str">
        <f>TEXT(DATE(2023,Table433[[#This Row],[Month]],1),"mmm")</f>
        <v>May</v>
      </c>
      <c r="P335" s="13"/>
      <c r="Q335" s="13"/>
    </row>
    <row r="336" spans="1:17" x14ac:dyDescent="0.3">
      <c r="A336" s="6">
        <v>335</v>
      </c>
      <c r="B336" s="7">
        <v>45124</v>
      </c>
      <c r="C336" s="8" t="s">
        <v>33</v>
      </c>
      <c r="D336" s="8" t="s">
        <v>34</v>
      </c>
      <c r="E336" s="8" t="s">
        <v>24</v>
      </c>
      <c r="F336" s="8" t="s">
        <v>38</v>
      </c>
      <c r="G336" s="8" t="s">
        <v>46</v>
      </c>
      <c r="H336" s="9">
        <v>12319.01</v>
      </c>
      <c r="I336" s="8">
        <v>8</v>
      </c>
      <c r="J336" s="10">
        <v>2389.34</v>
      </c>
      <c r="K336" s="17" t="str" cm="1">
        <f t="array" ref="K336">_xlfn.IFS(Table433[[#This Row],[Sales]]&gt;40000,"Best Sales",Table433[[#This Row],[Sales]]&gt;20000,"Average Sales",Table433[[#This Row],[Sales]]&gt;0,"Poor Sales")</f>
        <v>Poor Sales</v>
      </c>
      <c r="L336" s="12">
        <f>YEAR(Table433[[#This Row],[Date]])</f>
        <v>2023</v>
      </c>
      <c r="M336" s="12">
        <f>MONTH(Table433[[#This Row],[Date]])</f>
        <v>7</v>
      </c>
      <c r="N336" s="13">
        <f>DAY(Table433[[#This Row],[Date]])</f>
        <v>17</v>
      </c>
      <c r="O336" s="13" t="str">
        <f>TEXT(DATE(2023,Table433[[#This Row],[Month]],1),"mmm")</f>
        <v>Jul</v>
      </c>
      <c r="P336" s="13"/>
      <c r="Q336" s="13"/>
    </row>
    <row r="337" spans="1:17" x14ac:dyDescent="0.3">
      <c r="A337" s="14">
        <v>336</v>
      </c>
      <c r="B337" s="15">
        <v>44980</v>
      </c>
      <c r="C337" s="16" t="s">
        <v>33</v>
      </c>
      <c r="D337" s="16" t="s">
        <v>34</v>
      </c>
      <c r="E337" s="16" t="s">
        <v>27</v>
      </c>
      <c r="F337" s="16" t="s">
        <v>38</v>
      </c>
      <c r="G337" s="16" t="s">
        <v>40</v>
      </c>
      <c r="H337" s="17">
        <v>13647.29</v>
      </c>
      <c r="I337" s="16">
        <v>1</v>
      </c>
      <c r="J337" s="18">
        <v>1756.26</v>
      </c>
      <c r="K337" s="17" t="str" cm="1">
        <f t="array" ref="K337">_xlfn.IFS(Table433[[#This Row],[Sales]]&gt;40000,"Best Sales",Table433[[#This Row],[Sales]]&gt;20000,"Average Sales",Table433[[#This Row],[Sales]]&gt;0,"Poor Sales")</f>
        <v>Poor Sales</v>
      </c>
      <c r="L337" s="12">
        <f>YEAR(Table433[[#This Row],[Date]])</f>
        <v>2023</v>
      </c>
      <c r="M337" s="12">
        <f>MONTH(Table433[[#This Row],[Date]])</f>
        <v>2</v>
      </c>
      <c r="N337" s="13">
        <f>DAY(Table433[[#This Row],[Date]])</f>
        <v>23</v>
      </c>
      <c r="O337" s="13" t="str">
        <f>TEXT(DATE(2023,Table433[[#This Row],[Month]],1),"mmm")</f>
        <v>Feb</v>
      </c>
      <c r="P337" s="13"/>
      <c r="Q337" s="13"/>
    </row>
    <row r="338" spans="1:17" x14ac:dyDescent="0.3">
      <c r="A338" s="6">
        <v>337</v>
      </c>
      <c r="B338" s="7">
        <v>44931</v>
      </c>
      <c r="C338" s="8" t="s">
        <v>33</v>
      </c>
      <c r="D338" s="8" t="s">
        <v>34</v>
      </c>
      <c r="E338" s="8" t="s">
        <v>27</v>
      </c>
      <c r="F338" s="8" t="s">
        <v>31</v>
      </c>
      <c r="G338" s="8" t="s">
        <v>36</v>
      </c>
      <c r="H338" s="9">
        <v>47809.440000000002</v>
      </c>
      <c r="I338" s="8">
        <v>8</v>
      </c>
      <c r="J338" s="10">
        <v>3486.63</v>
      </c>
      <c r="K338" s="17" t="str" cm="1">
        <f t="array" ref="K338">_xlfn.IFS(Table433[[#This Row],[Sales]]&gt;40000,"Best Sales",Table433[[#This Row],[Sales]]&gt;20000,"Average Sales",Table433[[#This Row],[Sales]]&gt;0,"Poor Sales")</f>
        <v>Best Sales</v>
      </c>
      <c r="L338" s="12">
        <f>YEAR(Table433[[#This Row],[Date]])</f>
        <v>2023</v>
      </c>
      <c r="M338" s="12">
        <f>MONTH(Table433[[#This Row],[Date]])</f>
        <v>1</v>
      </c>
      <c r="N338" s="13">
        <f>DAY(Table433[[#This Row],[Date]])</f>
        <v>5</v>
      </c>
      <c r="O338" s="13" t="str">
        <f>TEXT(DATE(2023,Table433[[#This Row],[Month]],1),"mmm")</f>
        <v>Jan</v>
      </c>
      <c r="P338" s="13"/>
      <c r="Q338" s="13"/>
    </row>
    <row r="339" spans="1:17" x14ac:dyDescent="0.3">
      <c r="A339" s="14">
        <v>338</v>
      </c>
      <c r="B339" s="15">
        <v>45139</v>
      </c>
      <c r="C339" s="16" t="s">
        <v>29</v>
      </c>
      <c r="D339" s="16" t="s">
        <v>29</v>
      </c>
      <c r="E339" s="16" t="s">
        <v>19</v>
      </c>
      <c r="F339" s="16" t="s">
        <v>20</v>
      </c>
      <c r="G339" s="16" t="s">
        <v>28</v>
      </c>
      <c r="H339" s="17">
        <v>13063.77</v>
      </c>
      <c r="I339" s="16">
        <v>7</v>
      </c>
      <c r="J339" s="18">
        <v>919.67</v>
      </c>
      <c r="K339" s="17" t="str" cm="1">
        <f t="array" ref="K339">_xlfn.IFS(Table433[[#This Row],[Sales]]&gt;40000,"Best Sales",Table433[[#This Row],[Sales]]&gt;20000,"Average Sales",Table433[[#This Row],[Sales]]&gt;0,"Poor Sales")</f>
        <v>Poor Sales</v>
      </c>
      <c r="L339" s="12">
        <f>YEAR(Table433[[#This Row],[Date]])</f>
        <v>2023</v>
      </c>
      <c r="M339" s="12">
        <f>MONTH(Table433[[#This Row],[Date]])</f>
        <v>8</v>
      </c>
      <c r="N339" s="13">
        <f>DAY(Table433[[#This Row],[Date]])</f>
        <v>1</v>
      </c>
      <c r="O339" s="13" t="str">
        <f>TEXT(DATE(2023,Table433[[#This Row],[Month]],1),"mmm")</f>
        <v>Aug</v>
      </c>
      <c r="P339" s="13"/>
      <c r="Q339" s="13"/>
    </row>
    <row r="340" spans="1:17" x14ac:dyDescent="0.3">
      <c r="A340" s="6">
        <v>339</v>
      </c>
      <c r="B340" s="7">
        <v>45269</v>
      </c>
      <c r="C340" s="8" t="s">
        <v>44</v>
      </c>
      <c r="D340" s="8" t="s">
        <v>34</v>
      </c>
      <c r="E340" s="8" t="s">
        <v>24</v>
      </c>
      <c r="F340" s="8" t="s">
        <v>20</v>
      </c>
      <c r="G340" s="8" t="s">
        <v>41</v>
      </c>
      <c r="H340" s="9">
        <v>19511.96</v>
      </c>
      <c r="I340" s="8">
        <v>9</v>
      </c>
      <c r="J340" s="10">
        <v>3592.28</v>
      </c>
      <c r="K340" s="17" t="str" cm="1">
        <f t="array" ref="K340">_xlfn.IFS(Table433[[#This Row],[Sales]]&gt;40000,"Best Sales",Table433[[#This Row],[Sales]]&gt;20000,"Average Sales",Table433[[#This Row],[Sales]]&gt;0,"Poor Sales")</f>
        <v>Poor Sales</v>
      </c>
      <c r="L340" s="12">
        <f>YEAR(Table433[[#This Row],[Date]])</f>
        <v>2023</v>
      </c>
      <c r="M340" s="12">
        <f>MONTH(Table433[[#This Row],[Date]])</f>
        <v>12</v>
      </c>
      <c r="N340" s="13">
        <f>DAY(Table433[[#This Row],[Date]])</f>
        <v>9</v>
      </c>
      <c r="O340" s="13" t="str">
        <f>TEXT(DATE(2023,Table433[[#This Row],[Month]],1),"mmm")</f>
        <v>Dec</v>
      </c>
      <c r="P340" s="13"/>
      <c r="Q340" s="13"/>
    </row>
    <row r="341" spans="1:17" x14ac:dyDescent="0.3">
      <c r="A341" s="14">
        <v>340</v>
      </c>
      <c r="B341" s="15">
        <v>45197</v>
      </c>
      <c r="C341" s="16" t="s">
        <v>33</v>
      </c>
      <c r="D341" s="16" t="s">
        <v>34</v>
      </c>
      <c r="E341" s="16" t="s">
        <v>19</v>
      </c>
      <c r="F341" s="16" t="s">
        <v>20</v>
      </c>
      <c r="G341" s="16" t="s">
        <v>41</v>
      </c>
      <c r="H341" s="17">
        <v>3861.56</v>
      </c>
      <c r="I341" s="16">
        <v>3</v>
      </c>
      <c r="J341" s="18">
        <v>788.54</v>
      </c>
      <c r="K341" s="17" t="str" cm="1">
        <f t="array" ref="K341">_xlfn.IFS(Table433[[#This Row],[Sales]]&gt;40000,"Best Sales",Table433[[#This Row],[Sales]]&gt;20000,"Average Sales",Table433[[#This Row],[Sales]]&gt;0,"Poor Sales")</f>
        <v>Poor Sales</v>
      </c>
      <c r="L341" s="12">
        <f>YEAR(Table433[[#This Row],[Date]])</f>
        <v>2023</v>
      </c>
      <c r="M341" s="12">
        <f>MONTH(Table433[[#This Row],[Date]])</f>
        <v>9</v>
      </c>
      <c r="N341" s="13">
        <f>DAY(Table433[[#This Row],[Date]])</f>
        <v>28</v>
      </c>
      <c r="O341" s="13" t="str">
        <f>TEXT(DATE(2023,Table433[[#This Row],[Month]],1),"mmm")</f>
        <v>Sep</v>
      </c>
      <c r="P341" s="13"/>
      <c r="Q341" s="13"/>
    </row>
    <row r="342" spans="1:17" x14ac:dyDescent="0.3">
      <c r="A342" s="6">
        <v>341</v>
      </c>
      <c r="B342" s="7">
        <v>45107</v>
      </c>
      <c r="C342" s="8" t="s">
        <v>22</v>
      </c>
      <c r="D342" s="8" t="s">
        <v>23</v>
      </c>
      <c r="E342" s="8" t="s">
        <v>24</v>
      </c>
      <c r="F342" s="8" t="s">
        <v>38</v>
      </c>
      <c r="G342" s="8" t="s">
        <v>46</v>
      </c>
      <c r="H342" s="9">
        <v>5630.69</v>
      </c>
      <c r="I342" s="8">
        <v>7</v>
      </c>
      <c r="J342" s="10">
        <v>337.23</v>
      </c>
      <c r="K342" s="17" t="str" cm="1">
        <f t="array" ref="K342">_xlfn.IFS(Table433[[#This Row],[Sales]]&gt;40000,"Best Sales",Table433[[#This Row],[Sales]]&gt;20000,"Average Sales",Table433[[#This Row],[Sales]]&gt;0,"Poor Sales")</f>
        <v>Poor Sales</v>
      </c>
      <c r="L342" s="12">
        <f>YEAR(Table433[[#This Row],[Date]])</f>
        <v>2023</v>
      </c>
      <c r="M342" s="12">
        <f>MONTH(Table433[[#This Row],[Date]])</f>
        <v>6</v>
      </c>
      <c r="N342" s="13">
        <f>DAY(Table433[[#This Row],[Date]])</f>
        <v>30</v>
      </c>
      <c r="O342" s="13" t="str">
        <f>TEXT(DATE(2023,Table433[[#This Row],[Month]],1),"mmm")</f>
        <v>Jun</v>
      </c>
      <c r="P342" s="13"/>
      <c r="Q342" s="13"/>
    </row>
    <row r="343" spans="1:17" x14ac:dyDescent="0.3">
      <c r="A343" s="14">
        <v>342</v>
      </c>
      <c r="B343" s="15">
        <v>45286</v>
      </c>
      <c r="C343" s="16" t="s">
        <v>33</v>
      </c>
      <c r="D343" s="16" t="s">
        <v>34</v>
      </c>
      <c r="E343" s="16" t="s">
        <v>27</v>
      </c>
      <c r="F343" s="16" t="s">
        <v>38</v>
      </c>
      <c r="G343" s="16" t="s">
        <v>46</v>
      </c>
      <c r="H343" s="17">
        <v>12929.68</v>
      </c>
      <c r="I343" s="16">
        <v>1</v>
      </c>
      <c r="J343" s="18">
        <v>3699.71</v>
      </c>
      <c r="K343" s="17" t="str" cm="1">
        <f t="array" ref="K343">_xlfn.IFS(Table433[[#This Row],[Sales]]&gt;40000,"Best Sales",Table433[[#This Row],[Sales]]&gt;20000,"Average Sales",Table433[[#This Row],[Sales]]&gt;0,"Poor Sales")</f>
        <v>Poor Sales</v>
      </c>
      <c r="L343" s="12">
        <f>YEAR(Table433[[#This Row],[Date]])</f>
        <v>2023</v>
      </c>
      <c r="M343" s="12">
        <f>MONTH(Table433[[#This Row],[Date]])</f>
        <v>12</v>
      </c>
      <c r="N343" s="13">
        <f>DAY(Table433[[#This Row],[Date]])</f>
        <v>26</v>
      </c>
      <c r="O343" s="13" t="str">
        <f>TEXT(DATE(2023,Table433[[#This Row],[Month]],1),"mmm")</f>
        <v>Dec</v>
      </c>
      <c r="P343" s="13"/>
      <c r="Q343" s="13"/>
    </row>
    <row r="344" spans="1:17" x14ac:dyDescent="0.3">
      <c r="A344" s="6">
        <v>343</v>
      </c>
      <c r="B344" s="7">
        <v>45136</v>
      </c>
      <c r="C344" s="8" t="s">
        <v>29</v>
      </c>
      <c r="D344" s="8" t="s">
        <v>29</v>
      </c>
      <c r="E344" s="8" t="s">
        <v>27</v>
      </c>
      <c r="F344" s="8" t="s">
        <v>20</v>
      </c>
      <c r="G344" s="8" t="s">
        <v>28</v>
      </c>
      <c r="H344" s="9">
        <v>2770.4</v>
      </c>
      <c r="I344" s="8">
        <v>7</v>
      </c>
      <c r="J344" s="10">
        <v>401.13</v>
      </c>
      <c r="K344" s="17" t="str" cm="1">
        <f t="array" ref="K344">_xlfn.IFS(Table433[[#This Row],[Sales]]&gt;40000,"Best Sales",Table433[[#This Row],[Sales]]&gt;20000,"Average Sales",Table433[[#This Row],[Sales]]&gt;0,"Poor Sales")</f>
        <v>Poor Sales</v>
      </c>
      <c r="L344" s="12">
        <f>YEAR(Table433[[#This Row],[Date]])</f>
        <v>2023</v>
      </c>
      <c r="M344" s="12">
        <f>MONTH(Table433[[#This Row],[Date]])</f>
        <v>7</v>
      </c>
      <c r="N344" s="13">
        <f>DAY(Table433[[#This Row],[Date]])</f>
        <v>29</v>
      </c>
      <c r="O344" s="13" t="str">
        <f>TEXT(DATE(2023,Table433[[#This Row],[Month]],1),"mmm")</f>
        <v>Jul</v>
      </c>
      <c r="P344" s="13"/>
      <c r="Q344" s="13"/>
    </row>
    <row r="345" spans="1:17" x14ac:dyDescent="0.3">
      <c r="A345" s="14">
        <v>344</v>
      </c>
      <c r="B345" s="15">
        <v>45076</v>
      </c>
      <c r="C345" s="16" t="s">
        <v>45</v>
      </c>
      <c r="D345" s="16" t="s">
        <v>34</v>
      </c>
      <c r="E345" s="16" t="s">
        <v>19</v>
      </c>
      <c r="F345" s="16" t="s">
        <v>38</v>
      </c>
      <c r="G345" s="16" t="s">
        <v>39</v>
      </c>
      <c r="H345" s="17">
        <v>44238.62</v>
      </c>
      <c r="I345" s="16">
        <v>7</v>
      </c>
      <c r="J345" s="18">
        <v>10311.209999999999</v>
      </c>
      <c r="K345" s="17" t="str" cm="1">
        <f t="array" ref="K345">_xlfn.IFS(Table433[[#This Row],[Sales]]&gt;40000,"Best Sales",Table433[[#This Row],[Sales]]&gt;20000,"Average Sales",Table433[[#This Row],[Sales]]&gt;0,"Poor Sales")</f>
        <v>Best Sales</v>
      </c>
      <c r="L345" s="12">
        <f>YEAR(Table433[[#This Row],[Date]])</f>
        <v>2023</v>
      </c>
      <c r="M345" s="12">
        <f>MONTH(Table433[[#This Row],[Date]])</f>
        <v>5</v>
      </c>
      <c r="N345" s="13">
        <f>DAY(Table433[[#This Row],[Date]])</f>
        <v>30</v>
      </c>
      <c r="O345" s="13" t="str">
        <f>TEXT(DATE(2023,Table433[[#This Row],[Month]],1),"mmm")</f>
        <v>May</v>
      </c>
      <c r="P345" s="13"/>
      <c r="Q345" s="13"/>
    </row>
    <row r="346" spans="1:17" x14ac:dyDescent="0.3">
      <c r="A346" s="6">
        <v>345</v>
      </c>
      <c r="B346" s="7">
        <v>45024</v>
      </c>
      <c r="C346" s="8" t="s">
        <v>25</v>
      </c>
      <c r="D346" s="8" t="s">
        <v>26</v>
      </c>
      <c r="E346" s="8" t="s">
        <v>24</v>
      </c>
      <c r="F346" s="8" t="s">
        <v>20</v>
      </c>
      <c r="G346" s="8" t="s">
        <v>41</v>
      </c>
      <c r="H346" s="9">
        <v>34979.96</v>
      </c>
      <c r="I346" s="8">
        <v>3</v>
      </c>
      <c r="J346" s="10">
        <v>6888.91</v>
      </c>
      <c r="K346" s="17" t="str" cm="1">
        <f t="array" ref="K346">_xlfn.IFS(Table433[[#This Row],[Sales]]&gt;40000,"Best Sales",Table433[[#This Row],[Sales]]&gt;20000,"Average Sales",Table433[[#This Row],[Sales]]&gt;0,"Poor Sales")</f>
        <v>Average Sales</v>
      </c>
      <c r="L346" s="12">
        <f>YEAR(Table433[[#This Row],[Date]])</f>
        <v>2023</v>
      </c>
      <c r="M346" s="12">
        <f>MONTH(Table433[[#This Row],[Date]])</f>
        <v>4</v>
      </c>
      <c r="N346" s="13">
        <f>DAY(Table433[[#This Row],[Date]])</f>
        <v>8</v>
      </c>
      <c r="O346" s="13" t="str">
        <f>TEXT(DATE(2023,Table433[[#This Row],[Month]],1),"mmm")</f>
        <v>Apr</v>
      </c>
      <c r="P346" s="13"/>
      <c r="Q346" s="13"/>
    </row>
    <row r="347" spans="1:17" x14ac:dyDescent="0.3">
      <c r="A347" s="14">
        <v>346</v>
      </c>
      <c r="B347" s="15">
        <v>45085</v>
      </c>
      <c r="C347" s="16" t="s">
        <v>29</v>
      </c>
      <c r="D347" s="16" t="s">
        <v>29</v>
      </c>
      <c r="E347" s="16" t="s">
        <v>19</v>
      </c>
      <c r="F347" s="16" t="s">
        <v>38</v>
      </c>
      <c r="G347" s="16" t="s">
        <v>39</v>
      </c>
      <c r="H347" s="17">
        <v>48862.53</v>
      </c>
      <c r="I347" s="16">
        <v>4</v>
      </c>
      <c r="J347" s="18">
        <v>12427.15</v>
      </c>
      <c r="K347" s="17" t="str" cm="1">
        <f t="array" ref="K347">_xlfn.IFS(Table433[[#This Row],[Sales]]&gt;40000,"Best Sales",Table433[[#This Row],[Sales]]&gt;20000,"Average Sales",Table433[[#This Row],[Sales]]&gt;0,"Poor Sales")</f>
        <v>Best Sales</v>
      </c>
      <c r="L347" s="12">
        <f>YEAR(Table433[[#This Row],[Date]])</f>
        <v>2023</v>
      </c>
      <c r="M347" s="12">
        <f>MONTH(Table433[[#This Row],[Date]])</f>
        <v>6</v>
      </c>
      <c r="N347" s="13">
        <f>DAY(Table433[[#This Row],[Date]])</f>
        <v>8</v>
      </c>
      <c r="O347" s="13" t="str">
        <f>TEXT(DATE(2023,Table433[[#This Row],[Month]],1),"mmm")</f>
        <v>Jun</v>
      </c>
      <c r="P347" s="13"/>
      <c r="Q347" s="13"/>
    </row>
    <row r="348" spans="1:17" x14ac:dyDescent="0.3">
      <c r="A348" s="6">
        <v>347</v>
      </c>
      <c r="B348" s="7">
        <v>45207</v>
      </c>
      <c r="C348" s="8" t="s">
        <v>44</v>
      </c>
      <c r="D348" s="8" t="s">
        <v>34</v>
      </c>
      <c r="E348" s="8" t="s">
        <v>24</v>
      </c>
      <c r="F348" s="8" t="s">
        <v>20</v>
      </c>
      <c r="G348" s="8" t="s">
        <v>28</v>
      </c>
      <c r="H348" s="9">
        <v>8542.52</v>
      </c>
      <c r="I348" s="8">
        <v>9</v>
      </c>
      <c r="J348" s="10">
        <v>1149.1300000000001</v>
      </c>
      <c r="K348" s="17" t="str" cm="1">
        <f t="array" ref="K348">_xlfn.IFS(Table433[[#This Row],[Sales]]&gt;40000,"Best Sales",Table433[[#This Row],[Sales]]&gt;20000,"Average Sales",Table433[[#This Row],[Sales]]&gt;0,"Poor Sales")</f>
        <v>Poor Sales</v>
      </c>
      <c r="L348" s="12">
        <f>YEAR(Table433[[#This Row],[Date]])</f>
        <v>2023</v>
      </c>
      <c r="M348" s="12">
        <f>MONTH(Table433[[#This Row],[Date]])</f>
        <v>10</v>
      </c>
      <c r="N348" s="13">
        <f>DAY(Table433[[#This Row],[Date]])</f>
        <v>8</v>
      </c>
      <c r="O348" s="13" t="str">
        <f>TEXT(DATE(2023,Table433[[#This Row],[Month]],1),"mmm")</f>
        <v>Oct</v>
      </c>
      <c r="P348" s="13"/>
      <c r="Q348" s="13"/>
    </row>
    <row r="349" spans="1:17" x14ac:dyDescent="0.3">
      <c r="A349" s="14">
        <v>348</v>
      </c>
      <c r="B349" s="15">
        <v>45256</v>
      </c>
      <c r="C349" s="16" t="s">
        <v>17</v>
      </c>
      <c r="D349" s="16" t="s">
        <v>18</v>
      </c>
      <c r="E349" s="16" t="s">
        <v>27</v>
      </c>
      <c r="F349" s="16" t="s">
        <v>20</v>
      </c>
      <c r="G349" s="16" t="s">
        <v>21</v>
      </c>
      <c r="H349" s="17">
        <v>27306.13</v>
      </c>
      <c r="I349" s="16">
        <v>6</v>
      </c>
      <c r="J349" s="18">
        <v>6925.83</v>
      </c>
      <c r="K349" s="17" t="str" cm="1">
        <f t="array" ref="K349">_xlfn.IFS(Table433[[#This Row],[Sales]]&gt;40000,"Best Sales",Table433[[#This Row],[Sales]]&gt;20000,"Average Sales",Table433[[#This Row],[Sales]]&gt;0,"Poor Sales")</f>
        <v>Average Sales</v>
      </c>
      <c r="L349" s="12">
        <f>YEAR(Table433[[#This Row],[Date]])</f>
        <v>2023</v>
      </c>
      <c r="M349" s="12">
        <f>MONTH(Table433[[#This Row],[Date]])</f>
        <v>11</v>
      </c>
      <c r="N349" s="13">
        <f>DAY(Table433[[#This Row],[Date]])</f>
        <v>26</v>
      </c>
      <c r="O349" s="13" t="str">
        <f>TEXT(DATE(2023,Table433[[#This Row],[Month]],1),"mmm")</f>
        <v>Nov</v>
      </c>
      <c r="P349" s="13"/>
      <c r="Q349" s="13"/>
    </row>
    <row r="350" spans="1:17" x14ac:dyDescent="0.3">
      <c r="A350" s="6">
        <v>349</v>
      </c>
      <c r="B350" s="7">
        <v>45192</v>
      </c>
      <c r="C350" s="8" t="s">
        <v>33</v>
      </c>
      <c r="D350" s="8" t="s">
        <v>34</v>
      </c>
      <c r="E350" s="8" t="s">
        <v>27</v>
      </c>
      <c r="F350" s="8" t="s">
        <v>20</v>
      </c>
      <c r="G350" s="8" t="s">
        <v>21</v>
      </c>
      <c r="H350" s="9">
        <v>6233.07</v>
      </c>
      <c r="I350" s="8">
        <v>2</v>
      </c>
      <c r="J350" s="10">
        <v>1160.33</v>
      </c>
      <c r="K350" s="17" t="str" cm="1">
        <f t="array" ref="K350">_xlfn.IFS(Table433[[#This Row],[Sales]]&gt;40000,"Best Sales",Table433[[#This Row],[Sales]]&gt;20000,"Average Sales",Table433[[#This Row],[Sales]]&gt;0,"Poor Sales")</f>
        <v>Poor Sales</v>
      </c>
      <c r="L350" s="12">
        <f>YEAR(Table433[[#This Row],[Date]])</f>
        <v>2023</v>
      </c>
      <c r="M350" s="12">
        <f>MONTH(Table433[[#This Row],[Date]])</f>
        <v>9</v>
      </c>
      <c r="N350" s="13">
        <f>DAY(Table433[[#This Row],[Date]])</f>
        <v>23</v>
      </c>
      <c r="O350" s="13" t="str">
        <f>TEXT(DATE(2023,Table433[[#This Row],[Month]],1),"mmm")</f>
        <v>Sep</v>
      </c>
      <c r="P350" s="13"/>
      <c r="Q350" s="13"/>
    </row>
    <row r="351" spans="1:17" x14ac:dyDescent="0.3">
      <c r="A351" s="14">
        <v>350</v>
      </c>
      <c r="B351" s="15">
        <v>44946</v>
      </c>
      <c r="C351" s="16" t="s">
        <v>44</v>
      </c>
      <c r="D351" s="16" t="s">
        <v>34</v>
      </c>
      <c r="E351" s="16" t="s">
        <v>19</v>
      </c>
      <c r="F351" s="16" t="s">
        <v>31</v>
      </c>
      <c r="G351" s="16" t="s">
        <v>35</v>
      </c>
      <c r="H351" s="17">
        <v>16041.6</v>
      </c>
      <c r="I351" s="16">
        <v>4</v>
      </c>
      <c r="J351" s="18">
        <v>3108.36</v>
      </c>
      <c r="K351" s="17" t="str" cm="1">
        <f t="array" ref="K351">_xlfn.IFS(Table433[[#This Row],[Sales]]&gt;40000,"Best Sales",Table433[[#This Row],[Sales]]&gt;20000,"Average Sales",Table433[[#This Row],[Sales]]&gt;0,"Poor Sales")</f>
        <v>Poor Sales</v>
      </c>
      <c r="L351" s="12">
        <f>YEAR(Table433[[#This Row],[Date]])</f>
        <v>2023</v>
      </c>
      <c r="M351" s="12">
        <f>MONTH(Table433[[#This Row],[Date]])</f>
        <v>1</v>
      </c>
      <c r="N351" s="13">
        <f>DAY(Table433[[#This Row],[Date]])</f>
        <v>20</v>
      </c>
      <c r="O351" s="13" t="str">
        <f>TEXT(DATE(2023,Table433[[#This Row],[Month]],1),"mmm")</f>
        <v>Jan</v>
      </c>
      <c r="P351" s="13"/>
      <c r="Q351" s="13"/>
    </row>
    <row r="352" spans="1:17" x14ac:dyDescent="0.3">
      <c r="A352" s="6">
        <v>351</v>
      </c>
      <c r="B352" s="7">
        <v>44960</v>
      </c>
      <c r="C352" s="8" t="s">
        <v>44</v>
      </c>
      <c r="D352" s="8" t="s">
        <v>34</v>
      </c>
      <c r="E352" s="8" t="s">
        <v>24</v>
      </c>
      <c r="F352" s="8" t="s">
        <v>20</v>
      </c>
      <c r="G352" s="8" t="s">
        <v>21</v>
      </c>
      <c r="H352" s="9">
        <v>32906.46</v>
      </c>
      <c r="I352" s="8">
        <v>10</v>
      </c>
      <c r="J352" s="10">
        <v>2385.66</v>
      </c>
      <c r="K352" s="17" t="str" cm="1">
        <f t="array" ref="K352">_xlfn.IFS(Table433[[#This Row],[Sales]]&gt;40000,"Best Sales",Table433[[#This Row],[Sales]]&gt;20000,"Average Sales",Table433[[#This Row],[Sales]]&gt;0,"Poor Sales")</f>
        <v>Average Sales</v>
      </c>
      <c r="L352" s="12">
        <f>YEAR(Table433[[#This Row],[Date]])</f>
        <v>2023</v>
      </c>
      <c r="M352" s="12">
        <f>MONTH(Table433[[#This Row],[Date]])</f>
        <v>2</v>
      </c>
      <c r="N352" s="13">
        <f>DAY(Table433[[#This Row],[Date]])</f>
        <v>3</v>
      </c>
      <c r="O352" s="13" t="str">
        <f>TEXT(DATE(2023,Table433[[#This Row],[Month]],1),"mmm")</f>
        <v>Feb</v>
      </c>
      <c r="P352" s="13"/>
      <c r="Q352" s="13"/>
    </row>
    <row r="353" spans="1:17" x14ac:dyDescent="0.3">
      <c r="A353" s="14">
        <v>352</v>
      </c>
      <c r="B353" s="15">
        <v>44988</v>
      </c>
      <c r="C353" s="16" t="s">
        <v>29</v>
      </c>
      <c r="D353" s="16" t="s">
        <v>29</v>
      </c>
      <c r="E353" s="16" t="s">
        <v>19</v>
      </c>
      <c r="F353" s="16" t="s">
        <v>38</v>
      </c>
      <c r="G353" s="16" t="s">
        <v>46</v>
      </c>
      <c r="H353" s="17">
        <v>37239.54</v>
      </c>
      <c r="I353" s="16">
        <v>7</v>
      </c>
      <c r="J353" s="18">
        <v>2504.85</v>
      </c>
      <c r="K353" s="17" t="str" cm="1">
        <f t="array" ref="K353">_xlfn.IFS(Table433[[#This Row],[Sales]]&gt;40000,"Best Sales",Table433[[#This Row],[Sales]]&gt;20000,"Average Sales",Table433[[#This Row],[Sales]]&gt;0,"Poor Sales")</f>
        <v>Average Sales</v>
      </c>
      <c r="L353" s="12">
        <f>YEAR(Table433[[#This Row],[Date]])</f>
        <v>2023</v>
      </c>
      <c r="M353" s="12">
        <f>MONTH(Table433[[#This Row],[Date]])</f>
        <v>3</v>
      </c>
      <c r="N353" s="13">
        <f>DAY(Table433[[#This Row],[Date]])</f>
        <v>3</v>
      </c>
      <c r="O353" s="13" t="str">
        <f>TEXT(DATE(2023,Table433[[#This Row],[Month]],1),"mmm")</f>
        <v>Mar</v>
      </c>
      <c r="P353" s="13"/>
      <c r="Q353" s="13"/>
    </row>
    <row r="354" spans="1:17" x14ac:dyDescent="0.3">
      <c r="A354" s="6">
        <v>353</v>
      </c>
      <c r="B354" s="7">
        <v>45202</v>
      </c>
      <c r="C354" s="8" t="s">
        <v>29</v>
      </c>
      <c r="D354" s="8" t="s">
        <v>29</v>
      </c>
      <c r="E354" s="8" t="s">
        <v>24</v>
      </c>
      <c r="F354" s="8" t="s">
        <v>38</v>
      </c>
      <c r="G354" s="8" t="s">
        <v>46</v>
      </c>
      <c r="H354" s="9">
        <v>4483.34</v>
      </c>
      <c r="I354" s="8">
        <v>9</v>
      </c>
      <c r="J354" s="10">
        <v>1083.8</v>
      </c>
      <c r="K354" s="17" t="str" cm="1">
        <f t="array" ref="K354">_xlfn.IFS(Table433[[#This Row],[Sales]]&gt;40000,"Best Sales",Table433[[#This Row],[Sales]]&gt;20000,"Average Sales",Table433[[#This Row],[Sales]]&gt;0,"Poor Sales")</f>
        <v>Poor Sales</v>
      </c>
      <c r="L354" s="12">
        <f>YEAR(Table433[[#This Row],[Date]])</f>
        <v>2023</v>
      </c>
      <c r="M354" s="12">
        <f>MONTH(Table433[[#This Row],[Date]])</f>
        <v>10</v>
      </c>
      <c r="N354" s="13">
        <f>DAY(Table433[[#This Row],[Date]])</f>
        <v>3</v>
      </c>
      <c r="O354" s="13" t="str">
        <f>TEXT(DATE(2023,Table433[[#This Row],[Month]],1),"mmm")</f>
        <v>Oct</v>
      </c>
      <c r="P354" s="13"/>
      <c r="Q354" s="13"/>
    </row>
    <row r="355" spans="1:17" x14ac:dyDescent="0.3">
      <c r="A355" s="14">
        <v>354</v>
      </c>
      <c r="B355" s="15">
        <v>44965</v>
      </c>
      <c r="C355" s="16" t="s">
        <v>44</v>
      </c>
      <c r="D355" s="16" t="s">
        <v>34</v>
      </c>
      <c r="E355" s="16" t="s">
        <v>27</v>
      </c>
      <c r="F355" s="16" t="s">
        <v>38</v>
      </c>
      <c r="G355" s="16" t="s">
        <v>39</v>
      </c>
      <c r="H355" s="17">
        <v>48213.14</v>
      </c>
      <c r="I355" s="16">
        <v>6</v>
      </c>
      <c r="J355" s="18">
        <v>10326.15</v>
      </c>
      <c r="K355" s="17" t="str" cm="1">
        <f t="array" ref="K355">_xlfn.IFS(Table433[[#This Row],[Sales]]&gt;40000,"Best Sales",Table433[[#This Row],[Sales]]&gt;20000,"Average Sales",Table433[[#This Row],[Sales]]&gt;0,"Poor Sales")</f>
        <v>Best Sales</v>
      </c>
      <c r="L355" s="12">
        <f>YEAR(Table433[[#This Row],[Date]])</f>
        <v>2023</v>
      </c>
      <c r="M355" s="12">
        <f>MONTH(Table433[[#This Row],[Date]])</f>
        <v>2</v>
      </c>
      <c r="N355" s="13">
        <f>DAY(Table433[[#This Row],[Date]])</f>
        <v>8</v>
      </c>
      <c r="O355" s="13" t="str">
        <f>TEXT(DATE(2023,Table433[[#This Row],[Month]],1),"mmm")</f>
        <v>Feb</v>
      </c>
      <c r="P355" s="13"/>
      <c r="Q355" s="13"/>
    </row>
    <row r="356" spans="1:17" x14ac:dyDescent="0.3">
      <c r="A356" s="6">
        <v>355</v>
      </c>
      <c r="B356" s="7">
        <v>45087</v>
      </c>
      <c r="C356" s="8" t="s">
        <v>29</v>
      </c>
      <c r="D356" s="8" t="s">
        <v>29</v>
      </c>
      <c r="E356" s="8" t="s">
        <v>27</v>
      </c>
      <c r="F356" s="8" t="s">
        <v>31</v>
      </c>
      <c r="G356" s="8" t="s">
        <v>36</v>
      </c>
      <c r="H356" s="9">
        <v>42851.99</v>
      </c>
      <c r="I356" s="8">
        <v>5</v>
      </c>
      <c r="J356" s="10">
        <v>9496.2099999999991</v>
      </c>
      <c r="K356" s="17" t="str" cm="1">
        <f t="array" ref="K356">_xlfn.IFS(Table433[[#This Row],[Sales]]&gt;40000,"Best Sales",Table433[[#This Row],[Sales]]&gt;20000,"Average Sales",Table433[[#This Row],[Sales]]&gt;0,"Poor Sales")</f>
        <v>Best Sales</v>
      </c>
      <c r="L356" s="12">
        <f>YEAR(Table433[[#This Row],[Date]])</f>
        <v>2023</v>
      </c>
      <c r="M356" s="12">
        <f>MONTH(Table433[[#This Row],[Date]])</f>
        <v>6</v>
      </c>
      <c r="N356" s="13">
        <f>DAY(Table433[[#This Row],[Date]])</f>
        <v>10</v>
      </c>
      <c r="O356" s="13" t="str">
        <f>TEXT(DATE(2023,Table433[[#This Row],[Month]],1),"mmm")</f>
        <v>Jun</v>
      </c>
      <c r="P356" s="13"/>
      <c r="Q356" s="13"/>
    </row>
    <row r="357" spans="1:17" x14ac:dyDescent="0.3">
      <c r="A357" s="14">
        <v>356</v>
      </c>
      <c r="B357" s="15">
        <v>44987</v>
      </c>
      <c r="C357" s="16" t="s">
        <v>25</v>
      </c>
      <c r="D357" s="16" t="s">
        <v>26</v>
      </c>
      <c r="E357" s="16" t="s">
        <v>19</v>
      </c>
      <c r="F357" s="16" t="s">
        <v>31</v>
      </c>
      <c r="G357" s="16" t="s">
        <v>35</v>
      </c>
      <c r="H357" s="17">
        <v>1320.69</v>
      </c>
      <c r="I357" s="16">
        <v>2</v>
      </c>
      <c r="J357" s="18">
        <v>152.43</v>
      </c>
      <c r="K357" s="17" t="str" cm="1">
        <f t="array" ref="K357">_xlfn.IFS(Table433[[#This Row],[Sales]]&gt;40000,"Best Sales",Table433[[#This Row],[Sales]]&gt;20000,"Average Sales",Table433[[#This Row],[Sales]]&gt;0,"Poor Sales")</f>
        <v>Poor Sales</v>
      </c>
      <c r="L357" s="12">
        <f>YEAR(Table433[[#This Row],[Date]])</f>
        <v>2023</v>
      </c>
      <c r="M357" s="12">
        <f>MONTH(Table433[[#This Row],[Date]])</f>
        <v>3</v>
      </c>
      <c r="N357" s="13">
        <f>DAY(Table433[[#This Row],[Date]])</f>
        <v>2</v>
      </c>
      <c r="O357" s="13" t="str">
        <f>TEXT(DATE(2023,Table433[[#This Row],[Month]],1),"mmm")</f>
        <v>Mar</v>
      </c>
      <c r="P357" s="13"/>
      <c r="Q357" s="13"/>
    </row>
    <row r="358" spans="1:17" x14ac:dyDescent="0.3">
      <c r="A358" s="6">
        <v>357</v>
      </c>
      <c r="B358" s="7">
        <v>45093</v>
      </c>
      <c r="C358" s="8" t="s">
        <v>45</v>
      </c>
      <c r="D358" s="8" t="s">
        <v>34</v>
      </c>
      <c r="E358" s="8" t="s">
        <v>24</v>
      </c>
      <c r="F358" s="8" t="s">
        <v>38</v>
      </c>
      <c r="G358" s="8" t="s">
        <v>40</v>
      </c>
      <c r="H358" s="9">
        <v>27600.51</v>
      </c>
      <c r="I358" s="8">
        <v>4</v>
      </c>
      <c r="J358" s="10">
        <v>6255.76</v>
      </c>
      <c r="K358" s="17" t="str" cm="1">
        <f t="array" ref="K358">_xlfn.IFS(Table433[[#This Row],[Sales]]&gt;40000,"Best Sales",Table433[[#This Row],[Sales]]&gt;20000,"Average Sales",Table433[[#This Row],[Sales]]&gt;0,"Poor Sales")</f>
        <v>Average Sales</v>
      </c>
      <c r="L358" s="12">
        <f>YEAR(Table433[[#This Row],[Date]])</f>
        <v>2023</v>
      </c>
      <c r="M358" s="12">
        <f>MONTH(Table433[[#This Row],[Date]])</f>
        <v>6</v>
      </c>
      <c r="N358" s="13">
        <f>DAY(Table433[[#This Row],[Date]])</f>
        <v>16</v>
      </c>
      <c r="O358" s="13" t="str">
        <f>TEXT(DATE(2023,Table433[[#This Row],[Month]],1),"mmm")</f>
        <v>Jun</v>
      </c>
      <c r="P358" s="13"/>
      <c r="Q358" s="13"/>
    </row>
    <row r="359" spans="1:17" x14ac:dyDescent="0.3">
      <c r="A359" s="14">
        <v>358</v>
      </c>
      <c r="B359" s="15">
        <v>44942</v>
      </c>
      <c r="C359" s="16" t="s">
        <v>22</v>
      </c>
      <c r="D359" s="16" t="s">
        <v>23</v>
      </c>
      <c r="E359" s="16" t="s">
        <v>19</v>
      </c>
      <c r="F359" s="16" t="s">
        <v>20</v>
      </c>
      <c r="G359" s="16" t="s">
        <v>28</v>
      </c>
      <c r="H359" s="17">
        <v>36776.78</v>
      </c>
      <c r="I359" s="16">
        <v>10</v>
      </c>
      <c r="J359" s="18">
        <v>9228.1200000000008</v>
      </c>
      <c r="K359" s="17" t="str" cm="1">
        <f t="array" ref="K359">_xlfn.IFS(Table433[[#This Row],[Sales]]&gt;40000,"Best Sales",Table433[[#This Row],[Sales]]&gt;20000,"Average Sales",Table433[[#This Row],[Sales]]&gt;0,"Poor Sales")</f>
        <v>Average Sales</v>
      </c>
      <c r="L359" s="12">
        <f>YEAR(Table433[[#This Row],[Date]])</f>
        <v>2023</v>
      </c>
      <c r="M359" s="12">
        <f>MONTH(Table433[[#This Row],[Date]])</f>
        <v>1</v>
      </c>
      <c r="N359" s="13">
        <f>DAY(Table433[[#This Row],[Date]])</f>
        <v>16</v>
      </c>
      <c r="O359" s="13" t="str">
        <f>TEXT(DATE(2023,Table433[[#This Row],[Month]],1),"mmm")</f>
        <v>Jan</v>
      </c>
      <c r="P359" s="13"/>
      <c r="Q359" s="13"/>
    </row>
    <row r="360" spans="1:17" x14ac:dyDescent="0.3">
      <c r="A360" s="6">
        <v>359</v>
      </c>
      <c r="B360" s="7">
        <v>45214</v>
      </c>
      <c r="C360" s="8" t="s">
        <v>37</v>
      </c>
      <c r="D360" s="8" t="s">
        <v>23</v>
      </c>
      <c r="E360" s="8" t="s">
        <v>24</v>
      </c>
      <c r="F360" s="8" t="s">
        <v>38</v>
      </c>
      <c r="G360" s="8" t="s">
        <v>40</v>
      </c>
      <c r="H360" s="9">
        <v>23572.9</v>
      </c>
      <c r="I360" s="8">
        <v>9</v>
      </c>
      <c r="J360" s="10">
        <v>2990.66</v>
      </c>
      <c r="K360" s="17" t="str" cm="1">
        <f t="array" ref="K360">_xlfn.IFS(Table433[[#This Row],[Sales]]&gt;40000,"Best Sales",Table433[[#This Row],[Sales]]&gt;20000,"Average Sales",Table433[[#This Row],[Sales]]&gt;0,"Poor Sales")</f>
        <v>Average Sales</v>
      </c>
      <c r="L360" s="12">
        <f>YEAR(Table433[[#This Row],[Date]])</f>
        <v>2023</v>
      </c>
      <c r="M360" s="12">
        <f>MONTH(Table433[[#This Row],[Date]])</f>
        <v>10</v>
      </c>
      <c r="N360" s="13">
        <f>DAY(Table433[[#This Row],[Date]])</f>
        <v>15</v>
      </c>
      <c r="O360" s="13" t="str">
        <f>TEXT(DATE(2023,Table433[[#This Row],[Month]],1),"mmm")</f>
        <v>Oct</v>
      </c>
      <c r="P360" s="13"/>
      <c r="Q360" s="13"/>
    </row>
    <row r="361" spans="1:17" x14ac:dyDescent="0.3">
      <c r="A361" s="14">
        <v>360</v>
      </c>
      <c r="B361" s="15">
        <v>45259</v>
      </c>
      <c r="C361" s="16" t="s">
        <v>37</v>
      </c>
      <c r="D361" s="16" t="s">
        <v>23</v>
      </c>
      <c r="E361" s="16" t="s">
        <v>27</v>
      </c>
      <c r="F361" s="16" t="s">
        <v>20</v>
      </c>
      <c r="G361" s="16" t="s">
        <v>28</v>
      </c>
      <c r="H361" s="17">
        <v>47935.1</v>
      </c>
      <c r="I361" s="16">
        <v>5</v>
      </c>
      <c r="J361" s="18">
        <v>13700.82</v>
      </c>
      <c r="K361" s="17" t="str" cm="1">
        <f t="array" ref="K361">_xlfn.IFS(Table433[[#This Row],[Sales]]&gt;40000,"Best Sales",Table433[[#This Row],[Sales]]&gt;20000,"Average Sales",Table433[[#This Row],[Sales]]&gt;0,"Poor Sales")</f>
        <v>Best Sales</v>
      </c>
      <c r="L361" s="12">
        <f>YEAR(Table433[[#This Row],[Date]])</f>
        <v>2023</v>
      </c>
      <c r="M361" s="12">
        <f>MONTH(Table433[[#This Row],[Date]])</f>
        <v>11</v>
      </c>
      <c r="N361" s="13">
        <f>DAY(Table433[[#This Row],[Date]])</f>
        <v>29</v>
      </c>
      <c r="O361" s="13" t="str">
        <f>TEXT(DATE(2023,Table433[[#This Row],[Month]],1),"mmm")</f>
        <v>Nov</v>
      </c>
      <c r="P361" s="13"/>
      <c r="Q361" s="13"/>
    </row>
    <row r="362" spans="1:17" x14ac:dyDescent="0.3">
      <c r="A362" s="6">
        <v>361</v>
      </c>
      <c r="B362" s="7">
        <v>45227</v>
      </c>
      <c r="C362" s="8" t="s">
        <v>42</v>
      </c>
      <c r="D362" s="8" t="s">
        <v>43</v>
      </c>
      <c r="E362" s="8" t="s">
        <v>27</v>
      </c>
      <c r="F362" s="8" t="s">
        <v>31</v>
      </c>
      <c r="G362" s="8" t="s">
        <v>32</v>
      </c>
      <c r="H362" s="9">
        <v>48787.24</v>
      </c>
      <c r="I362" s="8">
        <v>5</v>
      </c>
      <c r="J362" s="10">
        <v>4438.05</v>
      </c>
      <c r="K362" s="17" t="str" cm="1">
        <f t="array" ref="K362">_xlfn.IFS(Table433[[#This Row],[Sales]]&gt;40000,"Best Sales",Table433[[#This Row],[Sales]]&gt;20000,"Average Sales",Table433[[#This Row],[Sales]]&gt;0,"Poor Sales")</f>
        <v>Best Sales</v>
      </c>
      <c r="L362" s="12">
        <f>YEAR(Table433[[#This Row],[Date]])</f>
        <v>2023</v>
      </c>
      <c r="M362" s="12">
        <f>MONTH(Table433[[#This Row],[Date]])</f>
        <v>10</v>
      </c>
      <c r="N362" s="13">
        <f>DAY(Table433[[#This Row],[Date]])</f>
        <v>28</v>
      </c>
      <c r="O362" s="13" t="str">
        <f>TEXT(DATE(2023,Table433[[#This Row],[Month]],1),"mmm")</f>
        <v>Oct</v>
      </c>
      <c r="P362" s="13"/>
      <c r="Q362" s="13"/>
    </row>
    <row r="363" spans="1:17" x14ac:dyDescent="0.3">
      <c r="A363" s="14">
        <v>362</v>
      </c>
      <c r="B363" s="15">
        <v>45215</v>
      </c>
      <c r="C363" s="16" t="s">
        <v>45</v>
      </c>
      <c r="D363" s="16" t="s">
        <v>34</v>
      </c>
      <c r="E363" s="16" t="s">
        <v>19</v>
      </c>
      <c r="F363" s="16" t="s">
        <v>31</v>
      </c>
      <c r="G363" s="16" t="s">
        <v>36</v>
      </c>
      <c r="H363" s="17">
        <v>40509.99</v>
      </c>
      <c r="I363" s="16">
        <v>10</v>
      </c>
      <c r="J363" s="18">
        <v>9829.24</v>
      </c>
      <c r="K363" s="17" t="str" cm="1">
        <f t="array" ref="K363">_xlfn.IFS(Table433[[#This Row],[Sales]]&gt;40000,"Best Sales",Table433[[#This Row],[Sales]]&gt;20000,"Average Sales",Table433[[#This Row],[Sales]]&gt;0,"Poor Sales")</f>
        <v>Best Sales</v>
      </c>
      <c r="L363" s="12">
        <f>YEAR(Table433[[#This Row],[Date]])</f>
        <v>2023</v>
      </c>
      <c r="M363" s="12">
        <f>MONTH(Table433[[#This Row],[Date]])</f>
        <v>10</v>
      </c>
      <c r="N363" s="13">
        <f>DAY(Table433[[#This Row],[Date]])</f>
        <v>16</v>
      </c>
      <c r="O363" s="13" t="str">
        <f>TEXT(DATE(2023,Table433[[#This Row],[Month]],1),"mmm")</f>
        <v>Oct</v>
      </c>
      <c r="P363" s="13"/>
      <c r="Q363" s="13"/>
    </row>
    <row r="364" spans="1:17" x14ac:dyDescent="0.3">
      <c r="A364" s="6">
        <v>363</v>
      </c>
      <c r="B364" s="7">
        <v>45006</v>
      </c>
      <c r="C364" s="8" t="s">
        <v>29</v>
      </c>
      <c r="D364" s="8" t="s">
        <v>29</v>
      </c>
      <c r="E364" s="8" t="s">
        <v>24</v>
      </c>
      <c r="F364" s="8" t="s">
        <v>20</v>
      </c>
      <c r="G364" s="8" t="s">
        <v>41</v>
      </c>
      <c r="H364" s="9">
        <v>48237.08</v>
      </c>
      <c r="I364" s="8">
        <v>4</v>
      </c>
      <c r="J364" s="10">
        <v>9886.32</v>
      </c>
      <c r="K364" s="17" t="str" cm="1">
        <f t="array" ref="K364">_xlfn.IFS(Table433[[#This Row],[Sales]]&gt;40000,"Best Sales",Table433[[#This Row],[Sales]]&gt;20000,"Average Sales",Table433[[#This Row],[Sales]]&gt;0,"Poor Sales")</f>
        <v>Best Sales</v>
      </c>
      <c r="L364" s="12">
        <f>YEAR(Table433[[#This Row],[Date]])</f>
        <v>2023</v>
      </c>
      <c r="M364" s="12">
        <f>MONTH(Table433[[#This Row],[Date]])</f>
        <v>3</v>
      </c>
      <c r="N364" s="13">
        <f>DAY(Table433[[#This Row],[Date]])</f>
        <v>21</v>
      </c>
      <c r="O364" s="13" t="str">
        <f>TEXT(DATE(2023,Table433[[#This Row],[Month]],1),"mmm")</f>
        <v>Mar</v>
      </c>
      <c r="P364" s="13"/>
      <c r="Q364" s="13"/>
    </row>
    <row r="365" spans="1:17" x14ac:dyDescent="0.3">
      <c r="A365" s="14">
        <v>364</v>
      </c>
      <c r="B365" s="15">
        <v>45208</v>
      </c>
      <c r="C365" s="16" t="s">
        <v>45</v>
      </c>
      <c r="D365" s="16" t="s">
        <v>34</v>
      </c>
      <c r="E365" s="16" t="s">
        <v>19</v>
      </c>
      <c r="F365" s="16" t="s">
        <v>38</v>
      </c>
      <c r="G365" s="16" t="s">
        <v>40</v>
      </c>
      <c r="H365" s="17">
        <v>8457.08</v>
      </c>
      <c r="I365" s="16">
        <v>3</v>
      </c>
      <c r="J365" s="18">
        <v>618.28</v>
      </c>
      <c r="K365" s="17" t="str" cm="1">
        <f t="array" ref="K365">_xlfn.IFS(Table433[[#This Row],[Sales]]&gt;40000,"Best Sales",Table433[[#This Row],[Sales]]&gt;20000,"Average Sales",Table433[[#This Row],[Sales]]&gt;0,"Poor Sales")</f>
        <v>Poor Sales</v>
      </c>
      <c r="L365" s="12">
        <f>YEAR(Table433[[#This Row],[Date]])</f>
        <v>2023</v>
      </c>
      <c r="M365" s="12">
        <f>MONTH(Table433[[#This Row],[Date]])</f>
        <v>10</v>
      </c>
      <c r="N365" s="13">
        <f>DAY(Table433[[#This Row],[Date]])</f>
        <v>9</v>
      </c>
      <c r="O365" s="13" t="str">
        <f>TEXT(DATE(2023,Table433[[#This Row],[Month]],1),"mmm")</f>
        <v>Oct</v>
      </c>
      <c r="P365" s="13"/>
      <c r="Q365" s="13"/>
    </row>
    <row r="366" spans="1:17" x14ac:dyDescent="0.3">
      <c r="A366" s="6">
        <v>365</v>
      </c>
      <c r="B366" s="7">
        <v>45110</v>
      </c>
      <c r="C366" s="8" t="s">
        <v>37</v>
      </c>
      <c r="D366" s="8" t="s">
        <v>23</v>
      </c>
      <c r="E366" s="8" t="s">
        <v>24</v>
      </c>
      <c r="F366" s="8" t="s">
        <v>38</v>
      </c>
      <c r="G366" s="8" t="s">
        <v>40</v>
      </c>
      <c r="H366" s="9">
        <v>38741.599999999999</v>
      </c>
      <c r="I366" s="8">
        <v>2</v>
      </c>
      <c r="J366" s="10">
        <v>3876.42</v>
      </c>
      <c r="K366" s="17" t="str" cm="1">
        <f t="array" ref="K366">_xlfn.IFS(Table433[[#This Row],[Sales]]&gt;40000,"Best Sales",Table433[[#This Row],[Sales]]&gt;20000,"Average Sales",Table433[[#This Row],[Sales]]&gt;0,"Poor Sales")</f>
        <v>Average Sales</v>
      </c>
      <c r="L366" s="12">
        <f>YEAR(Table433[[#This Row],[Date]])</f>
        <v>2023</v>
      </c>
      <c r="M366" s="12">
        <f>MONTH(Table433[[#This Row],[Date]])</f>
        <v>7</v>
      </c>
      <c r="N366" s="13">
        <f>DAY(Table433[[#This Row],[Date]])</f>
        <v>3</v>
      </c>
      <c r="O366" s="13" t="str">
        <f>TEXT(DATE(2023,Table433[[#This Row],[Month]],1),"mmm")</f>
        <v>Jul</v>
      </c>
      <c r="P366" s="13"/>
      <c r="Q366" s="13"/>
    </row>
    <row r="367" spans="1:17" x14ac:dyDescent="0.3">
      <c r="A367" s="14">
        <v>366</v>
      </c>
      <c r="B367" s="15">
        <v>45185</v>
      </c>
      <c r="C367" s="16" t="s">
        <v>33</v>
      </c>
      <c r="D367" s="16" t="s">
        <v>34</v>
      </c>
      <c r="E367" s="16" t="s">
        <v>27</v>
      </c>
      <c r="F367" s="16" t="s">
        <v>20</v>
      </c>
      <c r="G367" s="16" t="s">
        <v>41</v>
      </c>
      <c r="H367" s="17">
        <v>2389.33</v>
      </c>
      <c r="I367" s="16">
        <v>2</v>
      </c>
      <c r="J367" s="18">
        <v>314.41000000000003</v>
      </c>
      <c r="K367" s="17" t="str" cm="1">
        <f t="array" ref="K367">_xlfn.IFS(Table433[[#This Row],[Sales]]&gt;40000,"Best Sales",Table433[[#This Row],[Sales]]&gt;20000,"Average Sales",Table433[[#This Row],[Sales]]&gt;0,"Poor Sales")</f>
        <v>Poor Sales</v>
      </c>
      <c r="L367" s="12">
        <f>YEAR(Table433[[#This Row],[Date]])</f>
        <v>2023</v>
      </c>
      <c r="M367" s="12">
        <f>MONTH(Table433[[#This Row],[Date]])</f>
        <v>9</v>
      </c>
      <c r="N367" s="13">
        <f>DAY(Table433[[#This Row],[Date]])</f>
        <v>16</v>
      </c>
      <c r="O367" s="13" t="str">
        <f>TEXT(DATE(2023,Table433[[#This Row],[Month]],1),"mmm")</f>
        <v>Sep</v>
      </c>
      <c r="P367" s="13"/>
      <c r="Q367" s="13"/>
    </row>
    <row r="368" spans="1:17" x14ac:dyDescent="0.3">
      <c r="A368" s="6">
        <v>367</v>
      </c>
      <c r="B368" s="7">
        <v>45271</v>
      </c>
      <c r="C368" s="8" t="s">
        <v>25</v>
      </c>
      <c r="D368" s="8" t="s">
        <v>26</v>
      </c>
      <c r="E368" s="8" t="s">
        <v>27</v>
      </c>
      <c r="F368" s="8" t="s">
        <v>20</v>
      </c>
      <c r="G368" s="8" t="s">
        <v>28</v>
      </c>
      <c r="H368" s="9">
        <v>49373.38</v>
      </c>
      <c r="I368" s="8">
        <v>5</v>
      </c>
      <c r="J368" s="10">
        <v>3614.64</v>
      </c>
      <c r="K368" s="17" t="str" cm="1">
        <f t="array" ref="K368">_xlfn.IFS(Table433[[#This Row],[Sales]]&gt;40000,"Best Sales",Table433[[#This Row],[Sales]]&gt;20000,"Average Sales",Table433[[#This Row],[Sales]]&gt;0,"Poor Sales")</f>
        <v>Best Sales</v>
      </c>
      <c r="L368" s="12">
        <f>YEAR(Table433[[#This Row],[Date]])</f>
        <v>2023</v>
      </c>
      <c r="M368" s="12">
        <f>MONTH(Table433[[#This Row],[Date]])</f>
        <v>12</v>
      </c>
      <c r="N368" s="13">
        <f>DAY(Table433[[#This Row],[Date]])</f>
        <v>11</v>
      </c>
      <c r="O368" s="13" t="str">
        <f>TEXT(DATE(2023,Table433[[#This Row],[Month]],1),"mmm")</f>
        <v>Dec</v>
      </c>
      <c r="P368" s="13"/>
      <c r="Q368" s="13"/>
    </row>
    <row r="369" spans="1:17" x14ac:dyDescent="0.3">
      <c r="A369" s="14">
        <v>368</v>
      </c>
      <c r="B369" s="15">
        <v>45039</v>
      </c>
      <c r="C369" s="16" t="s">
        <v>44</v>
      </c>
      <c r="D369" s="16" t="s">
        <v>34</v>
      </c>
      <c r="E369" s="16" t="s">
        <v>19</v>
      </c>
      <c r="F369" s="16" t="s">
        <v>31</v>
      </c>
      <c r="G369" s="16" t="s">
        <v>35</v>
      </c>
      <c r="H369" s="17">
        <v>8784.44</v>
      </c>
      <c r="I369" s="16">
        <v>3</v>
      </c>
      <c r="J369" s="18">
        <v>2460.11</v>
      </c>
      <c r="K369" s="17" t="str" cm="1">
        <f t="array" ref="K369">_xlfn.IFS(Table433[[#This Row],[Sales]]&gt;40000,"Best Sales",Table433[[#This Row],[Sales]]&gt;20000,"Average Sales",Table433[[#This Row],[Sales]]&gt;0,"Poor Sales")</f>
        <v>Poor Sales</v>
      </c>
      <c r="L369" s="12">
        <f>YEAR(Table433[[#This Row],[Date]])</f>
        <v>2023</v>
      </c>
      <c r="M369" s="12">
        <f>MONTH(Table433[[#This Row],[Date]])</f>
        <v>4</v>
      </c>
      <c r="N369" s="13">
        <f>DAY(Table433[[#This Row],[Date]])</f>
        <v>23</v>
      </c>
      <c r="O369" s="13" t="str">
        <f>TEXT(DATE(2023,Table433[[#This Row],[Month]],1),"mmm")</f>
        <v>Apr</v>
      </c>
      <c r="P369" s="13"/>
      <c r="Q369" s="13"/>
    </row>
    <row r="370" spans="1:17" x14ac:dyDescent="0.3">
      <c r="A370" s="6">
        <v>369</v>
      </c>
      <c r="B370" s="7">
        <v>45104</v>
      </c>
      <c r="C370" s="8" t="s">
        <v>29</v>
      </c>
      <c r="D370" s="8" t="s">
        <v>29</v>
      </c>
      <c r="E370" s="8" t="s">
        <v>24</v>
      </c>
      <c r="F370" s="8" t="s">
        <v>31</v>
      </c>
      <c r="G370" s="8" t="s">
        <v>32</v>
      </c>
      <c r="H370" s="9">
        <v>23978.25</v>
      </c>
      <c r="I370" s="8">
        <v>2</v>
      </c>
      <c r="J370" s="10">
        <v>4700.3500000000004</v>
      </c>
      <c r="K370" s="17" t="str" cm="1">
        <f t="array" ref="K370">_xlfn.IFS(Table433[[#This Row],[Sales]]&gt;40000,"Best Sales",Table433[[#This Row],[Sales]]&gt;20000,"Average Sales",Table433[[#This Row],[Sales]]&gt;0,"Poor Sales")</f>
        <v>Average Sales</v>
      </c>
      <c r="L370" s="12">
        <f>YEAR(Table433[[#This Row],[Date]])</f>
        <v>2023</v>
      </c>
      <c r="M370" s="12">
        <f>MONTH(Table433[[#This Row],[Date]])</f>
        <v>6</v>
      </c>
      <c r="N370" s="13">
        <f>DAY(Table433[[#This Row],[Date]])</f>
        <v>27</v>
      </c>
      <c r="O370" s="13" t="str">
        <f>TEXT(DATE(2023,Table433[[#This Row],[Month]],1),"mmm")</f>
        <v>Jun</v>
      </c>
      <c r="P370" s="13"/>
      <c r="Q370" s="13"/>
    </row>
    <row r="371" spans="1:17" x14ac:dyDescent="0.3">
      <c r="A371" s="14">
        <v>370</v>
      </c>
      <c r="B371" s="15">
        <v>45221</v>
      </c>
      <c r="C371" s="16" t="s">
        <v>17</v>
      </c>
      <c r="D371" s="16" t="s">
        <v>18</v>
      </c>
      <c r="E371" s="16" t="s">
        <v>19</v>
      </c>
      <c r="F371" s="16" t="s">
        <v>38</v>
      </c>
      <c r="G371" s="16" t="s">
        <v>46</v>
      </c>
      <c r="H371" s="17">
        <v>45270.46</v>
      </c>
      <c r="I371" s="16">
        <v>3</v>
      </c>
      <c r="J371" s="18">
        <v>8514.58</v>
      </c>
      <c r="K371" s="17" t="str" cm="1">
        <f t="array" ref="K371">_xlfn.IFS(Table433[[#This Row],[Sales]]&gt;40000,"Best Sales",Table433[[#This Row],[Sales]]&gt;20000,"Average Sales",Table433[[#This Row],[Sales]]&gt;0,"Poor Sales")</f>
        <v>Best Sales</v>
      </c>
      <c r="L371" s="12">
        <f>YEAR(Table433[[#This Row],[Date]])</f>
        <v>2023</v>
      </c>
      <c r="M371" s="12">
        <f>MONTH(Table433[[#This Row],[Date]])</f>
        <v>10</v>
      </c>
      <c r="N371" s="13">
        <f>DAY(Table433[[#This Row],[Date]])</f>
        <v>22</v>
      </c>
      <c r="O371" s="13" t="str">
        <f>TEXT(DATE(2023,Table433[[#This Row],[Month]],1),"mmm")</f>
        <v>Oct</v>
      </c>
      <c r="P371" s="13"/>
      <c r="Q371" s="13"/>
    </row>
    <row r="372" spans="1:17" x14ac:dyDescent="0.3">
      <c r="A372" s="6">
        <v>371</v>
      </c>
      <c r="B372" s="7">
        <v>45023</v>
      </c>
      <c r="C372" s="8" t="s">
        <v>42</v>
      </c>
      <c r="D372" s="8" t="s">
        <v>43</v>
      </c>
      <c r="E372" s="8" t="s">
        <v>24</v>
      </c>
      <c r="F372" s="8" t="s">
        <v>20</v>
      </c>
      <c r="G372" s="8" t="s">
        <v>28</v>
      </c>
      <c r="H372" s="9">
        <v>45850.91</v>
      </c>
      <c r="I372" s="8">
        <v>2</v>
      </c>
      <c r="J372" s="10">
        <v>6963.28</v>
      </c>
      <c r="K372" s="17" t="str" cm="1">
        <f t="array" ref="K372">_xlfn.IFS(Table433[[#This Row],[Sales]]&gt;40000,"Best Sales",Table433[[#This Row],[Sales]]&gt;20000,"Average Sales",Table433[[#This Row],[Sales]]&gt;0,"Poor Sales")</f>
        <v>Best Sales</v>
      </c>
      <c r="L372" s="12">
        <f>YEAR(Table433[[#This Row],[Date]])</f>
        <v>2023</v>
      </c>
      <c r="M372" s="12">
        <f>MONTH(Table433[[#This Row],[Date]])</f>
        <v>4</v>
      </c>
      <c r="N372" s="13">
        <f>DAY(Table433[[#This Row],[Date]])</f>
        <v>7</v>
      </c>
      <c r="O372" s="13" t="str">
        <f>TEXT(DATE(2023,Table433[[#This Row],[Month]],1),"mmm")</f>
        <v>Apr</v>
      </c>
      <c r="P372" s="13"/>
      <c r="Q372" s="13"/>
    </row>
    <row r="373" spans="1:17" x14ac:dyDescent="0.3">
      <c r="A373" s="14">
        <v>372</v>
      </c>
      <c r="B373" s="15">
        <v>44927</v>
      </c>
      <c r="C373" s="16" t="s">
        <v>29</v>
      </c>
      <c r="D373" s="16" t="s">
        <v>29</v>
      </c>
      <c r="E373" s="16" t="s">
        <v>27</v>
      </c>
      <c r="F373" s="16" t="s">
        <v>20</v>
      </c>
      <c r="G373" s="16" t="s">
        <v>41</v>
      </c>
      <c r="H373" s="17">
        <v>49704.45</v>
      </c>
      <c r="I373" s="16">
        <v>1</v>
      </c>
      <c r="J373" s="18">
        <v>6338.36</v>
      </c>
      <c r="K373" s="17" t="str" cm="1">
        <f t="array" ref="K373">_xlfn.IFS(Table433[[#This Row],[Sales]]&gt;40000,"Best Sales",Table433[[#This Row],[Sales]]&gt;20000,"Average Sales",Table433[[#This Row],[Sales]]&gt;0,"Poor Sales")</f>
        <v>Best Sales</v>
      </c>
      <c r="L373" s="12">
        <f>YEAR(Table433[[#This Row],[Date]])</f>
        <v>2023</v>
      </c>
      <c r="M373" s="12">
        <f>MONTH(Table433[[#This Row],[Date]])</f>
        <v>1</v>
      </c>
      <c r="N373" s="13">
        <f>DAY(Table433[[#This Row],[Date]])</f>
        <v>1</v>
      </c>
      <c r="O373" s="13" t="str">
        <f>TEXT(DATE(2023,Table433[[#This Row],[Month]],1),"mmm")</f>
        <v>Jan</v>
      </c>
      <c r="P373" s="13"/>
      <c r="Q373" s="13"/>
    </row>
    <row r="374" spans="1:17" x14ac:dyDescent="0.3">
      <c r="A374" s="6">
        <v>373</v>
      </c>
      <c r="B374" s="7">
        <v>45100</v>
      </c>
      <c r="C374" s="8" t="s">
        <v>17</v>
      </c>
      <c r="D374" s="8" t="s">
        <v>18</v>
      </c>
      <c r="E374" s="8" t="s">
        <v>27</v>
      </c>
      <c r="F374" s="8" t="s">
        <v>31</v>
      </c>
      <c r="G374" s="8" t="s">
        <v>36</v>
      </c>
      <c r="H374" s="9">
        <v>7689.17</v>
      </c>
      <c r="I374" s="8">
        <v>2</v>
      </c>
      <c r="J374" s="10">
        <v>2073.4699999999998</v>
      </c>
      <c r="K374" s="17" t="str" cm="1">
        <f t="array" ref="K374">_xlfn.IFS(Table433[[#This Row],[Sales]]&gt;40000,"Best Sales",Table433[[#This Row],[Sales]]&gt;20000,"Average Sales",Table433[[#This Row],[Sales]]&gt;0,"Poor Sales")</f>
        <v>Poor Sales</v>
      </c>
      <c r="L374" s="12">
        <f>YEAR(Table433[[#This Row],[Date]])</f>
        <v>2023</v>
      </c>
      <c r="M374" s="12">
        <f>MONTH(Table433[[#This Row],[Date]])</f>
        <v>6</v>
      </c>
      <c r="N374" s="13">
        <f>DAY(Table433[[#This Row],[Date]])</f>
        <v>23</v>
      </c>
      <c r="O374" s="13" t="str">
        <f>TEXT(DATE(2023,Table433[[#This Row],[Month]],1),"mmm")</f>
        <v>Jun</v>
      </c>
      <c r="P374" s="13"/>
      <c r="Q374" s="13"/>
    </row>
    <row r="375" spans="1:17" x14ac:dyDescent="0.3">
      <c r="A375" s="14">
        <v>374</v>
      </c>
      <c r="B375" s="15">
        <v>45020</v>
      </c>
      <c r="C375" s="16" t="s">
        <v>44</v>
      </c>
      <c r="D375" s="16" t="s">
        <v>34</v>
      </c>
      <c r="E375" s="16" t="s">
        <v>19</v>
      </c>
      <c r="F375" s="16" t="s">
        <v>20</v>
      </c>
      <c r="G375" s="16" t="s">
        <v>28</v>
      </c>
      <c r="H375" s="17">
        <v>11067.26</v>
      </c>
      <c r="I375" s="16">
        <v>3</v>
      </c>
      <c r="J375" s="18">
        <v>2295.61</v>
      </c>
      <c r="K375" s="17" t="str" cm="1">
        <f t="array" ref="K375">_xlfn.IFS(Table433[[#This Row],[Sales]]&gt;40000,"Best Sales",Table433[[#This Row],[Sales]]&gt;20000,"Average Sales",Table433[[#This Row],[Sales]]&gt;0,"Poor Sales")</f>
        <v>Poor Sales</v>
      </c>
      <c r="L375" s="12">
        <f>YEAR(Table433[[#This Row],[Date]])</f>
        <v>2023</v>
      </c>
      <c r="M375" s="12">
        <f>MONTH(Table433[[#This Row],[Date]])</f>
        <v>4</v>
      </c>
      <c r="N375" s="13">
        <f>DAY(Table433[[#This Row],[Date]])</f>
        <v>4</v>
      </c>
      <c r="O375" s="13" t="str">
        <f>TEXT(DATE(2023,Table433[[#This Row],[Month]],1),"mmm")</f>
        <v>Apr</v>
      </c>
      <c r="P375" s="13"/>
      <c r="Q375" s="13"/>
    </row>
    <row r="376" spans="1:17" x14ac:dyDescent="0.3">
      <c r="A376" s="6">
        <v>375</v>
      </c>
      <c r="B376" s="7">
        <v>45220</v>
      </c>
      <c r="C376" s="8" t="s">
        <v>25</v>
      </c>
      <c r="D376" s="8" t="s">
        <v>26</v>
      </c>
      <c r="E376" s="8" t="s">
        <v>24</v>
      </c>
      <c r="F376" s="8" t="s">
        <v>20</v>
      </c>
      <c r="G376" s="8" t="s">
        <v>28</v>
      </c>
      <c r="H376" s="9">
        <v>4039.27</v>
      </c>
      <c r="I376" s="8">
        <v>4</v>
      </c>
      <c r="J376" s="10">
        <v>706.06</v>
      </c>
      <c r="K376" s="17" t="str" cm="1">
        <f t="array" ref="K376">_xlfn.IFS(Table433[[#This Row],[Sales]]&gt;40000,"Best Sales",Table433[[#This Row],[Sales]]&gt;20000,"Average Sales",Table433[[#This Row],[Sales]]&gt;0,"Poor Sales")</f>
        <v>Poor Sales</v>
      </c>
      <c r="L376" s="12">
        <f>YEAR(Table433[[#This Row],[Date]])</f>
        <v>2023</v>
      </c>
      <c r="M376" s="12">
        <f>MONTH(Table433[[#This Row],[Date]])</f>
        <v>10</v>
      </c>
      <c r="N376" s="13">
        <f>DAY(Table433[[#This Row],[Date]])</f>
        <v>21</v>
      </c>
      <c r="O376" s="13" t="str">
        <f>TEXT(DATE(2023,Table433[[#This Row],[Month]],1),"mmm")</f>
        <v>Oct</v>
      </c>
      <c r="P376" s="13"/>
      <c r="Q376" s="13"/>
    </row>
    <row r="377" spans="1:17" x14ac:dyDescent="0.3">
      <c r="A377" s="14">
        <v>376</v>
      </c>
      <c r="B377" s="15">
        <v>45084</v>
      </c>
      <c r="C377" s="16" t="s">
        <v>29</v>
      </c>
      <c r="D377" s="16" t="s">
        <v>29</v>
      </c>
      <c r="E377" s="16" t="s">
        <v>19</v>
      </c>
      <c r="F377" s="16" t="s">
        <v>20</v>
      </c>
      <c r="G377" s="16" t="s">
        <v>41</v>
      </c>
      <c r="H377" s="17">
        <v>21927.99</v>
      </c>
      <c r="I377" s="16">
        <v>1</v>
      </c>
      <c r="J377" s="18">
        <v>3544.98</v>
      </c>
      <c r="K377" s="17" t="str" cm="1">
        <f t="array" ref="K377">_xlfn.IFS(Table433[[#This Row],[Sales]]&gt;40000,"Best Sales",Table433[[#This Row],[Sales]]&gt;20000,"Average Sales",Table433[[#This Row],[Sales]]&gt;0,"Poor Sales")</f>
        <v>Average Sales</v>
      </c>
      <c r="L377" s="12">
        <f>YEAR(Table433[[#This Row],[Date]])</f>
        <v>2023</v>
      </c>
      <c r="M377" s="12">
        <f>MONTH(Table433[[#This Row],[Date]])</f>
        <v>6</v>
      </c>
      <c r="N377" s="13">
        <f>DAY(Table433[[#This Row],[Date]])</f>
        <v>7</v>
      </c>
      <c r="O377" s="13" t="str">
        <f>TEXT(DATE(2023,Table433[[#This Row],[Month]],1),"mmm")</f>
        <v>Jun</v>
      </c>
      <c r="P377" s="13"/>
      <c r="Q377" s="13"/>
    </row>
    <row r="378" spans="1:17" x14ac:dyDescent="0.3">
      <c r="A378" s="6">
        <v>377</v>
      </c>
      <c r="B378" s="7">
        <v>45057</v>
      </c>
      <c r="C378" s="8" t="s">
        <v>37</v>
      </c>
      <c r="D378" s="8" t="s">
        <v>23</v>
      </c>
      <c r="E378" s="8" t="s">
        <v>24</v>
      </c>
      <c r="F378" s="8" t="s">
        <v>38</v>
      </c>
      <c r="G378" s="8" t="s">
        <v>39</v>
      </c>
      <c r="H378" s="9">
        <v>5975.75</v>
      </c>
      <c r="I378" s="8">
        <v>2</v>
      </c>
      <c r="J378" s="10">
        <v>329.14</v>
      </c>
      <c r="K378" s="17" t="str" cm="1">
        <f t="array" ref="K378">_xlfn.IFS(Table433[[#This Row],[Sales]]&gt;40000,"Best Sales",Table433[[#This Row],[Sales]]&gt;20000,"Average Sales",Table433[[#This Row],[Sales]]&gt;0,"Poor Sales")</f>
        <v>Poor Sales</v>
      </c>
      <c r="L378" s="12">
        <f>YEAR(Table433[[#This Row],[Date]])</f>
        <v>2023</v>
      </c>
      <c r="M378" s="12">
        <f>MONTH(Table433[[#This Row],[Date]])</f>
        <v>5</v>
      </c>
      <c r="N378" s="13">
        <f>DAY(Table433[[#This Row],[Date]])</f>
        <v>11</v>
      </c>
      <c r="O378" s="13" t="str">
        <f>TEXT(DATE(2023,Table433[[#This Row],[Month]],1),"mmm")</f>
        <v>May</v>
      </c>
      <c r="P378" s="13"/>
      <c r="Q378" s="13"/>
    </row>
    <row r="379" spans="1:17" x14ac:dyDescent="0.3">
      <c r="A379" s="14">
        <v>378</v>
      </c>
      <c r="B379" s="15">
        <v>45191</v>
      </c>
      <c r="C379" s="16" t="s">
        <v>17</v>
      </c>
      <c r="D379" s="16" t="s">
        <v>18</v>
      </c>
      <c r="E379" s="16" t="s">
        <v>27</v>
      </c>
      <c r="F379" s="16" t="s">
        <v>38</v>
      </c>
      <c r="G379" s="16" t="s">
        <v>40</v>
      </c>
      <c r="H379" s="17">
        <v>20190.7</v>
      </c>
      <c r="I379" s="16">
        <v>3</v>
      </c>
      <c r="J379" s="18">
        <v>2927.7</v>
      </c>
      <c r="K379" s="17" t="str" cm="1">
        <f t="array" ref="K379">_xlfn.IFS(Table433[[#This Row],[Sales]]&gt;40000,"Best Sales",Table433[[#This Row],[Sales]]&gt;20000,"Average Sales",Table433[[#This Row],[Sales]]&gt;0,"Poor Sales")</f>
        <v>Average Sales</v>
      </c>
      <c r="L379" s="12">
        <f>YEAR(Table433[[#This Row],[Date]])</f>
        <v>2023</v>
      </c>
      <c r="M379" s="12">
        <f>MONTH(Table433[[#This Row],[Date]])</f>
        <v>9</v>
      </c>
      <c r="N379" s="13">
        <f>DAY(Table433[[#This Row],[Date]])</f>
        <v>22</v>
      </c>
      <c r="O379" s="13" t="str">
        <f>TEXT(DATE(2023,Table433[[#This Row],[Month]],1),"mmm")</f>
        <v>Sep</v>
      </c>
      <c r="P379" s="13"/>
      <c r="Q379" s="13"/>
    </row>
    <row r="380" spans="1:17" x14ac:dyDescent="0.3">
      <c r="A380" s="6">
        <v>379</v>
      </c>
      <c r="B380" s="7">
        <v>44967</v>
      </c>
      <c r="C380" s="8" t="s">
        <v>29</v>
      </c>
      <c r="D380" s="8" t="s">
        <v>29</v>
      </c>
      <c r="E380" s="8" t="s">
        <v>27</v>
      </c>
      <c r="F380" s="8" t="s">
        <v>38</v>
      </c>
      <c r="G380" s="8" t="s">
        <v>40</v>
      </c>
      <c r="H380" s="9">
        <v>13485.54</v>
      </c>
      <c r="I380" s="8">
        <v>7</v>
      </c>
      <c r="J380" s="10">
        <v>3010.14</v>
      </c>
      <c r="K380" s="17" t="str" cm="1">
        <f t="array" ref="K380">_xlfn.IFS(Table433[[#This Row],[Sales]]&gt;40000,"Best Sales",Table433[[#This Row],[Sales]]&gt;20000,"Average Sales",Table433[[#This Row],[Sales]]&gt;0,"Poor Sales")</f>
        <v>Poor Sales</v>
      </c>
      <c r="L380" s="12">
        <f>YEAR(Table433[[#This Row],[Date]])</f>
        <v>2023</v>
      </c>
      <c r="M380" s="12">
        <f>MONTH(Table433[[#This Row],[Date]])</f>
        <v>2</v>
      </c>
      <c r="N380" s="13">
        <f>DAY(Table433[[#This Row],[Date]])</f>
        <v>10</v>
      </c>
      <c r="O380" s="13" t="str">
        <f>TEXT(DATE(2023,Table433[[#This Row],[Month]],1),"mmm")</f>
        <v>Feb</v>
      </c>
      <c r="P380" s="13"/>
      <c r="Q380" s="13"/>
    </row>
    <row r="381" spans="1:17" x14ac:dyDescent="0.3">
      <c r="A381" s="14">
        <v>380</v>
      </c>
      <c r="B381" s="15">
        <v>45087</v>
      </c>
      <c r="C381" s="16" t="s">
        <v>22</v>
      </c>
      <c r="D381" s="16" t="s">
        <v>23</v>
      </c>
      <c r="E381" s="16" t="s">
        <v>19</v>
      </c>
      <c r="F381" s="16" t="s">
        <v>20</v>
      </c>
      <c r="G381" s="16" t="s">
        <v>41</v>
      </c>
      <c r="H381" s="17">
        <v>21403.96</v>
      </c>
      <c r="I381" s="16">
        <v>2</v>
      </c>
      <c r="J381" s="18">
        <v>5457.97</v>
      </c>
      <c r="K381" s="17" t="str" cm="1">
        <f t="array" ref="K381">_xlfn.IFS(Table433[[#This Row],[Sales]]&gt;40000,"Best Sales",Table433[[#This Row],[Sales]]&gt;20000,"Average Sales",Table433[[#This Row],[Sales]]&gt;0,"Poor Sales")</f>
        <v>Average Sales</v>
      </c>
      <c r="L381" s="12">
        <f>YEAR(Table433[[#This Row],[Date]])</f>
        <v>2023</v>
      </c>
      <c r="M381" s="12">
        <f>MONTH(Table433[[#This Row],[Date]])</f>
        <v>6</v>
      </c>
      <c r="N381" s="13">
        <f>DAY(Table433[[#This Row],[Date]])</f>
        <v>10</v>
      </c>
      <c r="O381" s="13" t="str">
        <f>TEXT(DATE(2023,Table433[[#This Row],[Month]],1),"mmm")</f>
        <v>Jun</v>
      </c>
      <c r="P381" s="13"/>
      <c r="Q381" s="13"/>
    </row>
    <row r="382" spans="1:17" x14ac:dyDescent="0.3">
      <c r="A382" s="6">
        <v>381</v>
      </c>
      <c r="B382" s="7">
        <v>45216</v>
      </c>
      <c r="C382" s="8" t="s">
        <v>29</v>
      </c>
      <c r="D382" s="8" t="s">
        <v>29</v>
      </c>
      <c r="E382" s="8" t="s">
        <v>24</v>
      </c>
      <c r="F382" s="8" t="s">
        <v>20</v>
      </c>
      <c r="G382" s="8" t="s">
        <v>21</v>
      </c>
      <c r="H382" s="9">
        <v>28745.93</v>
      </c>
      <c r="I382" s="8">
        <v>8</v>
      </c>
      <c r="J382" s="10">
        <v>6468.31</v>
      </c>
      <c r="K382" s="17" t="str" cm="1">
        <f t="array" ref="K382">_xlfn.IFS(Table433[[#This Row],[Sales]]&gt;40000,"Best Sales",Table433[[#This Row],[Sales]]&gt;20000,"Average Sales",Table433[[#This Row],[Sales]]&gt;0,"Poor Sales")</f>
        <v>Average Sales</v>
      </c>
      <c r="L382" s="12">
        <f>YEAR(Table433[[#This Row],[Date]])</f>
        <v>2023</v>
      </c>
      <c r="M382" s="12">
        <f>MONTH(Table433[[#This Row],[Date]])</f>
        <v>10</v>
      </c>
      <c r="N382" s="13">
        <f>DAY(Table433[[#This Row],[Date]])</f>
        <v>17</v>
      </c>
      <c r="O382" s="13" t="str">
        <f>TEXT(DATE(2023,Table433[[#This Row],[Month]],1),"mmm")</f>
        <v>Oct</v>
      </c>
      <c r="P382" s="13"/>
      <c r="Q382" s="13"/>
    </row>
    <row r="383" spans="1:17" x14ac:dyDescent="0.3">
      <c r="A383" s="14">
        <v>382</v>
      </c>
      <c r="B383" s="15">
        <v>45116</v>
      </c>
      <c r="C383" s="16" t="s">
        <v>37</v>
      </c>
      <c r="D383" s="16" t="s">
        <v>23</v>
      </c>
      <c r="E383" s="16" t="s">
        <v>19</v>
      </c>
      <c r="F383" s="16" t="s">
        <v>31</v>
      </c>
      <c r="G383" s="16" t="s">
        <v>36</v>
      </c>
      <c r="H383" s="17">
        <v>7482.71</v>
      </c>
      <c r="I383" s="16">
        <v>5</v>
      </c>
      <c r="J383" s="18">
        <v>437.89</v>
      </c>
      <c r="K383" s="17" t="str" cm="1">
        <f t="array" ref="K383">_xlfn.IFS(Table433[[#This Row],[Sales]]&gt;40000,"Best Sales",Table433[[#This Row],[Sales]]&gt;20000,"Average Sales",Table433[[#This Row],[Sales]]&gt;0,"Poor Sales")</f>
        <v>Poor Sales</v>
      </c>
      <c r="L383" s="12">
        <f>YEAR(Table433[[#This Row],[Date]])</f>
        <v>2023</v>
      </c>
      <c r="M383" s="12">
        <f>MONTH(Table433[[#This Row],[Date]])</f>
        <v>7</v>
      </c>
      <c r="N383" s="13">
        <f>DAY(Table433[[#This Row],[Date]])</f>
        <v>9</v>
      </c>
      <c r="O383" s="13" t="str">
        <f>TEXT(DATE(2023,Table433[[#This Row],[Month]],1),"mmm")</f>
        <v>Jul</v>
      </c>
      <c r="P383" s="13"/>
      <c r="Q383" s="13"/>
    </row>
    <row r="384" spans="1:17" x14ac:dyDescent="0.3">
      <c r="A384" s="6">
        <v>383</v>
      </c>
      <c r="B384" s="7">
        <v>45266</v>
      </c>
      <c r="C384" s="8" t="s">
        <v>44</v>
      </c>
      <c r="D384" s="8" t="s">
        <v>34</v>
      </c>
      <c r="E384" s="8" t="s">
        <v>24</v>
      </c>
      <c r="F384" s="8" t="s">
        <v>31</v>
      </c>
      <c r="G384" s="8" t="s">
        <v>32</v>
      </c>
      <c r="H384" s="9">
        <v>46251.07</v>
      </c>
      <c r="I384" s="8">
        <v>7</v>
      </c>
      <c r="J384" s="10">
        <v>2777.42</v>
      </c>
      <c r="K384" s="17" t="str" cm="1">
        <f t="array" ref="K384">_xlfn.IFS(Table433[[#This Row],[Sales]]&gt;40000,"Best Sales",Table433[[#This Row],[Sales]]&gt;20000,"Average Sales",Table433[[#This Row],[Sales]]&gt;0,"Poor Sales")</f>
        <v>Best Sales</v>
      </c>
      <c r="L384" s="12">
        <f>YEAR(Table433[[#This Row],[Date]])</f>
        <v>2023</v>
      </c>
      <c r="M384" s="12">
        <f>MONTH(Table433[[#This Row],[Date]])</f>
        <v>12</v>
      </c>
      <c r="N384" s="13">
        <f>DAY(Table433[[#This Row],[Date]])</f>
        <v>6</v>
      </c>
      <c r="O384" s="13" t="str">
        <f>TEXT(DATE(2023,Table433[[#This Row],[Month]],1),"mmm")</f>
        <v>Dec</v>
      </c>
      <c r="P384" s="13"/>
      <c r="Q384" s="13"/>
    </row>
    <row r="385" spans="1:17" x14ac:dyDescent="0.3">
      <c r="A385" s="14">
        <v>384</v>
      </c>
      <c r="B385" s="15">
        <v>45207</v>
      </c>
      <c r="C385" s="16" t="s">
        <v>29</v>
      </c>
      <c r="D385" s="16" t="s">
        <v>29</v>
      </c>
      <c r="E385" s="16" t="s">
        <v>27</v>
      </c>
      <c r="F385" s="16" t="s">
        <v>31</v>
      </c>
      <c r="G385" s="16" t="s">
        <v>35</v>
      </c>
      <c r="H385" s="17">
        <v>19948.55</v>
      </c>
      <c r="I385" s="16">
        <v>4</v>
      </c>
      <c r="J385" s="18">
        <v>1195.3</v>
      </c>
      <c r="K385" s="17" t="str" cm="1">
        <f t="array" ref="K385">_xlfn.IFS(Table433[[#This Row],[Sales]]&gt;40000,"Best Sales",Table433[[#This Row],[Sales]]&gt;20000,"Average Sales",Table433[[#This Row],[Sales]]&gt;0,"Poor Sales")</f>
        <v>Poor Sales</v>
      </c>
      <c r="L385" s="12">
        <f>YEAR(Table433[[#This Row],[Date]])</f>
        <v>2023</v>
      </c>
      <c r="M385" s="12">
        <f>MONTH(Table433[[#This Row],[Date]])</f>
        <v>10</v>
      </c>
      <c r="N385" s="13">
        <f>DAY(Table433[[#This Row],[Date]])</f>
        <v>8</v>
      </c>
      <c r="O385" s="13" t="str">
        <f>TEXT(DATE(2023,Table433[[#This Row],[Month]],1),"mmm")</f>
        <v>Oct</v>
      </c>
      <c r="P385" s="13"/>
      <c r="Q385" s="13"/>
    </row>
    <row r="386" spans="1:17" x14ac:dyDescent="0.3">
      <c r="A386" s="6">
        <v>385</v>
      </c>
      <c r="B386" s="7">
        <v>45085</v>
      </c>
      <c r="C386" s="8" t="s">
        <v>22</v>
      </c>
      <c r="D386" s="8" t="s">
        <v>23</v>
      </c>
      <c r="E386" s="8" t="s">
        <v>27</v>
      </c>
      <c r="F386" s="8" t="s">
        <v>31</v>
      </c>
      <c r="G386" s="8" t="s">
        <v>36</v>
      </c>
      <c r="H386" s="9">
        <v>5721.76</v>
      </c>
      <c r="I386" s="8">
        <v>7</v>
      </c>
      <c r="J386" s="10">
        <v>1413.25</v>
      </c>
      <c r="K386" s="17" t="str" cm="1">
        <f t="array" ref="K386">_xlfn.IFS(Table433[[#This Row],[Sales]]&gt;40000,"Best Sales",Table433[[#This Row],[Sales]]&gt;20000,"Average Sales",Table433[[#This Row],[Sales]]&gt;0,"Poor Sales")</f>
        <v>Poor Sales</v>
      </c>
      <c r="L386" s="12">
        <f>YEAR(Table433[[#This Row],[Date]])</f>
        <v>2023</v>
      </c>
      <c r="M386" s="12">
        <f>MONTH(Table433[[#This Row],[Date]])</f>
        <v>6</v>
      </c>
      <c r="N386" s="13">
        <f>DAY(Table433[[#This Row],[Date]])</f>
        <v>8</v>
      </c>
      <c r="O386" s="13" t="str">
        <f>TEXT(DATE(2023,Table433[[#This Row],[Month]],1),"mmm")</f>
        <v>Jun</v>
      </c>
      <c r="P386" s="13"/>
      <c r="Q386" s="13"/>
    </row>
    <row r="387" spans="1:17" x14ac:dyDescent="0.3">
      <c r="A387" s="14">
        <v>386</v>
      </c>
      <c r="B387" s="15">
        <v>45204</v>
      </c>
      <c r="C387" s="16" t="s">
        <v>37</v>
      </c>
      <c r="D387" s="16" t="s">
        <v>23</v>
      </c>
      <c r="E387" s="16" t="s">
        <v>19</v>
      </c>
      <c r="F387" s="16" t="s">
        <v>31</v>
      </c>
      <c r="G387" s="16" t="s">
        <v>36</v>
      </c>
      <c r="H387" s="17">
        <v>20443.47</v>
      </c>
      <c r="I387" s="16">
        <v>4</v>
      </c>
      <c r="J387" s="18">
        <v>3275.27</v>
      </c>
      <c r="K387" s="17" t="str" cm="1">
        <f t="array" ref="K387">_xlfn.IFS(Table433[[#This Row],[Sales]]&gt;40000,"Best Sales",Table433[[#This Row],[Sales]]&gt;20000,"Average Sales",Table433[[#This Row],[Sales]]&gt;0,"Poor Sales")</f>
        <v>Average Sales</v>
      </c>
      <c r="L387" s="12">
        <f>YEAR(Table433[[#This Row],[Date]])</f>
        <v>2023</v>
      </c>
      <c r="M387" s="12">
        <f>MONTH(Table433[[#This Row],[Date]])</f>
        <v>10</v>
      </c>
      <c r="N387" s="13">
        <f>DAY(Table433[[#This Row],[Date]])</f>
        <v>5</v>
      </c>
      <c r="O387" s="13" t="str">
        <f>TEXT(DATE(2023,Table433[[#This Row],[Month]],1),"mmm")</f>
        <v>Oct</v>
      </c>
      <c r="P387" s="13"/>
      <c r="Q387" s="13"/>
    </row>
    <row r="388" spans="1:17" x14ac:dyDescent="0.3">
      <c r="A388" s="6">
        <v>387</v>
      </c>
      <c r="B388" s="7">
        <v>45088</v>
      </c>
      <c r="C388" s="8" t="s">
        <v>25</v>
      </c>
      <c r="D388" s="8" t="s">
        <v>26</v>
      </c>
      <c r="E388" s="8" t="s">
        <v>24</v>
      </c>
      <c r="F388" s="8" t="s">
        <v>38</v>
      </c>
      <c r="G388" s="8" t="s">
        <v>46</v>
      </c>
      <c r="H388" s="9">
        <v>33096.26</v>
      </c>
      <c r="I388" s="8">
        <v>6</v>
      </c>
      <c r="J388" s="10">
        <v>3046.86</v>
      </c>
      <c r="K388" s="17" t="str" cm="1">
        <f t="array" ref="K388">_xlfn.IFS(Table433[[#This Row],[Sales]]&gt;40000,"Best Sales",Table433[[#This Row],[Sales]]&gt;20000,"Average Sales",Table433[[#This Row],[Sales]]&gt;0,"Poor Sales")</f>
        <v>Average Sales</v>
      </c>
      <c r="L388" s="12">
        <f>YEAR(Table433[[#This Row],[Date]])</f>
        <v>2023</v>
      </c>
      <c r="M388" s="12">
        <f>MONTH(Table433[[#This Row],[Date]])</f>
        <v>6</v>
      </c>
      <c r="N388" s="13">
        <f>DAY(Table433[[#This Row],[Date]])</f>
        <v>11</v>
      </c>
      <c r="O388" s="13" t="str">
        <f>TEXT(DATE(2023,Table433[[#This Row],[Month]],1),"mmm")</f>
        <v>Jun</v>
      </c>
      <c r="P388" s="13"/>
      <c r="Q388" s="13"/>
    </row>
    <row r="389" spans="1:17" x14ac:dyDescent="0.3">
      <c r="A389" s="14">
        <v>388</v>
      </c>
      <c r="B389" s="15">
        <v>45146</v>
      </c>
      <c r="C389" s="16" t="s">
        <v>33</v>
      </c>
      <c r="D389" s="16" t="s">
        <v>34</v>
      </c>
      <c r="E389" s="16" t="s">
        <v>19</v>
      </c>
      <c r="F389" s="16" t="s">
        <v>31</v>
      </c>
      <c r="G389" s="16" t="s">
        <v>32</v>
      </c>
      <c r="H389" s="17">
        <v>48615.63</v>
      </c>
      <c r="I389" s="16">
        <v>4</v>
      </c>
      <c r="J389" s="18">
        <v>12402.67</v>
      </c>
      <c r="K389" s="17" t="str" cm="1">
        <f t="array" ref="K389">_xlfn.IFS(Table433[[#This Row],[Sales]]&gt;40000,"Best Sales",Table433[[#This Row],[Sales]]&gt;20000,"Average Sales",Table433[[#This Row],[Sales]]&gt;0,"Poor Sales")</f>
        <v>Best Sales</v>
      </c>
      <c r="L389" s="12">
        <f>YEAR(Table433[[#This Row],[Date]])</f>
        <v>2023</v>
      </c>
      <c r="M389" s="12">
        <f>MONTH(Table433[[#This Row],[Date]])</f>
        <v>8</v>
      </c>
      <c r="N389" s="13">
        <f>DAY(Table433[[#This Row],[Date]])</f>
        <v>8</v>
      </c>
      <c r="O389" s="13" t="str">
        <f>TEXT(DATE(2023,Table433[[#This Row],[Month]],1),"mmm")</f>
        <v>Aug</v>
      </c>
      <c r="P389" s="13"/>
      <c r="Q389" s="13"/>
    </row>
    <row r="390" spans="1:17" x14ac:dyDescent="0.3">
      <c r="A390" s="6">
        <v>389</v>
      </c>
      <c r="B390" s="7">
        <v>44976</v>
      </c>
      <c r="C390" s="8" t="s">
        <v>29</v>
      </c>
      <c r="D390" s="8" t="s">
        <v>29</v>
      </c>
      <c r="E390" s="8" t="s">
        <v>24</v>
      </c>
      <c r="F390" s="8" t="s">
        <v>20</v>
      </c>
      <c r="G390" s="8" t="s">
        <v>21</v>
      </c>
      <c r="H390" s="9">
        <v>41877.24</v>
      </c>
      <c r="I390" s="8">
        <v>6</v>
      </c>
      <c r="J390" s="10">
        <v>12432.71</v>
      </c>
      <c r="K390" s="17" t="str" cm="1">
        <f t="array" ref="K390">_xlfn.IFS(Table433[[#This Row],[Sales]]&gt;40000,"Best Sales",Table433[[#This Row],[Sales]]&gt;20000,"Average Sales",Table433[[#This Row],[Sales]]&gt;0,"Poor Sales")</f>
        <v>Best Sales</v>
      </c>
      <c r="L390" s="12">
        <f>YEAR(Table433[[#This Row],[Date]])</f>
        <v>2023</v>
      </c>
      <c r="M390" s="12">
        <f>MONTH(Table433[[#This Row],[Date]])</f>
        <v>2</v>
      </c>
      <c r="N390" s="13">
        <f>DAY(Table433[[#This Row],[Date]])</f>
        <v>19</v>
      </c>
      <c r="O390" s="13" t="str">
        <f>TEXT(DATE(2023,Table433[[#This Row],[Month]],1),"mmm")</f>
        <v>Feb</v>
      </c>
      <c r="P390" s="13"/>
      <c r="Q390" s="13"/>
    </row>
    <row r="391" spans="1:17" x14ac:dyDescent="0.3">
      <c r="A391" s="14">
        <v>390</v>
      </c>
      <c r="B391" s="15">
        <v>45129</v>
      </c>
      <c r="C391" s="16" t="s">
        <v>29</v>
      </c>
      <c r="D391" s="16" t="s">
        <v>29</v>
      </c>
      <c r="E391" s="16" t="s">
        <v>27</v>
      </c>
      <c r="F391" s="16" t="s">
        <v>38</v>
      </c>
      <c r="G391" s="16" t="s">
        <v>40</v>
      </c>
      <c r="H391" s="17">
        <v>21423.18</v>
      </c>
      <c r="I391" s="16">
        <v>6</v>
      </c>
      <c r="J391" s="18">
        <v>2642.67</v>
      </c>
      <c r="K391" s="17" t="str" cm="1">
        <f t="array" ref="K391">_xlfn.IFS(Table433[[#This Row],[Sales]]&gt;40000,"Best Sales",Table433[[#This Row],[Sales]]&gt;20000,"Average Sales",Table433[[#This Row],[Sales]]&gt;0,"Poor Sales")</f>
        <v>Average Sales</v>
      </c>
      <c r="L391" s="12">
        <f>YEAR(Table433[[#This Row],[Date]])</f>
        <v>2023</v>
      </c>
      <c r="M391" s="12">
        <f>MONTH(Table433[[#This Row],[Date]])</f>
        <v>7</v>
      </c>
      <c r="N391" s="13">
        <f>DAY(Table433[[#This Row],[Date]])</f>
        <v>22</v>
      </c>
      <c r="O391" s="13" t="str">
        <f>TEXT(DATE(2023,Table433[[#This Row],[Month]],1),"mmm")</f>
        <v>Jul</v>
      </c>
      <c r="P391" s="13"/>
      <c r="Q391" s="13"/>
    </row>
    <row r="392" spans="1:17" x14ac:dyDescent="0.3">
      <c r="A392" s="6">
        <v>391</v>
      </c>
      <c r="B392" s="7">
        <v>44942</v>
      </c>
      <c r="C392" s="8" t="s">
        <v>37</v>
      </c>
      <c r="D392" s="8" t="s">
        <v>23</v>
      </c>
      <c r="E392" s="8" t="s">
        <v>27</v>
      </c>
      <c r="F392" s="8" t="s">
        <v>20</v>
      </c>
      <c r="G392" s="8" t="s">
        <v>21</v>
      </c>
      <c r="H392" s="9">
        <v>12449.38</v>
      </c>
      <c r="I392" s="8">
        <v>7</v>
      </c>
      <c r="J392" s="10">
        <v>786.53</v>
      </c>
      <c r="K392" s="17" t="str" cm="1">
        <f t="array" ref="K392">_xlfn.IFS(Table433[[#This Row],[Sales]]&gt;40000,"Best Sales",Table433[[#This Row],[Sales]]&gt;20000,"Average Sales",Table433[[#This Row],[Sales]]&gt;0,"Poor Sales")</f>
        <v>Poor Sales</v>
      </c>
      <c r="L392" s="12">
        <f>YEAR(Table433[[#This Row],[Date]])</f>
        <v>2023</v>
      </c>
      <c r="M392" s="12">
        <f>MONTH(Table433[[#This Row],[Date]])</f>
        <v>1</v>
      </c>
      <c r="N392" s="13">
        <f>DAY(Table433[[#This Row],[Date]])</f>
        <v>16</v>
      </c>
      <c r="O392" s="13" t="str">
        <f>TEXT(DATE(2023,Table433[[#This Row],[Month]],1),"mmm")</f>
        <v>Jan</v>
      </c>
      <c r="P392" s="13"/>
      <c r="Q392" s="13"/>
    </row>
    <row r="393" spans="1:17" x14ac:dyDescent="0.3">
      <c r="A393" s="14">
        <v>392</v>
      </c>
      <c r="B393" s="15">
        <v>45211</v>
      </c>
      <c r="C393" s="16" t="s">
        <v>22</v>
      </c>
      <c r="D393" s="16" t="s">
        <v>23</v>
      </c>
      <c r="E393" s="16" t="s">
        <v>19</v>
      </c>
      <c r="F393" s="16" t="s">
        <v>31</v>
      </c>
      <c r="G393" s="16" t="s">
        <v>32</v>
      </c>
      <c r="H393" s="17">
        <v>12941.19</v>
      </c>
      <c r="I393" s="16">
        <v>4</v>
      </c>
      <c r="J393" s="18">
        <v>1257.8900000000001</v>
      </c>
      <c r="K393" s="17" t="str" cm="1">
        <f t="array" ref="K393">_xlfn.IFS(Table433[[#This Row],[Sales]]&gt;40000,"Best Sales",Table433[[#This Row],[Sales]]&gt;20000,"Average Sales",Table433[[#This Row],[Sales]]&gt;0,"Poor Sales")</f>
        <v>Poor Sales</v>
      </c>
      <c r="L393" s="12">
        <f>YEAR(Table433[[#This Row],[Date]])</f>
        <v>2023</v>
      </c>
      <c r="M393" s="12">
        <f>MONTH(Table433[[#This Row],[Date]])</f>
        <v>10</v>
      </c>
      <c r="N393" s="13">
        <f>DAY(Table433[[#This Row],[Date]])</f>
        <v>12</v>
      </c>
      <c r="O393" s="13" t="str">
        <f>TEXT(DATE(2023,Table433[[#This Row],[Month]],1),"mmm")</f>
        <v>Oct</v>
      </c>
      <c r="P393" s="13"/>
      <c r="Q393" s="13"/>
    </row>
    <row r="394" spans="1:17" x14ac:dyDescent="0.3">
      <c r="A394" s="6">
        <v>393</v>
      </c>
      <c r="B394" s="7">
        <v>45166</v>
      </c>
      <c r="C394" s="8" t="s">
        <v>37</v>
      </c>
      <c r="D394" s="8" t="s">
        <v>23</v>
      </c>
      <c r="E394" s="8" t="s">
        <v>24</v>
      </c>
      <c r="F394" s="8" t="s">
        <v>31</v>
      </c>
      <c r="G394" s="8" t="s">
        <v>35</v>
      </c>
      <c r="H394" s="9">
        <v>22201.1</v>
      </c>
      <c r="I394" s="8">
        <v>6</v>
      </c>
      <c r="J394" s="10">
        <v>4513.6000000000004</v>
      </c>
      <c r="K394" s="17" t="str" cm="1">
        <f t="array" ref="K394">_xlfn.IFS(Table433[[#This Row],[Sales]]&gt;40000,"Best Sales",Table433[[#This Row],[Sales]]&gt;20000,"Average Sales",Table433[[#This Row],[Sales]]&gt;0,"Poor Sales")</f>
        <v>Average Sales</v>
      </c>
      <c r="L394" s="12">
        <f>YEAR(Table433[[#This Row],[Date]])</f>
        <v>2023</v>
      </c>
      <c r="M394" s="12">
        <f>MONTH(Table433[[#This Row],[Date]])</f>
        <v>8</v>
      </c>
      <c r="N394" s="13">
        <f>DAY(Table433[[#This Row],[Date]])</f>
        <v>28</v>
      </c>
      <c r="O394" s="13" t="str">
        <f>TEXT(DATE(2023,Table433[[#This Row],[Month]],1),"mmm")</f>
        <v>Aug</v>
      </c>
      <c r="P394" s="13"/>
      <c r="Q394" s="13"/>
    </row>
    <row r="395" spans="1:17" x14ac:dyDescent="0.3">
      <c r="A395" s="14">
        <v>394</v>
      </c>
      <c r="B395" s="15">
        <v>45112</v>
      </c>
      <c r="C395" s="16" t="s">
        <v>44</v>
      </c>
      <c r="D395" s="16" t="s">
        <v>34</v>
      </c>
      <c r="E395" s="16" t="s">
        <v>19</v>
      </c>
      <c r="F395" s="16" t="s">
        <v>20</v>
      </c>
      <c r="G395" s="16" t="s">
        <v>21</v>
      </c>
      <c r="H395" s="17">
        <v>32017.52</v>
      </c>
      <c r="I395" s="16">
        <v>9</v>
      </c>
      <c r="J395" s="18">
        <v>6657.95</v>
      </c>
      <c r="K395" s="17" t="str" cm="1">
        <f t="array" ref="K395">_xlfn.IFS(Table433[[#This Row],[Sales]]&gt;40000,"Best Sales",Table433[[#This Row],[Sales]]&gt;20000,"Average Sales",Table433[[#This Row],[Sales]]&gt;0,"Poor Sales")</f>
        <v>Average Sales</v>
      </c>
      <c r="L395" s="12">
        <f>YEAR(Table433[[#This Row],[Date]])</f>
        <v>2023</v>
      </c>
      <c r="M395" s="12">
        <f>MONTH(Table433[[#This Row],[Date]])</f>
        <v>7</v>
      </c>
      <c r="N395" s="13">
        <f>DAY(Table433[[#This Row],[Date]])</f>
        <v>5</v>
      </c>
      <c r="O395" s="13" t="str">
        <f>TEXT(DATE(2023,Table433[[#This Row],[Month]],1),"mmm")</f>
        <v>Jul</v>
      </c>
      <c r="P395" s="13"/>
      <c r="Q395" s="13"/>
    </row>
    <row r="396" spans="1:17" x14ac:dyDescent="0.3">
      <c r="A396" s="6">
        <v>395</v>
      </c>
      <c r="B396" s="7">
        <v>45042</v>
      </c>
      <c r="C396" s="8" t="s">
        <v>37</v>
      </c>
      <c r="D396" s="8" t="s">
        <v>23</v>
      </c>
      <c r="E396" s="8" t="s">
        <v>24</v>
      </c>
      <c r="F396" s="8" t="s">
        <v>20</v>
      </c>
      <c r="G396" s="8" t="s">
        <v>41</v>
      </c>
      <c r="H396" s="9">
        <v>9140.99</v>
      </c>
      <c r="I396" s="8">
        <v>9</v>
      </c>
      <c r="J396" s="10">
        <v>1852.84</v>
      </c>
      <c r="K396" s="17" t="str" cm="1">
        <f t="array" ref="K396">_xlfn.IFS(Table433[[#This Row],[Sales]]&gt;40000,"Best Sales",Table433[[#This Row],[Sales]]&gt;20000,"Average Sales",Table433[[#This Row],[Sales]]&gt;0,"Poor Sales")</f>
        <v>Poor Sales</v>
      </c>
      <c r="L396" s="12">
        <f>YEAR(Table433[[#This Row],[Date]])</f>
        <v>2023</v>
      </c>
      <c r="M396" s="12">
        <f>MONTH(Table433[[#This Row],[Date]])</f>
        <v>4</v>
      </c>
      <c r="N396" s="13">
        <f>DAY(Table433[[#This Row],[Date]])</f>
        <v>26</v>
      </c>
      <c r="O396" s="13" t="str">
        <f>TEXT(DATE(2023,Table433[[#This Row],[Month]],1),"mmm")</f>
        <v>Apr</v>
      </c>
      <c r="P396" s="13"/>
      <c r="Q396" s="13"/>
    </row>
    <row r="397" spans="1:17" x14ac:dyDescent="0.3">
      <c r="A397" s="14">
        <v>396</v>
      </c>
      <c r="B397" s="15">
        <v>44996</v>
      </c>
      <c r="C397" s="16" t="s">
        <v>17</v>
      </c>
      <c r="D397" s="16" t="s">
        <v>18</v>
      </c>
      <c r="E397" s="16" t="s">
        <v>27</v>
      </c>
      <c r="F397" s="16" t="s">
        <v>31</v>
      </c>
      <c r="G397" s="16" t="s">
        <v>35</v>
      </c>
      <c r="H397" s="17">
        <v>31801.74</v>
      </c>
      <c r="I397" s="16">
        <v>5</v>
      </c>
      <c r="J397" s="18">
        <v>4975.09</v>
      </c>
      <c r="K397" s="17" t="str" cm="1">
        <f t="array" ref="K397">_xlfn.IFS(Table433[[#This Row],[Sales]]&gt;40000,"Best Sales",Table433[[#This Row],[Sales]]&gt;20000,"Average Sales",Table433[[#This Row],[Sales]]&gt;0,"Poor Sales")</f>
        <v>Average Sales</v>
      </c>
      <c r="L397" s="12">
        <f>YEAR(Table433[[#This Row],[Date]])</f>
        <v>2023</v>
      </c>
      <c r="M397" s="12">
        <f>MONTH(Table433[[#This Row],[Date]])</f>
        <v>3</v>
      </c>
      <c r="N397" s="13">
        <f>DAY(Table433[[#This Row],[Date]])</f>
        <v>11</v>
      </c>
      <c r="O397" s="13" t="str">
        <f>TEXT(DATE(2023,Table433[[#This Row],[Month]],1),"mmm")</f>
        <v>Mar</v>
      </c>
      <c r="P397" s="13"/>
      <c r="Q397" s="13"/>
    </row>
    <row r="398" spans="1:17" x14ac:dyDescent="0.3">
      <c r="A398" s="6">
        <v>397</v>
      </c>
      <c r="B398" s="7">
        <v>45180</v>
      </c>
      <c r="C398" s="8" t="s">
        <v>29</v>
      </c>
      <c r="D398" s="8" t="s">
        <v>29</v>
      </c>
      <c r="E398" s="8" t="s">
        <v>27</v>
      </c>
      <c r="F398" s="8" t="s">
        <v>20</v>
      </c>
      <c r="G398" s="8" t="s">
        <v>41</v>
      </c>
      <c r="H398" s="9">
        <v>18034.93</v>
      </c>
      <c r="I398" s="8">
        <v>1</v>
      </c>
      <c r="J398" s="10">
        <v>2248.6999999999998</v>
      </c>
      <c r="K398" s="17" t="str" cm="1">
        <f t="array" ref="K398">_xlfn.IFS(Table433[[#This Row],[Sales]]&gt;40000,"Best Sales",Table433[[#This Row],[Sales]]&gt;20000,"Average Sales",Table433[[#This Row],[Sales]]&gt;0,"Poor Sales")</f>
        <v>Poor Sales</v>
      </c>
      <c r="L398" s="12">
        <f>YEAR(Table433[[#This Row],[Date]])</f>
        <v>2023</v>
      </c>
      <c r="M398" s="12">
        <f>MONTH(Table433[[#This Row],[Date]])</f>
        <v>9</v>
      </c>
      <c r="N398" s="13">
        <f>DAY(Table433[[#This Row],[Date]])</f>
        <v>11</v>
      </c>
      <c r="O398" s="13" t="str">
        <f>TEXT(DATE(2023,Table433[[#This Row],[Month]],1),"mmm")</f>
        <v>Sep</v>
      </c>
      <c r="P398" s="13"/>
      <c r="Q398" s="13"/>
    </row>
    <row r="399" spans="1:17" x14ac:dyDescent="0.3">
      <c r="A399" s="14">
        <v>398</v>
      </c>
      <c r="B399" s="15">
        <v>44941</v>
      </c>
      <c r="C399" s="16" t="s">
        <v>44</v>
      </c>
      <c r="D399" s="16" t="s">
        <v>34</v>
      </c>
      <c r="E399" s="16" t="s">
        <v>19</v>
      </c>
      <c r="F399" s="16" t="s">
        <v>20</v>
      </c>
      <c r="G399" s="16" t="s">
        <v>28</v>
      </c>
      <c r="H399" s="17">
        <v>29008.89</v>
      </c>
      <c r="I399" s="16">
        <v>3</v>
      </c>
      <c r="J399" s="18">
        <v>6564.12</v>
      </c>
      <c r="K399" s="17" t="str" cm="1">
        <f t="array" ref="K399">_xlfn.IFS(Table433[[#This Row],[Sales]]&gt;40000,"Best Sales",Table433[[#This Row],[Sales]]&gt;20000,"Average Sales",Table433[[#This Row],[Sales]]&gt;0,"Poor Sales")</f>
        <v>Average Sales</v>
      </c>
      <c r="L399" s="12">
        <f>YEAR(Table433[[#This Row],[Date]])</f>
        <v>2023</v>
      </c>
      <c r="M399" s="12">
        <f>MONTH(Table433[[#This Row],[Date]])</f>
        <v>1</v>
      </c>
      <c r="N399" s="13">
        <f>DAY(Table433[[#This Row],[Date]])</f>
        <v>15</v>
      </c>
      <c r="O399" s="13" t="str">
        <f>TEXT(DATE(2023,Table433[[#This Row],[Month]],1),"mmm")</f>
        <v>Jan</v>
      </c>
      <c r="P399" s="13"/>
      <c r="Q399" s="13"/>
    </row>
    <row r="400" spans="1:17" x14ac:dyDescent="0.3">
      <c r="A400" s="6">
        <v>399</v>
      </c>
      <c r="B400" s="7">
        <v>45171</v>
      </c>
      <c r="C400" s="8" t="s">
        <v>29</v>
      </c>
      <c r="D400" s="8" t="s">
        <v>29</v>
      </c>
      <c r="E400" s="8" t="s">
        <v>24</v>
      </c>
      <c r="F400" s="8" t="s">
        <v>20</v>
      </c>
      <c r="G400" s="8" t="s">
        <v>41</v>
      </c>
      <c r="H400" s="9">
        <v>23170.27</v>
      </c>
      <c r="I400" s="8">
        <v>7</v>
      </c>
      <c r="J400" s="10">
        <v>3487.51</v>
      </c>
      <c r="K400" s="17" t="str" cm="1">
        <f t="array" ref="K400">_xlfn.IFS(Table433[[#This Row],[Sales]]&gt;40000,"Best Sales",Table433[[#This Row],[Sales]]&gt;20000,"Average Sales",Table433[[#This Row],[Sales]]&gt;0,"Poor Sales")</f>
        <v>Average Sales</v>
      </c>
      <c r="L400" s="12">
        <f>YEAR(Table433[[#This Row],[Date]])</f>
        <v>2023</v>
      </c>
      <c r="M400" s="12">
        <f>MONTH(Table433[[#This Row],[Date]])</f>
        <v>9</v>
      </c>
      <c r="N400" s="13">
        <f>DAY(Table433[[#This Row],[Date]])</f>
        <v>2</v>
      </c>
      <c r="O400" s="13" t="str">
        <f>TEXT(DATE(2023,Table433[[#This Row],[Month]],1),"mmm")</f>
        <v>Sep</v>
      </c>
      <c r="P400" s="13"/>
      <c r="Q400" s="13"/>
    </row>
    <row r="401" spans="1:17" x14ac:dyDescent="0.3">
      <c r="A401" s="14">
        <v>400</v>
      </c>
      <c r="B401" s="15">
        <v>45225</v>
      </c>
      <c r="C401" s="16" t="s">
        <v>29</v>
      </c>
      <c r="D401" s="16" t="s">
        <v>29</v>
      </c>
      <c r="E401" s="16" t="s">
        <v>19</v>
      </c>
      <c r="F401" s="16" t="s">
        <v>20</v>
      </c>
      <c r="G401" s="16" t="s">
        <v>21</v>
      </c>
      <c r="H401" s="17">
        <v>17142.79</v>
      </c>
      <c r="I401" s="16">
        <v>5</v>
      </c>
      <c r="J401" s="18">
        <v>4739.3999999999996</v>
      </c>
      <c r="K401" s="17" t="str" cm="1">
        <f t="array" ref="K401">_xlfn.IFS(Table433[[#This Row],[Sales]]&gt;40000,"Best Sales",Table433[[#This Row],[Sales]]&gt;20000,"Average Sales",Table433[[#This Row],[Sales]]&gt;0,"Poor Sales")</f>
        <v>Poor Sales</v>
      </c>
      <c r="L401" s="12">
        <f>YEAR(Table433[[#This Row],[Date]])</f>
        <v>2023</v>
      </c>
      <c r="M401" s="12">
        <f>MONTH(Table433[[#This Row],[Date]])</f>
        <v>10</v>
      </c>
      <c r="N401" s="13">
        <f>DAY(Table433[[#This Row],[Date]])</f>
        <v>26</v>
      </c>
      <c r="O401" s="13" t="str">
        <f>TEXT(DATE(2023,Table433[[#This Row],[Month]],1),"mmm")</f>
        <v>Oct</v>
      </c>
      <c r="P401" s="13"/>
      <c r="Q401" s="13"/>
    </row>
    <row r="402" spans="1:17" x14ac:dyDescent="0.3">
      <c r="A402" s="6">
        <v>401</v>
      </c>
      <c r="B402" s="7">
        <v>45188</v>
      </c>
      <c r="C402" s="8" t="s">
        <v>29</v>
      </c>
      <c r="D402" s="8" t="s">
        <v>29</v>
      </c>
      <c r="E402" s="8" t="s">
        <v>24</v>
      </c>
      <c r="F402" s="8" t="s">
        <v>20</v>
      </c>
      <c r="G402" s="8" t="s">
        <v>41</v>
      </c>
      <c r="H402" s="9">
        <v>2524.96</v>
      </c>
      <c r="I402" s="8">
        <v>4</v>
      </c>
      <c r="J402" s="10">
        <v>350.09</v>
      </c>
      <c r="K402" s="17" t="str" cm="1">
        <f t="array" ref="K402">_xlfn.IFS(Table433[[#This Row],[Sales]]&gt;40000,"Best Sales",Table433[[#This Row],[Sales]]&gt;20000,"Average Sales",Table433[[#This Row],[Sales]]&gt;0,"Poor Sales")</f>
        <v>Poor Sales</v>
      </c>
      <c r="L402" s="12">
        <f>YEAR(Table433[[#This Row],[Date]])</f>
        <v>2023</v>
      </c>
      <c r="M402" s="12">
        <f>MONTH(Table433[[#This Row],[Date]])</f>
        <v>9</v>
      </c>
      <c r="N402" s="13">
        <f>DAY(Table433[[#This Row],[Date]])</f>
        <v>19</v>
      </c>
      <c r="O402" s="13" t="str">
        <f>TEXT(DATE(2023,Table433[[#This Row],[Month]],1),"mmm")</f>
        <v>Sep</v>
      </c>
      <c r="P402" s="13"/>
      <c r="Q402" s="13"/>
    </row>
    <row r="403" spans="1:17" x14ac:dyDescent="0.3">
      <c r="A403" s="14">
        <v>402</v>
      </c>
      <c r="B403" s="15">
        <v>45155</v>
      </c>
      <c r="C403" s="16" t="s">
        <v>25</v>
      </c>
      <c r="D403" s="16" t="s">
        <v>26</v>
      </c>
      <c r="E403" s="16" t="s">
        <v>27</v>
      </c>
      <c r="F403" s="16" t="s">
        <v>31</v>
      </c>
      <c r="G403" s="16" t="s">
        <v>35</v>
      </c>
      <c r="H403" s="17">
        <v>42834.37</v>
      </c>
      <c r="I403" s="16">
        <v>4</v>
      </c>
      <c r="J403" s="18">
        <v>4416.7700000000004</v>
      </c>
      <c r="K403" s="17" t="str" cm="1">
        <f t="array" ref="K403">_xlfn.IFS(Table433[[#This Row],[Sales]]&gt;40000,"Best Sales",Table433[[#This Row],[Sales]]&gt;20000,"Average Sales",Table433[[#This Row],[Sales]]&gt;0,"Poor Sales")</f>
        <v>Best Sales</v>
      </c>
      <c r="L403" s="12">
        <f>YEAR(Table433[[#This Row],[Date]])</f>
        <v>2023</v>
      </c>
      <c r="M403" s="12">
        <f>MONTH(Table433[[#This Row],[Date]])</f>
        <v>8</v>
      </c>
      <c r="N403" s="13">
        <f>DAY(Table433[[#This Row],[Date]])</f>
        <v>17</v>
      </c>
      <c r="O403" s="13" t="str">
        <f>TEXT(DATE(2023,Table433[[#This Row],[Month]],1),"mmm")</f>
        <v>Aug</v>
      </c>
      <c r="P403" s="13"/>
      <c r="Q403" s="13"/>
    </row>
    <row r="404" spans="1:17" x14ac:dyDescent="0.3">
      <c r="A404" s="6">
        <v>403</v>
      </c>
      <c r="B404" s="7">
        <v>44974</v>
      </c>
      <c r="C404" s="8" t="s">
        <v>44</v>
      </c>
      <c r="D404" s="8" t="s">
        <v>34</v>
      </c>
      <c r="E404" s="8" t="s">
        <v>27</v>
      </c>
      <c r="F404" s="8" t="s">
        <v>31</v>
      </c>
      <c r="G404" s="8" t="s">
        <v>36</v>
      </c>
      <c r="H404" s="9">
        <v>42841.86</v>
      </c>
      <c r="I404" s="8">
        <v>5</v>
      </c>
      <c r="J404" s="10">
        <v>9517.9500000000007</v>
      </c>
      <c r="K404" s="17" t="str" cm="1">
        <f t="array" ref="K404">_xlfn.IFS(Table433[[#This Row],[Sales]]&gt;40000,"Best Sales",Table433[[#This Row],[Sales]]&gt;20000,"Average Sales",Table433[[#This Row],[Sales]]&gt;0,"Poor Sales")</f>
        <v>Best Sales</v>
      </c>
      <c r="L404" s="12">
        <f>YEAR(Table433[[#This Row],[Date]])</f>
        <v>2023</v>
      </c>
      <c r="M404" s="12">
        <f>MONTH(Table433[[#This Row],[Date]])</f>
        <v>2</v>
      </c>
      <c r="N404" s="13">
        <f>DAY(Table433[[#This Row],[Date]])</f>
        <v>17</v>
      </c>
      <c r="O404" s="13" t="str">
        <f>TEXT(DATE(2023,Table433[[#This Row],[Month]],1),"mmm")</f>
        <v>Feb</v>
      </c>
      <c r="P404" s="13"/>
      <c r="Q404" s="13"/>
    </row>
    <row r="405" spans="1:17" x14ac:dyDescent="0.3">
      <c r="A405" s="14">
        <v>404</v>
      </c>
      <c r="B405" s="15">
        <v>45135</v>
      </c>
      <c r="C405" s="16" t="s">
        <v>44</v>
      </c>
      <c r="D405" s="16" t="s">
        <v>34</v>
      </c>
      <c r="E405" s="16" t="s">
        <v>19</v>
      </c>
      <c r="F405" s="16" t="s">
        <v>20</v>
      </c>
      <c r="G405" s="16" t="s">
        <v>41</v>
      </c>
      <c r="H405" s="17">
        <v>11685.69</v>
      </c>
      <c r="I405" s="16">
        <v>7</v>
      </c>
      <c r="J405" s="18">
        <v>1915.68</v>
      </c>
      <c r="K405" s="17" t="str" cm="1">
        <f t="array" ref="K405">_xlfn.IFS(Table433[[#This Row],[Sales]]&gt;40000,"Best Sales",Table433[[#This Row],[Sales]]&gt;20000,"Average Sales",Table433[[#This Row],[Sales]]&gt;0,"Poor Sales")</f>
        <v>Poor Sales</v>
      </c>
      <c r="L405" s="12">
        <f>YEAR(Table433[[#This Row],[Date]])</f>
        <v>2023</v>
      </c>
      <c r="M405" s="12">
        <f>MONTH(Table433[[#This Row],[Date]])</f>
        <v>7</v>
      </c>
      <c r="N405" s="13">
        <f>DAY(Table433[[#This Row],[Date]])</f>
        <v>28</v>
      </c>
      <c r="O405" s="13" t="str">
        <f>TEXT(DATE(2023,Table433[[#This Row],[Month]],1),"mmm")</f>
        <v>Jul</v>
      </c>
      <c r="P405" s="13"/>
      <c r="Q405" s="13"/>
    </row>
    <row r="406" spans="1:17" x14ac:dyDescent="0.3">
      <c r="A406" s="6">
        <v>405</v>
      </c>
      <c r="B406" s="7">
        <v>45181</v>
      </c>
      <c r="C406" s="8" t="s">
        <v>25</v>
      </c>
      <c r="D406" s="8" t="s">
        <v>26</v>
      </c>
      <c r="E406" s="8" t="s">
        <v>24</v>
      </c>
      <c r="F406" s="8" t="s">
        <v>31</v>
      </c>
      <c r="G406" s="8" t="s">
        <v>32</v>
      </c>
      <c r="H406" s="9">
        <v>19564.080000000002</v>
      </c>
      <c r="I406" s="8">
        <v>4</v>
      </c>
      <c r="J406" s="10">
        <v>5174.68</v>
      </c>
      <c r="K406" s="17" t="str" cm="1">
        <f t="array" ref="K406">_xlfn.IFS(Table433[[#This Row],[Sales]]&gt;40000,"Best Sales",Table433[[#This Row],[Sales]]&gt;20000,"Average Sales",Table433[[#This Row],[Sales]]&gt;0,"Poor Sales")</f>
        <v>Poor Sales</v>
      </c>
      <c r="L406" s="12">
        <f>YEAR(Table433[[#This Row],[Date]])</f>
        <v>2023</v>
      </c>
      <c r="M406" s="12">
        <f>MONTH(Table433[[#This Row],[Date]])</f>
        <v>9</v>
      </c>
      <c r="N406" s="13">
        <f>DAY(Table433[[#This Row],[Date]])</f>
        <v>12</v>
      </c>
      <c r="O406" s="13" t="str">
        <f>TEXT(DATE(2023,Table433[[#This Row],[Month]],1),"mmm")</f>
        <v>Sep</v>
      </c>
      <c r="P406" s="13"/>
      <c r="Q406" s="13"/>
    </row>
    <row r="407" spans="1:17" x14ac:dyDescent="0.3">
      <c r="A407" s="14">
        <v>406</v>
      </c>
      <c r="B407" s="15">
        <v>45190</v>
      </c>
      <c r="C407" s="16" t="s">
        <v>37</v>
      </c>
      <c r="D407" s="16" t="s">
        <v>23</v>
      </c>
      <c r="E407" s="16" t="s">
        <v>19</v>
      </c>
      <c r="F407" s="16" t="s">
        <v>20</v>
      </c>
      <c r="G407" s="16" t="s">
        <v>41</v>
      </c>
      <c r="H407" s="17">
        <v>19188.95</v>
      </c>
      <c r="I407" s="16">
        <v>8</v>
      </c>
      <c r="J407" s="18">
        <v>4252.95</v>
      </c>
      <c r="K407" s="17" t="str" cm="1">
        <f t="array" ref="K407">_xlfn.IFS(Table433[[#This Row],[Sales]]&gt;40000,"Best Sales",Table433[[#This Row],[Sales]]&gt;20000,"Average Sales",Table433[[#This Row],[Sales]]&gt;0,"Poor Sales")</f>
        <v>Poor Sales</v>
      </c>
      <c r="L407" s="12">
        <f>YEAR(Table433[[#This Row],[Date]])</f>
        <v>2023</v>
      </c>
      <c r="M407" s="12">
        <f>MONTH(Table433[[#This Row],[Date]])</f>
        <v>9</v>
      </c>
      <c r="N407" s="13">
        <f>DAY(Table433[[#This Row],[Date]])</f>
        <v>21</v>
      </c>
      <c r="O407" s="13" t="str">
        <f>TEXT(DATE(2023,Table433[[#This Row],[Month]],1),"mmm")</f>
        <v>Sep</v>
      </c>
      <c r="P407" s="13"/>
      <c r="Q407" s="13"/>
    </row>
    <row r="408" spans="1:17" x14ac:dyDescent="0.3">
      <c r="A408" s="6">
        <v>407</v>
      </c>
      <c r="B408" s="7">
        <v>45030</v>
      </c>
      <c r="C408" s="8" t="s">
        <v>42</v>
      </c>
      <c r="D408" s="8" t="s">
        <v>43</v>
      </c>
      <c r="E408" s="8" t="s">
        <v>24</v>
      </c>
      <c r="F408" s="8" t="s">
        <v>20</v>
      </c>
      <c r="G408" s="8" t="s">
        <v>21</v>
      </c>
      <c r="H408" s="9">
        <v>48474.84</v>
      </c>
      <c r="I408" s="8">
        <v>10</v>
      </c>
      <c r="J408" s="10">
        <v>4164.55</v>
      </c>
      <c r="K408" s="17" t="str" cm="1">
        <f t="array" ref="K408">_xlfn.IFS(Table433[[#This Row],[Sales]]&gt;40000,"Best Sales",Table433[[#This Row],[Sales]]&gt;20000,"Average Sales",Table433[[#This Row],[Sales]]&gt;0,"Poor Sales")</f>
        <v>Best Sales</v>
      </c>
      <c r="L408" s="12">
        <f>YEAR(Table433[[#This Row],[Date]])</f>
        <v>2023</v>
      </c>
      <c r="M408" s="12">
        <f>MONTH(Table433[[#This Row],[Date]])</f>
        <v>4</v>
      </c>
      <c r="N408" s="13">
        <f>DAY(Table433[[#This Row],[Date]])</f>
        <v>14</v>
      </c>
      <c r="O408" s="13" t="str">
        <f>TEXT(DATE(2023,Table433[[#This Row],[Month]],1),"mmm")</f>
        <v>Apr</v>
      </c>
      <c r="P408" s="13"/>
      <c r="Q408" s="13"/>
    </row>
    <row r="409" spans="1:17" x14ac:dyDescent="0.3">
      <c r="A409" s="14">
        <v>408</v>
      </c>
      <c r="B409" s="15">
        <v>44933</v>
      </c>
      <c r="C409" s="16" t="s">
        <v>42</v>
      </c>
      <c r="D409" s="16" t="s">
        <v>43</v>
      </c>
      <c r="E409" s="16" t="s">
        <v>27</v>
      </c>
      <c r="F409" s="16" t="s">
        <v>20</v>
      </c>
      <c r="G409" s="16" t="s">
        <v>28</v>
      </c>
      <c r="H409" s="17">
        <v>36147.51</v>
      </c>
      <c r="I409" s="16">
        <v>8</v>
      </c>
      <c r="J409" s="18">
        <v>7327.76</v>
      </c>
      <c r="K409" s="17" t="str" cm="1">
        <f t="array" ref="K409">_xlfn.IFS(Table433[[#This Row],[Sales]]&gt;40000,"Best Sales",Table433[[#This Row],[Sales]]&gt;20000,"Average Sales",Table433[[#This Row],[Sales]]&gt;0,"Poor Sales")</f>
        <v>Average Sales</v>
      </c>
      <c r="L409" s="12">
        <f>YEAR(Table433[[#This Row],[Date]])</f>
        <v>2023</v>
      </c>
      <c r="M409" s="12">
        <f>MONTH(Table433[[#This Row],[Date]])</f>
        <v>1</v>
      </c>
      <c r="N409" s="13">
        <f>DAY(Table433[[#This Row],[Date]])</f>
        <v>7</v>
      </c>
      <c r="O409" s="13" t="str">
        <f>TEXT(DATE(2023,Table433[[#This Row],[Month]],1),"mmm")</f>
        <v>Jan</v>
      </c>
      <c r="P409" s="13"/>
      <c r="Q409" s="13"/>
    </row>
    <row r="410" spans="1:17" x14ac:dyDescent="0.3">
      <c r="A410" s="6">
        <v>409</v>
      </c>
      <c r="B410" s="7">
        <v>45154</v>
      </c>
      <c r="C410" s="8" t="s">
        <v>22</v>
      </c>
      <c r="D410" s="8" t="s">
        <v>23</v>
      </c>
      <c r="E410" s="8" t="s">
        <v>27</v>
      </c>
      <c r="F410" s="8" t="s">
        <v>20</v>
      </c>
      <c r="G410" s="8" t="s">
        <v>28</v>
      </c>
      <c r="H410" s="9">
        <v>15852.65</v>
      </c>
      <c r="I410" s="8">
        <v>5</v>
      </c>
      <c r="J410" s="10">
        <v>1225.72</v>
      </c>
      <c r="K410" s="17" t="str" cm="1">
        <f t="array" ref="K410">_xlfn.IFS(Table433[[#This Row],[Sales]]&gt;40000,"Best Sales",Table433[[#This Row],[Sales]]&gt;20000,"Average Sales",Table433[[#This Row],[Sales]]&gt;0,"Poor Sales")</f>
        <v>Poor Sales</v>
      </c>
      <c r="L410" s="12">
        <f>YEAR(Table433[[#This Row],[Date]])</f>
        <v>2023</v>
      </c>
      <c r="M410" s="12">
        <f>MONTH(Table433[[#This Row],[Date]])</f>
        <v>8</v>
      </c>
      <c r="N410" s="13">
        <f>DAY(Table433[[#This Row],[Date]])</f>
        <v>16</v>
      </c>
      <c r="O410" s="13" t="str">
        <f>TEXT(DATE(2023,Table433[[#This Row],[Month]],1),"mmm")</f>
        <v>Aug</v>
      </c>
      <c r="P410" s="13"/>
      <c r="Q410" s="13"/>
    </row>
    <row r="411" spans="1:17" x14ac:dyDescent="0.3">
      <c r="A411" s="14">
        <v>410</v>
      </c>
      <c r="B411" s="15">
        <v>45231</v>
      </c>
      <c r="C411" s="16" t="s">
        <v>33</v>
      </c>
      <c r="D411" s="16" t="s">
        <v>34</v>
      </c>
      <c r="E411" s="16" t="s">
        <v>19</v>
      </c>
      <c r="F411" s="16" t="s">
        <v>38</v>
      </c>
      <c r="G411" s="16" t="s">
        <v>39</v>
      </c>
      <c r="H411" s="17">
        <v>39386.74</v>
      </c>
      <c r="I411" s="16">
        <v>8</v>
      </c>
      <c r="J411" s="18">
        <v>5212.04</v>
      </c>
      <c r="K411" s="17" t="str" cm="1">
        <f t="array" ref="K411">_xlfn.IFS(Table433[[#This Row],[Sales]]&gt;40000,"Best Sales",Table433[[#This Row],[Sales]]&gt;20000,"Average Sales",Table433[[#This Row],[Sales]]&gt;0,"Poor Sales")</f>
        <v>Average Sales</v>
      </c>
      <c r="L411" s="12">
        <f>YEAR(Table433[[#This Row],[Date]])</f>
        <v>2023</v>
      </c>
      <c r="M411" s="12">
        <f>MONTH(Table433[[#This Row],[Date]])</f>
        <v>11</v>
      </c>
      <c r="N411" s="13">
        <f>DAY(Table433[[#This Row],[Date]])</f>
        <v>1</v>
      </c>
      <c r="O411" s="13" t="str">
        <f>TEXT(DATE(2023,Table433[[#This Row],[Month]],1),"mmm")</f>
        <v>Nov</v>
      </c>
      <c r="P411" s="13"/>
      <c r="Q411" s="13"/>
    </row>
    <row r="412" spans="1:17" x14ac:dyDescent="0.3">
      <c r="A412" s="6">
        <v>411</v>
      </c>
      <c r="B412" s="7">
        <v>45234</v>
      </c>
      <c r="C412" s="8" t="s">
        <v>42</v>
      </c>
      <c r="D412" s="8" t="s">
        <v>43</v>
      </c>
      <c r="E412" s="8" t="s">
        <v>24</v>
      </c>
      <c r="F412" s="8" t="s">
        <v>38</v>
      </c>
      <c r="G412" s="8" t="s">
        <v>40</v>
      </c>
      <c r="H412" s="9">
        <v>1072.04</v>
      </c>
      <c r="I412" s="8">
        <v>1</v>
      </c>
      <c r="J412" s="10">
        <v>258.16000000000003</v>
      </c>
      <c r="K412" s="17" t="str" cm="1">
        <f t="array" ref="K412">_xlfn.IFS(Table433[[#This Row],[Sales]]&gt;40000,"Best Sales",Table433[[#This Row],[Sales]]&gt;20000,"Average Sales",Table433[[#This Row],[Sales]]&gt;0,"Poor Sales")</f>
        <v>Poor Sales</v>
      </c>
      <c r="L412" s="12">
        <f>YEAR(Table433[[#This Row],[Date]])</f>
        <v>2023</v>
      </c>
      <c r="M412" s="12">
        <f>MONTH(Table433[[#This Row],[Date]])</f>
        <v>11</v>
      </c>
      <c r="N412" s="13">
        <f>DAY(Table433[[#This Row],[Date]])</f>
        <v>4</v>
      </c>
      <c r="O412" s="13" t="str">
        <f>TEXT(DATE(2023,Table433[[#This Row],[Month]],1),"mmm")</f>
        <v>Nov</v>
      </c>
      <c r="P412" s="13"/>
      <c r="Q412" s="13"/>
    </row>
    <row r="413" spans="1:17" x14ac:dyDescent="0.3">
      <c r="A413" s="14">
        <v>412</v>
      </c>
      <c r="B413" s="15">
        <v>45107</v>
      </c>
      <c r="C413" s="16" t="s">
        <v>37</v>
      </c>
      <c r="D413" s="16" t="s">
        <v>23</v>
      </c>
      <c r="E413" s="16" t="s">
        <v>19</v>
      </c>
      <c r="F413" s="16" t="s">
        <v>20</v>
      </c>
      <c r="G413" s="16" t="s">
        <v>28</v>
      </c>
      <c r="H413" s="17">
        <v>34096.050000000003</v>
      </c>
      <c r="I413" s="16">
        <v>5</v>
      </c>
      <c r="J413" s="18">
        <v>8352.9</v>
      </c>
      <c r="K413" s="17" t="str" cm="1">
        <f t="array" ref="K413">_xlfn.IFS(Table433[[#This Row],[Sales]]&gt;40000,"Best Sales",Table433[[#This Row],[Sales]]&gt;20000,"Average Sales",Table433[[#This Row],[Sales]]&gt;0,"Poor Sales")</f>
        <v>Average Sales</v>
      </c>
      <c r="L413" s="12">
        <f>YEAR(Table433[[#This Row],[Date]])</f>
        <v>2023</v>
      </c>
      <c r="M413" s="12">
        <f>MONTH(Table433[[#This Row],[Date]])</f>
        <v>6</v>
      </c>
      <c r="N413" s="13">
        <f>DAY(Table433[[#This Row],[Date]])</f>
        <v>30</v>
      </c>
      <c r="O413" s="13" t="str">
        <f>TEXT(DATE(2023,Table433[[#This Row],[Month]],1),"mmm")</f>
        <v>Jun</v>
      </c>
      <c r="P413" s="13"/>
      <c r="Q413" s="13"/>
    </row>
    <row r="414" spans="1:17" x14ac:dyDescent="0.3">
      <c r="A414" s="6">
        <v>413</v>
      </c>
      <c r="B414" s="7">
        <v>44985</v>
      </c>
      <c r="C414" s="8" t="s">
        <v>45</v>
      </c>
      <c r="D414" s="8" t="s">
        <v>34</v>
      </c>
      <c r="E414" s="8" t="s">
        <v>24</v>
      </c>
      <c r="F414" s="8" t="s">
        <v>31</v>
      </c>
      <c r="G414" s="8" t="s">
        <v>36</v>
      </c>
      <c r="H414" s="9">
        <v>21431.4</v>
      </c>
      <c r="I414" s="8">
        <v>6</v>
      </c>
      <c r="J414" s="10">
        <v>3110.02</v>
      </c>
      <c r="K414" s="17" t="str" cm="1">
        <f t="array" ref="K414">_xlfn.IFS(Table433[[#This Row],[Sales]]&gt;40000,"Best Sales",Table433[[#This Row],[Sales]]&gt;20000,"Average Sales",Table433[[#This Row],[Sales]]&gt;0,"Poor Sales")</f>
        <v>Average Sales</v>
      </c>
      <c r="L414" s="12">
        <f>YEAR(Table433[[#This Row],[Date]])</f>
        <v>2023</v>
      </c>
      <c r="M414" s="12">
        <f>MONTH(Table433[[#This Row],[Date]])</f>
        <v>2</v>
      </c>
      <c r="N414" s="13">
        <f>DAY(Table433[[#This Row],[Date]])</f>
        <v>28</v>
      </c>
      <c r="O414" s="13" t="str">
        <f>TEXT(DATE(2023,Table433[[#This Row],[Month]],1),"mmm")</f>
        <v>Feb</v>
      </c>
      <c r="P414" s="13"/>
      <c r="Q414" s="13"/>
    </row>
    <row r="415" spans="1:17" x14ac:dyDescent="0.3">
      <c r="A415" s="14">
        <v>414</v>
      </c>
      <c r="B415" s="15">
        <v>45197</v>
      </c>
      <c r="C415" s="16" t="s">
        <v>29</v>
      </c>
      <c r="D415" s="16" t="s">
        <v>29</v>
      </c>
      <c r="E415" s="16" t="s">
        <v>27</v>
      </c>
      <c r="F415" s="16" t="s">
        <v>38</v>
      </c>
      <c r="G415" s="16" t="s">
        <v>40</v>
      </c>
      <c r="H415" s="17">
        <v>49809.53</v>
      </c>
      <c r="I415" s="16">
        <v>10</v>
      </c>
      <c r="J415" s="18">
        <v>12615.9</v>
      </c>
      <c r="K415" s="17" t="str" cm="1">
        <f t="array" ref="K415">_xlfn.IFS(Table433[[#This Row],[Sales]]&gt;40000,"Best Sales",Table433[[#This Row],[Sales]]&gt;20000,"Average Sales",Table433[[#This Row],[Sales]]&gt;0,"Poor Sales")</f>
        <v>Best Sales</v>
      </c>
      <c r="L415" s="12">
        <f>YEAR(Table433[[#This Row],[Date]])</f>
        <v>2023</v>
      </c>
      <c r="M415" s="12">
        <f>MONTH(Table433[[#This Row],[Date]])</f>
        <v>9</v>
      </c>
      <c r="N415" s="13">
        <f>DAY(Table433[[#This Row],[Date]])</f>
        <v>28</v>
      </c>
      <c r="O415" s="13" t="str">
        <f>TEXT(DATE(2023,Table433[[#This Row],[Month]],1),"mmm")</f>
        <v>Sep</v>
      </c>
      <c r="P415" s="13"/>
      <c r="Q415" s="13"/>
    </row>
    <row r="416" spans="1:17" x14ac:dyDescent="0.3">
      <c r="A416" s="6">
        <v>415</v>
      </c>
      <c r="B416" s="7">
        <v>45168</v>
      </c>
      <c r="C416" s="8" t="s">
        <v>17</v>
      </c>
      <c r="D416" s="8" t="s">
        <v>18</v>
      </c>
      <c r="E416" s="8" t="s">
        <v>27</v>
      </c>
      <c r="F416" s="8" t="s">
        <v>20</v>
      </c>
      <c r="G416" s="8" t="s">
        <v>28</v>
      </c>
      <c r="H416" s="9">
        <v>37457.269999999997</v>
      </c>
      <c r="I416" s="8">
        <v>2</v>
      </c>
      <c r="J416" s="10">
        <v>2038.02</v>
      </c>
      <c r="K416" s="17" t="str" cm="1">
        <f t="array" ref="K416">_xlfn.IFS(Table433[[#This Row],[Sales]]&gt;40000,"Best Sales",Table433[[#This Row],[Sales]]&gt;20000,"Average Sales",Table433[[#This Row],[Sales]]&gt;0,"Poor Sales")</f>
        <v>Average Sales</v>
      </c>
      <c r="L416" s="12">
        <f>YEAR(Table433[[#This Row],[Date]])</f>
        <v>2023</v>
      </c>
      <c r="M416" s="12">
        <f>MONTH(Table433[[#This Row],[Date]])</f>
        <v>8</v>
      </c>
      <c r="N416" s="13">
        <f>DAY(Table433[[#This Row],[Date]])</f>
        <v>30</v>
      </c>
      <c r="O416" s="13" t="str">
        <f>TEXT(DATE(2023,Table433[[#This Row],[Month]],1),"mmm")</f>
        <v>Aug</v>
      </c>
      <c r="P416" s="13"/>
      <c r="Q416" s="13"/>
    </row>
    <row r="417" spans="1:17" x14ac:dyDescent="0.3">
      <c r="A417" s="14">
        <v>416</v>
      </c>
      <c r="B417" s="15">
        <v>45265</v>
      </c>
      <c r="C417" s="16" t="s">
        <v>25</v>
      </c>
      <c r="D417" s="16" t="s">
        <v>26</v>
      </c>
      <c r="E417" s="16" t="s">
        <v>19</v>
      </c>
      <c r="F417" s="16" t="s">
        <v>31</v>
      </c>
      <c r="G417" s="16" t="s">
        <v>32</v>
      </c>
      <c r="H417" s="17">
        <v>9482.2900000000009</v>
      </c>
      <c r="I417" s="16">
        <v>8</v>
      </c>
      <c r="J417" s="18">
        <v>1193.25</v>
      </c>
      <c r="K417" s="17" t="str" cm="1">
        <f t="array" ref="K417">_xlfn.IFS(Table433[[#This Row],[Sales]]&gt;40000,"Best Sales",Table433[[#This Row],[Sales]]&gt;20000,"Average Sales",Table433[[#This Row],[Sales]]&gt;0,"Poor Sales")</f>
        <v>Poor Sales</v>
      </c>
      <c r="L417" s="12">
        <f>YEAR(Table433[[#This Row],[Date]])</f>
        <v>2023</v>
      </c>
      <c r="M417" s="12">
        <f>MONTH(Table433[[#This Row],[Date]])</f>
        <v>12</v>
      </c>
      <c r="N417" s="13">
        <f>DAY(Table433[[#This Row],[Date]])</f>
        <v>5</v>
      </c>
      <c r="O417" s="13" t="str">
        <f>TEXT(DATE(2023,Table433[[#This Row],[Month]],1),"mmm")</f>
        <v>Dec</v>
      </c>
      <c r="P417" s="13"/>
      <c r="Q417" s="13"/>
    </row>
    <row r="418" spans="1:17" x14ac:dyDescent="0.3">
      <c r="A418" s="6">
        <v>417</v>
      </c>
      <c r="B418" s="7">
        <v>45099</v>
      </c>
      <c r="C418" s="8" t="s">
        <v>33</v>
      </c>
      <c r="D418" s="8" t="s">
        <v>34</v>
      </c>
      <c r="E418" s="8" t="s">
        <v>24</v>
      </c>
      <c r="F418" s="8" t="s">
        <v>31</v>
      </c>
      <c r="G418" s="8" t="s">
        <v>35</v>
      </c>
      <c r="H418" s="9">
        <v>35623</v>
      </c>
      <c r="I418" s="8">
        <v>7</v>
      </c>
      <c r="J418" s="10">
        <v>6475.03</v>
      </c>
      <c r="K418" s="17" t="str" cm="1">
        <f t="array" ref="K418">_xlfn.IFS(Table433[[#This Row],[Sales]]&gt;40000,"Best Sales",Table433[[#This Row],[Sales]]&gt;20000,"Average Sales",Table433[[#This Row],[Sales]]&gt;0,"Poor Sales")</f>
        <v>Average Sales</v>
      </c>
      <c r="L418" s="12">
        <f>YEAR(Table433[[#This Row],[Date]])</f>
        <v>2023</v>
      </c>
      <c r="M418" s="12">
        <f>MONTH(Table433[[#This Row],[Date]])</f>
        <v>6</v>
      </c>
      <c r="N418" s="13">
        <f>DAY(Table433[[#This Row],[Date]])</f>
        <v>22</v>
      </c>
      <c r="O418" s="13" t="str">
        <f>TEXT(DATE(2023,Table433[[#This Row],[Month]],1),"mmm")</f>
        <v>Jun</v>
      </c>
      <c r="P418" s="13"/>
      <c r="Q418" s="13"/>
    </row>
    <row r="419" spans="1:17" x14ac:dyDescent="0.3">
      <c r="A419" s="14">
        <v>418</v>
      </c>
      <c r="B419" s="15">
        <v>44953</v>
      </c>
      <c r="C419" s="16" t="s">
        <v>29</v>
      </c>
      <c r="D419" s="16" t="s">
        <v>29</v>
      </c>
      <c r="E419" s="16" t="s">
        <v>19</v>
      </c>
      <c r="F419" s="16" t="s">
        <v>38</v>
      </c>
      <c r="G419" s="16" t="s">
        <v>46</v>
      </c>
      <c r="H419" s="17">
        <v>46161.55</v>
      </c>
      <c r="I419" s="16">
        <v>8</v>
      </c>
      <c r="J419" s="18">
        <v>11578.56</v>
      </c>
      <c r="K419" s="17" t="str" cm="1">
        <f t="array" ref="K419">_xlfn.IFS(Table433[[#This Row],[Sales]]&gt;40000,"Best Sales",Table433[[#This Row],[Sales]]&gt;20000,"Average Sales",Table433[[#This Row],[Sales]]&gt;0,"Poor Sales")</f>
        <v>Best Sales</v>
      </c>
      <c r="L419" s="12">
        <f>YEAR(Table433[[#This Row],[Date]])</f>
        <v>2023</v>
      </c>
      <c r="M419" s="12">
        <f>MONTH(Table433[[#This Row],[Date]])</f>
        <v>1</v>
      </c>
      <c r="N419" s="13">
        <f>DAY(Table433[[#This Row],[Date]])</f>
        <v>27</v>
      </c>
      <c r="O419" s="13" t="str">
        <f>TEXT(DATE(2023,Table433[[#This Row],[Month]],1),"mmm")</f>
        <v>Jan</v>
      </c>
      <c r="P419" s="13"/>
      <c r="Q419" s="13"/>
    </row>
    <row r="420" spans="1:17" x14ac:dyDescent="0.3">
      <c r="A420" s="6">
        <v>419</v>
      </c>
      <c r="B420" s="7">
        <v>45039</v>
      </c>
      <c r="C420" s="8" t="s">
        <v>22</v>
      </c>
      <c r="D420" s="8" t="s">
        <v>23</v>
      </c>
      <c r="E420" s="8" t="s">
        <v>24</v>
      </c>
      <c r="F420" s="8" t="s">
        <v>31</v>
      </c>
      <c r="G420" s="8" t="s">
        <v>32</v>
      </c>
      <c r="H420" s="9">
        <v>14247.34</v>
      </c>
      <c r="I420" s="8">
        <v>8</v>
      </c>
      <c r="J420" s="10">
        <v>837.69</v>
      </c>
      <c r="K420" s="17" t="str" cm="1">
        <f t="array" ref="K420">_xlfn.IFS(Table433[[#This Row],[Sales]]&gt;40000,"Best Sales",Table433[[#This Row],[Sales]]&gt;20000,"Average Sales",Table433[[#This Row],[Sales]]&gt;0,"Poor Sales")</f>
        <v>Poor Sales</v>
      </c>
      <c r="L420" s="12">
        <f>YEAR(Table433[[#This Row],[Date]])</f>
        <v>2023</v>
      </c>
      <c r="M420" s="12">
        <f>MONTH(Table433[[#This Row],[Date]])</f>
        <v>4</v>
      </c>
      <c r="N420" s="13">
        <f>DAY(Table433[[#This Row],[Date]])</f>
        <v>23</v>
      </c>
      <c r="O420" s="13" t="str">
        <f>TEXT(DATE(2023,Table433[[#This Row],[Month]],1),"mmm")</f>
        <v>Apr</v>
      </c>
      <c r="P420" s="13"/>
      <c r="Q420" s="13"/>
    </row>
    <row r="421" spans="1:17" x14ac:dyDescent="0.3">
      <c r="A421" s="14">
        <v>420</v>
      </c>
      <c r="B421" s="15">
        <v>45292</v>
      </c>
      <c r="C421" s="16" t="s">
        <v>29</v>
      </c>
      <c r="D421" s="16" t="s">
        <v>29</v>
      </c>
      <c r="E421" s="16" t="s">
        <v>27</v>
      </c>
      <c r="F421" s="16" t="s">
        <v>38</v>
      </c>
      <c r="G421" s="16" t="s">
        <v>40</v>
      </c>
      <c r="H421" s="17">
        <v>2003.36</v>
      </c>
      <c r="I421" s="16">
        <v>5</v>
      </c>
      <c r="J421" s="18">
        <v>300.98</v>
      </c>
      <c r="K421" s="17" t="str" cm="1">
        <f t="array" ref="K421">_xlfn.IFS(Table433[[#This Row],[Sales]]&gt;40000,"Best Sales",Table433[[#This Row],[Sales]]&gt;20000,"Average Sales",Table433[[#This Row],[Sales]]&gt;0,"Poor Sales")</f>
        <v>Poor Sales</v>
      </c>
      <c r="L421" s="12">
        <f>YEAR(Table433[[#This Row],[Date]])</f>
        <v>2024</v>
      </c>
      <c r="M421" s="12">
        <f>MONTH(Table433[[#This Row],[Date]])</f>
        <v>1</v>
      </c>
      <c r="N421" s="13">
        <f>DAY(Table433[[#This Row],[Date]])</f>
        <v>1</v>
      </c>
      <c r="O421" s="13" t="str">
        <f>TEXT(DATE(2023,Table433[[#This Row],[Month]],1),"mmm")</f>
        <v>Jan</v>
      </c>
      <c r="P421" s="13"/>
      <c r="Q421" s="13"/>
    </row>
    <row r="422" spans="1:17" x14ac:dyDescent="0.3">
      <c r="A422" s="6">
        <v>421</v>
      </c>
      <c r="B422" s="7">
        <v>45029</v>
      </c>
      <c r="C422" s="8" t="s">
        <v>42</v>
      </c>
      <c r="D422" s="8" t="s">
        <v>43</v>
      </c>
      <c r="E422" s="8" t="s">
        <v>27</v>
      </c>
      <c r="F422" s="8" t="s">
        <v>20</v>
      </c>
      <c r="G422" s="8" t="s">
        <v>21</v>
      </c>
      <c r="H422" s="9">
        <v>25271.97</v>
      </c>
      <c r="I422" s="8">
        <v>5</v>
      </c>
      <c r="J422" s="10">
        <v>7144.62</v>
      </c>
      <c r="K422" s="17" t="str" cm="1">
        <f t="array" ref="K422">_xlfn.IFS(Table433[[#This Row],[Sales]]&gt;40000,"Best Sales",Table433[[#This Row],[Sales]]&gt;20000,"Average Sales",Table433[[#This Row],[Sales]]&gt;0,"Poor Sales")</f>
        <v>Average Sales</v>
      </c>
      <c r="L422" s="12">
        <f>YEAR(Table433[[#This Row],[Date]])</f>
        <v>2023</v>
      </c>
      <c r="M422" s="12">
        <f>MONTH(Table433[[#This Row],[Date]])</f>
        <v>4</v>
      </c>
      <c r="N422" s="13">
        <f>DAY(Table433[[#This Row],[Date]])</f>
        <v>13</v>
      </c>
      <c r="O422" s="13" t="str">
        <f>TEXT(DATE(2023,Table433[[#This Row],[Month]],1),"mmm")</f>
        <v>Apr</v>
      </c>
      <c r="P422" s="13"/>
      <c r="Q422" s="13"/>
    </row>
    <row r="423" spans="1:17" x14ac:dyDescent="0.3">
      <c r="A423" s="14">
        <v>422</v>
      </c>
      <c r="B423" s="15">
        <v>44987</v>
      </c>
      <c r="C423" s="16" t="s">
        <v>42</v>
      </c>
      <c r="D423" s="16" t="s">
        <v>43</v>
      </c>
      <c r="E423" s="16" t="s">
        <v>19</v>
      </c>
      <c r="F423" s="16" t="s">
        <v>31</v>
      </c>
      <c r="G423" s="16" t="s">
        <v>32</v>
      </c>
      <c r="H423" s="17">
        <v>37101.279999999999</v>
      </c>
      <c r="I423" s="16">
        <v>10</v>
      </c>
      <c r="J423" s="18">
        <v>7469.11</v>
      </c>
      <c r="K423" s="17" t="str" cm="1">
        <f t="array" ref="K423">_xlfn.IFS(Table433[[#This Row],[Sales]]&gt;40000,"Best Sales",Table433[[#This Row],[Sales]]&gt;20000,"Average Sales",Table433[[#This Row],[Sales]]&gt;0,"Poor Sales")</f>
        <v>Average Sales</v>
      </c>
      <c r="L423" s="12">
        <f>YEAR(Table433[[#This Row],[Date]])</f>
        <v>2023</v>
      </c>
      <c r="M423" s="12">
        <f>MONTH(Table433[[#This Row],[Date]])</f>
        <v>3</v>
      </c>
      <c r="N423" s="13">
        <f>DAY(Table433[[#This Row],[Date]])</f>
        <v>2</v>
      </c>
      <c r="O423" s="13" t="str">
        <f>TEXT(DATE(2023,Table433[[#This Row],[Month]],1),"mmm")</f>
        <v>Mar</v>
      </c>
      <c r="P423" s="13"/>
      <c r="Q423" s="13"/>
    </row>
    <row r="424" spans="1:17" x14ac:dyDescent="0.3">
      <c r="A424" s="6">
        <v>423</v>
      </c>
      <c r="B424" s="7">
        <v>44979</v>
      </c>
      <c r="C424" s="8" t="s">
        <v>44</v>
      </c>
      <c r="D424" s="8" t="s">
        <v>34</v>
      </c>
      <c r="E424" s="8" t="s">
        <v>24</v>
      </c>
      <c r="F424" s="8" t="s">
        <v>38</v>
      </c>
      <c r="G424" s="8" t="s">
        <v>40</v>
      </c>
      <c r="H424" s="9">
        <v>42041.48</v>
      </c>
      <c r="I424" s="8">
        <v>3</v>
      </c>
      <c r="J424" s="10">
        <v>3319.44</v>
      </c>
      <c r="K424" s="17" t="str" cm="1">
        <f t="array" ref="K424">_xlfn.IFS(Table433[[#This Row],[Sales]]&gt;40000,"Best Sales",Table433[[#This Row],[Sales]]&gt;20000,"Average Sales",Table433[[#This Row],[Sales]]&gt;0,"Poor Sales")</f>
        <v>Best Sales</v>
      </c>
      <c r="L424" s="12">
        <f>YEAR(Table433[[#This Row],[Date]])</f>
        <v>2023</v>
      </c>
      <c r="M424" s="12">
        <f>MONTH(Table433[[#This Row],[Date]])</f>
        <v>2</v>
      </c>
      <c r="N424" s="13">
        <f>DAY(Table433[[#This Row],[Date]])</f>
        <v>22</v>
      </c>
      <c r="O424" s="13" t="str">
        <f>TEXT(DATE(2023,Table433[[#This Row],[Month]],1),"mmm")</f>
        <v>Feb</v>
      </c>
      <c r="P424" s="13"/>
      <c r="Q424" s="13"/>
    </row>
    <row r="425" spans="1:17" x14ac:dyDescent="0.3">
      <c r="A425" s="14">
        <v>424</v>
      </c>
      <c r="B425" s="15">
        <v>45179</v>
      </c>
      <c r="C425" s="16" t="s">
        <v>25</v>
      </c>
      <c r="D425" s="16" t="s">
        <v>26</v>
      </c>
      <c r="E425" s="16" t="s">
        <v>19</v>
      </c>
      <c r="F425" s="16" t="s">
        <v>31</v>
      </c>
      <c r="G425" s="16" t="s">
        <v>35</v>
      </c>
      <c r="H425" s="17">
        <v>20704.54</v>
      </c>
      <c r="I425" s="16">
        <v>3</v>
      </c>
      <c r="J425" s="18">
        <v>2503.7199999999998</v>
      </c>
      <c r="K425" s="17" t="str" cm="1">
        <f t="array" ref="K425">_xlfn.IFS(Table433[[#This Row],[Sales]]&gt;40000,"Best Sales",Table433[[#This Row],[Sales]]&gt;20000,"Average Sales",Table433[[#This Row],[Sales]]&gt;0,"Poor Sales")</f>
        <v>Average Sales</v>
      </c>
      <c r="L425" s="12">
        <f>YEAR(Table433[[#This Row],[Date]])</f>
        <v>2023</v>
      </c>
      <c r="M425" s="12">
        <f>MONTH(Table433[[#This Row],[Date]])</f>
        <v>9</v>
      </c>
      <c r="N425" s="13">
        <f>DAY(Table433[[#This Row],[Date]])</f>
        <v>10</v>
      </c>
      <c r="O425" s="13" t="str">
        <f>TEXT(DATE(2023,Table433[[#This Row],[Month]],1),"mmm")</f>
        <v>Sep</v>
      </c>
      <c r="P425" s="13"/>
      <c r="Q425" s="13"/>
    </row>
    <row r="426" spans="1:17" x14ac:dyDescent="0.3">
      <c r="A426" s="6">
        <v>425</v>
      </c>
      <c r="B426" s="7">
        <v>45045</v>
      </c>
      <c r="C426" s="8" t="s">
        <v>37</v>
      </c>
      <c r="D426" s="8" t="s">
        <v>23</v>
      </c>
      <c r="E426" s="8" t="s">
        <v>24</v>
      </c>
      <c r="F426" s="8" t="s">
        <v>31</v>
      </c>
      <c r="G426" s="8" t="s">
        <v>32</v>
      </c>
      <c r="H426" s="9">
        <v>22455.3</v>
      </c>
      <c r="I426" s="8">
        <v>10</v>
      </c>
      <c r="J426" s="10">
        <v>3904.62</v>
      </c>
      <c r="K426" s="17" t="str" cm="1">
        <f t="array" ref="K426">_xlfn.IFS(Table433[[#This Row],[Sales]]&gt;40000,"Best Sales",Table433[[#This Row],[Sales]]&gt;20000,"Average Sales",Table433[[#This Row],[Sales]]&gt;0,"Poor Sales")</f>
        <v>Average Sales</v>
      </c>
      <c r="L426" s="12">
        <f>YEAR(Table433[[#This Row],[Date]])</f>
        <v>2023</v>
      </c>
      <c r="M426" s="12">
        <f>MONTH(Table433[[#This Row],[Date]])</f>
        <v>4</v>
      </c>
      <c r="N426" s="13">
        <f>DAY(Table433[[#This Row],[Date]])</f>
        <v>29</v>
      </c>
      <c r="O426" s="13" t="str">
        <f>TEXT(DATE(2023,Table433[[#This Row],[Month]],1),"mmm")</f>
        <v>Apr</v>
      </c>
      <c r="P426" s="13"/>
      <c r="Q426" s="13"/>
    </row>
    <row r="427" spans="1:17" x14ac:dyDescent="0.3">
      <c r="A427" s="14">
        <v>426</v>
      </c>
      <c r="B427" s="15">
        <v>44991</v>
      </c>
      <c r="C427" s="16" t="s">
        <v>42</v>
      </c>
      <c r="D427" s="16" t="s">
        <v>43</v>
      </c>
      <c r="E427" s="16" t="s">
        <v>27</v>
      </c>
      <c r="F427" s="16" t="s">
        <v>38</v>
      </c>
      <c r="G427" s="16" t="s">
        <v>40</v>
      </c>
      <c r="H427" s="17">
        <v>6038.12</v>
      </c>
      <c r="I427" s="16">
        <v>3</v>
      </c>
      <c r="J427" s="18">
        <v>525.65</v>
      </c>
      <c r="K427" s="17" t="str" cm="1">
        <f t="array" ref="K427">_xlfn.IFS(Table433[[#This Row],[Sales]]&gt;40000,"Best Sales",Table433[[#This Row],[Sales]]&gt;20000,"Average Sales",Table433[[#This Row],[Sales]]&gt;0,"Poor Sales")</f>
        <v>Poor Sales</v>
      </c>
      <c r="L427" s="12">
        <f>YEAR(Table433[[#This Row],[Date]])</f>
        <v>2023</v>
      </c>
      <c r="M427" s="12">
        <f>MONTH(Table433[[#This Row],[Date]])</f>
        <v>3</v>
      </c>
      <c r="N427" s="13">
        <f>DAY(Table433[[#This Row],[Date]])</f>
        <v>6</v>
      </c>
      <c r="O427" s="13" t="str">
        <f>TEXT(DATE(2023,Table433[[#This Row],[Month]],1),"mmm")</f>
        <v>Mar</v>
      </c>
      <c r="P427" s="13"/>
      <c r="Q427" s="13"/>
    </row>
    <row r="428" spans="1:17" x14ac:dyDescent="0.3">
      <c r="A428" s="6">
        <v>427</v>
      </c>
      <c r="B428" s="7">
        <v>45058</v>
      </c>
      <c r="C428" s="8" t="s">
        <v>42</v>
      </c>
      <c r="D428" s="8" t="s">
        <v>43</v>
      </c>
      <c r="E428" s="8" t="s">
        <v>27</v>
      </c>
      <c r="F428" s="8" t="s">
        <v>38</v>
      </c>
      <c r="G428" s="8" t="s">
        <v>40</v>
      </c>
      <c r="H428" s="9">
        <v>48326.83</v>
      </c>
      <c r="I428" s="8">
        <v>4</v>
      </c>
      <c r="J428" s="10">
        <v>3436.06</v>
      </c>
      <c r="K428" s="17" t="str" cm="1">
        <f t="array" ref="K428">_xlfn.IFS(Table433[[#This Row],[Sales]]&gt;40000,"Best Sales",Table433[[#This Row],[Sales]]&gt;20000,"Average Sales",Table433[[#This Row],[Sales]]&gt;0,"Poor Sales")</f>
        <v>Best Sales</v>
      </c>
      <c r="L428" s="12">
        <f>YEAR(Table433[[#This Row],[Date]])</f>
        <v>2023</v>
      </c>
      <c r="M428" s="12">
        <f>MONTH(Table433[[#This Row],[Date]])</f>
        <v>5</v>
      </c>
      <c r="N428" s="13">
        <f>DAY(Table433[[#This Row],[Date]])</f>
        <v>12</v>
      </c>
      <c r="O428" s="13" t="str">
        <f>TEXT(DATE(2023,Table433[[#This Row],[Month]],1),"mmm")</f>
        <v>May</v>
      </c>
      <c r="P428" s="13"/>
      <c r="Q428" s="13"/>
    </row>
    <row r="429" spans="1:17" x14ac:dyDescent="0.3">
      <c r="A429" s="14">
        <v>428</v>
      </c>
      <c r="B429" s="15">
        <v>45284</v>
      </c>
      <c r="C429" s="16" t="s">
        <v>37</v>
      </c>
      <c r="D429" s="16" t="s">
        <v>23</v>
      </c>
      <c r="E429" s="16" t="s">
        <v>19</v>
      </c>
      <c r="F429" s="16" t="s">
        <v>31</v>
      </c>
      <c r="G429" s="16" t="s">
        <v>32</v>
      </c>
      <c r="H429" s="17">
        <v>9672.61</v>
      </c>
      <c r="I429" s="16">
        <v>2</v>
      </c>
      <c r="J429" s="18">
        <v>984.08</v>
      </c>
      <c r="K429" s="17" t="str" cm="1">
        <f t="array" ref="K429">_xlfn.IFS(Table433[[#This Row],[Sales]]&gt;40000,"Best Sales",Table433[[#This Row],[Sales]]&gt;20000,"Average Sales",Table433[[#This Row],[Sales]]&gt;0,"Poor Sales")</f>
        <v>Poor Sales</v>
      </c>
      <c r="L429" s="12">
        <f>YEAR(Table433[[#This Row],[Date]])</f>
        <v>2023</v>
      </c>
      <c r="M429" s="12">
        <f>MONTH(Table433[[#This Row],[Date]])</f>
        <v>12</v>
      </c>
      <c r="N429" s="13">
        <f>DAY(Table433[[#This Row],[Date]])</f>
        <v>24</v>
      </c>
      <c r="O429" s="13" t="str">
        <f>TEXT(DATE(2023,Table433[[#This Row],[Month]],1),"mmm")</f>
        <v>Dec</v>
      </c>
      <c r="P429" s="13"/>
      <c r="Q429" s="13"/>
    </row>
    <row r="430" spans="1:17" x14ac:dyDescent="0.3">
      <c r="A430" s="6">
        <v>429</v>
      </c>
      <c r="B430" s="7">
        <v>45247</v>
      </c>
      <c r="C430" s="8" t="s">
        <v>17</v>
      </c>
      <c r="D430" s="8" t="s">
        <v>18</v>
      </c>
      <c r="E430" s="8" t="s">
        <v>24</v>
      </c>
      <c r="F430" s="8" t="s">
        <v>38</v>
      </c>
      <c r="G430" s="8" t="s">
        <v>46</v>
      </c>
      <c r="H430" s="9">
        <v>19904.45</v>
      </c>
      <c r="I430" s="8">
        <v>9</v>
      </c>
      <c r="J430" s="10">
        <v>5096.17</v>
      </c>
      <c r="K430" s="17" t="str" cm="1">
        <f t="array" ref="K430">_xlfn.IFS(Table433[[#This Row],[Sales]]&gt;40000,"Best Sales",Table433[[#This Row],[Sales]]&gt;20000,"Average Sales",Table433[[#This Row],[Sales]]&gt;0,"Poor Sales")</f>
        <v>Poor Sales</v>
      </c>
      <c r="L430" s="12">
        <f>YEAR(Table433[[#This Row],[Date]])</f>
        <v>2023</v>
      </c>
      <c r="M430" s="12">
        <f>MONTH(Table433[[#This Row],[Date]])</f>
        <v>11</v>
      </c>
      <c r="N430" s="13">
        <f>DAY(Table433[[#This Row],[Date]])</f>
        <v>17</v>
      </c>
      <c r="O430" s="13" t="str">
        <f>TEXT(DATE(2023,Table433[[#This Row],[Month]],1),"mmm")</f>
        <v>Nov</v>
      </c>
      <c r="P430" s="13"/>
      <c r="Q430" s="13"/>
    </row>
    <row r="431" spans="1:17" x14ac:dyDescent="0.3">
      <c r="A431" s="14">
        <v>430</v>
      </c>
      <c r="B431" s="15">
        <v>45076</v>
      </c>
      <c r="C431" s="16" t="s">
        <v>22</v>
      </c>
      <c r="D431" s="16" t="s">
        <v>23</v>
      </c>
      <c r="E431" s="16" t="s">
        <v>19</v>
      </c>
      <c r="F431" s="16" t="s">
        <v>38</v>
      </c>
      <c r="G431" s="16" t="s">
        <v>46</v>
      </c>
      <c r="H431" s="17">
        <v>16944.29</v>
      </c>
      <c r="I431" s="16">
        <v>4</v>
      </c>
      <c r="J431" s="18">
        <v>3322.86</v>
      </c>
      <c r="K431" s="17" t="str" cm="1">
        <f t="array" ref="K431">_xlfn.IFS(Table433[[#This Row],[Sales]]&gt;40000,"Best Sales",Table433[[#This Row],[Sales]]&gt;20000,"Average Sales",Table433[[#This Row],[Sales]]&gt;0,"Poor Sales")</f>
        <v>Poor Sales</v>
      </c>
      <c r="L431" s="12">
        <f>YEAR(Table433[[#This Row],[Date]])</f>
        <v>2023</v>
      </c>
      <c r="M431" s="12">
        <f>MONTH(Table433[[#This Row],[Date]])</f>
        <v>5</v>
      </c>
      <c r="N431" s="13">
        <f>DAY(Table433[[#This Row],[Date]])</f>
        <v>30</v>
      </c>
      <c r="O431" s="13" t="str">
        <f>TEXT(DATE(2023,Table433[[#This Row],[Month]],1),"mmm")</f>
        <v>May</v>
      </c>
      <c r="P431" s="13"/>
      <c r="Q431" s="13"/>
    </row>
    <row r="432" spans="1:17" x14ac:dyDescent="0.3">
      <c r="A432" s="6">
        <v>431</v>
      </c>
      <c r="B432" s="7">
        <v>44987</v>
      </c>
      <c r="C432" s="8" t="s">
        <v>33</v>
      </c>
      <c r="D432" s="8" t="s">
        <v>34</v>
      </c>
      <c r="E432" s="8" t="s">
        <v>24</v>
      </c>
      <c r="F432" s="8" t="s">
        <v>38</v>
      </c>
      <c r="G432" s="8" t="s">
        <v>40</v>
      </c>
      <c r="H432" s="9">
        <v>26079.08</v>
      </c>
      <c r="I432" s="8">
        <v>4</v>
      </c>
      <c r="J432" s="10">
        <v>4882.3900000000003</v>
      </c>
      <c r="K432" s="17" t="str" cm="1">
        <f t="array" ref="K432">_xlfn.IFS(Table433[[#This Row],[Sales]]&gt;40000,"Best Sales",Table433[[#This Row],[Sales]]&gt;20000,"Average Sales",Table433[[#This Row],[Sales]]&gt;0,"Poor Sales")</f>
        <v>Average Sales</v>
      </c>
      <c r="L432" s="12">
        <f>YEAR(Table433[[#This Row],[Date]])</f>
        <v>2023</v>
      </c>
      <c r="M432" s="12">
        <f>MONTH(Table433[[#This Row],[Date]])</f>
        <v>3</v>
      </c>
      <c r="N432" s="13">
        <f>DAY(Table433[[#This Row],[Date]])</f>
        <v>2</v>
      </c>
      <c r="O432" s="13" t="str">
        <f>TEXT(DATE(2023,Table433[[#This Row],[Month]],1),"mmm")</f>
        <v>Mar</v>
      </c>
      <c r="P432" s="13"/>
      <c r="Q432" s="13"/>
    </row>
    <row r="433" spans="1:17" x14ac:dyDescent="0.3">
      <c r="A433" s="14">
        <v>432</v>
      </c>
      <c r="B433" s="15">
        <v>45119</v>
      </c>
      <c r="C433" s="16" t="s">
        <v>45</v>
      </c>
      <c r="D433" s="16" t="s">
        <v>34</v>
      </c>
      <c r="E433" s="16" t="s">
        <v>27</v>
      </c>
      <c r="F433" s="16" t="s">
        <v>20</v>
      </c>
      <c r="G433" s="16" t="s">
        <v>28</v>
      </c>
      <c r="H433" s="17">
        <v>7671.29</v>
      </c>
      <c r="I433" s="16">
        <v>2</v>
      </c>
      <c r="J433" s="18">
        <v>1004.67</v>
      </c>
      <c r="K433" s="17" t="str" cm="1">
        <f t="array" ref="K433">_xlfn.IFS(Table433[[#This Row],[Sales]]&gt;40000,"Best Sales",Table433[[#This Row],[Sales]]&gt;20000,"Average Sales",Table433[[#This Row],[Sales]]&gt;0,"Poor Sales")</f>
        <v>Poor Sales</v>
      </c>
      <c r="L433" s="12">
        <f>YEAR(Table433[[#This Row],[Date]])</f>
        <v>2023</v>
      </c>
      <c r="M433" s="12">
        <f>MONTH(Table433[[#This Row],[Date]])</f>
        <v>7</v>
      </c>
      <c r="N433" s="13">
        <f>DAY(Table433[[#This Row],[Date]])</f>
        <v>12</v>
      </c>
      <c r="O433" s="13" t="str">
        <f>TEXT(DATE(2023,Table433[[#This Row],[Month]],1),"mmm")</f>
        <v>Jul</v>
      </c>
      <c r="P433" s="13"/>
      <c r="Q433" s="13"/>
    </row>
    <row r="434" spans="1:17" x14ac:dyDescent="0.3">
      <c r="A434" s="6">
        <v>433</v>
      </c>
      <c r="B434" s="7">
        <v>45015</v>
      </c>
      <c r="C434" s="8" t="s">
        <v>45</v>
      </c>
      <c r="D434" s="8" t="s">
        <v>34</v>
      </c>
      <c r="E434" s="8" t="s">
        <v>27</v>
      </c>
      <c r="F434" s="8" t="s">
        <v>20</v>
      </c>
      <c r="G434" s="8" t="s">
        <v>41</v>
      </c>
      <c r="H434" s="9">
        <v>1166.95</v>
      </c>
      <c r="I434" s="8">
        <v>8</v>
      </c>
      <c r="J434" s="10">
        <v>238.76</v>
      </c>
      <c r="K434" s="17" t="str" cm="1">
        <f t="array" ref="K434">_xlfn.IFS(Table433[[#This Row],[Sales]]&gt;40000,"Best Sales",Table433[[#This Row],[Sales]]&gt;20000,"Average Sales",Table433[[#This Row],[Sales]]&gt;0,"Poor Sales")</f>
        <v>Poor Sales</v>
      </c>
      <c r="L434" s="12">
        <f>YEAR(Table433[[#This Row],[Date]])</f>
        <v>2023</v>
      </c>
      <c r="M434" s="12">
        <f>MONTH(Table433[[#This Row],[Date]])</f>
        <v>3</v>
      </c>
      <c r="N434" s="13">
        <f>DAY(Table433[[#This Row],[Date]])</f>
        <v>30</v>
      </c>
      <c r="O434" s="13" t="str">
        <f>TEXT(DATE(2023,Table433[[#This Row],[Month]],1),"mmm")</f>
        <v>Mar</v>
      </c>
      <c r="P434" s="13"/>
      <c r="Q434" s="13"/>
    </row>
    <row r="435" spans="1:17" x14ac:dyDescent="0.3">
      <c r="A435" s="14">
        <v>434</v>
      </c>
      <c r="B435" s="15">
        <v>45026</v>
      </c>
      <c r="C435" s="16" t="s">
        <v>17</v>
      </c>
      <c r="D435" s="16" t="s">
        <v>18</v>
      </c>
      <c r="E435" s="16" t="s">
        <v>19</v>
      </c>
      <c r="F435" s="16" t="s">
        <v>31</v>
      </c>
      <c r="G435" s="16" t="s">
        <v>36</v>
      </c>
      <c r="H435" s="17">
        <v>35047.11</v>
      </c>
      <c r="I435" s="16">
        <v>5</v>
      </c>
      <c r="J435" s="18">
        <v>8499.74</v>
      </c>
      <c r="K435" s="17" t="str" cm="1">
        <f t="array" ref="K435">_xlfn.IFS(Table433[[#This Row],[Sales]]&gt;40000,"Best Sales",Table433[[#This Row],[Sales]]&gt;20000,"Average Sales",Table433[[#This Row],[Sales]]&gt;0,"Poor Sales")</f>
        <v>Average Sales</v>
      </c>
      <c r="L435" s="12">
        <f>YEAR(Table433[[#This Row],[Date]])</f>
        <v>2023</v>
      </c>
      <c r="M435" s="12">
        <f>MONTH(Table433[[#This Row],[Date]])</f>
        <v>4</v>
      </c>
      <c r="N435" s="13">
        <f>DAY(Table433[[#This Row],[Date]])</f>
        <v>10</v>
      </c>
      <c r="O435" s="13" t="str">
        <f>TEXT(DATE(2023,Table433[[#This Row],[Month]],1),"mmm")</f>
        <v>Apr</v>
      </c>
      <c r="P435" s="13"/>
      <c r="Q435" s="13"/>
    </row>
    <row r="436" spans="1:17" x14ac:dyDescent="0.3">
      <c r="A436" s="6">
        <v>435</v>
      </c>
      <c r="B436" s="7">
        <v>45076</v>
      </c>
      <c r="C436" s="8" t="s">
        <v>37</v>
      </c>
      <c r="D436" s="8" t="s">
        <v>23</v>
      </c>
      <c r="E436" s="8" t="s">
        <v>24</v>
      </c>
      <c r="F436" s="8" t="s">
        <v>31</v>
      </c>
      <c r="G436" s="8" t="s">
        <v>32</v>
      </c>
      <c r="H436" s="9">
        <v>40670.42</v>
      </c>
      <c r="I436" s="8">
        <v>2</v>
      </c>
      <c r="J436" s="10">
        <v>2326.37</v>
      </c>
      <c r="K436" s="17" t="str" cm="1">
        <f t="array" ref="K436">_xlfn.IFS(Table433[[#This Row],[Sales]]&gt;40000,"Best Sales",Table433[[#This Row],[Sales]]&gt;20000,"Average Sales",Table433[[#This Row],[Sales]]&gt;0,"Poor Sales")</f>
        <v>Best Sales</v>
      </c>
      <c r="L436" s="12">
        <f>YEAR(Table433[[#This Row],[Date]])</f>
        <v>2023</v>
      </c>
      <c r="M436" s="12">
        <f>MONTH(Table433[[#This Row],[Date]])</f>
        <v>5</v>
      </c>
      <c r="N436" s="13">
        <f>DAY(Table433[[#This Row],[Date]])</f>
        <v>30</v>
      </c>
      <c r="O436" s="13" t="str">
        <f>TEXT(DATE(2023,Table433[[#This Row],[Month]],1),"mmm")</f>
        <v>May</v>
      </c>
      <c r="P436" s="13"/>
      <c r="Q436" s="13"/>
    </row>
    <row r="437" spans="1:17" x14ac:dyDescent="0.3">
      <c r="A437" s="14">
        <v>436</v>
      </c>
      <c r="B437" s="15">
        <v>45269</v>
      </c>
      <c r="C437" s="16" t="s">
        <v>29</v>
      </c>
      <c r="D437" s="16" t="s">
        <v>29</v>
      </c>
      <c r="E437" s="16" t="s">
        <v>19</v>
      </c>
      <c r="F437" s="16" t="s">
        <v>31</v>
      </c>
      <c r="G437" s="16" t="s">
        <v>36</v>
      </c>
      <c r="H437" s="17">
        <v>24434.99</v>
      </c>
      <c r="I437" s="16">
        <v>6</v>
      </c>
      <c r="J437" s="18">
        <v>4352.29</v>
      </c>
      <c r="K437" s="17" t="str" cm="1">
        <f t="array" ref="K437">_xlfn.IFS(Table433[[#This Row],[Sales]]&gt;40000,"Best Sales",Table433[[#This Row],[Sales]]&gt;20000,"Average Sales",Table433[[#This Row],[Sales]]&gt;0,"Poor Sales")</f>
        <v>Average Sales</v>
      </c>
      <c r="L437" s="12">
        <f>YEAR(Table433[[#This Row],[Date]])</f>
        <v>2023</v>
      </c>
      <c r="M437" s="12">
        <f>MONTH(Table433[[#This Row],[Date]])</f>
        <v>12</v>
      </c>
      <c r="N437" s="13">
        <f>DAY(Table433[[#This Row],[Date]])</f>
        <v>9</v>
      </c>
      <c r="O437" s="13" t="str">
        <f>TEXT(DATE(2023,Table433[[#This Row],[Month]],1),"mmm")</f>
        <v>Dec</v>
      </c>
      <c r="P437" s="13"/>
      <c r="Q437" s="13"/>
    </row>
    <row r="438" spans="1:17" x14ac:dyDescent="0.3">
      <c r="A438" s="6">
        <v>437</v>
      </c>
      <c r="B438" s="7">
        <v>45292</v>
      </c>
      <c r="C438" s="8" t="s">
        <v>42</v>
      </c>
      <c r="D438" s="8" t="s">
        <v>43</v>
      </c>
      <c r="E438" s="8" t="s">
        <v>24</v>
      </c>
      <c r="F438" s="8" t="s">
        <v>31</v>
      </c>
      <c r="G438" s="8" t="s">
        <v>32</v>
      </c>
      <c r="H438" s="9">
        <v>46015.08</v>
      </c>
      <c r="I438" s="8">
        <v>6</v>
      </c>
      <c r="J438" s="10">
        <v>11461.24</v>
      </c>
      <c r="K438" s="17" t="str" cm="1">
        <f t="array" ref="K438">_xlfn.IFS(Table433[[#This Row],[Sales]]&gt;40000,"Best Sales",Table433[[#This Row],[Sales]]&gt;20000,"Average Sales",Table433[[#This Row],[Sales]]&gt;0,"Poor Sales")</f>
        <v>Best Sales</v>
      </c>
      <c r="L438" s="12">
        <f>YEAR(Table433[[#This Row],[Date]])</f>
        <v>2024</v>
      </c>
      <c r="M438" s="12">
        <f>MONTH(Table433[[#This Row],[Date]])</f>
        <v>1</v>
      </c>
      <c r="N438" s="13">
        <f>DAY(Table433[[#This Row],[Date]])</f>
        <v>1</v>
      </c>
      <c r="O438" s="13" t="str">
        <f>TEXT(DATE(2023,Table433[[#This Row],[Month]],1),"mmm")</f>
        <v>Jan</v>
      </c>
      <c r="P438" s="13"/>
      <c r="Q438" s="13"/>
    </row>
    <row r="439" spans="1:17" x14ac:dyDescent="0.3">
      <c r="A439" s="14">
        <v>438</v>
      </c>
      <c r="B439" s="15">
        <v>45219</v>
      </c>
      <c r="C439" s="16" t="s">
        <v>42</v>
      </c>
      <c r="D439" s="16" t="s">
        <v>43</v>
      </c>
      <c r="E439" s="16" t="s">
        <v>27</v>
      </c>
      <c r="F439" s="16" t="s">
        <v>38</v>
      </c>
      <c r="G439" s="16" t="s">
        <v>40</v>
      </c>
      <c r="H439" s="17">
        <v>1292.73</v>
      </c>
      <c r="I439" s="16">
        <v>7</v>
      </c>
      <c r="J439" s="18">
        <v>383.69</v>
      </c>
      <c r="K439" s="17" t="str" cm="1">
        <f t="array" ref="K439">_xlfn.IFS(Table433[[#This Row],[Sales]]&gt;40000,"Best Sales",Table433[[#This Row],[Sales]]&gt;20000,"Average Sales",Table433[[#This Row],[Sales]]&gt;0,"Poor Sales")</f>
        <v>Poor Sales</v>
      </c>
      <c r="L439" s="12">
        <f>YEAR(Table433[[#This Row],[Date]])</f>
        <v>2023</v>
      </c>
      <c r="M439" s="12">
        <f>MONTH(Table433[[#This Row],[Date]])</f>
        <v>10</v>
      </c>
      <c r="N439" s="13">
        <f>DAY(Table433[[#This Row],[Date]])</f>
        <v>20</v>
      </c>
      <c r="O439" s="13" t="str">
        <f>TEXT(DATE(2023,Table433[[#This Row],[Month]],1),"mmm")</f>
        <v>Oct</v>
      </c>
      <c r="P439" s="13"/>
      <c r="Q439" s="13"/>
    </row>
    <row r="440" spans="1:17" x14ac:dyDescent="0.3">
      <c r="A440" s="6">
        <v>439</v>
      </c>
      <c r="B440" s="7">
        <v>45081</v>
      </c>
      <c r="C440" s="8" t="s">
        <v>37</v>
      </c>
      <c r="D440" s="8" t="s">
        <v>23</v>
      </c>
      <c r="E440" s="8" t="s">
        <v>27</v>
      </c>
      <c r="F440" s="8" t="s">
        <v>31</v>
      </c>
      <c r="G440" s="8" t="s">
        <v>36</v>
      </c>
      <c r="H440" s="9">
        <v>9874.76</v>
      </c>
      <c r="I440" s="8">
        <v>3</v>
      </c>
      <c r="J440" s="10">
        <v>1358.17</v>
      </c>
      <c r="K440" s="17" t="str" cm="1">
        <f t="array" ref="K440">_xlfn.IFS(Table433[[#This Row],[Sales]]&gt;40000,"Best Sales",Table433[[#This Row],[Sales]]&gt;20000,"Average Sales",Table433[[#This Row],[Sales]]&gt;0,"Poor Sales")</f>
        <v>Poor Sales</v>
      </c>
      <c r="L440" s="12">
        <f>YEAR(Table433[[#This Row],[Date]])</f>
        <v>2023</v>
      </c>
      <c r="M440" s="12">
        <f>MONTH(Table433[[#This Row],[Date]])</f>
        <v>6</v>
      </c>
      <c r="N440" s="13">
        <f>DAY(Table433[[#This Row],[Date]])</f>
        <v>4</v>
      </c>
      <c r="O440" s="13" t="str">
        <f>TEXT(DATE(2023,Table433[[#This Row],[Month]],1),"mmm")</f>
        <v>Jun</v>
      </c>
      <c r="P440" s="13"/>
      <c r="Q440" s="13"/>
    </row>
    <row r="441" spans="1:17" x14ac:dyDescent="0.3">
      <c r="A441" s="14">
        <v>440</v>
      </c>
      <c r="B441" s="15">
        <v>45137</v>
      </c>
      <c r="C441" s="16" t="s">
        <v>29</v>
      </c>
      <c r="D441" s="16" t="s">
        <v>29</v>
      </c>
      <c r="E441" s="16" t="s">
        <v>19</v>
      </c>
      <c r="F441" s="16" t="s">
        <v>31</v>
      </c>
      <c r="G441" s="16" t="s">
        <v>36</v>
      </c>
      <c r="H441" s="17">
        <v>15146.54</v>
      </c>
      <c r="I441" s="16">
        <v>2</v>
      </c>
      <c r="J441" s="18">
        <v>2336.02</v>
      </c>
      <c r="K441" s="17" t="str" cm="1">
        <f t="array" ref="K441">_xlfn.IFS(Table433[[#This Row],[Sales]]&gt;40000,"Best Sales",Table433[[#This Row],[Sales]]&gt;20000,"Average Sales",Table433[[#This Row],[Sales]]&gt;0,"Poor Sales")</f>
        <v>Poor Sales</v>
      </c>
      <c r="L441" s="12">
        <f>YEAR(Table433[[#This Row],[Date]])</f>
        <v>2023</v>
      </c>
      <c r="M441" s="12">
        <f>MONTH(Table433[[#This Row],[Date]])</f>
        <v>7</v>
      </c>
      <c r="N441" s="13">
        <f>DAY(Table433[[#This Row],[Date]])</f>
        <v>30</v>
      </c>
      <c r="O441" s="13" t="str">
        <f>TEXT(DATE(2023,Table433[[#This Row],[Month]],1),"mmm")</f>
        <v>Jul</v>
      </c>
      <c r="P441" s="13"/>
      <c r="Q441" s="13"/>
    </row>
    <row r="442" spans="1:17" x14ac:dyDescent="0.3">
      <c r="A442" s="6">
        <v>441</v>
      </c>
      <c r="B442" s="7">
        <v>44959</v>
      </c>
      <c r="C442" s="8" t="s">
        <v>45</v>
      </c>
      <c r="D442" s="8" t="s">
        <v>34</v>
      </c>
      <c r="E442" s="8" t="s">
        <v>24</v>
      </c>
      <c r="F442" s="8" t="s">
        <v>38</v>
      </c>
      <c r="G442" s="8" t="s">
        <v>39</v>
      </c>
      <c r="H442" s="9">
        <v>34618.480000000003</v>
      </c>
      <c r="I442" s="8">
        <v>3</v>
      </c>
      <c r="J442" s="10">
        <v>5814.36</v>
      </c>
      <c r="K442" s="17" t="str" cm="1">
        <f t="array" ref="K442">_xlfn.IFS(Table433[[#This Row],[Sales]]&gt;40000,"Best Sales",Table433[[#This Row],[Sales]]&gt;20000,"Average Sales",Table433[[#This Row],[Sales]]&gt;0,"Poor Sales")</f>
        <v>Average Sales</v>
      </c>
      <c r="L442" s="12">
        <f>YEAR(Table433[[#This Row],[Date]])</f>
        <v>2023</v>
      </c>
      <c r="M442" s="12">
        <f>MONTH(Table433[[#This Row],[Date]])</f>
        <v>2</v>
      </c>
      <c r="N442" s="13">
        <f>DAY(Table433[[#This Row],[Date]])</f>
        <v>2</v>
      </c>
      <c r="O442" s="13" t="str">
        <f>TEXT(DATE(2023,Table433[[#This Row],[Month]],1),"mmm")</f>
        <v>Feb</v>
      </c>
      <c r="P442" s="13"/>
      <c r="Q442" s="13"/>
    </row>
    <row r="443" spans="1:17" x14ac:dyDescent="0.3">
      <c r="A443" s="14">
        <v>442</v>
      </c>
      <c r="B443" s="15">
        <v>45167</v>
      </c>
      <c r="C443" s="16" t="s">
        <v>29</v>
      </c>
      <c r="D443" s="16" t="s">
        <v>29</v>
      </c>
      <c r="E443" s="16" t="s">
        <v>19</v>
      </c>
      <c r="F443" s="16" t="s">
        <v>38</v>
      </c>
      <c r="G443" s="16" t="s">
        <v>46</v>
      </c>
      <c r="H443" s="17">
        <v>46015.64</v>
      </c>
      <c r="I443" s="16">
        <v>2</v>
      </c>
      <c r="J443" s="18">
        <v>6821.68</v>
      </c>
      <c r="K443" s="17" t="str" cm="1">
        <f t="array" ref="K443">_xlfn.IFS(Table433[[#This Row],[Sales]]&gt;40000,"Best Sales",Table433[[#This Row],[Sales]]&gt;20000,"Average Sales",Table433[[#This Row],[Sales]]&gt;0,"Poor Sales")</f>
        <v>Best Sales</v>
      </c>
      <c r="L443" s="12">
        <f>YEAR(Table433[[#This Row],[Date]])</f>
        <v>2023</v>
      </c>
      <c r="M443" s="12">
        <f>MONTH(Table433[[#This Row],[Date]])</f>
        <v>8</v>
      </c>
      <c r="N443" s="13">
        <f>DAY(Table433[[#This Row],[Date]])</f>
        <v>29</v>
      </c>
      <c r="O443" s="13" t="str">
        <f>TEXT(DATE(2023,Table433[[#This Row],[Month]],1),"mmm")</f>
        <v>Aug</v>
      </c>
      <c r="P443" s="13"/>
      <c r="Q443" s="13"/>
    </row>
    <row r="444" spans="1:17" x14ac:dyDescent="0.3">
      <c r="A444" s="6">
        <v>443</v>
      </c>
      <c r="B444" s="7">
        <v>45056</v>
      </c>
      <c r="C444" s="8" t="s">
        <v>45</v>
      </c>
      <c r="D444" s="8" t="s">
        <v>34</v>
      </c>
      <c r="E444" s="8" t="s">
        <v>24</v>
      </c>
      <c r="F444" s="8" t="s">
        <v>31</v>
      </c>
      <c r="G444" s="8" t="s">
        <v>32</v>
      </c>
      <c r="H444" s="9">
        <v>43471.73</v>
      </c>
      <c r="I444" s="8">
        <v>4</v>
      </c>
      <c r="J444" s="10">
        <v>9929.52</v>
      </c>
      <c r="K444" s="17" t="str" cm="1">
        <f t="array" ref="K444">_xlfn.IFS(Table433[[#This Row],[Sales]]&gt;40000,"Best Sales",Table433[[#This Row],[Sales]]&gt;20000,"Average Sales",Table433[[#This Row],[Sales]]&gt;0,"Poor Sales")</f>
        <v>Best Sales</v>
      </c>
      <c r="L444" s="12">
        <f>YEAR(Table433[[#This Row],[Date]])</f>
        <v>2023</v>
      </c>
      <c r="M444" s="12">
        <f>MONTH(Table433[[#This Row],[Date]])</f>
        <v>5</v>
      </c>
      <c r="N444" s="13">
        <f>DAY(Table433[[#This Row],[Date]])</f>
        <v>10</v>
      </c>
      <c r="O444" s="13" t="str">
        <f>TEXT(DATE(2023,Table433[[#This Row],[Month]],1),"mmm")</f>
        <v>May</v>
      </c>
      <c r="P444" s="13"/>
      <c r="Q444" s="13"/>
    </row>
    <row r="445" spans="1:17" x14ac:dyDescent="0.3">
      <c r="A445" s="14">
        <v>444</v>
      </c>
      <c r="B445" s="15">
        <v>45108</v>
      </c>
      <c r="C445" s="16" t="s">
        <v>17</v>
      </c>
      <c r="D445" s="16" t="s">
        <v>18</v>
      </c>
      <c r="E445" s="16" t="s">
        <v>27</v>
      </c>
      <c r="F445" s="16" t="s">
        <v>20</v>
      </c>
      <c r="G445" s="16" t="s">
        <v>21</v>
      </c>
      <c r="H445" s="17">
        <v>27516.51</v>
      </c>
      <c r="I445" s="16">
        <v>9</v>
      </c>
      <c r="J445" s="18">
        <v>3418.86</v>
      </c>
      <c r="K445" s="17" t="str" cm="1">
        <f t="array" ref="K445">_xlfn.IFS(Table433[[#This Row],[Sales]]&gt;40000,"Best Sales",Table433[[#This Row],[Sales]]&gt;20000,"Average Sales",Table433[[#This Row],[Sales]]&gt;0,"Poor Sales")</f>
        <v>Average Sales</v>
      </c>
      <c r="L445" s="12">
        <f>YEAR(Table433[[#This Row],[Date]])</f>
        <v>2023</v>
      </c>
      <c r="M445" s="12">
        <f>MONTH(Table433[[#This Row],[Date]])</f>
        <v>7</v>
      </c>
      <c r="N445" s="13">
        <f>DAY(Table433[[#This Row],[Date]])</f>
        <v>1</v>
      </c>
      <c r="O445" s="13" t="str">
        <f>TEXT(DATE(2023,Table433[[#This Row],[Month]],1),"mmm")</f>
        <v>Jul</v>
      </c>
      <c r="P445" s="13"/>
      <c r="Q445" s="13"/>
    </row>
    <row r="446" spans="1:17" x14ac:dyDescent="0.3">
      <c r="A446" s="6">
        <v>445</v>
      </c>
      <c r="B446" s="7">
        <v>45260</v>
      </c>
      <c r="C446" s="8" t="s">
        <v>17</v>
      </c>
      <c r="D446" s="8" t="s">
        <v>18</v>
      </c>
      <c r="E446" s="8" t="s">
        <v>27</v>
      </c>
      <c r="F446" s="8" t="s">
        <v>20</v>
      </c>
      <c r="G446" s="8" t="s">
        <v>41</v>
      </c>
      <c r="H446" s="9">
        <v>48032.71</v>
      </c>
      <c r="I446" s="8">
        <v>4</v>
      </c>
      <c r="J446" s="10">
        <v>6135.71</v>
      </c>
      <c r="K446" s="17" t="str" cm="1">
        <f t="array" ref="K446">_xlfn.IFS(Table433[[#This Row],[Sales]]&gt;40000,"Best Sales",Table433[[#This Row],[Sales]]&gt;20000,"Average Sales",Table433[[#This Row],[Sales]]&gt;0,"Poor Sales")</f>
        <v>Best Sales</v>
      </c>
      <c r="L446" s="12">
        <f>YEAR(Table433[[#This Row],[Date]])</f>
        <v>2023</v>
      </c>
      <c r="M446" s="12">
        <f>MONTH(Table433[[#This Row],[Date]])</f>
        <v>11</v>
      </c>
      <c r="N446" s="13">
        <f>DAY(Table433[[#This Row],[Date]])</f>
        <v>30</v>
      </c>
      <c r="O446" s="13" t="str">
        <f>TEXT(DATE(2023,Table433[[#This Row],[Month]],1),"mmm")</f>
        <v>Nov</v>
      </c>
      <c r="P446" s="13"/>
      <c r="Q446" s="13"/>
    </row>
    <row r="447" spans="1:17" x14ac:dyDescent="0.3">
      <c r="A447" s="14">
        <v>446</v>
      </c>
      <c r="B447" s="15">
        <v>44976</v>
      </c>
      <c r="C447" s="16" t="s">
        <v>42</v>
      </c>
      <c r="D447" s="16" t="s">
        <v>43</v>
      </c>
      <c r="E447" s="16" t="s">
        <v>19</v>
      </c>
      <c r="F447" s="16" t="s">
        <v>31</v>
      </c>
      <c r="G447" s="16" t="s">
        <v>35</v>
      </c>
      <c r="H447" s="17">
        <v>7864.34</v>
      </c>
      <c r="I447" s="16">
        <v>10</v>
      </c>
      <c r="J447" s="18">
        <v>820.53</v>
      </c>
      <c r="K447" s="17" t="str" cm="1">
        <f t="array" ref="K447">_xlfn.IFS(Table433[[#This Row],[Sales]]&gt;40000,"Best Sales",Table433[[#This Row],[Sales]]&gt;20000,"Average Sales",Table433[[#This Row],[Sales]]&gt;0,"Poor Sales")</f>
        <v>Poor Sales</v>
      </c>
      <c r="L447" s="12">
        <f>YEAR(Table433[[#This Row],[Date]])</f>
        <v>2023</v>
      </c>
      <c r="M447" s="12">
        <f>MONTH(Table433[[#This Row],[Date]])</f>
        <v>2</v>
      </c>
      <c r="N447" s="13">
        <f>DAY(Table433[[#This Row],[Date]])</f>
        <v>19</v>
      </c>
      <c r="O447" s="13" t="str">
        <f>TEXT(DATE(2023,Table433[[#This Row],[Month]],1),"mmm")</f>
        <v>Feb</v>
      </c>
      <c r="P447" s="13"/>
      <c r="Q447" s="13"/>
    </row>
    <row r="448" spans="1:17" x14ac:dyDescent="0.3">
      <c r="A448" s="6">
        <v>447</v>
      </c>
      <c r="B448" s="7">
        <v>44953</v>
      </c>
      <c r="C448" s="8" t="s">
        <v>33</v>
      </c>
      <c r="D448" s="8" t="s">
        <v>34</v>
      </c>
      <c r="E448" s="8" t="s">
        <v>24</v>
      </c>
      <c r="F448" s="8" t="s">
        <v>20</v>
      </c>
      <c r="G448" s="8" t="s">
        <v>28</v>
      </c>
      <c r="H448" s="9">
        <v>27123.54</v>
      </c>
      <c r="I448" s="8">
        <v>2</v>
      </c>
      <c r="J448" s="10">
        <v>2817.45</v>
      </c>
      <c r="K448" s="17" t="str" cm="1">
        <f t="array" ref="K448">_xlfn.IFS(Table433[[#This Row],[Sales]]&gt;40000,"Best Sales",Table433[[#This Row],[Sales]]&gt;20000,"Average Sales",Table433[[#This Row],[Sales]]&gt;0,"Poor Sales")</f>
        <v>Average Sales</v>
      </c>
      <c r="L448" s="12">
        <f>YEAR(Table433[[#This Row],[Date]])</f>
        <v>2023</v>
      </c>
      <c r="M448" s="12">
        <f>MONTH(Table433[[#This Row],[Date]])</f>
        <v>1</v>
      </c>
      <c r="N448" s="13">
        <f>DAY(Table433[[#This Row],[Date]])</f>
        <v>27</v>
      </c>
      <c r="O448" s="13" t="str">
        <f>TEXT(DATE(2023,Table433[[#This Row],[Month]],1),"mmm")</f>
        <v>Jan</v>
      </c>
      <c r="P448" s="13"/>
      <c r="Q448" s="13"/>
    </row>
    <row r="449" spans="1:17" x14ac:dyDescent="0.3">
      <c r="A449" s="14">
        <v>448</v>
      </c>
      <c r="B449" s="15">
        <v>45062</v>
      </c>
      <c r="C449" s="16" t="s">
        <v>33</v>
      </c>
      <c r="D449" s="16" t="s">
        <v>34</v>
      </c>
      <c r="E449" s="16" t="s">
        <v>19</v>
      </c>
      <c r="F449" s="16" t="s">
        <v>20</v>
      </c>
      <c r="G449" s="16" t="s">
        <v>41</v>
      </c>
      <c r="H449" s="17">
        <v>24573.8</v>
      </c>
      <c r="I449" s="16">
        <v>6</v>
      </c>
      <c r="J449" s="18">
        <v>3674.62</v>
      </c>
      <c r="K449" s="17" t="str" cm="1">
        <f t="array" ref="K449">_xlfn.IFS(Table433[[#This Row],[Sales]]&gt;40000,"Best Sales",Table433[[#This Row],[Sales]]&gt;20000,"Average Sales",Table433[[#This Row],[Sales]]&gt;0,"Poor Sales")</f>
        <v>Average Sales</v>
      </c>
      <c r="L449" s="12">
        <f>YEAR(Table433[[#This Row],[Date]])</f>
        <v>2023</v>
      </c>
      <c r="M449" s="12">
        <f>MONTH(Table433[[#This Row],[Date]])</f>
        <v>5</v>
      </c>
      <c r="N449" s="13">
        <f>DAY(Table433[[#This Row],[Date]])</f>
        <v>16</v>
      </c>
      <c r="O449" s="13" t="str">
        <f>TEXT(DATE(2023,Table433[[#This Row],[Month]],1),"mmm")</f>
        <v>May</v>
      </c>
      <c r="P449" s="13"/>
      <c r="Q449" s="13"/>
    </row>
    <row r="450" spans="1:17" x14ac:dyDescent="0.3">
      <c r="A450" s="6">
        <v>449</v>
      </c>
      <c r="B450" s="7">
        <v>44978</v>
      </c>
      <c r="C450" s="8" t="s">
        <v>25</v>
      </c>
      <c r="D450" s="8" t="s">
        <v>26</v>
      </c>
      <c r="E450" s="8" t="s">
        <v>24</v>
      </c>
      <c r="F450" s="8" t="s">
        <v>31</v>
      </c>
      <c r="G450" s="8" t="s">
        <v>36</v>
      </c>
      <c r="H450" s="9">
        <v>24662.23</v>
      </c>
      <c r="I450" s="8">
        <v>3</v>
      </c>
      <c r="J450" s="10">
        <v>3744.45</v>
      </c>
      <c r="K450" s="17" t="str" cm="1">
        <f t="array" ref="K450">_xlfn.IFS(Table433[[#This Row],[Sales]]&gt;40000,"Best Sales",Table433[[#This Row],[Sales]]&gt;20000,"Average Sales",Table433[[#This Row],[Sales]]&gt;0,"Poor Sales")</f>
        <v>Average Sales</v>
      </c>
      <c r="L450" s="12">
        <f>YEAR(Table433[[#This Row],[Date]])</f>
        <v>2023</v>
      </c>
      <c r="M450" s="12">
        <f>MONTH(Table433[[#This Row],[Date]])</f>
        <v>2</v>
      </c>
      <c r="N450" s="13">
        <f>DAY(Table433[[#This Row],[Date]])</f>
        <v>21</v>
      </c>
      <c r="O450" s="13" t="str">
        <f>TEXT(DATE(2023,Table433[[#This Row],[Month]],1),"mmm")</f>
        <v>Feb</v>
      </c>
      <c r="P450" s="13"/>
      <c r="Q450" s="13"/>
    </row>
    <row r="451" spans="1:17" x14ac:dyDescent="0.3">
      <c r="A451" s="14">
        <v>450</v>
      </c>
      <c r="B451" s="15">
        <v>45214</v>
      </c>
      <c r="C451" s="16" t="s">
        <v>37</v>
      </c>
      <c r="D451" s="16" t="s">
        <v>23</v>
      </c>
      <c r="E451" s="16" t="s">
        <v>27</v>
      </c>
      <c r="F451" s="16" t="s">
        <v>31</v>
      </c>
      <c r="G451" s="16" t="s">
        <v>32</v>
      </c>
      <c r="H451" s="17">
        <v>22932.71</v>
      </c>
      <c r="I451" s="16">
        <v>1</v>
      </c>
      <c r="J451" s="18">
        <v>1770.13</v>
      </c>
      <c r="K451" s="17" t="str" cm="1">
        <f t="array" ref="K451">_xlfn.IFS(Table433[[#This Row],[Sales]]&gt;40000,"Best Sales",Table433[[#This Row],[Sales]]&gt;20000,"Average Sales",Table433[[#This Row],[Sales]]&gt;0,"Poor Sales")</f>
        <v>Average Sales</v>
      </c>
      <c r="L451" s="12">
        <f>YEAR(Table433[[#This Row],[Date]])</f>
        <v>2023</v>
      </c>
      <c r="M451" s="12">
        <f>MONTH(Table433[[#This Row],[Date]])</f>
        <v>10</v>
      </c>
      <c r="N451" s="13">
        <f>DAY(Table433[[#This Row],[Date]])</f>
        <v>15</v>
      </c>
      <c r="O451" s="13" t="str">
        <f>TEXT(DATE(2023,Table433[[#This Row],[Month]],1),"mmm")</f>
        <v>Oct</v>
      </c>
      <c r="P451" s="13"/>
      <c r="Q451" s="13"/>
    </row>
    <row r="452" spans="1:17" x14ac:dyDescent="0.3">
      <c r="A452" s="6">
        <v>451</v>
      </c>
      <c r="B452" s="7">
        <v>45241</v>
      </c>
      <c r="C452" s="8" t="s">
        <v>17</v>
      </c>
      <c r="D452" s="8" t="s">
        <v>18</v>
      </c>
      <c r="E452" s="8" t="s">
        <v>27</v>
      </c>
      <c r="F452" s="8" t="s">
        <v>38</v>
      </c>
      <c r="G452" s="8" t="s">
        <v>40</v>
      </c>
      <c r="H452" s="9">
        <v>2101.9299999999998</v>
      </c>
      <c r="I452" s="8">
        <v>6</v>
      </c>
      <c r="J452" s="10">
        <v>507.01</v>
      </c>
      <c r="K452" s="17" t="str" cm="1">
        <f t="array" ref="K452">_xlfn.IFS(Table433[[#This Row],[Sales]]&gt;40000,"Best Sales",Table433[[#This Row],[Sales]]&gt;20000,"Average Sales",Table433[[#This Row],[Sales]]&gt;0,"Poor Sales")</f>
        <v>Poor Sales</v>
      </c>
      <c r="L452" s="12">
        <f>YEAR(Table433[[#This Row],[Date]])</f>
        <v>2023</v>
      </c>
      <c r="M452" s="12">
        <f>MONTH(Table433[[#This Row],[Date]])</f>
        <v>11</v>
      </c>
      <c r="N452" s="13">
        <f>DAY(Table433[[#This Row],[Date]])</f>
        <v>11</v>
      </c>
      <c r="O452" s="13" t="str">
        <f>TEXT(DATE(2023,Table433[[#This Row],[Month]],1),"mmm")</f>
        <v>Nov</v>
      </c>
      <c r="P452" s="13"/>
      <c r="Q452" s="13"/>
    </row>
    <row r="453" spans="1:17" x14ac:dyDescent="0.3">
      <c r="A453" s="14">
        <v>452</v>
      </c>
      <c r="B453" s="15">
        <v>45192</v>
      </c>
      <c r="C453" s="16" t="s">
        <v>33</v>
      </c>
      <c r="D453" s="16" t="s">
        <v>34</v>
      </c>
      <c r="E453" s="16" t="s">
        <v>19</v>
      </c>
      <c r="F453" s="16" t="s">
        <v>31</v>
      </c>
      <c r="G453" s="16" t="s">
        <v>36</v>
      </c>
      <c r="H453" s="17">
        <v>23897.96</v>
      </c>
      <c r="I453" s="16">
        <v>7</v>
      </c>
      <c r="J453" s="18">
        <v>4085.47</v>
      </c>
      <c r="K453" s="17" t="str" cm="1">
        <f t="array" ref="K453">_xlfn.IFS(Table433[[#This Row],[Sales]]&gt;40000,"Best Sales",Table433[[#This Row],[Sales]]&gt;20000,"Average Sales",Table433[[#This Row],[Sales]]&gt;0,"Poor Sales")</f>
        <v>Average Sales</v>
      </c>
      <c r="L453" s="12">
        <f>YEAR(Table433[[#This Row],[Date]])</f>
        <v>2023</v>
      </c>
      <c r="M453" s="12">
        <f>MONTH(Table433[[#This Row],[Date]])</f>
        <v>9</v>
      </c>
      <c r="N453" s="13">
        <f>DAY(Table433[[#This Row],[Date]])</f>
        <v>23</v>
      </c>
      <c r="O453" s="13" t="str">
        <f>TEXT(DATE(2023,Table433[[#This Row],[Month]],1),"mmm")</f>
        <v>Sep</v>
      </c>
      <c r="P453" s="13"/>
      <c r="Q453" s="13"/>
    </row>
    <row r="454" spans="1:17" x14ac:dyDescent="0.3">
      <c r="A454" s="6">
        <v>453</v>
      </c>
      <c r="B454" s="7">
        <v>45018</v>
      </c>
      <c r="C454" s="8" t="s">
        <v>42</v>
      </c>
      <c r="D454" s="8" t="s">
        <v>43</v>
      </c>
      <c r="E454" s="8" t="s">
        <v>24</v>
      </c>
      <c r="F454" s="8" t="s">
        <v>31</v>
      </c>
      <c r="G454" s="8" t="s">
        <v>36</v>
      </c>
      <c r="H454" s="9">
        <v>32507.15</v>
      </c>
      <c r="I454" s="8">
        <v>10</v>
      </c>
      <c r="J454" s="10">
        <v>4890.71</v>
      </c>
      <c r="K454" s="17" t="str" cm="1">
        <f t="array" ref="K454">_xlfn.IFS(Table433[[#This Row],[Sales]]&gt;40000,"Best Sales",Table433[[#This Row],[Sales]]&gt;20000,"Average Sales",Table433[[#This Row],[Sales]]&gt;0,"Poor Sales")</f>
        <v>Average Sales</v>
      </c>
      <c r="L454" s="12">
        <f>YEAR(Table433[[#This Row],[Date]])</f>
        <v>2023</v>
      </c>
      <c r="M454" s="12">
        <f>MONTH(Table433[[#This Row],[Date]])</f>
        <v>4</v>
      </c>
      <c r="N454" s="13">
        <f>DAY(Table433[[#This Row],[Date]])</f>
        <v>2</v>
      </c>
      <c r="O454" s="13" t="str">
        <f>TEXT(DATE(2023,Table433[[#This Row],[Month]],1),"mmm")</f>
        <v>Apr</v>
      </c>
      <c r="P454" s="13"/>
      <c r="Q454" s="13"/>
    </row>
    <row r="455" spans="1:17" x14ac:dyDescent="0.3">
      <c r="A455" s="14">
        <v>454</v>
      </c>
      <c r="B455" s="15">
        <v>45053</v>
      </c>
      <c r="C455" s="16" t="s">
        <v>37</v>
      </c>
      <c r="D455" s="16" t="s">
        <v>23</v>
      </c>
      <c r="E455" s="16" t="s">
        <v>19</v>
      </c>
      <c r="F455" s="16" t="s">
        <v>20</v>
      </c>
      <c r="G455" s="16" t="s">
        <v>21</v>
      </c>
      <c r="H455" s="17">
        <v>8584.92</v>
      </c>
      <c r="I455" s="16">
        <v>1</v>
      </c>
      <c r="J455" s="18">
        <v>2560.9699999999998</v>
      </c>
      <c r="K455" s="17" t="str" cm="1">
        <f t="array" ref="K455">_xlfn.IFS(Table433[[#This Row],[Sales]]&gt;40000,"Best Sales",Table433[[#This Row],[Sales]]&gt;20000,"Average Sales",Table433[[#This Row],[Sales]]&gt;0,"Poor Sales")</f>
        <v>Poor Sales</v>
      </c>
      <c r="L455" s="12">
        <f>YEAR(Table433[[#This Row],[Date]])</f>
        <v>2023</v>
      </c>
      <c r="M455" s="12">
        <f>MONTH(Table433[[#This Row],[Date]])</f>
        <v>5</v>
      </c>
      <c r="N455" s="13">
        <f>DAY(Table433[[#This Row],[Date]])</f>
        <v>7</v>
      </c>
      <c r="O455" s="13" t="str">
        <f>TEXT(DATE(2023,Table433[[#This Row],[Month]],1),"mmm")</f>
        <v>May</v>
      </c>
      <c r="P455" s="13"/>
      <c r="Q455" s="13"/>
    </row>
    <row r="456" spans="1:17" x14ac:dyDescent="0.3">
      <c r="A456" s="6">
        <v>455</v>
      </c>
      <c r="B456" s="7">
        <v>45069</v>
      </c>
      <c r="C456" s="8" t="s">
        <v>29</v>
      </c>
      <c r="D456" s="8" t="s">
        <v>29</v>
      </c>
      <c r="E456" s="8" t="s">
        <v>24</v>
      </c>
      <c r="F456" s="8" t="s">
        <v>31</v>
      </c>
      <c r="G456" s="8" t="s">
        <v>35</v>
      </c>
      <c r="H456" s="9">
        <v>17850.810000000001</v>
      </c>
      <c r="I456" s="8">
        <v>9</v>
      </c>
      <c r="J456" s="10">
        <v>4605.67</v>
      </c>
      <c r="K456" s="17" t="str" cm="1">
        <f t="array" ref="K456">_xlfn.IFS(Table433[[#This Row],[Sales]]&gt;40000,"Best Sales",Table433[[#This Row],[Sales]]&gt;20000,"Average Sales",Table433[[#This Row],[Sales]]&gt;0,"Poor Sales")</f>
        <v>Poor Sales</v>
      </c>
      <c r="L456" s="12">
        <f>YEAR(Table433[[#This Row],[Date]])</f>
        <v>2023</v>
      </c>
      <c r="M456" s="12">
        <f>MONTH(Table433[[#This Row],[Date]])</f>
        <v>5</v>
      </c>
      <c r="N456" s="13">
        <f>DAY(Table433[[#This Row],[Date]])</f>
        <v>23</v>
      </c>
      <c r="O456" s="13" t="str">
        <f>TEXT(DATE(2023,Table433[[#This Row],[Month]],1),"mmm")</f>
        <v>May</v>
      </c>
      <c r="P456" s="13"/>
      <c r="Q456" s="13"/>
    </row>
    <row r="457" spans="1:17" x14ac:dyDescent="0.3">
      <c r="A457" s="14">
        <v>456</v>
      </c>
      <c r="B457" s="15">
        <v>44976</v>
      </c>
      <c r="C457" s="16" t="s">
        <v>17</v>
      </c>
      <c r="D457" s="16" t="s">
        <v>18</v>
      </c>
      <c r="E457" s="16" t="s">
        <v>27</v>
      </c>
      <c r="F457" s="16" t="s">
        <v>20</v>
      </c>
      <c r="G457" s="16" t="s">
        <v>28</v>
      </c>
      <c r="H457" s="17">
        <v>33800.74</v>
      </c>
      <c r="I457" s="16">
        <v>2</v>
      </c>
      <c r="J457" s="18">
        <v>2747.6</v>
      </c>
      <c r="K457" s="17" t="str" cm="1">
        <f t="array" ref="K457">_xlfn.IFS(Table433[[#This Row],[Sales]]&gt;40000,"Best Sales",Table433[[#This Row],[Sales]]&gt;20000,"Average Sales",Table433[[#This Row],[Sales]]&gt;0,"Poor Sales")</f>
        <v>Average Sales</v>
      </c>
      <c r="L457" s="12">
        <f>YEAR(Table433[[#This Row],[Date]])</f>
        <v>2023</v>
      </c>
      <c r="M457" s="12">
        <f>MONTH(Table433[[#This Row],[Date]])</f>
        <v>2</v>
      </c>
      <c r="N457" s="13">
        <f>DAY(Table433[[#This Row],[Date]])</f>
        <v>19</v>
      </c>
      <c r="O457" s="13" t="str">
        <f>TEXT(DATE(2023,Table433[[#This Row],[Month]],1),"mmm")</f>
        <v>Feb</v>
      </c>
      <c r="P457" s="13"/>
      <c r="Q457" s="13"/>
    </row>
    <row r="458" spans="1:17" x14ac:dyDescent="0.3">
      <c r="A458" s="6">
        <v>457</v>
      </c>
      <c r="B458" s="7">
        <v>45264</v>
      </c>
      <c r="C458" s="8" t="s">
        <v>22</v>
      </c>
      <c r="D458" s="8" t="s">
        <v>23</v>
      </c>
      <c r="E458" s="8" t="s">
        <v>27</v>
      </c>
      <c r="F458" s="8" t="s">
        <v>31</v>
      </c>
      <c r="G458" s="8" t="s">
        <v>32</v>
      </c>
      <c r="H458" s="9">
        <v>5414.74</v>
      </c>
      <c r="I458" s="8">
        <v>4</v>
      </c>
      <c r="J458" s="10">
        <v>976.86</v>
      </c>
      <c r="K458" s="17" t="str" cm="1">
        <f t="array" ref="K458">_xlfn.IFS(Table433[[#This Row],[Sales]]&gt;40000,"Best Sales",Table433[[#This Row],[Sales]]&gt;20000,"Average Sales",Table433[[#This Row],[Sales]]&gt;0,"Poor Sales")</f>
        <v>Poor Sales</v>
      </c>
      <c r="L458" s="12">
        <f>YEAR(Table433[[#This Row],[Date]])</f>
        <v>2023</v>
      </c>
      <c r="M458" s="12">
        <f>MONTH(Table433[[#This Row],[Date]])</f>
        <v>12</v>
      </c>
      <c r="N458" s="13">
        <f>DAY(Table433[[#This Row],[Date]])</f>
        <v>4</v>
      </c>
      <c r="O458" s="13" t="str">
        <f>TEXT(DATE(2023,Table433[[#This Row],[Month]],1),"mmm")</f>
        <v>Dec</v>
      </c>
      <c r="P458" s="13"/>
      <c r="Q458" s="13"/>
    </row>
    <row r="459" spans="1:17" x14ac:dyDescent="0.3">
      <c r="A459" s="14">
        <v>458</v>
      </c>
      <c r="B459" s="15">
        <v>44952</v>
      </c>
      <c r="C459" s="16" t="s">
        <v>44</v>
      </c>
      <c r="D459" s="16" t="s">
        <v>34</v>
      </c>
      <c r="E459" s="16" t="s">
        <v>19</v>
      </c>
      <c r="F459" s="16" t="s">
        <v>31</v>
      </c>
      <c r="G459" s="16" t="s">
        <v>35</v>
      </c>
      <c r="H459" s="17">
        <v>12452.06</v>
      </c>
      <c r="I459" s="16">
        <v>2</v>
      </c>
      <c r="J459" s="18">
        <v>2412.8200000000002</v>
      </c>
      <c r="K459" s="17" t="str" cm="1">
        <f t="array" ref="K459">_xlfn.IFS(Table433[[#This Row],[Sales]]&gt;40000,"Best Sales",Table433[[#This Row],[Sales]]&gt;20000,"Average Sales",Table433[[#This Row],[Sales]]&gt;0,"Poor Sales")</f>
        <v>Poor Sales</v>
      </c>
      <c r="L459" s="12">
        <f>YEAR(Table433[[#This Row],[Date]])</f>
        <v>2023</v>
      </c>
      <c r="M459" s="12">
        <f>MONTH(Table433[[#This Row],[Date]])</f>
        <v>1</v>
      </c>
      <c r="N459" s="13">
        <f>DAY(Table433[[#This Row],[Date]])</f>
        <v>26</v>
      </c>
      <c r="O459" s="13" t="str">
        <f>TEXT(DATE(2023,Table433[[#This Row],[Month]],1),"mmm")</f>
        <v>Jan</v>
      </c>
      <c r="P459" s="13"/>
      <c r="Q459" s="13"/>
    </row>
    <row r="460" spans="1:17" x14ac:dyDescent="0.3">
      <c r="A460" s="6">
        <v>459</v>
      </c>
      <c r="B460" s="7">
        <v>45132</v>
      </c>
      <c r="C460" s="8" t="s">
        <v>17</v>
      </c>
      <c r="D460" s="8" t="s">
        <v>18</v>
      </c>
      <c r="E460" s="8" t="s">
        <v>24</v>
      </c>
      <c r="F460" s="8" t="s">
        <v>31</v>
      </c>
      <c r="G460" s="8" t="s">
        <v>36</v>
      </c>
      <c r="H460" s="9">
        <v>15764.96</v>
      </c>
      <c r="I460" s="8">
        <v>4</v>
      </c>
      <c r="J460" s="10">
        <v>2352.7399999999998</v>
      </c>
      <c r="K460" s="17" t="str" cm="1">
        <f t="array" ref="K460">_xlfn.IFS(Table433[[#This Row],[Sales]]&gt;40000,"Best Sales",Table433[[#This Row],[Sales]]&gt;20000,"Average Sales",Table433[[#This Row],[Sales]]&gt;0,"Poor Sales")</f>
        <v>Poor Sales</v>
      </c>
      <c r="L460" s="12">
        <f>YEAR(Table433[[#This Row],[Date]])</f>
        <v>2023</v>
      </c>
      <c r="M460" s="12">
        <f>MONTH(Table433[[#This Row],[Date]])</f>
        <v>7</v>
      </c>
      <c r="N460" s="13">
        <f>DAY(Table433[[#This Row],[Date]])</f>
        <v>25</v>
      </c>
      <c r="O460" s="13" t="str">
        <f>TEXT(DATE(2023,Table433[[#This Row],[Month]],1),"mmm")</f>
        <v>Jul</v>
      </c>
      <c r="P460" s="13"/>
      <c r="Q460" s="13"/>
    </row>
    <row r="461" spans="1:17" x14ac:dyDescent="0.3">
      <c r="A461" s="14">
        <v>460</v>
      </c>
      <c r="B461" s="15">
        <v>45239</v>
      </c>
      <c r="C461" s="16" t="s">
        <v>44</v>
      </c>
      <c r="D461" s="16" t="s">
        <v>34</v>
      </c>
      <c r="E461" s="16" t="s">
        <v>19</v>
      </c>
      <c r="F461" s="16" t="s">
        <v>31</v>
      </c>
      <c r="G461" s="16" t="s">
        <v>32</v>
      </c>
      <c r="H461" s="17">
        <v>41835.79</v>
      </c>
      <c r="I461" s="16">
        <v>1</v>
      </c>
      <c r="J461" s="18">
        <v>2744.23</v>
      </c>
      <c r="K461" s="17" t="str" cm="1">
        <f t="array" ref="K461">_xlfn.IFS(Table433[[#This Row],[Sales]]&gt;40000,"Best Sales",Table433[[#This Row],[Sales]]&gt;20000,"Average Sales",Table433[[#This Row],[Sales]]&gt;0,"Poor Sales")</f>
        <v>Best Sales</v>
      </c>
      <c r="L461" s="12">
        <f>YEAR(Table433[[#This Row],[Date]])</f>
        <v>2023</v>
      </c>
      <c r="M461" s="12">
        <f>MONTH(Table433[[#This Row],[Date]])</f>
        <v>11</v>
      </c>
      <c r="N461" s="13">
        <f>DAY(Table433[[#This Row],[Date]])</f>
        <v>9</v>
      </c>
      <c r="O461" s="13" t="str">
        <f>TEXT(DATE(2023,Table433[[#This Row],[Month]],1),"mmm")</f>
        <v>Nov</v>
      </c>
      <c r="P461" s="13"/>
      <c r="Q461" s="13"/>
    </row>
    <row r="462" spans="1:17" x14ac:dyDescent="0.3">
      <c r="A462" s="6">
        <v>461</v>
      </c>
      <c r="B462" s="7">
        <v>45075</v>
      </c>
      <c r="C462" s="8" t="s">
        <v>25</v>
      </c>
      <c r="D462" s="8" t="s">
        <v>26</v>
      </c>
      <c r="E462" s="8" t="s">
        <v>24</v>
      </c>
      <c r="F462" s="8" t="s">
        <v>38</v>
      </c>
      <c r="G462" s="8" t="s">
        <v>40</v>
      </c>
      <c r="H462" s="9">
        <v>23801.25</v>
      </c>
      <c r="I462" s="8">
        <v>2</v>
      </c>
      <c r="J462" s="10">
        <v>6445.33</v>
      </c>
      <c r="K462" s="17" t="str" cm="1">
        <f t="array" ref="K462">_xlfn.IFS(Table433[[#This Row],[Sales]]&gt;40000,"Best Sales",Table433[[#This Row],[Sales]]&gt;20000,"Average Sales",Table433[[#This Row],[Sales]]&gt;0,"Poor Sales")</f>
        <v>Average Sales</v>
      </c>
      <c r="L462" s="12">
        <f>YEAR(Table433[[#This Row],[Date]])</f>
        <v>2023</v>
      </c>
      <c r="M462" s="12">
        <f>MONTH(Table433[[#This Row],[Date]])</f>
        <v>5</v>
      </c>
      <c r="N462" s="13">
        <f>DAY(Table433[[#This Row],[Date]])</f>
        <v>29</v>
      </c>
      <c r="O462" s="13" t="str">
        <f>TEXT(DATE(2023,Table433[[#This Row],[Month]],1),"mmm")</f>
        <v>May</v>
      </c>
      <c r="P462" s="13"/>
      <c r="Q462" s="13"/>
    </row>
    <row r="463" spans="1:17" x14ac:dyDescent="0.3">
      <c r="A463" s="14">
        <v>462</v>
      </c>
      <c r="B463" s="15">
        <v>45252</v>
      </c>
      <c r="C463" s="16" t="s">
        <v>33</v>
      </c>
      <c r="D463" s="16" t="s">
        <v>34</v>
      </c>
      <c r="E463" s="16" t="s">
        <v>27</v>
      </c>
      <c r="F463" s="16" t="s">
        <v>31</v>
      </c>
      <c r="G463" s="16" t="s">
        <v>32</v>
      </c>
      <c r="H463" s="17">
        <v>15461.71</v>
      </c>
      <c r="I463" s="16">
        <v>3</v>
      </c>
      <c r="J463" s="18">
        <v>3314.59</v>
      </c>
      <c r="K463" s="17" t="str" cm="1">
        <f t="array" ref="K463">_xlfn.IFS(Table433[[#This Row],[Sales]]&gt;40000,"Best Sales",Table433[[#This Row],[Sales]]&gt;20000,"Average Sales",Table433[[#This Row],[Sales]]&gt;0,"Poor Sales")</f>
        <v>Poor Sales</v>
      </c>
      <c r="L463" s="12">
        <f>YEAR(Table433[[#This Row],[Date]])</f>
        <v>2023</v>
      </c>
      <c r="M463" s="12">
        <f>MONTH(Table433[[#This Row],[Date]])</f>
        <v>11</v>
      </c>
      <c r="N463" s="13">
        <f>DAY(Table433[[#This Row],[Date]])</f>
        <v>22</v>
      </c>
      <c r="O463" s="13" t="str">
        <f>TEXT(DATE(2023,Table433[[#This Row],[Month]],1),"mmm")</f>
        <v>Nov</v>
      </c>
      <c r="P463" s="13"/>
      <c r="Q463" s="13"/>
    </row>
    <row r="464" spans="1:17" x14ac:dyDescent="0.3">
      <c r="A464" s="6">
        <v>463</v>
      </c>
      <c r="B464" s="7">
        <v>45076</v>
      </c>
      <c r="C464" s="8" t="s">
        <v>42</v>
      </c>
      <c r="D464" s="8" t="s">
        <v>43</v>
      </c>
      <c r="E464" s="8" t="s">
        <v>27</v>
      </c>
      <c r="F464" s="8" t="s">
        <v>31</v>
      </c>
      <c r="G464" s="8" t="s">
        <v>36</v>
      </c>
      <c r="H464" s="9">
        <v>45619.47</v>
      </c>
      <c r="I464" s="8">
        <v>10</v>
      </c>
      <c r="J464" s="10">
        <v>10134.75</v>
      </c>
      <c r="K464" s="17" t="str" cm="1">
        <f t="array" ref="K464">_xlfn.IFS(Table433[[#This Row],[Sales]]&gt;40000,"Best Sales",Table433[[#This Row],[Sales]]&gt;20000,"Average Sales",Table433[[#This Row],[Sales]]&gt;0,"Poor Sales")</f>
        <v>Best Sales</v>
      </c>
      <c r="L464" s="12">
        <f>YEAR(Table433[[#This Row],[Date]])</f>
        <v>2023</v>
      </c>
      <c r="M464" s="12">
        <f>MONTH(Table433[[#This Row],[Date]])</f>
        <v>5</v>
      </c>
      <c r="N464" s="13">
        <f>DAY(Table433[[#This Row],[Date]])</f>
        <v>30</v>
      </c>
      <c r="O464" s="13" t="str">
        <f>TEXT(DATE(2023,Table433[[#This Row],[Month]],1),"mmm")</f>
        <v>May</v>
      </c>
      <c r="P464" s="13"/>
      <c r="Q464" s="13"/>
    </row>
    <row r="465" spans="1:17" x14ac:dyDescent="0.3">
      <c r="A465" s="14">
        <v>464</v>
      </c>
      <c r="B465" s="15">
        <v>45000</v>
      </c>
      <c r="C465" s="16" t="s">
        <v>17</v>
      </c>
      <c r="D465" s="16" t="s">
        <v>18</v>
      </c>
      <c r="E465" s="16" t="s">
        <v>19</v>
      </c>
      <c r="F465" s="16" t="s">
        <v>38</v>
      </c>
      <c r="G465" s="16" t="s">
        <v>40</v>
      </c>
      <c r="H465" s="17">
        <v>15028.38</v>
      </c>
      <c r="I465" s="16">
        <v>7</v>
      </c>
      <c r="J465" s="18">
        <v>2910.42</v>
      </c>
      <c r="K465" s="17" t="str" cm="1">
        <f t="array" ref="K465">_xlfn.IFS(Table433[[#This Row],[Sales]]&gt;40000,"Best Sales",Table433[[#This Row],[Sales]]&gt;20000,"Average Sales",Table433[[#This Row],[Sales]]&gt;0,"Poor Sales")</f>
        <v>Poor Sales</v>
      </c>
      <c r="L465" s="12">
        <f>YEAR(Table433[[#This Row],[Date]])</f>
        <v>2023</v>
      </c>
      <c r="M465" s="12">
        <f>MONTH(Table433[[#This Row],[Date]])</f>
        <v>3</v>
      </c>
      <c r="N465" s="13">
        <f>DAY(Table433[[#This Row],[Date]])</f>
        <v>15</v>
      </c>
      <c r="O465" s="13" t="str">
        <f>TEXT(DATE(2023,Table433[[#This Row],[Month]],1),"mmm")</f>
        <v>Mar</v>
      </c>
      <c r="P465" s="13"/>
      <c r="Q465" s="13"/>
    </row>
    <row r="466" spans="1:17" x14ac:dyDescent="0.3">
      <c r="A466" s="6">
        <v>465</v>
      </c>
      <c r="B466" s="7">
        <v>45205</v>
      </c>
      <c r="C466" s="8" t="s">
        <v>29</v>
      </c>
      <c r="D466" s="8" t="s">
        <v>29</v>
      </c>
      <c r="E466" s="8" t="s">
        <v>24</v>
      </c>
      <c r="F466" s="8" t="s">
        <v>20</v>
      </c>
      <c r="G466" s="8" t="s">
        <v>41</v>
      </c>
      <c r="H466" s="9">
        <v>30842.46</v>
      </c>
      <c r="I466" s="8">
        <v>1</v>
      </c>
      <c r="J466" s="10">
        <v>3773.49</v>
      </c>
      <c r="K466" s="17" t="str" cm="1">
        <f t="array" ref="K466">_xlfn.IFS(Table433[[#This Row],[Sales]]&gt;40000,"Best Sales",Table433[[#This Row],[Sales]]&gt;20000,"Average Sales",Table433[[#This Row],[Sales]]&gt;0,"Poor Sales")</f>
        <v>Average Sales</v>
      </c>
      <c r="L466" s="12">
        <f>YEAR(Table433[[#This Row],[Date]])</f>
        <v>2023</v>
      </c>
      <c r="M466" s="12">
        <f>MONTH(Table433[[#This Row],[Date]])</f>
        <v>10</v>
      </c>
      <c r="N466" s="13">
        <f>DAY(Table433[[#This Row],[Date]])</f>
        <v>6</v>
      </c>
      <c r="O466" s="13" t="str">
        <f>TEXT(DATE(2023,Table433[[#This Row],[Month]],1),"mmm")</f>
        <v>Oct</v>
      </c>
      <c r="P466" s="13"/>
      <c r="Q466" s="13"/>
    </row>
    <row r="467" spans="1:17" x14ac:dyDescent="0.3">
      <c r="A467" s="14">
        <v>466</v>
      </c>
      <c r="B467" s="15">
        <v>45222</v>
      </c>
      <c r="C467" s="16" t="s">
        <v>17</v>
      </c>
      <c r="D467" s="16" t="s">
        <v>18</v>
      </c>
      <c r="E467" s="16" t="s">
        <v>19</v>
      </c>
      <c r="F467" s="16" t="s">
        <v>20</v>
      </c>
      <c r="G467" s="16" t="s">
        <v>28</v>
      </c>
      <c r="H467" s="17">
        <v>6318.79</v>
      </c>
      <c r="I467" s="16">
        <v>4</v>
      </c>
      <c r="J467" s="18">
        <v>1551.93</v>
      </c>
      <c r="K467" s="17" t="str" cm="1">
        <f t="array" ref="K467">_xlfn.IFS(Table433[[#This Row],[Sales]]&gt;40000,"Best Sales",Table433[[#This Row],[Sales]]&gt;20000,"Average Sales",Table433[[#This Row],[Sales]]&gt;0,"Poor Sales")</f>
        <v>Poor Sales</v>
      </c>
      <c r="L467" s="12">
        <f>YEAR(Table433[[#This Row],[Date]])</f>
        <v>2023</v>
      </c>
      <c r="M467" s="12">
        <f>MONTH(Table433[[#This Row],[Date]])</f>
        <v>10</v>
      </c>
      <c r="N467" s="13">
        <f>DAY(Table433[[#This Row],[Date]])</f>
        <v>23</v>
      </c>
      <c r="O467" s="13" t="str">
        <f>TEXT(DATE(2023,Table433[[#This Row],[Month]],1),"mmm")</f>
        <v>Oct</v>
      </c>
      <c r="P467" s="13"/>
      <c r="Q467" s="13"/>
    </row>
    <row r="468" spans="1:17" x14ac:dyDescent="0.3">
      <c r="A468" s="6">
        <v>467</v>
      </c>
      <c r="B468" s="7">
        <v>44974</v>
      </c>
      <c r="C468" s="8" t="s">
        <v>45</v>
      </c>
      <c r="D468" s="8" t="s">
        <v>34</v>
      </c>
      <c r="E468" s="8" t="s">
        <v>24</v>
      </c>
      <c r="F468" s="8" t="s">
        <v>38</v>
      </c>
      <c r="G468" s="8" t="s">
        <v>40</v>
      </c>
      <c r="H468" s="9">
        <v>14828.09</v>
      </c>
      <c r="I468" s="8">
        <v>7</v>
      </c>
      <c r="J468" s="10">
        <v>2884.42</v>
      </c>
      <c r="K468" s="17" t="str" cm="1">
        <f t="array" ref="K468">_xlfn.IFS(Table433[[#This Row],[Sales]]&gt;40000,"Best Sales",Table433[[#This Row],[Sales]]&gt;20000,"Average Sales",Table433[[#This Row],[Sales]]&gt;0,"Poor Sales")</f>
        <v>Poor Sales</v>
      </c>
      <c r="L468" s="12">
        <f>YEAR(Table433[[#This Row],[Date]])</f>
        <v>2023</v>
      </c>
      <c r="M468" s="12">
        <f>MONTH(Table433[[#This Row],[Date]])</f>
        <v>2</v>
      </c>
      <c r="N468" s="13">
        <f>DAY(Table433[[#This Row],[Date]])</f>
        <v>17</v>
      </c>
      <c r="O468" s="13" t="str">
        <f>TEXT(DATE(2023,Table433[[#This Row],[Month]],1),"mmm")</f>
        <v>Feb</v>
      </c>
      <c r="P468" s="13"/>
      <c r="Q468" s="13"/>
    </row>
    <row r="469" spans="1:17" x14ac:dyDescent="0.3">
      <c r="A469" s="14">
        <v>468</v>
      </c>
      <c r="B469" s="15">
        <v>45137</v>
      </c>
      <c r="C469" s="16" t="s">
        <v>44</v>
      </c>
      <c r="D469" s="16" t="s">
        <v>34</v>
      </c>
      <c r="E469" s="16" t="s">
        <v>27</v>
      </c>
      <c r="F469" s="16" t="s">
        <v>31</v>
      </c>
      <c r="G469" s="16" t="s">
        <v>35</v>
      </c>
      <c r="H469" s="17">
        <v>16069.37</v>
      </c>
      <c r="I469" s="16">
        <v>2</v>
      </c>
      <c r="J469" s="18">
        <v>3976.35</v>
      </c>
      <c r="K469" s="17" t="str" cm="1">
        <f t="array" ref="K469">_xlfn.IFS(Table433[[#This Row],[Sales]]&gt;40000,"Best Sales",Table433[[#This Row],[Sales]]&gt;20000,"Average Sales",Table433[[#This Row],[Sales]]&gt;0,"Poor Sales")</f>
        <v>Poor Sales</v>
      </c>
      <c r="L469" s="12">
        <f>YEAR(Table433[[#This Row],[Date]])</f>
        <v>2023</v>
      </c>
      <c r="M469" s="12">
        <f>MONTH(Table433[[#This Row],[Date]])</f>
        <v>7</v>
      </c>
      <c r="N469" s="13">
        <f>DAY(Table433[[#This Row],[Date]])</f>
        <v>30</v>
      </c>
      <c r="O469" s="13" t="str">
        <f>TEXT(DATE(2023,Table433[[#This Row],[Month]],1),"mmm")</f>
        <v>Jul</v>
      </c>
      <c r="P469" s="13"/>
      <c r="Q469" s="13"/>
    </row>
    <row r="470" spans="1:17" x14ac:dyDescent="0.3">
      <c r="A470" s="6">
        <v>469</v>
      </c>
      <c r="B470" s="7">
        <v>45213</v>
      </c>
      <c r="C470" s="8" t="s">
        <v>37</v>
      </c>
      <c r="D470" s="8" t="s">
        <v>23</v>
      </c>
      <c r="E470" s="8" t="s">
        <v>27</v>
      </c>
      <c r="F470" s="8" t="s">
        <v>20</v>
      </c>
      <c r="G470" s="8" t="s">
        <v>28</v>
      </c>
      <c r="H470" s="9">
        <v>13770.88</v>
      </c>
      <c r="I470" s="8">
        <v>9</v>
      </c>
      <c r="J470" s="10">
        <v>1110.72</v>
      </c>
      <c r="K470" s="17" t="str" cm="1">
        <f t="array" ref="K470">_xlfn.IFS(Table433[[#This Row],[Sales]]&gt;40000,"Best Sales",Table433[[#This Row],[Sales]]&gt;20000,"Average Sales",Table433[[#This Row],[Sales]]&gt;0,"Poor Sales")</f>
        <v>Poor Sales</v>
      </c>
      <c r="L470" s="12">
        <f>YEAR(Table433[[#This Row],[Date]])</f>
        <v>2023</v>
      </c>
      <c r="M470" s="12">
        <f>MONTH(Table433[[#This Row],[Date]])</f>
        <v>10</v>
      </c>
      <c r="N470" s="13">
        <f>DAY(Table433[[#This Row],[Date]])</f>
        <v>14</v>
      </c>
      <c r="O470" s="13" t="str">
        <f>TEXT(DATE(2023,Table433[[#This Row],[Month]],1),"mmm")</f>
        <v>Oct</v>
      </c>
      <c r="P470" s="13"/>
      <c r="Q470" s="13"/>
    </row>
    <row r="471" spans="1:17" x14ac:dyDescent="0.3">
      <c r="A471" s="14">
        <v>470</v>
      </c>
      <c r="B471" s="15">
        <v>45016</v>
      </c>
      <c r="C471" s="16" t="s">
        <v>44</v>
      </c>
      <c r="D471" s="16" t="s">
        <v>34</v>
      </c>
      <c r="E471" s="16" t="s">
        <v>19</v>
      </c>
      <c r="F471" s="16" t="s">
        <v>31</v>
      </c>
      <c r="G471" s="16" t="s">
        <v>36</v>
      </c>
      <c r="H471" s="17">
        <v>24821.75</v>
      </c>
      <c r="I471" s="16">
        <v>4</v>
      </c>
      <c r="J471" s="18">
        <v>4789.5600000000004</v>
      </c>
      <c r="K471" s="17" t="str" cm="1">
        <f t="array" ref="K471">_xlfn.IFS(Table433[[#This Row],[Sales]]&gt;40000,"Best Sales",Table433[[#This Row],[Sales]]&gt;20000,"Average Sales",Table433[[#This Row],[Sales]]&gt;0,"Poor Sales")</f>
        <v>Average Sales</v>
      </c>
      <c r="L471" s="12">
        <f>YEAR(Table433[[#This Row],[Date]])</f>
        <v>2023</v>
      </c>
      <c r="M471" s="12">
        <f>MONTH(Table433[[#This Row],[Date]])</f>
        <v>3</v>
      </c>
      <c r="N471" s="13">
        <f>DAY(Table433[[#This Row],[Date]])</f>
        <v>31</v>
      </c>
      <c r="O471" s="13" t="str">
        <f>TEXT(DATE(2023,Table433[[#This Row],[Month]],1),"mmm")</f>
        <v>Mar</v>
      </c>
      <c r="P471" s="13"/>
      <c r="Q471" s="13"/>
    </row>
    <row r="472" spans="1:17" x14ac:dyDescent="0.3">
      <c r="A472" s="6">
        <v>471</v>
      </c>
      <c r="B472" s="7">
        <v>45038</v>
      </c>
      <c r="C472" s="8" t="s">
        <v>22</v>
      </c>
      <c r="D472" s="8" t="s">
        <v>23</v>
      </c>
      <c r="E472" s="8" t="s">
        <v>24</v>
      </c>
      <c r="F472" s="8" t="s">
        <v>20</v>
      </c>
      <c r="G472" s="8" t="s">
        <v>21</v>
      </c>
      <c r="H472" s="9">
        <v>19819</v>
      </c>
      <c r="I472" s="8">
        <v>9</v>
      </c>
      <c r="J472" s="10">
        <v>4493.47</v>
      </c>
      <c r="K472" s="17" t="str" cm="1">
        <f t="array" ref="K472">_xlfn.IFS(Table433[[#This Row],[Sales]]&gt;40000,"Best Sales",Table433[[#This Row],[Sales]]&gt;20000,"Average Sales",Table433[[#This Row],[Sales]]&gt;0,"Poor Sales")</f>
        <v>Poor Sales</v>
      </c>
      <c r="L472" s="12">
        <f>YEAR(Table433[[#This Row],[Date]])</f>
        <v>2023</v>
      </c>
      <c r="M472" s="12">
        <f>MONTH(Table433[[#This Row],[Date]])</f>
        <v>4</v>
      </c>
      <c r="N472" s="13">
        <f>DAY(Table433[[#This Row],[Date]])</f>
        <v>22</v>
      </c>
      <c r="O472" s="13" t="str">
        <f>TEXT(DATE(2023,Table433[[#This Row],[Month]],1),"mmm")</f>
        <v>Apr</v>
      </c>
      <c r="P472" s="13"/>
      <c r="Q472" s="13"/>
    </row>
    <row r="473" spans="1:17" x14ac:dyDescent="0.3">
      <c r="A473" s="14">
        <v>472</v>
      </c>
      <c r="B473" s="15">
        <v>45211</v>
      </c>
      <c r="C473" s="16" t="s">
        <v>44</v>
      </c>
      <c r="D473" s="16" t="s">
        <v>34</v>
      </c>
      <c r="E473" s="16" t="s">
        <v>19</v>
      </c>
      <c r="F473" s="16" t="s">
        <v>20</v>
      </c>
      <c r="G473" s="16" t="s">
        <v>28</v>
      </c>
      <c r="H473" s="17">
        <v>7807.18</v>
      </c>
      <c r="I473" s="16">
        <v>9</v>
      </c>
      <c r="J473" s="18">
        <v>893.09</v>
      </c>
      <c r="K473" s="17" t="str" cm="1">
        <f t="array" ref="K473">_xlfn.IFS(Table433[[#This Row],[Sales]]&gt;40000,"Best Sales",Table433[[#This Row],[Sales]]&gt;20000,"Average Sales",Table433[[#This Row],[Sales]]&gt;0,"Poor Sales")</f>
        <v>Poor Sales</v>
      </c>
      <c r="L473" s="12">
        <f>YEAR(Table433[[#This Row],[Date]])</f>
        <v>2023</v>
      </c>
      <c r="M473" s="12">
        <f>MONTH(Table433[[#This Row],[Date]])</f>
        <v>10</v>
      </c>
      <c r="N473" s="13">
        <f>DAY(Table433[[#This Row],[Date]])</f>
        <v>12</v>
      </c>
      <c r="O473" s="13" t="str">
        <f>TEXT(DATE(2023,Table433[[#This Row],[Month]],1),"mmm")</f>
        <v>Oct</v>
      </c>
      <c r="P473" s="13"/>
      <c r="Q473" s="13"/>
    </row>
    <row r="474" spans="1:17" x14ac:dyDescent="0.3">
      <c r="A474" s="6">
        <v>473</v>
      </c>
      <c r="B474" s="7">
        <v>45158</v>
      </c>
      <c r="C474" s="8" t="s">
        <v>42</v>
      </c>
      <c r="D474" s="8" t="s">
        <v>43</v>
      </c>
      <c r="E474" s="8" t="s">
        <v>24</v>
      </c>
      <c r="F474" s="8" t="s">
        <v>20</v>
      </c>
      <c r="G474" s="8" t="s">
        <v>21</v>
      </c>
      <c r="H474" s="9">
        <v>29187.5</v>
      </c>
      <c r="I474" s="8">
        <v>3</v>
      </c>
      <c r="J474" s="10">
        <v>2048.9699999999998</v>
      </c>
      <c r="K474" s="17" t="str" cm="1">
        <f t="array" ref="K474">_xlfn.IFS(Table433[[#This Row],[Sales]]&gt;40000,"Best Sales",Table433[[#This Row],[Sales]]&gt;20000,"Average Sales",Table433[[#This Row],[Sales]]&gt;0,"Poor Sales")</f>
        <v>Average Sales</v>
      </c>
      <c r="L474" s="12">
        <f>YEAR(Table433[[#This Row],[Date]])</f>
        <v>2023</v>
      </c>
      <c r="M474" s="12">
        <f>MONTH(Table433[[#This Row],[Date]])</f>
        <v>8</v>
      </c>
      <c r="N474" s="13">
        <f>DAY(Table433[[#This Row],[Date]])</f>
        <v>20</v>
      </c>
      <c r="O474" s="13" t="str">
        <f>TEXT(DATE(2023,Table433[[#This Row],[Month]],1),"mmm")</f>
        <v>Aug</v>
      </c>
      <c r="P474" s="13"/>
      <c r="Q474" s="13"/>
    </row>
    <row r="475" spans="1:17" x14ac:dyDescent="0.3">
      <c r="A475" s="14">
        <v>474</v>
      </c>
      <c r="B475" s="15">
        <v>45287</v>
      </c>
      <c r="C475" s="16" t="s">
        <v>17</v>
      </c>
      <c r="D475" s="16" t="s">
        <v>18</v>
      </c>
      <c r="E475" s="16" t="s">
        <v>27</v>
      </c>
      <c r="F475" s="16" t="s">
        <v>31</v>
      </c>
      <c r="G475" s="16" t="s">
        <v>35</v>
      </c>
      <c r="H475" s="17">
        <v>30736.28</v>
      </c>
      <c r="I475" s="16">
        <v>6</v>
      </c>
      <c r="J475" s="18">
        <v>6419.01</v>
      </c>
      <c r="K475" s="17" t="str" cm="1">
        <f t="array" ref="K475">_xlfn.IFS(Table433[[#This Row],[Sales]]&gt;40000,"Best Sales",Table433[[#This Row],[Sales]]&gt;20000,"Average Sales",Table433[[#This Row],[Sales]]&gt;0,"Poor Sales")</f>
        <v>Average Sales</v>
      </c>
      <c r="L475" s="12">
        <f>YEAR(Table433[[#This Row],[Date]])</f>
        <v>2023</v>
      </c>
      <c r="M475" s="12">
        <f>MONTH(Table433[[#This Row],[Date]])</f>
        <v>12</v>
      </c>
      <c r="N475" s="13">
        <f>DAY(Table433[[#This Row],[Date]])</f>
        <v>27</v>
      </c>
      <c r="O475" s="13" t="str">
        <f>TEXT(DATE(2023,Table433[[#This Row],[Month]],1),"mmm")</f>
        <v>Dec</v>
      </c>
      <c r="P475" s="13"/>
      <c r="Q475" s="13"/>
    </row>
    <row r="476" spans="1:17" x14ac:dyDescent="0.3">
      <c r="A476" s="6">
        <v>475</v>
      </c>
      <c r="B476" s="7">
        <v>44988</v>
      </c>
      <c r="C476" s="8" t="s">
        <v>37</v>
      </c>
      <c r="D476" s="8" t="s">
        <v>23</v>
      </c>
      <c r="E476" s="8" t="s">
        <v>27</v>
      </c>
      <c r="F476" s="8" t="s">
        <v>31</v>
      </c>
      <c r="G476" s="8" t="s">
        <v>32</v>
      </c>
      <c r="H476" s="9">
        <v>14023.91</v>
      </c>
      <c r="I476" s="8">
        <v>7</v>
      </c>
      <c r="J476" s="10">
        <v>1687.3</v>
      </c>
      <c r="K476" s="17" t="str" cm="1">
        <f t="array" ref="K476">_xlfn.IFS(Table433[[#This Row],[Sales]]&gt;40000,"Best Sales",Table433[[#This Row],[Sales]]&gt;20000,"Average Sales",Table433[[#This Row],[Sales]]&gt;0,"Poor Sales")</f>
        <v>Poor Sales</v>
      </c>
      <c r="L476" s="12">
        <f>YEAR(Table433[[#This Row],[Date]])</f>
        <v>2023</v>
      </c>
      <c r="M476" s="12">
        <f>MONTH(Table433[[#This Row],[Date]])</f>
        <v>3</v>
      </c>
      <c r="N476" s="13">
        <f>DAY(Table433[[#This Row],[Date]])</f>
        <v>3</v>
      </c>
      <c r="O476" s="13" t="str">
        <f>TEXT(DATE(2023,Table433[[#This Row],[Month]],1),"mmm")</f>
        <v>Mar</v>
      </c>
      <c r="P476" s="13"/>
      <c r="Q476" s="13"/>
    </row>
    <row r="477" spans="1:17" x14ac:dyDescent="0.3">
      <c r="A477" s="14">
        <v>476</v>
      </c>
      <c r="B477" s="15">
        <v>45029</v>
      </c>
      <c r="C477" s="16" t="s">
        <v>25</v>
      </c>
      <c r="D477" s="16" t="s">
        <v>26</v>
      </c>
      <c r="E477" s="16" t="s">
        <v>19</v>
      </c>
      <c r="F477" s="16" t="s">
        <v>31</v>
      </c>
      <c r="G477" s="16" t="s">
        <v>36</v>
      </c>
      <c r="H477" s="17">
        <v>16267.75</v>
      </c>
      <c r="I477" s="16">
        <v>3</v>
      </c>
      <c r="J477" s="18">
        <v>3928.17</v>
      </c>
      <c r="K477" s="17" t="str" cm="1">
        <f t="array" ref="K477">_xlfn.IFS(Table433[[#This Row],[Sales]]&gt;40000,"Best Sales",Table433[[#This Row],[Sales]]&gt;20000,"Average Sales",Table433[[#This Row],[Sales]]&gt;0,"Poor Sales")</f>
        <v>Poor Sales</v>
      </c>
      <c r="L477" s="12">
        <f>YEAR(Table433[[#This Row],[Date]])</f>
        <v>2023</v>
      </c>
      <c r="M477" s="12">
        <f>MONTH(Table433[[#This Row],[Date]])</f>
        <v>4</v>
      </c>
      <c r="N477" s="13">
        <f>DAY(Table433[[#This Row],[Date]])</f>
        <v>13</v>
      </c>
      <c r="O477" s="13" t="str">
        <f>TEXT(DATE(2023,Table433[[#This Row],[Month]],1),"mmm")</f>
        <v>Apr</v>
      </c>
      <c r="P477" s="13"/>
      <c r="Q477" s="13"/>
    </row>
    <row r="478" spans="1:17" x14ac:dyDescent="0.3">
      <c r="A478" s="6">
        <v>477</v>
      </c>
      <c r="B478" s="7">
        <v>45129</v>
      </c>
      <c r="C478" s="8" t="s">
        <v>45</v>
      </c>
      <c r="D478" s="8" t="s">
        <v>34</v>
      </c>
      <c r="E478" s="8" t="s">
        <v>24</v>
      </c>
      <c r="F478" s="8" t="s">
        <v>38</v>
      </c>
      <c r="G478" s="8" t="s">
        <v>46</v>
      </c>
      <c r="H478" s="9">
        <v>17638.95</v>
      </c>
      <c r="I478" s="8">
        <v>1</v>
      </c>
      <c r="J478" s="10">
        <v>5267.64</v>
      </c>
      <c r="K478" s="17" t="str" cm="1">
        <f t="array" ref="K478">_xlfn.IFS(Table433[[#This Row],[Sales]]&gt;40000,"Best Sales",Table433[[#This Row],[Sales]]&gt;20000,"Average Sales",Table433[[#This Row],[Sales]]&gt;0,"Poor Sales")</f>
        <v>Poor Sales</v>
      </c>
      <c r="L478" s="12">
        <f>YEAR(Table433[[#This Row],[Date]])</f>
        <v>2023</v>
      </c>
      <c r="M478" s="12">
        <f>MONTH(Table433[[#This Row],[Date]])</f>
        <v>7</v>
      </c>
      <c r="N478" s="13">
        <f>DAY(Table433[[#This Row],[Date]])</f>
        <v>22</v>
      </c>
      <c r="O478" s="13" t="str">
        <f>TEXT(DATE(2023,Table433[[#This Row],[Month]],1),"mmm")</f>
        <v>Jul</v>
      </c>
      <c r="P478" s="13"/>
      <c r="Q478" s="13"/>
    </row>
    <row r="479" spans="1:17" x14ac:dyDescent="0.3">
      <c r="A479" s="14">
        <v>478</v>
      </c>
      <c r="B479" s="15">
        <v>45019</v>
      </c>
      <c r="C479" s="16" t="s">
        <v>42</v>
      </c>
      <c r="D479" s="16" t="s">
        <v>43</v>
      </c>
      <c r="E479" s="16" t="s">
        <v>19</v>
      </c>
      <c r="F479" s="16" t="s">
        <v>38</v>
      </c>
      <c r="G479" s="16" t="s">
        <v>46</v>
      </c>
      <c r="H479" s="17">
        <v>4634.8100000000004</v>
      </c>
      <c r="I479" s="16">
        <v>5</v>
      </c>
      <c r="J479" s="18">
        <v>1129.28</v>
      </c>
      <c r="K479" s="17" t="str" cm="1">
        <f t="array" ref="K479">_xlfn.IFS(Table433[[#This Row],[Sales]]&gt;40000,"Best Sales",Table433[[#This Row],[Sales]]&gt;20000,"Average Sales",Table433[[#This Row],[Sales]]&gt;0,"Poor Sales")</f>
        <v>Poor Sales</v>
      </c>
      <c r="L479" s="12">
        <f>YEAR(Table433[[#This Row],[Date]])</f>
        <v>2023</v>
      </c>
      <c r="M479" s="12">
        <f>MONTH(Table433[[#This Row],[Date]])</f>
        <v>4</v>
      </c>
      <c r="N479" s="13">
        <f>DAY(Table433[[#This Row],[Date]])</f>
        <v>3</v>
      </c>
      <c r="O479" s="13" t="str">
        <f>TEXT(DATE(2023,Table433[[#This Row],[Month]],1),"mmm")</f>
        <v>Apr</v>
      </c>
      <c r="P479" s="13"/>
      <c r="Q479" s="13"/>
    </row>
    <row r="480" spans="1:17" x14ac:dyDescent="0.3">
      <c r="A480" s="6">
        <v>479</v>
      </c>
      <c r="B480" s="7">
        <v>44994</v>
      </c>
      <c r="C480" s="8" t="s">
        <v>45</v>
      </c>
      <c r="D480" s="8" t="s">
        <v>34</v>
      </c>
      <c r="E480" s="8" t="s">
        <v>24</v>
      </c>
      <c r="F480" s="8" t="s">
        <v>38</v>
      </c>
      <c r="G480" s="8" t="s">
        <v>39</v>
      </c>
      <c r="H480" s="9">
        <v>38025.67</v>
      </c>
      <c r="I480" s="8">
        <v>8</v>
      </c>
      <c r="J480" s="10">
        <v>2827.8</v>
      </c>
      <c r="K480" s="17" t="str" cm="1">
        <f t="array" ref="K480">_xlfn.IFS(Table433[[#This Row],[Sales]]&gt;40000,"Best Sales",Table433[[#This Row],[Sales]]&gt;20000,"Average Sales",Table433[[#This Row],[Sales]]&gt;0,"Poor Sales")</f>
        <v>Average Sales</v>
      </c>
      <c r="L480" s="12">
        <f>YEAR(Table433[[#This Row],[Date]])</f>
        <v>2023</v>
      </c>
      <c r="M480" s="12">
        <f>MONTH(Table433[[#This Row],[Date]])</f>
        <v>3</v>
      </c>
      <c r="N480" s="13">
        <f>DAY(Table433[[#This Row],[Date]])</f>
        <v>9</v>
      </c>
      <c r="O480" s="13" t="str">
        <f>TEXT(DATE(2023,Table433[[#This Row],[Month]],1),"mmm")</f>
        <v>Mar</v>
      </c>
      <c r="P480" s="13"/>
      <c r="Q480" s="13"/>
    </row>
    <row r="481" spans="1:17" x14ac:dyDescent="0.3">
      <c r="A481" s="14">
        <v>480</v>
      </c>
      <c r="B481" s="15">
        <v>45024</v>
      </c>
      <c r="C481" s="16" t="s">
        <v>45</v>
      </c>
      <c r="D481" s="16" t="s">
        <v>34</v>
      </c>
      <c r="E481" s="16" t="s">
        <v>27</v>
      </c>
      <c r="F481" s="16" t="s">
        <v>20</v>
      </c>
      <c r="G481" s="16" t="s">
        <v>41</v>
      </c>
      <c r="H481" s="17">
        <v>2127.65</v>
      </c>
      <c r="I481" s="16">
        <v>9</v>
      </c>
      <c r="J481" s="18">
        <v>181.46</v>
      </c>
      <c r="K481" s="17" t="str" cm="1">
        <f t="array" ref="K481">_xlfn.IFS(Table433[[#This Row],[Sales]]&gt;40000,"Best Sales",Table433[[#This Row],[Sales]]&gt;20000,"Average Sales",Table433[[#This Row],[Sales]]&gt;0,"Poor Sales")</f>
        <v>Poor Sales</v>
      </c>
      <c r="L481" s="12">
        <f>YEAR(Table433[[#This Row],[Date]])</f>
        <v>2023</v>
      </c>
      <c r="M481" s="12">
        <f>MONTH(Table433[[#This Row],[Date]])</f>
        <v>4</v>
      </c>
      <c r="N481" s="13">
        <f>DAY(Table433[[#This Row],[Date]])</f>
        <v>8</v>
      </c>
      <c r="O481" s="13" t="str">
        <f>TEXT(DATE(2023,Table433[[#This Row],[Month]],1),"mmm")</f>
        <v>Apr</v>
      </c>
      <c r="P481" s="13"/>
      <c r="Q481" s="13"/>
    </row>
    <row r="482" spans="1:17" x14ac:dyDescent="0.3">
      <c r="A482" s="6">
        <v>481</v>
      </c>
      <c r="B482" s="7">
        <v>44936</v>
      </c>
      <c r="C482" s="8" t="s">
        <v>44</v>
      </c>
      <c r="D482" s="8" t="s">
        <v>34</v>
      </c>
      <c r="E482" s="8" t="s">
        <v>27</v>
      </c>
      <c r="F482" s="8" t="s">
        <v>38</v>
      </c>
      <c r="G482" s="8" t="s">
        <v>40</v>
      </c>
      <c r="H482" s="9">
        <v>45815.93</v>
      </c>
      <c r="I482" s="8">
        <v>8</v>
      </c>
      <c r="J482" s="10">
        <v>2496.91</v>
      </c>
      <c r="K482" s="17" t="str" cm="1">
        <f t="array" ref="K482">_xlfn.IFS(Table433[[#This Row],[Sales]]&gt;40000,"Best Sales",Table433[[#This Row],[Sales]]&gt;20000,"Average Sales",Table433[[#This Row],[Sales]]&gt;0,"Poor Sales")</f>
        <v>Best Sales</v>
      </c>
      <c r="L482" s="12">
        <f>YEAR(Table433[[#This Row],[Date]])</f>
        <v>2023</v>
      </c>
      <c r="M482" s="12">
        <f>MONTH(Table433[[#This Row],[Date]])</f>
        <v>1</v>
      </c>
      <c r="N482" s="13">
        <f>DAY(Table433[[#This Row],[Date]])</f>
        <v>10</v>
      </c>
      <c r="O482" s="13" t="str">
        <f>TEXT(DATE(2023,Table433[[#This Row],[Month]],1),"mmm")</f>
        <v>Jan</v>
      </c>
      <c r="P482" s="13"/>
      <c r="Q482" s="13"/>
    </row>
    <row r="483" spans="1:17" x14ac:dyDescent="0.3">
      <c r="A483" s="14">
        <v>482</v>
      </c>
      <c r="B483" s="15">
        <v>45291</v>
      </c>
      <c r="C483" s="16" t="s">
        <v>29</v>
      </c>
      <c r="D483" s="16" t="s">
        <v>29</v>
      </c>
      <c r="E483" s="16" t="s">
        <v>19</v>
      </c>
      <c r="F483" s="16" t="s">
        <v>20</v>
      </c>
      <c r="G483" s="16" t="s">
        <v>21</v>
      </c>
      <c r="H483" s="17">
        <v>15944.17</v>
      </c>
      <c r="I483" s="16">
        <v>3</v>
      </c>
      <c r="J483" s="18">
        <v>1241.5</v>
      </c>
      <c r="K483" s="17" t="str" cm="1">
        <f t="array" ref="K483">_xlfn.IFS(Table433[[#This Row],[Sales]]&gt;40000,"Best Sales",Table433[[#This Row],[Sales]]&gt;20000,"Average Sales",Table433[[#This Row],[Sales]]&gt;0,"Poor Sales")</f>
        <v>Poor Sales</v>
      </c>
      <c r="L483" s="12">
        <f>YEAR(Table433[[#This Row],[Date]])</f>
        <v>2023</v>
      </c>
      <c r="M483" s="12">
        <f>MONTH(Table433[[#This Row],[Date]])</f>
        <v>12</v>
      </c>
      <c r="N483" s="13">
        <f>DAY(Table433[[#This Row],[Date]])</f>
        <v>31</v>
      </c>
      <c r="O483" s="13" t="str">
        <f>TEXT(DATE(2023,Table433[[#This Row],[Month]],1),"mmm")</f>
        <v>Dec</v>
      </c>
      <c r="P483" s="13"/>
      <c r="Q483" s="13"/>
    </row>
    <row r="484" spans="1:17" x14ac:dyDescent="0.3">
      <c r="A484" s="6">
        <v>483</v>
      </c>
      <c r="B484" s="7">
        <v>45127</v>
      </c>
      <c r="C484" s="8" t="s">
        <v>37</v>
      </c>
      <c r="D484" s="8" t="s">
        <v>23</v>
      </c>
      <c r="E484" s="8" t="s">
        <v>24</v>
      </c>
      <c r="F484" s="8" t="s">
        <v>38</v>
      </c>
      <c r="G484" s="8" t="s">
        <v>46</v>
      </c>
      <c r="H484" s="9">
        <v>13865.4</v>
      </c>
      <c r="I484" s="8">
        <v>7</v>
      </c>
      <c r="J484" s="10">
        <v>1146.8599999999999</v>
      </c>
      <c r="K484" s="17" t="str" cm="1">
        <f t="array" ref="K484">_xlfn.IFS(Table433[[#This Row],[Sales]]&gt;40000,"Best Sales",Table433[[#This Row],[Sales]]&gt;20000,"Average Sales",Table433[[#This Row],[Sales]]&gt;0,"Poor Sales")</f>
        <v>Poor Sales</v>
      </c>
      <c r="L484" s="12">
        <f>YEAR(Table433[[#This Row],[Date]])</f>
        <v>2023</v>
      </c>
      <c r="M484" s="12">
        <f>MONTH(Table433[[#This Row],[Date]])</f>
        <v>7</v>
      </c>
      <c r="N484" s="13">
        <f>DAY(Table433[[#This Row],[Date]])</f>
        <v>20</v>
      </c>
      <c r="O484" s="13" t="str">
        <f>TEXT(DATE(2023,Table433[[#This Row],[Month]],1),"mmm")</f>
        <v>Jul</v>
      </c>
      <c r="P484" s="13"/>
      <c r="Q484" s="13"/>
    </row>
    <row r="485" spans="1:17" x14ac:dyDescent="0.3">
      <c r="A485" s="14">
        <v>484</v>
      </c>
      <c r="B485" s="15">
        <v>45219</v>
      </c>
      <c r="C485" s="16" t="s">
        <v>17</v>
      </c>
      <c r="D485" s="16" t="s">
        <v>18</v>
      </c>
      <c r="E485" s="16" t="s">
        <v>19</v>
      </c>
      <c r="F485" s="16" t="s">
        <v>38</v>
      </c>
      <c r="G485" s="16" t="s">
        <v>40</v>
      </c>
      <c r="H485" s="17">
        <v>49401.07</v>
      </c>
      <c r="I485" s="16">
        <v>7</v>
      </c>
      <c r="J485" s="18">
        <v>13668.97</v>
      </c>
      <c r="K485" s="17" t="str" cm="1">
        <f t="array" ref="K485">_xlfn.IFS(Table433[[#This Row],[Sales]]&gt;40000,"Best Sales",Table433[[#This Row],[Sales]]&gt;20000,"Average Sales",Table433[[#This Row],[Sales]]&gt;0,"Poor Sales")</f>
        <v>Best Sales</v>
      </c>
      <c r="L485" s="12">
        <f>YEAR(Table433[[#This Row],[Date]])</f>
        <v>2023</v>
      </c>
      <c r="M485" s="12">
        <f>MONTH(Table433[[#This Row],[Date]])</f>
        <v>10</v>
      </c>
      <c r="N485" s="13">
        <f>DAY(Table433[[#This Row],[Date]])</f>
        <v>20</v>
      </c>
      <c r="O485" s="13" t="str">
        <f>TEXT(DATE(2023,Table433[[#This Row],[Month]],1),"mmm")</f>
        <v>Oct</v>
      </c>
      <c r="P485" s="13"/>
      <c r="Q485" s="13"/>
    </row>
    <row r="486" spans="1:17" x14ac:dyDescent="0.3">
      <c r="A486" s="6">
        <v>485</v>
      </c>
      <c r="B486" s="7">
        <v>45222</v>
      </c>
      <c r="C486" s="8" t="s">
        <v>45</v>
      </c>
      <c r="D486" s="8" t="s">
        <v>34</v>
      </c>
      <c r="E486" s="8" t="s">
        <v>24</v>
      </c>
      <c r="F486" s="8" t="s">
        <v>31</v>
      </c>
      <c r="G486" s="8" t="s">
        <v>35</v>
      </c>
      <c r="H486" s="9">
        <v>6564.48</v>
      </c>
      <c r="I486" s="8">
        <v>1</v>
      </c>
      <c r="J486" s="10">
        <v>522.54999999999995</v>
      </c>
      <c r="K486" s="17" t="str" cm="1">
        <f t="array" ref="K486">_xlfn.IFS(Table433[[#This Row],[Sales]]&gt;40000,"Best Sales",Table433[[#This Row],[Sales]]&gt;20000,"Average Sales",Table433[[#This Row],[Sales]]&gt;0,"Poor Sales")</f>
        <v>Poor Sales</v>
      </c>
      <c r="L486" s="12">
        <f>YEAR(Table433[[#This Row],[Date]])</f>
        <v>2023</v>
      </c>
      <c r="M486" s="12">
        <f>MONTH(Table433[[#This Row],[Date]])</f>
        <v>10</v>
      </c>
      <c r="N486" s="13">
        <f>DAY(Table433[[#This Row],[Date]])</f>
        <v>23</v>
      </c>
      <c r="O486" s="13" t="str">
        <f>TEXT(DATE(2023,Table433[[#This Row],[Month]],1),"mmm")</f>
        <v>Oct</v>
      </c>
      <c r="P486" s="13"/>
      <c r="Q486" s="13"/>
    </row>
    <row r="487" spans="1:17" x14ac:dyDescent="0.3">
      <c r="A487" s="14">
        <v>486</v>
      </c>
      <c r="B487" s="15">
        <v>45109</v>
      </c>
      <c r="C487" s="16" t="s">
        <v>44</v>
      </c>
      <c r="D487" s="16" t="s">
        <v>34</v>
      </c>
      <c r="E487" s="16" t="s">
        <v>27</v>
      </c>
      <c r="F487" s="16" t="s">
        <v>20</v>
      </c>
      <c r="G487" s="16" t="s">
        <v>21</v>
      </c>
      <c r="H487" s="17">
        <v>5283.9</v>
      </c>
      <c r="I487" s="16">
        <v>9</v>
      </c>
      <c r="J487" s="18">
        <v>1226.3399999999999</v>
      </c>
      <c r="K487" s="17" t="str" cm="1">
        <f t="array" ref="K487">_xlfn.IFS(Table433[[#This Row],[Sales]]&gt;40000,"Best Sales",Table433[[#This Row],[Sales]]&gt;20000,"Average Sales",Table433[[#This Row],[Sales]]&gt;0,"Poor Sales")</f>
        <v>Poor Sales</v>
      </c>
      <c r="L487" s="12">
        <f>YEAR(Table433[[#This Row],[Date]])</f>
        <v>2023</v>
      </c>
      <c r="M487" s="12">
        <f>MONTH(Table433[[#This Row],[Date]])</f>
        <v>7</v>
      </c>
      <c r="N487" s="13">
        <f>DAY(Table433[[#This Row],[Date]])</f>
        <v>2</v>
      </c>
      <c r="O487" s="13" t="str">
        <f>TEXT(DATE(2023,Table433[[#This Row],[Month]],1),"mmm")</f>
        <v>Jul</v>
      </c>
      <c r="P487" s="13"/>
      <c r="Q487" s="13"/>
    </row>
    <row r="488" spans="1:17" x14ac:dyDescent="0.3">
      <c r="A488" s="6">
        <v>487</v>
      </c>
      <c r="B488" s="7">
        <v>45011</v>
      </c>
      <c r="C488" s="8" t="s">
        <v>22</v>
      </c>
      <c r="D488" s="8" t="s">
        <v>23</v>
      </c>
      <c r="E488" s="8" t="s">
        <v>27</v>
      </c>
      <c r="F488" s="8" t="s">
        <v>31</v>
      </c>
      <c r="G488" s="8" t="s">
        <v>36</v>
      </c>
      <c r="H488" s="9">
        <v>36607.199999999997</v>
      </c>
      <c r="I488" s="8">
        <v>7</v>
      </c>
      <c r="J488" s="10">
        <v>3454.39</v>
      </c>
      <c r="K488" s="17" t="str" cm="1">
        <f t="array" ref="K488">_xlfn.IFS(Table433[[#This Row],[Sales]]&gt;40000,"Best Sales",Table433[[#This Row],[Sales]]&gt;20000,"Average Sales",Table433[[#This Row],[Sales]]&gt;0,"Poor Sales")</f>
        <v>Average Sales</v>
      </c>
      <c r="L488" s="12">
        <f>YEAR(Table433[[#This Row],[Date]])</f>
        <v>2023</v>
      </c>
      <c r="M488" s="12">
        <f>MONTH(Table433[[#This Row],[Date]])</f>
        <v>3</v>
      </c>
      <c r="N488" s="13">
        <f>DAY(Table433[[#This Row],[Date]])</f>
        <v>26</v>
      </c>
      <c r="O488" s="13" t="str">
        <f>TEXT(DATE(2023,Table433[[#This Row],[Month]],1),"mmm")</f>
        <v>Mar</v>
      </c>
      <c r="P488" s="13"/>
      <c r="Q488" s="13"/>
    </row>
    <row r="489" spans="1:17" x14ac:dyDescent="0.3">
      <c r="A489" s="14">
        <v>488</v>
      </c>
      <c r="B489" s="15">
        <v>44986</v>
      </c>
      <c r="C489" s="16" t="s">
        <v>44</v>
      </c>
      <c r="D489" s="16" t="s">
        <v>34</v>
      </c>
      <c r="E489" s="16" t="s">
        <v>19</v>
      </c>
      <c r="F489" s="16" t="s">
        <v>31</v>
      </c>
      <c r="G489" s="16" t="s">
        <v>35</v>
      </c>
      <c r="H489" s="17">
        <v>17654.32</v>
      </c>
      <c r="I489" s="16">
        <v>9</v>
      </c>
      <c r="J489" s="18">
        <v>1231.93</v>
      </c>
      <c r="K489" s="17" t="str" cm="1">
        <f t="array" ref="K489">_xlfn.IFS(Table433[[#This Row],[Sales]]&gt;40000,"Best Sales",Table433[[#This Row],[Sales]]&gt;20000,"Average Sales",Table433[[#This Row],[Sales]]&gt;0,"Poor Sales")</f>
        <v>Poor Sales</v>
      </c>
      <c r="L489" s="12">
        <f>YEAR(Table433[[#This Row],[Date]])</f>
        <v>2023</v>
      </c>
      <c r="M489" s="12">
        <f>MONTH(Table433[[#This Row],[Date]])</f>
        <v>3</v>
      </c>
      <c r="N489" s="13">
        <f>DAY(Table433[[#This Row],[Date]])</f>
        <v>1</v>
      </c>
      <c r="O489" s="13" t="str">
        <f>TEXT(DATE(2023,Table433[[#This Row],[Month]],1),"mmm")</f>
        <v>Mar</v>
      </c>
      <c r="P489" s="13"/>
      <c r="Q489" s="13"/>
    </row>
    <row r="490" spans="1:17" x14ac:dyDescent="0.3">
      <c r="A490" s="6">
        <v>489</v>
      </c>
      <c r="B490" s="7">
        <v>45143</v>
      </c>
      <c r="C490" s="8" t="s">
        <v>33</v>
      </c>
      <c r="D490" s="8" t="s">
        <v>34</v>
      </c>
      <c r="E490" s="8" t="s">
        <v>24</v>
      </c>
      <c r="F490" s="8" t="s">
        <v>38</v>
      </c>
      <c r="G490" s="8" t="s">
        <v>46</v>
      </c>
      <c r="H490" s="9">
        <v>9433.0400000000009</v>
      </c>
      <c r="I490" s="8">
        <v>8</v>
      </c>
      <c r="J490" s="10">
        <v>2046</v>
      </c>
      <c r="K490" s="17" t="str" cm="1">
        <f t="array" ref="K490">_xlfn.IFS(Table433[[#This Row],[Sales]]&gt;40000,"Best Sales",Table433[[#This Row],[Sales]]&gt;20000,"Average Sales",Table433[[#This Row],[Sales]]&gt;0,"Poor Sales")</f>
        <v>Poor Sales</v>
      </c>
      <c r="L490" s="12">
        <f>YEAR(Table433[[#This Row],[Date]])</f>
        <v>2023</v>
      </c>
      <c r="M490" s="12">
        <f>MONTH(Table433[[#This Row],[Date]])</f>
        <v>8</v>
      </c>
      <c r="N490" s="13">
        <f>DAY(Table433[[#This Row],[Date]])</f>
        <v>5</v>
      </c>
      <c r="O490" s="13" t="str">
        <f>TEXT(DATE(2023,Table433[[#This Row],[Month]],1),"mmm")</f>
        <v>Aug</v>
      </c>
      <c r="P490" s="13"/>
      <c r="Q490" s="13"/>
    </row>
    <row r="491" spans="1:17" x14ac:dyDescent="0.3">
      <c r="A491" s="14">
        <v>490</v>
      </c>
      <c r="B491" s="15">
        <v>45217</v>
      </c>
      <c r="C491" s="16" t="s">
        <v>44</v>
      </c>
      <c r="D491" s="16" t="s">
        <v>34</v>
      </c>
      <c r="E491" s="16" t="s">
        <v>19</v>
      </c>
      <c r="F491" s="16" t="s">
        <v>31</v>
      </c>
      <c r="G491" s="16" t="s">
        <v>35</v>
      </c>
      <c r="H491" s="17">
        <v>2839.73</v>
      </c>
      <c r="I491" s="16">
        <v>9</v>
      </c>
      <c r="J491" s="18">
        <v>780.48</v>
      </c>
      <c r="K491" s="17" t="str" cm="1">
        <f t="array" ref="K491">_xlfn.IFS(Table433[[#This Row],[Sales]]&gt;40000,"Best Sales",Table433[[#This Row],[Sales]]&gt;20000,"Average Sales",Table433[[#This Row],[Sales]]&gt;0,"Poor Sales")</f>
        <v>Poor Sales</v>
      </c>
      <c r="L491" s="12">
        <f>YEAR(Table433[[#This Row],[Date]])</f>
        <v>2023</v>
      </c>
      <c r="M491" s="12">
        <f>MONTH(Table433[[#This Row],[Date]])</f>
        <v>10</v>
      </c>
      <c r="N491" s="13">
        <f>DAY(Table433[[#This Row],[Date]])</f>
        <v>18</v>
      </c>
      <c r="O491" s="13" t="str">
        <f>TEXT(DATE(2023,Table433[[#This Row],[Month]],1),"mmm")</f>
        <v>Oct</v>
      </c>
      <c r="P491" s="13"/>
      <c r="Q491" s="13"/>
    </row>
    <row r="492" spans="1:17" x14ac:dyDescent="0.3">
      <c r="A492" s="6">
        <v>491</v>
      </c>
      <c r="B492" s="7">
        <v>45187</v>
      </c>
      <c r="C492" s="8" t="s">
        <v>33</v>
      </c>
      <c r="D492" s="8" t="s">
        <v>34</v>
      </c>
      <c r="E492" s="8" t="s">
        <v>24</v>
      </c>
      <c r="F492" s="8" t="s">
        <v>38</v>
      </c>
      <c r="G492" s="8" t="s">
        <v>46</v>
      </c>
      <c r="H492" s="9">
        <v>37729.72</v>
      </c>
      <c r="I492" s="8">
        <v>8</v>
      </c>
      <c r="J492" s="10">
        <v>7417.54</v>
      </c>
      <c r="K492" s="17" t="str" cm="1">
        <f t="array" ref="K492">_xlfn.IFS(Table433[[#This Row],[Sales]]&gt;40000,"Best Sales",Table433[[#This Row],[Sales]]&gt;20000,"Average Sales",Table433[[#This Row],[Sales]]&gt;0,"Poor Sales")</f>
        <v>Average Sales</v>
      </c>
      <c r="L492" s="12">
        <f>YEAR(Table433[[#This Row],[Date]])</f>
        <v>2023</v>
      </c>
      <c r="M492" s="12">
        <f>MONTH(Table433[[#This Row],[Date]])</f>
        <v>9</v>
      </c>
      <c r="N492" s="13">
        <f>DAY(Table433[[#This Row],[Date]])</f>
        <v>18</v>
      </c>
      <c r="O492" s="13" t="str">
        <f>TEXT(DATE(2023,Table433[[#This Row],[Month]],1),"mmm")</f>
        <v>Sep</v>
      </c>
      <c r="P492" s="13"/>
      <c r="Q492" s="13"/>
    </row>
    <row r="493" spans="1:17" x14ac:dyDescent="0.3">
      <c r="A493" s="14">
        <v>492</v>
      </c>
      <c r="B493" s="15">
        <v>45082</v>
      </c>
      <c r="C493" s="16" t="s">
        <v>42</v>
      </c>
      <c r="D493" s="16" t="s">
        <v>43</v>
      </c>
      <c r="E493" s="16" t="s">
        <v>27</v>
      </c>
      <c r="F493" s="16" t="s">
        <v>20</v>
      </c>
      <c r="G493" s="16" t="s">
        <v>21</v>
      </c>
      <c r="H493" s="17">
        <v>42195.65</v>
      </c>
      <c r="I493" s="16">
        <v>8</v>
      </c>
      <c r="J493" s="18">
        <v>7879.74</v>
      </c>
      <c r="K493" s="17" t="str" cm="1">
        <f t="array" ref="K493">_xlfn.IFS(Table433[[#This Row],[Sales]]&gt;40000,"Best Sales",Table433[[#This Row],[Sales]]&gt;20000,"Average Sales",Table433[[#This Row],[Sales]]&gt;0,"Poor Sales")</f>
        <v>Best Sales</v>
      </c>
      <c r="L493" s="12">
        <f>YEAR(Table433[[#This Row],[Date]])</f>
        <v>2023</v>
      </c>
      <c r="M493" s="12">
        <f>MONTH(Table433[[#This Row],[Date]])</f>
        <v>6</v>
      </c>
      <c r="N493" s="13">
        <f>DAY(Table433[[#This Row],[Date]])</f>
        <v>5</v>
      </c>
      <c r="O493" s="13" t="str">
        <f>TEXT(DATE(2023,Table433[[#This Row],[Month]],1),"mmm")</f>
        <v>Jun</v>
      </c>
      <c r="P493" s="13"/>
      <c r="Q493" s="13"/>
    </row>
    <row r="494" spans="1:17" x14ac:dyDescent="0.3">
      <c r="A494" s="6">
        <v>493</v>
      </c>
      <c r="B494" s="7">
        <v>45163</v>
      </c>
      <c r="C494" s="8" t="s">
        <v>25</v>
      </c>
      <c r="D494" s="8" t="s">
        <v>26</v>
      </c>
      <c r="E494" s="8" t="s">
        <v>27</v>
      </c>
      <c r="F494" s="8" t="s">
        <v>31</v>
      </c>
      <c r="G494" s="8" t="s">
        <v>35</v>
      </c>
      <c r="H494" s="9">
        <v>43878.42</v>
      </c>
      <c r="I494" s="8">
        <v>7</v>
      </c>
      <c r="J494" s="10">
        <v>6784.49</v>
      </c>
      <c r="K494" s="17" t="str" cm="1">
        <f t="array" ref="K494">_xlfn.IFS(Table433[[#This Row],[Sales]]&gt;40000,"Best Sales",Table433[[#This Row],[Sales]]&gt;20000,"Average Sales",Table433[[#This Row],[Sales]]&gt;0,"Poor Sales")</f>
        <v>Best Sales</v>
      </c>
      <c r="L494" s="12">
        <f>YEAR(Table433[[#This Row],[Date]])</f>
        <v>2023</v>
      </c>
      <c r="M494" s="12">
        <f>MONTH(Table433[[#This Row],[Date]])</f>
        <v>8</v>
      </c>
      <c r="N494" s="13">
        <f>DAY(Table433[[#This Row],[Date]])</f>
        <v>25</v>
      </c>
      <c r="O494" s="13" t="str">
        <f>TEXT(DATE(2023,Table433[[#This Row],[Month]],1),"mmm")</f>
        <v>Aug</v>
      </c>
      <c r="P494" s="13"/>
      <c r="Q494" s="13"/>
    </row>
    <row r="495" spans="1:17" x14ac:dyDescent="0.3">
      <c r="A495" s="14">
        <v>494</v>
      </c>
      <c r="B495" s="15">
        <v>45203</v>
      </c>
      <c r="C495" s="16" t="s">
        <v>29</v>
      </c>
      <c r="D495" s="16" t="s">
        <v>29</v>
      </c>
      <c r="E495" s="16" t="s">
        <v>19</v>
      </c>
      <c r="F495" s="16" t="s">
        <v>31</v>
      </c>
      <c r="G495" s="16" t="s">
        <v>36</v>
      </c>
      <c r="H495" s="17">
        <v>38660.239999999998</v>
      </c>
      <c r="I495" s="16">
        <v>10</v>
      </c>
      <c r="J495" s="18">
        <v>4376.5</v>
      </c>
      <c r="K495" s="17" t="str" cm="1">
        <f t="array" ref="K495">_xlfn.IFS(Table433[[#This Row],[Sales]]&gt;40000,"Best Sales",Table433[[#This Row],[Sales]]&gt;20000,"Average Sales",Table433[[#This Row],[Sales]]&gt;0,"Poor Sales")</f>
        <v>Average Sales</v>
      </c>
      <c r="L495" s="12">
        <f>YEAR(Table433[[#This Row],[Date]])</f>
        <v>2023</v>
      </c>
      <c r="M495" s="12">
        <f>MONTH(Table433[[#This Row],[Date]])</f>
        <v>10</v>
      </c>
      <c r="N495" s="13">
        <f>DAY(Table433[[#This Row],[Date]])</f>
        <v>4</v>
      </c>
      <c r="O495" s="13" t="str">
        <f>TEXT(DATE(2023,Table433[[#This Row],[Month]],1),"mmm")</f>
        <v>Oct</v>
      </c>
      <c r="P495" s="13"/>
      <c r="Q495" s="13"/>
    </row>
    <row r="496" spans="1:17" x14ac:dyDescent="0.3">
      <c r="A496" s="6">
        <v>495</v>
      </c>
      <c r="B496" s="7">
        <v>45086</v>
      </c>
      <c r="C496" s="8" t="s">
        <v>45</v>
      </c>
      <c r="D496" s="8" t="s">
        <v>34</v>
      </c>
      <c r="E496" s="8" t="s">
        <v>24</v>
      </c>
      <c r="F496" s="8" t="s">
        <v>38</v>
      </c>
      <c r="G496" s="8" t="s">
        <v>39</v>
      </c>
      <c r="H496" s="9">
        <v>21116.26</v>
      </c>
      <c r="I496" s="8">
        <v>4</v>
      </c>
      <c r="J496" s="10">
        <v>5256.29</v>
      </c>
      <c r="K496" s="17" t="str" cm="1">
        <f t="array" ref="K496">_xlfn.IFS(Table433[[#This Row],[Sales]]&gt;40000,"Best Sales",Table433[[#This Row],[Sales]]&gt;20000,"Average Sales",Table433[[#This Row],[Sales]]&gt;0,"Poor Sales")</f>
        <v>Average Sales</v>
      </c>
      <c r="L496" s="12">
        <f>YEAR(Table433[[#This Row],[Date]])</f>
        <v>2023</v>
      </c>
      <c r="M496" s="12">
        <f>MONTH(Table433[[#This Row],[Date]])</f>
        <v>6</v>
      </c>
      <c r="N496" s="13">
        <f>DAY(Table433[[#This Row],[Date]])</f>
        <v>9</v>
      </c>
      <c r="O496" s="13" t="str">
        <f>TEXT(DATE(2023,Table433[[#This Row],[Month]],1),"mmm")</f>
        <v>Jun</v>
      </c>
      <c r="P496" s="13"/>
      <c r="Q496" s="13"/>
    </row>
    <row r="497" spans="1:17" x14ac:dyDescent="0.3">
      <c r="A497" s="14">
        <v>496</v>
      </c>
      <c r="B497" s="15">
        <v>45079</v>
      </c>
      <c r="C497" s="16" t="s">
        <v>45</v>
      </c>
      <c r="D497" s="16" t="s">
        <v>34</v>
      </c>
      <c r="E497" s="16" t="s">
        <v>19</v>
      </c>
      <c r="F497" s="16" t="s">
        <v>31</v>
      </c>
      <c r="G497" s="16" t="s">
        <v>36</v>
      </c>
      <c r="H497" s="17">
        <v>4757.99</v>
      </c>
      <c r="I497" s="16">
        <v>10</v>
      </c>
      <c r="J497" s="18">
        <v>1164.3900000000001</v>
      </c>
      <c r="K497" s="17" t="str" cm="1">
        <f t="array" ref="K497">_xlfn.IFS(Table433[[#This Row],[Sales]]&gt;40000,"Best Sales",Table433[[#This Row],[Sales]]&gt;20000,"Average Sales",Table433[[#This Row],[Sales]]&gt;0,"Poor Sales")</f>
        <v>Poor Sales</v>
      </c>
      <c r="L497" s="12">
        <f>YEAR(Table433[[#This Row],[Date]])</f>
        <v>2023</v>
      </c>
      <c r="M497" s="12">
        <f>MONTH(Table433[[#This Row],[Date]])</f>
        <v>6</v>
      </c>
      <c r="N497" s="13">
        <f>DAY(Table433[[#This Row],[Date]])</f>
        <v>2</v>
      </c>
      <c r="O497" s="13" t="str">
        <f>TEXT(DATE(2023,Table433[[#This Row],[Month]],1),"mmm")</f>
        <v>Jun</v>
      </c>
      <c r="P497" s="13"/>
      <c r="Q497" s="13"/>
    </row>
    <row r="498" spans="1:17" x14ac:dyDescent="0.3">
      <c r="A498" s="6">
        <v>497</v>
      </c>
      <c r="B498" s="7">
        <v>45195</v>
      </c>
      <c r="C498" s="8" t="s">
        <v>37</v>
      </c>
      <c r="D498" s="8" t="s">
        <v>23</v>
      </c>
      <c r="E498" s="8" t="s">
        <v>24</v>
      </c>
      <c r="F498" s="8" t="s">
        <v>38</v>
      </c>
      <c r="G498" s="8" t="s">
        <v>40</v>
      </c>
      <c r="H498" s="9">
        <v>8870.2800000000007</v>
      </c>
      <c r="I498" s="8">
        <v>2</v>
      </c>
      <c r="J498" s="10">
        <v>1105.6300000000001</v>
      </c>
      <c r="K498" s="17" t="str" cm="1">
        <f t="array" ref="K498">_xlfn.IFS(Table433[[#This Row],[Sales]]&gt;40000,"Best Sales",Table433[[#This Row],[Sales]]&gt;20000,"Average Sales",Table433[[#This Row],[Sales]]&gt;0,"Poor Sales")</f>
        <v>Poor Sales</v>
      </c>
      <c r="L498" s="12">
        <f>YEAR(Table433[[#This Row],[Date]])</f>
        <v>2023</v>
      </c>
      <c r="M498" s="12">
        <f>MONTH(Table433[[#This Row],[Date]])</f>
        <v>9</v>
      </c>
      <c r="N498" s="13">
        <f>DAY(Table433[[#This Row],[Date]])</f>
        <v>26</v>
      </c>
      <c r="O498" s="13" t="str">
        <f>TEXT(DATE(2023,Table433[[#This Row],[Month]],1),"mmm")</f>
        <v>Sep</v>
      </c>
      <c r="P498" s="13"/>
      <c r="Q498" s="13"/>
    </row>
    <row r="499" spans="1:17" x14ac:dyDescent="0.3">
      <c r="A499" s="14">
        <v>498</v>
      </c>
      <c r="B499" s="15">
        <v>45252</v>
      </c>
      <c r="C499" s="16" t="s">
        <v>37</v>
      </c>
      <c r="D499" s="16" t="s">
        <v>23</v>
      </c>
      <c r="E499" s="16" t="s">
        <v>27</v>
      </c>
      <c r="F499" s="16" t="s">
        <v>38</v>
      </c>
      <c r="G499" s="16" t="s">
        <v>40</v>
      </c>
      <c r="H499" s="17">
        <v>46482.94</v>
      </c>
      <c r="I499" s="16">
        <v>10</v>
      </c>
      <c r="J499" s="18">
        <v>7712.88</v>
      </c>
      <c r="K499" s="17" t="str" cm="1">
        <f t="array" ref="K499">_xlfn.IFS(Table433[[#This Row],[Sales]]&gt;40000,"Best Sales",Table433[[#This Row],[Sales]]&gt;20000,"Average Sales",Table433[[#This Row],[Sales]]&gt;0,"Poor Sales")</f>
        <v>Best Sales</v>
      </c>
      <c r="L499" s="12">
        <f>YEAR(Table433[[#This Row],[Date]])</f>
        <v>2023</v>
      </c>
      <c r="M499" s="12">
        <f>MONTH(Table433[[#This Row],[Date]])</f>
        <v>11</v>
      </c>
      <c r="N499" s="13">
        <f>DAY(Table433[[#This Row],[Date]])</f>
        <v>22</v>
      </c>
      <c r="O499" s="13" t="str">
        <f>TEXT(DATE(2023,Table433[[#This Row],[Month]],1),"mmm")</f>
        <v>Nov</v>
      </c>
      <c r="P499" s="13"/>
      <c r="Q499" s="13"/>
    </row>
    <row r="500" spans="1:17" x14ac:dyDescent="0.3">
      <c r="A500" s="6">
        <v>499</v>
      </c>
      <c r="B500" s="7">
        <v>45042</v>
      </c>
      <c r="C500" s="8" t="s">
        <v>37</v>
      </c>
      <c r="D500" s="8" t="s">
        <v>23</v>
      </c>
      <c r="E500" s="8" t="s">
        <v>27</v>
      </c>
      <c r="F500" s="8" t="s">
        <v>20</v>
      </c>
      <c r="G500" s="8" t="s">
        <v>21</v>
      </c>
      <c r="H500" s="9">
        <v>43505.83</v>
      </c>
      <c r="I500" s="8">
        <v>7</v>
      </c>
      <c r="J500" s="10">
        <v>7809.91</v>
      </c>
      <c r="K500" s="17" t="str" cm="1">
        <f t="array" ref="K500">_xlfn.IFS(Table433[[#This Row],[Sales]]&gt;40000,"Best Sales",Table433[[#This Row],[Sales]]&gt;20000,"Average Sales",Table433[[#This Row],[Sales]]&gt;0,"Poor Sales")</f>
        <v>Best Sales</v>
      </c>
      <c r="L500" s="12">
        <f>YEAR(Table433[[#This Row],[Date]])</f>
        <v>2023</v>
      </c>
      <c r="M500" s="12">
        <f>MONTH(Table433[[#This Row],[Date]])</f>
        <v>4</v>
      </c>
      <c r="N500" s="13">
        <f>DAY(Table433[[#This Row],[Date]])</f>
        <v>26</v>
      </c>
      <c r="O500" s="13" t="str">
        <f>TEXT(DATE(2023,Table433[[#This Row],[Month]],1),"mmm")</f>
        <v>Apr</v>
      </c>
      <c r="P500" s="13"/>
      <c r="Q500" s="13"/>
    </row>
    <row r="501" spans="1:17" x14ac:dyDescent="0.3">
      <c r="A501" s="19">
        <v>500</v>
      </c>
      <c r="B501" s="20">
        <v>45224</v>
      </c>
      <c r="C501" s="21" t="s">
        <v>22</v>
      </c>
      <c r="D501" s="21" t="s">
        <v>23</v>
      </c>
      <c r="E501" s="21" t="s">
        <v>19</v>
      </c>
      <c r="F501" s="21" t="s">
        <v>38</v>
      </c>
      <c r="G501" s="21" t="s">
        <v>39</v>
      </c>
      <c r="H501" s="22">
        <v>33463.57</v>
      </c>
      <c r="I501" s="21">
        <v>6</v>
      </c>
      <c r="J501" s="23">
        <v>6469.01</v>
      </c>
      <c r="K501" s="22" t="str" cm="1">
        <f t="array" ref="K501">_xlfn.IFS(Table433[[#This Row],[Sales]]&gt;40000,"Best Sales",Table433[[#This Row],[Sales]]&gt;20000,"Average Sales",Table433[[#This Row],[Sales]]&gt;0,"Poor Sales")</f>
        <v>Average Sales</v>
      </c>
      <c r="L501" s="12">
        <f>YEAR(Table433[[#This Row],[Date]])</f>
        <v>2023</v>
      </c>
      <c r="M501" s="12">
        <f>MONTH(Table433[[#This Row],[Date]])</f>
        <v>10</v>
      </c>
      <c r="N501" s="13">
        <f>DAY(Table433[[#This Row],[Date]])</f>
        <v>25</v>
      </c>
      <c r="O501" s="13" t="str">
        <f>TEXT(DATE(2023,Table433[[#This Row],[Month]],1),"mmm")</f>
        <v>Oct</v>
      </c>
      <c r="P501" s="13"/>
      <c r="Q501" s="13"/>
    </row>
  </sheetData>
  <mergeCells count="12">
    <mergeCell ref="Y43:AD43"/>
    <mergeCell ref="U37:W37"/>
    <mergeCell ref="Y39:AF39"/>
    <mergeCell ref="Y42:AD42"/>
    <mergeCell ref="Y41:AD41"/>
    <mergeCell ref="S30:T32"/>
    <mergeCell ref="S33:T35"/>
    <mergeCell ref="U3:W3"/>
    <mergeCell ref="U11:W11"/>
    <mergeCell ref="U17:W17"/>
    <mergeCell ref="U22:W22"/>
    <mergeCell ref="U28:W28"/>
  </mergeCells>
  <conditionalFormatting sqref="H2:H501">
    <cfRule type="expression" dxfId="2" priority="7">
      <formula>AND($S$9="ON",$H2&gt;20000)</formula>
    </cfRule>
    <cfRule type="expression" dxfId="1" priority="8">
      <formula>AND($U$5="ON",$H2&gt;50000)</formula>
    </cfRule>
    <cfRule type="expression" dxfId="0" priority="9">
      <formula>AND($S$6="ON",$H2&gt;40000)</formula>
    </cfRule>
  </conditionalFormatting>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type="column" displayEmptyCellsAs="gap" xr2:uid="{32B863DE-D417-413F-817B-9F8A81F8E301}">
          <x14:colorSeries rgb="FF376092"/>
          <x14:colorNegative rgb="FFD00000"/>
          <x14:colorAxis rgb="FF000000"/>
          <x14:colorMarkers rgb="FFD00000"/>
          <x14:colorFirst rgb="FFD00000"/>
          <x14:colorLast rgb="FFD00000"/>
          <x14:colorHigh rgb="FFD00000"/>
          <x14:colorLow rgb="FFD00000"/>
          <x14:sparklines>
            <x14:sparkline>
              <xm:f>KPIS!J2:J3</xm:f>
              <xm:sqref>Q2</xm:sqref>
            </x14:sparkline>
            <x14:sparkline>
              <xm:f>KPIS!J3:J4</xm:f>
              <xm:sqref>Q3</xm:sqref>
            </x14:sparkline>
            <x14:sparkline>
              <xm:f>KPIS!J4:J5</xm:f>
              <xm:sqref>Q4</xm:sqref>
            </x14:sparkline>
            <x14:sparkline>
              <xm:f>KPIS!J5:J6</xm:f>
              <xm:sqref>Q5</xm:sqref>
            </x14:sparkline>
            <x14:sparkline>
              <xm:f>KPIS!J6:J7</xm:f>
              <xm:sqref>Q6</xm:sqref>
            </x14:sparkline>
            <x14:sparkline>
              <xm:f>KPIS!J7:J8</xm:f>
              <xm:sqref>Q7</xm:sqref>
            </x14:sparkline>
            <x14:sparkline>
              <xm:f>KPIS!J8:J9</xm:f>
              <xm:sqref>Q8</xm:sqref>
            </x14:sparkline>
            <x14:sparkline>
              <xm:f>KPIS!J9:J10</xm:f>
              <xm:sqref>Q9</xm:sqref>
            </x14:sparkline>
            <x14:sparkline>
              <xm:f>KPIS!J10:J11</xm:f>
              <xm:sqref>Q10</xm:sqref>
            </x14:sparkline>
            <x14:sparkline>
              <xm:f>KPIS!J11:J12</xm:f>
              <xm:sqref>Q11</xm:sqref>
            </x14:sparkline>
            <x14:sparkline>
              <xm:f>KPIS!J12:J13</xm:f>
              <xm:sqref>Q12</xm:sqref>
            </x14:sparkline>
            <x14:sparkline>
              <xm:f>KPIS!J13:J14</xm:f>
              <xm:sqref>Q13</xm:sqref>
            </x14:sparkline>
            <x14:sparkline>
              <xm:f>KPIS!J14:J15</xm:f>
              <xm:sqref>Q14</xm:sqref>
            </x14:sparkline>
            <x14:sparkline>
              <xm:f>KPIS!J15:J16</xm:f>
              <xm:sqref>Q15</xm:sqref>
            </x14:sparkline>
            <x14:sparkline>
              <xm:f>KPIS!J16:J17</xm:f>
              <xm:sqref>Q16</xm:sqref>
            </x14:sparkline>
            <x14:sparkline>
              <xm:f>KPIS!J17:J18</xm:f>
              <xm:sqref>Q17</xm:sqref>
            </x14:sparkline>
            <x14:sparkline>
              <xm:f>KPIS!J18:J19</xm:f>
              <xm:sqref>Q18</xm:sqref>
            </x14:sparkline>
            <x14:sparkline>
              <xm:f>KPIS!J19:J20</xm:f>
              <xm:sqref>Q19</xm:sqref>
            </x14:sparkline>
            <x14:sparkline>
              <xm:f>KPIS!J20:J21</xm:f>
              <xm:sqref>Q20</xm:sqref>
            </x14:sparkline>
            <x14:sparkline>
              <xm:f>KPIS!J21:J22</xm:f>
              <xm:sqref>Q21</xm:sqref>
            </x14:sparkline>
            <x14:sparkline>
              <xm:f>KPIS!J22:J23</xm:f>
              <xm:sqref>Q22</xm:sqref>
            </x14:sparkline>
            <x14:sparkline>
              <xm:f>KPIS!J23:J24</xm:f>
              <xm:sqref>Q23</xm:sqref>
            </x14:sparkline>
            <x14:sparkline>
              <xm:f>KPIS!J24:J25</xm:f>
              <xm:sqref>Q24</xm:sqref>
            </x14:sparkline>
            <x14:sparkline>
              <xm:f>KPIS!J25:J26</xm:f>
              <xm:sqref>Q25</xm:sqref>
            </x14:sparkline>
            <x14:sparkline>
              <xm:f>KPIS!J26:J27</xm:f>
              <xm:sqref>Q26</xm:sqref>
            </x14:sparkline>
            <x14:sparkline>
              <xm:f>KPIS!J27:J28</xm:f>
              <xm:sqref>Q27</xm:sqref>
            </x14:sparkline>
            <x14:sparkline>
              <xm:f>KPIS!J28:J29</xm:f>
              <xm:sqref>Q28</xm:sqref>
            </x14:sparkline>
            <x14:sparkline>
              <xm:f>KPIS!J29:J30</xm:f>
              <xm:sqref>Q29</xm:sqref>
            </x14:sparkline>
            <x14:sparkline>
              <xm:f>KPIS!J30:J31</xm:f>
              <xm:sqref>Q30</xm:sqref>
            </x14:sparkline>
            <x14:sparkline>
              <xm:f>KPIS!J31:J32</xm:f>
              <xm:sqref>Q31</xm:sqref>
            </x14:sparkline>
            <x14:sparkline>
              <xm:f>KPIS!J32:J33</xm:f>
              <xm:sqref>Q32</xm:sqref>
            </x14:sparkline>
            <x14:sparkline>
              <xm:f>KPIS!J33:J34</xm:f>
              <xm:sqref>Q33</xm:sqref>
            </x14:sparkline>
            <x14:sparkline>
              <xm:f>KPIS!J34:J35</xm:f>
              <xm:sqref>Q34</xm:sqref>
            </x14:sparkline>
            <x14:sparkline>
              <xm:f>KPIS!J35:J36</xm:f>
              <xm:sqref>Q35</xm:sqref>
            </x14:sparkline>
            <x14:sparkline>
              <xm:f>KPIS!J36:J37</xm:f>
              <xm:sqref>Q36</xm:sqref>
            </x14:sparkline>
            <x14:sparkline>
              <xm:f>KPIS!J37:J38</xm:f>
              <xm:sqref>Q37</xm:sqref>
            </x14:sparkline>
            <x14:sparkline>
              <xm:f>KPIS!J38:J39</xm:f>
              <xm:sqref>Q38</xm:sqref>
            </x14:sparkline>
            <x14:sparkline>
              <xm:f>KPIS!J39:J40</xm:f>
              <xm:sqref>Q39</xm:sqref>
            </x14:sparkline>
            <x14:sparkline>
              <xm:f>KPIS!J40:J41</xm:f>
              <xm:sqref>Q40</xm:sqref>
            </x14:sparkline>
            <x14:sparkline>
              <xm:f>KPIS!J41:J42</xm:f>
              <xm:sqref>Q41</xm:sqref>
            </x14:sparkline>
            <x14:sparkline>
              <xm:f>KPIS!J42:J43</xm:f>
              <xm:sqref>Q42</xm:sqref>
            </x14:sparkline>
            <x14:sparkline>
              <xm:f>KPIS!J43:J44</xm:f>
              <xm:sqref>Q43</xm:sqref>
            </x14:sparkline>
            <x14:sparkline>
              <xm:f>KPIS!J44:J45</xm:f>
              <xm:sqref>Q44</xm:sqref>
            </x14:sparkline>
            <x14:sparkline>
              <xm:f>KPIS!J45:J46</xm:f>
              <xm:sqref>Q45</xm:sqref>
            </x14:sparkline>
            <x14:sparkline>
              <xm:f>KPIS!J46:J47</xm:f>
              <xm:sqref>Q46</xm:sqref>
            </x14:sparkline>
            <x14:sparkline>
              <xm:f>KPIS!J47:J48</xm:f>
              <xm:sqref>Q47</xm:sqref>
            </x14:sparkline>
            <x14:sparkline>
              <xm:f>KPIS!J48:J49</xm:f>
              <xm:sqref>Q48</xm:sqref>
            </x14:sparkline>
            <x14:sparkline>
              <xm:f>KPIS!J49:J50</xm:f>
              <xm:sqref>Q49</xm:sqref>
            </x14:sparkline>
            <x14:sparkline>
              <xm:f>KPIS!J50:J51</xm:f>
              <xm:sqref>Q50</xm:sqref>
            </x14:sparkline>
            <x14:sparkline>
              <xm:f>KPIS!J51:J52</xm:f>
              <xm:sqref>Q51</xm:sqref>
            </x14:sparkline>
            <x14:sparkline>
              <xm:f>KPIS!J52:J53</xm:f>
              <xm:sqref>Q52</xm:sqref>
            </x14:sparkline>
            <x14:sparkline>
              <xm:f>KPIS!J53:J54</xm:f>
              <xm:sqref>Q53</xm:sqref>
            </x14:sparkline>
            <x14:sparkline>
              <xm:f>KPIS!J54:J55</xm:f>
              <xm:sqref>Q54</xm:sqref>
            </x14:sparkline>
            <x14:sparkline>
              <xm:f>KPIS!J55:J56</xm:f>
              <xm:sqref>Q55</xm:sqref>
            </x14:sparkline>
            <x14:sparkline>
              <xm:f>KPIS!J56:J57</xm:f>
              <xm:sqref>Q56</xm:sqref>
            </x14:sparkline>
            <x14:sparkline>
              <xm:f>KPIS!J57:J58</xm:f>
              <xm:sqref>Q57</xm:sqref>
            </x14:sparkline>
            <x14:sparkline>
              <xm:f>KPIS!J58:J59</xm:f>
              <xm:sqref>Q58</xm:sqref>
            </x14:sparkline>
            <x14:sparkline>
              <xm:f>KPIS!J59:J60</xm:f>
              <xm:sqref>Q59</xm:sqref>
            </x14:sparkline>
            <x14:sparkline>
              <xm:f>KPIS!J60:J61</xm:f>
              <xm:sqref>Q60</xm:sqref>
            </x14:sparkline>
            <x14:sparkline>
              <xm:f>KPIS!J61:J62</xm:f>
              <xm:sqref>Q61</xm:sqref>
            </x14:sparkline>
            <x14:sparkline>
              <xm:f>KPIS!J62:J63</xm:f>
              <xm:sqref>Q62</xm:sqref>
            </x14:sparkline>
            <x14:sparkline>
              <xm:f>KPIS!J63:J64</xm:f>
              <xm:sqref>Q63</xm:sqref>
            </x14:sparkline>
            <x14:sparkline>
              <xm:f>KPIS!J64:J65</xm:f>
              <xm:sqref>Q64</xm:sqref>
            </x14:sparkline>
            <x14:sparkline>
              <xm:f>KPIS!J65:J66</xm:f>
              <xm:sqref>Q65</xm:sqref>
            </x14:sparkline>
            <x14:sparkline>
              <xm:f>KPIS!J66:J67</xm:f>
              <xm:sqref>Q66</xm:sqref>
            </x14:sparkline>
            <x14:sparkline>
              <xm:f>KPIS!J67:J68</xm:f>
              <xm:sqref>Q67</xm:sqref>
            </x14:sparkline>
            <x14:sparkline>
              <xm:f>KPIS!J68:J69</xm:f>
              <xm:sqref>Q68</xm:sqref>
            </x14:sparkline>
            <x14:sparkline>
              <xm:f>KPIS!J69:J70</xm:f>
              <xm:sqref>Q69</xm:sqref>
            </x14:sparkline>
            <x14:sparkline>
              <xm:f>KPIS!J70:J71</xm:f>
              <xm:sqref>Q70</xm:sqref>
            </x14:sparkline>
            <x14:sparkline>
              <xm:f>KPIS!J71:J72</xm:f>
              <xm:sqref>Q71</xm:sqref>
            </x14:sparkline>
            <x14:sparkline>
              <xm:f>KPIS!J72:J73</xm:f>
              <xm:sqref>Q72</xm:sqref>
            </x14:sparkline>
            <x14:sparkline>
              <xm:f>KPIS!J73:J74</xm:f>
              <xm:sqref>Q73</xm:sqref>
            </x14:sparkline>
            <x14:sparkline>
              <xm:f>KPIS!J74:J75</xm:f>
              <xm:sqref>Q74</xm:sqref>
            </x14:sparkline>
            <x14:sparkline>
              <xm:f>KPIS!J75:J76</xm:f>
              <xm:sqref>Q75</xm:sqref>
            </x14:sparkline>
            <x14:sparkline>
              <xm:f>KPIS!J76:J77</xm:f>
              <xm:sqref>Q76</xm:sqref>
            </x14:sparkline>
            <x14:sparkline>
              <xm:f>KPIS!J77:J78</xm:f>
              <xm:sqref>Q77</xm:sqref>
            </x14:sparkline>
            <x14:sparkline>
              <xm:f>KPIS!J78:J79</xm:f>
              <xm:sqref>Q78</xm:sqref>
            </x14:sparkline>
            <x14:sparkline>
              <xm:f>KPIS!J79:J80</xm:f>
              <xm:sqref>Q79</xm:sqref>
            </x14:sparkline>
            <x14:sparkline>
              <xm:f>KPIS!J80:J81</xm:f>
              <xm:sqref>Q80</xm:sqref>
            </x14:sparkline>
            <x14:sparkline>
              <xm:f>KPIS!J81:J82</xm:f>
              <xm:sqref>Q81</xm:sqref>
            </x14:sparkline>
            <x14:sparkline>
              <xm:f>KPIS!J82:J83</xm:f>
              <xm:sqref>Q82</xm:sqref>
            </x14:sparkline>
            <x14:sparkline>
              <xm:f>KPIS!J83:J84</xm:f>
              <xm:sqref>Q83</xm:sqref>
            </x14:sparkline>
            <x14:sparkline>
              <xm:f>KPIS!J84:J85</xm:f>
              <xm:sqref>Q84</xm:sqref>
            </x14:sparkline>
            <x14:sparkline>
              <xm:f>KPIS!J85:J86</xm:f>
              <xm:sqref>Q85</xm:sqref>
            </x14:sparkline>
            <x14:sparkline>
              <xm:f>KPIS!J86:J87</xm:f>
              <xm:sqref>Q86</xm:sqref>
            </x14:sparkline>
            <x14:sparkline>
              <xm:f>KPIS!J87:J88</xm:f>
              <xm:sqref>Q87</xm:sqref>
            </x14:sparkline>
            <x14:sparkline>
              <xm:f>KPIS!J88:J89</xm:f>
              <xm:sqref>Q88</xm:sqref>
            </x14:sparkline>
            <x14:sparkline>
              <xm:f>KPIS!J89:J90</xm:f>
              <xm:sqref>Q89</xm:sqref>
            </x14:sparkline>
            <x14:sparkline>
              <xm:f>KPIS!J90:J91</xm:f>
              <xm:sqref>Q90</xm:sqref>
            </x14:sparkline>
            <x14:sparkline>
              <xm:f>KPIS!J91:J92</xm:f>
              <xm:sqref>Q91</xm:sqref>
            </x14:sparkline>
            <x14:sparkline>
              <xm:f>KPIS!J92:J93</xm:f>
              <xm:sqref>Q92</xm:sqref>
            </x14:sparkline>
            <x14:sparkline>
              <xm:f>KPIS!J93:J94</xm:f>
              <xm:sqref>Q93</xm:sqref>
            </x14:sparkline>
            <x14:sparkline>
              <xm:f>KPIS!J94:J95</xm:f>
              <xm:sqref>Q94</xm:sqref>
            </x14:sparkline>
            <x14:sparkline>
              <xm:f>KPIS!J95:J96</xm:f>
              <xm:sqref>Q95</xm:sqref>
            </x14:sparkline>
            <x14:sparkline>
              <xm:f>KPIS!J96:J97</xm:f>
              <xm:sqref>Q96</xm:sqref>
            </x14:sparkline>
            <x14:sparkline>
              <xm:f>KPIS!J97:J98</xm:f>
              <xm:sqref>Q97</xm:sqref>
            </x14:sparkline>
            <x14:sparkline>
              <xm:f>KPIS!J98:J99</xm:f>
              <xm:sqref>Q98</xm:sqref>
            </x14:sparkline>
            <x14:sparkline>
              <xm:f>KPIS!J99:J100</xm:f>
              <xm:sqref>Q99</xm:sqref>
            </x14:sparkline>
            <x14:sparkline>
              <xm:f>KPIS!J100:J101</xm:f>
              <xm:sqref>Q100</xm:sqref>
            </x14:sparkline>
            <x14:sparkline>
              <xm:f>KPIS!J101:J102</xm:f>
              <xm:sqref>Q101</xm:sqref>
            </x14:sparkline>
            <x14:sparkline>
              <xm:f>KPIS!J102:J103</xm:f>
              <xm:sqref>Q102</xm:sqref>
            </x14:sparkline>
            <x14:sparkline>
              <xm:f>KPIS!J103:J104</xm:f>
              <xm:sqref>Q103</xm:sqref>
            </x14:sparkline>
            <x14:sparkline>
              <xm:f>KPIS!J104:J105</xm:f>
              <xm:sqref>Q104</xm:sqref>
            </x14:sparkline>
            <x14:sparkline>
              <xm:f>KPIS!J105:J106</xm:f>
              <xm:sqref>Q105</xm:sqref>
            </x14:sparkline>
            <x14:sparkline>
              <xm:f>KPIS!J106:J107</xm:f>
              <xm:sqref>Q106</xm:sqref>
            </x14:sparkline>
            <x14:sparkline>
              <xm:f>KPIS!J107:J108</xm:f>
              <xm:sqref>Q107</xm:sqref>
            </x14:sparkline>
            <x14:sparkline>
              <xm:f>KPIS!J108:J109</xm:f>
              <xm:sqref>Q108</xm:sqref>
            </x14:sparkline>
            <x14:sparkline>
              <xm:f>KPIS!J109:J110</xm:f>
              <xm:sqref>Q109</xm:sqref>
            </x14:sparkline>
            <x14:sparkline>
              <xm:f>KPIS!J110:J111</xm:f>
              <xm:sqref>Q110</xm:sqref>
            </x14:sparkline>
            <x14:sparkline>
              <xm:f>KPIS!J111:J112</xm:f>
              <xm:sqref>Q111</xm:sqref>
            </x14:sparkline>
            <x14:sparkline>
              <xm:f>KPIS!J112:J113</xm:f>
              <xm:sqref>Q112</xm:sqref>
            </x14:sparkline>
            <x14:sparkline>
              <xm:f>KPIS!J113:J114</xm:f>
              <xm:sqref>Q113</xm:sqref>
            </x14:sparkline>
            <x14:sparkline>
              <xm:f>KPIS!J114:J115</xm:f>
              <xm:sqref>Q114</xm:sqref>
            </x14:sparkline>
            <x14:sparkline>
              <xm:f>KPIS!J115:J116</xm:f>
              <xm:sqref>Q115</xm:sqref>
            </x14:sparkline>
            <x14:sparkline>
              <xm:f>KPIS!J116:J117</xm:f>
              <xm:sqref>Q116</xm:sqref>
            </x14:sparkline>
            <x14:sparkline>
              <xm:f>KPIS!J117:J118</xm:f>
              <xm:sqref>Q117</xm:sqref>
            </x14:sparkline>
            <x14:sparkline>
              <xm:f>KPIS!J118:J119</xm:f>
              <xm:sqref>Q118</xm:sqref>
            </x14:sparkline>
            <x14:sparkline>
              <xm:f>KPIS!J119:J120</xm:f>
              <xm:sqref>Q119</xm:sqref>
            </x14:sparkline>
            <x14:sparkline>
              <xm:f>KPIS!J120:J121</xm:f>
              <xm:sqref>Q120</xm:sqref>
            </x14:sparkline>
            <x14:sparkline>
              <xm:f>KPIS!J121:J122</xm:f>
              <xm:sqref>Q121</xm:sqref>
            </x14:sparkline>
            <x14:sparkline>
              <xm:f>KPIS!J122:J123</xm:f>
              <xm:sqref>Q122</xm:sqref>
            </x14:sparkline>
            <x14:sparkline>
              <xm:f>KPIS!J123:J124</xm:f>
              <xm:sqref>Q123</xm:sqref>
            </x14:sparkline>
            <x14:sparkline>
              <xm:f>KPIS!J124:J125</xm:f>
              <xm:sqref>Q124</xm:sqref>
            </x14:sparkline>
            <x14:sparkline>
              <xm:f>KPIS!J125:J126</xm:f>
              <xm:sqref>Q125</xm:sqref>
            </x14:sparkline>
            <x14:sparkline>
              <xm:f>KPIS!J126:J127</xm:f>
              <xm:sqref>Q126</xm:sqref>
            </x14:sparkline>
            <x14:sparkline>
              <xm:f>KPIS!J127:J128</xm:f>
              <xm:sqref>Q127</xm:sqref>
            </x14:sparkline>
            <x14:sparkline>
              <xm:f>KPIS!J128:J129</xm:f>
              <xm:sqref>Q128</xm:sqref>
            </x14:sparkline>
            <x14:sparkline>
              <xm:f>KPIS!J129:J130</xm:f>
              <xm:sqref>Q129</xm:sqref>
            </x14:sparkline>
            <x14:sparkline>
              <xm:f>KPIS!J130:J131</xm:f>
              <xm:sqref>Q130</xm:sqref>
            </x14:sparkline>
            <x14:sparkline>
              <xm:f>KPIS!J131:J132</xm:f>
              <xm:sqref>Q131</xm:sqref>
            </x14:sparkline>
            <x14:sparkline>
              <xm:f>KPIS!J132:J133</xm:f>
              <xm:sqref>Q132</xm:sqref>
            </x14:sparkline>
            <x14:sparkline>
              <xm:f>KPIS!J133:J134</xm:f>
              <xm:sqref>Q133</xm:sqref>
            </x14:sparkline>
            <x14:sparkline>
              <xm:f>KPIS!J134:J135</xm:f>
              <xm:sqref>Q134</xm:sqref>
            </x14:sparkline>
            <x14:sparkline>
              <xm:f>KPIS!J135:J136</xm:f>
              <xm:sqref>Q135</xm:sqref>
            </x14:sparkline>
            <x14:sparkline>
              <xm:f>KPIS!J136:J137</xm:f>
              <xm:sqref>Q136</xm:sqref>
            </x14:sparkline>
            <x14:sparkline>
              <xm:f>KPIS!J137:J138</xm:f>
              <xm:sqref>Q137</xm:sqref>
            </x14:sparkline>
            <x14:sparkline>
              <xm:f>KPIS!J138:J139</xm:f>
              <xm:sqref>Q138</xm:sqref>
            </x14:sparkline>
            <x14:sparkline>
              <xm:f>KPIS!J139:J140</xm:f>
              <xm:sqref>Q139</xm:sqref>
            </x14:sparkline>
            <x14:sparkline>
              <xm:f>KPIS!J140:J141</xm:f>
              <xm:sqref>Q140</xm:sqref>
            </x14:sparkline>
            <x14:sparkline>
              <xm:f>KPIS!J141:J142</xm:f>
              <xm:sqref>Q141</xm:sqref>
            </x14:sparkline>
            <x14:sparkline>
              <xm:f>KPIS!J142:J143</xm:f>
              <xm:sqref>Q142</xm:sqref>
            </x14:sparkline>
            <x14:sparkline>
              <xm:f>KPIS!J143:J144</xm:f>
              <xm:sqref>Q143</xm:sqref>
            </x14:sparkline>
            <x14:sparkline>
              <xm:f>KPIS!J144:J145</xm:f>
              <xm:sqref>Q144</xm:sqref>
            </x14:sparkline>
            <x14:sparkline>
              <xm:f>KPIS!J145:J146</xm:f>
              <xm:sqref>Q145</xm:sqref>
            </x14:sparkline>
            <x14:sparkline>
              <xm:f>KPIS!J146:J147</xm:f>
              <xm:sqref>Q146</xm:sqref>
            </x14:sparkline>
            <x14:sparkline>
              <xm:f>KPIS!J147:J148</xm:f>
              <xm:sqref>Q147</xm:sqref>
            </x14:sparkline>
            <x14:sparkline>
              <xm:f>KPIS!J148:J149</xm:f>
              <xm:sqref>Q148</xm:sqref>
            </x14:sparkline>
            <x14:sparkline>
              <xm:f>KPIS!J149:J150</xm:f>
              <xm:sqref>Q149</xm:sqref>
            </x14:sparkline>
            <x14:sparkline>
              <xm:f>KPIS!J150:J151</xm:f>
              <xm:sqref>Q150</xm:sqref>
            </x14:sparkline>
            <x14:sparkline>
              <xm:f>KPIS!J151:J152</xm:f>
              <xm:sqref>Q151</xm:sqref>
            </x14:sparkline>
            <x14:sparkline>
              <xm:f>KPIS!J152:J153</xm:f>
              <xm:sqref>Q152</xm:sqref>
            </x14:sparkline>
            <x14:sparkline>
              <xm:f>KPIS!J153:J154</xm:f>
              <xm:sqref>Q153</xm:sqref>
            </x14:sparkline>
            <x14:sparkline>
              <xm:f>KPIS!J154:J155</xm:f>
              <xm:sqref>Q154</xm:sqref>
            </x14:sparkline>
            <x14:sparkline>
              <xm:f>KPIS!J155:J156</xm:f>
              <xm:sqref>Q155</xm:sqref>
            </x14:sparkline>
            <x14:sparkline>
              <xm:f>KPIS!J156:J157</xm:f>
              <xm:sqref>Q156</xm:sqref>
            </x14:sparkline>
            <x14:sparkline>
              <xm:f>KPIS!J157:J158</xm:f>
              <xm:sqref>Q157</xm:sqref>
            </x14:sparkline>
            <x14:sparkline>
              <xm:f>KPIS!J158:J159</xm:f>
              <xm:sqref>Q158</xm:sqref>
            </x14:sparkline>
            <x14:sparkline>
              <xm:f>KPIS!J159:J160</xm:f>
              <xm:sqref>Q159</xm:sqref>
            </x14:sparkline>
            <x14:sparkline>
              <xm:f>KPIS!J160:J161</xm:f>
              <xm:sqref>Q160</xm:sqref>
            </x14:sparkline>
            <x14:sparkline>
              <xm:f>KPIS!J161:J162</xm:f>
              <xm:sqref>Q161</xm:sqref>
            </x14:sparkline>
            <x14:sparkline>
              <xm:f>KPIS!J162:J163</xm:f>
              <xm:sqref>Q162</xm:sqref>
            </x14:sparkline>
            <x14:sparkline>
              <xm:f>KPIS!J163:J164</xm:f>
              <xm:sqref>Q163</xm:sqref>
            </x14:sparkline>
            <x14:sparkline>
              <xm:f>KPIS!J164:J165</xm:f>
              <xm:sqref>Q164</xm:sqref>
            </x14:sparkline>
            <x14:sparkline>
              <xm:f>KPIS!J165:J166</xm:f>
              <xm:sqref>Q165</xm:sqref>
            </x14:sparkline>
            <x14:sparkline>
              <xm:f>KPIS!J166:J167</xm:f>
              <xm:sqref>Q166</xm:sqref>
            </x14:sparkline>
            <x14:sparkline>
              <xm:f>KPIS!J167:J168</xm:f>
              <xm:sqref>Q167</xm:sqref>
            </x14:sparkline>
            <x14:sparkline>
              <xm:f>KPIS!J168:J169</xm:f>
              <xm:sqref>Q168</xm:sqref>
            </x14:sparkline>
            <x14:sparkline>
              <xm:f>KPIS!J169:J170</xm:f>
              <xm:sqref>Q169</xm:sqref>
            </x14:sparkline>
            <x14:sparkline>
              <xm:f>KPIS!J170:J171</xm:f>
              <xm:sqref>Q170</xm:sqref>
            </x14:sparkline>
            <x14:sparkline>
              <xm:f>KPIS!J171:J172</xm:f>
              <xm:sqref>Q171</xm:sqref>
            </x14:sparkline>
            <x14:sparkline>
              <xm:f>KPIS!J172:J173</xm:f>
              <xm:sqref>Q172</xm:sqref>
            </x14:sparkline>
            <x14:sparkline>
              <xm:f>KPIS!J173:J174</xm:f>
              <xm:sqref>Q173</xm:sqref>
            </x14:sparkline>
            <x14:sparkline>
              <xm:f>KPIS!J174:J175</xm:f>
              <xm:sqref>Q174</xm:sqref>
            </x14:sparkline>
            <x14:sparkline>
              <xm:f>KPIS!J175:J176</xm:f>
              <xm:sqref>Q175</xm:sqref>
            </x14:sparkline>
            <x14:sparkline>
              <xm:f>KPIS!J176:J177</xm:f>
              <xm:sqref>Q176</xm:sqref>
            </x14:sparkline>
            <x14:sparkline>
              <xm:f>KPIS!J177:J178</xm:f>
              <xm:sqref>Q177</xm:sqref>
            </x14:sparkline>
            <x14:sparkline>
              <xm:f>KPIS!J178:J179</xm:f>
              <xm:sqref>Q178</xm:sqref>
            </x14:sparkline>
            <x14:sparkline>
              <xm:f>KPIS!J179:J180</xm:f>
              <xm:sqref>Q179</xm:sqref>
            </x14:sparkline>
            <x14:sparkline>
              <xm:f>KPIS!J180:J181</xm:f>
              <xm:sqref>Q180</xm:sqref>
            </x14:sparkline>
            <x14:sparkline>
              <xm:f>KPIS!J181:J182</xm:f>
              <xm:sqref>Q181</xm:sqref>
            </x14:sparkline>
            <x14:sparkline>
              <xm:f>KPIS!J182:J183</xm:f>
              <xm:sqref>Q182</xm:sqref>
            </x14:sparkline>
            <x14:sparkline>
              <xm:f>KPIS!J183:J184</xm:f>
              <xm:sqref>Q183</xm:sqref>
            </x14:sparkline>
            <x14:sparkline>
              <xm:f>KPIS!J184:J185</xm:f>
              <xm:sqref>Q184</xm:sqref>
            </x14:sparkline>
            <x14:sparkline>
              <xm:f>KPIS!J185:J186</xm:f>
              <xm:sqref>Q185</xm:sqref>
            </x14:sparkline>
            <x14:sparkline>
              <xm:f>KPIS!J186:J187</xm:f>
              <xm:sqref>Q186</xm:sqref>
            </x14:sparkline>
            <x14:sparkline>
              <xm:f>KPIS!J187:J188</xm:f>
              <xm:sqref>Q187</xm:sqref>
            </x14:sparkline>
            <x14:sparkline>
              <xm:f>KPIS!J188:J189</xm:f>
              <xm:sqref>Q188</xm:sqref>
            </x14:sparkline>
            <x14:sparkline>
              <xm:f>KPIS!J189:J190</xm:f>
              <xm:sqref>Q189</xm:sqref>
            </x14:sparkline>
            <x14:sparkline>
              <xm:f>KPIS!J190:J191</xm:f>
              <xm:sqref>Q190</xm:sqref>
            </x14:sparkline>
            <x14:sparkline>
              <xm:f>KPIS!J191:J192</xm:f>
              <xm:sqref>Q191</xm:sqref>
            </x14:sparkline>
            <x14:sparkline>
              <xm:f>KPIS!J192:J193</xm:f>
              <xm:sqref>Q192</xm:sqref>
            </x14:sparkline>
            <x14:sparkline>
              <xm:f>KPIS!J193:J194</xm:f>
              <xm:sqref>Q193</xm:sqref>
            </x14:sparkline>
            <x14:sparkline>
              <xm:f>KPIS!J194:J195</xm:f>
              <xm:sqref>Q194</xm:sqref>
            </x14:sparkline>
            <x14:sparkline>
              <xm:f>KPIS!J195:J196</xm:f>
              <xm:sqref>Q195</xm:sqref>
            </x14:sparkline>
            <x14:sparkline>
              <xm:f>KPIS!J196:J197</xm:f>
              <xm:sqref>Q196</xm:sqref>
            </x14:sparkline>
            <x14:sparkline>
              <xm:f>KPIS!J197:J198</xm:f>
              <xm:sqref>Q197</xm:sqref>
            </x14:sparkline>
            <x14:sparkline>
              <xm:f>KPIS!J198:J199</xm:f>
              <xm:sqref>Q198</xm:sqref>
            </x14:sparkline>
            <x14:sparkline>
              <xm:f>KPIS!J199:J200</xm:f>
              <xm:sqref>Q199</xm:sqref>
            </x14:sparkline>
            <x14:sparkline>
              <xm:f>KPIS!J200:J201</xm:f>
              <xm:sqref>Q200</xm:sqref>
            </x14:sparkline>
            <x14:sparkline>
              <xm:f>KPIS!J201:J202</xm:f>
              <xm:sqref>Q201</xm:sqref>
            </x14:sparkline>
            <x14:sparkline>
              <xm:f>KPIS!J202:J203</xm:f>
              <xm:sqref>Q202</xm:sqref>
            </x14:sparkline>
            <x14:sparkline>
              <xm:f>KPIS!J203:J204</xm:f>
              <xm:sqref>Q203</xm:sqref>
            </x14:sparkline>
            <x14:sparkline>
              <xm:f>KPIS!J204:J205</xm:f>
              <xm:sqref>Q204</xm:sqref>
            </x14:sparkline>
            <x14:sparkline>
              <xm:f>KPIS!J205:J206</xm:f>
              <xm:sqref>Q205</xm:sqref>
            </x14:sparkline>
            <x14:sparkline>
              <xm:f>KPIS!J206:J207</xm:f>
              <xm:sqref>Q206</xm:sqref>
            </x14:sparkline>
            <x14:sparkline>
              <xm:f>KPIS!J207:J208</xm:f>
              <xm:sqref>Q207</xm:sqref>
            </x14:sparkline>
            <x14:sparkline>
              <xm:f>KPIS!J208:J209</xm:f>
              <xm:sqref>Q208</xm:sqref>
            </x14:sparkline>
            <x14:sparkline>
              <xm:f>KPIS!J209:J210</xm:f>
              <xm:sqref>Q209</xm:sqref>
            </x14:sparkline>
            <x14:sparkline>
              <xm:f>KPIS!J210:J211</xm:f>
              <xm:sqref>Q210</xm:sqref>
            </x14:sparkline>
            <x14:sparkline>
              <xm:f>KPIS!J211:J212</xm:f>
              <xm:sqref>Q211</xm:sqref>
            </x14:sparkline>
            <x14:sparkline>
              <xm:f>KPIS!J212:J213</xm:f>
              <xm:sqref>Q212</xm:sqref>
            </x14:sparkline>
            <x14:sparkline>
              <xm:f>KPIS!J213:J214</xm:f>
              <xm:sqref>Q213</xm:sqref>
            </x14:sparkline>
            <x14:sparkline>
              <xm:f>KPIS!J214:J215</xm:f>
              <xm:sqref>Q214</xm:sqref>
            </x14:sparkline>
            <x14:sparkline>
              <xm:f>KPIS!J215:J216</xm:f>
              <xm:sqref>Q215</xm:sqref>
            </x14:sparkline>
            <x14:sparkline>
              <xm:f>KPIS!J216:J217</xm:f>
              <xm:sqref>Q216</xm:sqref>
            </x14:sparkline>
            <x14:sparkline>
              <xm:f>KPIS!J217:J218</xm:f>
              <xm:sqref>Q217</xm:sqref>
            </x14:sparkline>
            <x14:sparkline>
              <xm:f>KPIS!J218:J219</xm:f>
              <xm:sqref>Q218</xm:sqref>
            </x14:sparkline>
            <x14:sparkline>
              <xm:f>KPIS!J219:J220</xm:f>
              <xm:sqref>Q219</xm:sqref>
            </x14:sparkline>
            <x14:sparkline>
              <xm:f>KPIS!J220:J221</xm:f>
              <xm:sqref>Q220</xm:sqref>
            </x14:sparkline>
            <x14:sparkline>
              <xm:f>KPIS!J221:J222</xm:f>
              <xm:sqref>Q221</xm:sqref>
            </x14:sparkline>
            <x14:sparkline>
              <xm:f>KPIS!J222:J223</xm:f>
              <xm:sqref>Q222</xm:sqref>
            </x14:sparkline>
            <x14:sparkline>
              <xm:f>KPIS!J223:J224</xm:f>
              <xm:sqref>Q223</xm:sqref>
            </x14:sparkline>
            <x14:sparkline>
              <xm:f>KPIS!J224:J225</xm:f>
              <xm:sqref>Q224</xm:sqref>
            </x14:sparkline>
            <x14:sparkline>
              <xm:f>KPIS!J225:J226</xm:f>
              <xm:sqref>Q225</xm:sqref>
            </x14:sparkline>
            <x14:sparkline>
              <xm:f>KPIS!J226:J227</xm:f>
              <xm:sqref>Q226</xm:sqref>
            </x14:sparkline>
            <x14:sparkline>
              <xm:f>KPIS!J227:J228</xm:f>
              <xm:sqref>Q227</xm:sqref>
            </x14:sparkline>
            <x14:sparkline>
              <xm:f>KPIS!J228:J229</xm:f>
              <xm:sqref>Q228</xm:sqref>
            </x14:sparkline>
            <x14:sparkline>
              <xm:f>KPIS!J229:J230</xm:f>
              <xm:sqref>Q229</xm:sqref>
            </x14:sparkline>
            <x14:sparkline>
              <xm:f>KPIS!J230:J231</xm:f>
              <xm:sqref>Q230</xm:sqref>
            </x14:sparkline>
            <x14:sparkline>
              <xm:f>KPIS!J231:J232</xm:f>
              <xm:sqref>Q231</xm:sqref>
            </x14:sparkline>
            <x14:sparkline>
              <xm:f>KPIS!J232:J233</xm:f>
              <xm:sqref>Q232</xm:sqref>
            </x14:sparkline>
            <x14:sparkline>
              <xm:f>KPIS!J233:J234</xm:f>
              <xm:sqref>Q233</xm:sqref>
            </x14:sparkline>
            <x14:sparkline>
              <xm:f>KPIS!J234:J235</xm:f>
              <xm:sqref>Q234</xm:sqref>
            </x14:sparkline>
            <x14:sparkline>
              <xm:f>KPIS!J235:J236</xm:f>
              <xm:sqref>Q235</xm:sqref>
            </x14:sparkline>
            <x14:sparkline>
              <xm:f>KPIS!J236:J237</xm:f>
              <xm:sqref>Q236</xm:sqref>
            </x14:sparkline>
            <x14:sparkline>
              <xm:f>KPIS!J237:J238</xm:f>
              <xm:sqref>Q237</xm:sqref>
            </x14:sparkline>
            <x14:sparkline>
              <xm:f>KPIS!J238:J239</xm:f>
              <xm:sqref>Q238</xm:sqref>
            </x14:sparkline>
            <x14:sparkline>
              <xm:f>KPIS!J239:J240</xm:f>
              <xm:sqref>Q239</xm:sqref>
            </x14:sparkline>
            <x14:sparkline>
              <xm:f>KPIS!J240:J241</xm:f>
              <xm:sqref>Q240</xm:sqref>
            </x14:sparkline>
            <x14:sparkline>
              <xm:f>KPIS!J241:J242</xm:f>
              <xm:sqref>Q241</xm:sqref>
            </x14:sparkline>
            <x14:sparkline>
              <xm:f>KPIS!J242:J243</xm:f>
              <xm:sqref>Q242</xm:sqref>
            </x14:sparkline>
            <x14:sparkline>
              <xm:f>KPIS!J243:J244</xm:f>
              <xm:sqref>Q243</xm:sqref>
            </x14:sparkline>
            <x14:sparkline>
              <xm:f>KPIS!J244:J245</xm:f>
              <xm:sqref>Q244</xm:sqref>
            </x14:sparkline>
            <x14:sparkline>
              <xm:f>KPIS!J245:J246</xm:f>
              <xm:sqref>Q245</xm:sqref>
            </x14:sparkline>
            <x14:sparkline>
              <xm:f>KPIS!J246:J247</xm:f>
              <xm:sqref>Q246</xm:sqref>
            </x14:sparkline>
            <x14:sparkline>
              <xm:f>KPIS!J247:J248</xm:f>
              <xm:sqref>Q247</xm:sqref>
            </x14:sparkline>
            <x14:sparkline>
              <xm:f>KPIS!J248:J249</xm:f>
              <xm:sqref>Q248</xm:sqref>
            </x14:sparkline>
            <x14:sparkline>
              <xm:f>KPIS!J249:J250</xm:f>
              <xm:sqref>Q249</xm:sqref>
            </x14:sparkline>
            <x14:sparkline>
              <xm:f>KPIS!J250:J251</xm:f>
              <xm:sqref>Q250</xm:sqref>
            </x14:sparkline>
            <x14:sparkline>
              <xm:f>KPIS!J251:J252</xm:f>
              <xm:sqref>Q251</xm:sqref>
            </x14:sparkline>
            <x14:sparkline>
              <xm:f>KPIS!J252:J253</xm:f>
              <xm:sqref>Q252</xm:sqref>
            </x14:sparkline>
            <x14:sparkline>
              <xm:f>KPIS!J253:J254</xm:f>
              <xm:sqref>Q253</xm:sqref>
            </x14:sparkline>
            <x14:sparkline>
              <xm:f>KPIS!J254:J255</xm:f>
              <xm:sqref>Q254</xm:sqref>
            </x14:sparkline>
            <x14:sparkline>
              <xm:f>KPIS!J255:J256</xm:f>
              <xm:sqref>Q255</xm:sqref>
            </x14:sparkline>
            <x14:sparkline>
              <xm:f>KPIS!J256:J257</xm:f>
              <xm:sqref>Q256</xm:sqref>
            </x14:sparkline>
            <x14:sparkline>
              <xm:f>KPIS!J257:J258</xm:f>
              <xm:sqref>Q257</xm:sqref>
            </x14:sparkline>
            <x14:sparkline>
              <xm:f>KPIS!J258:J259</xm:f>
              <xm:sqref>Q258</xm:sqref>
            </x14:sparkline>
            <x14:sparkline>
              <xm:f>KPIS!J259:J260</xm:f>
              <xm:sqref>Q259</xm:sqref>
            </x14:sparkline>
            <x14:sparkline>
              <xm:f>KPIS!J260:J261</xm:f>
              <xm:sqref>Q260</xm:sqref>
            </x14:sparkline>
            <x14:sparkline>
              <xm:f>KPIS!J261:J262</xm:f>
              <xm:sqref>Q261</xm:sqref>
            </x14:sparkline>
            <x14:sparkline>
              <xm:f>KPIS!J262:J263</xm:f>
              <xm:sqref>Q262</xm:sqref>
            </x14:sparkline>
            <x14:sparkline>
              <xm:f>KPIS!J263:J264</xm:f>
              <xm:sqref>Q263</xm:sqref>
            </x14:sparkline>
            <x14:sparkline>
              <xm:f>KPIS!J264:J265</xm:f>
              <xm:sqref>Q264</xm:sqref>
            </x14:sparkline>
            <x14:sparkline>
              <xm:f>KPIS!J265:J266</xm:f>
              <xm:sqref>Q265</xm:sqref>
            </x14:sparkline>
            <x14:sparkline>
              <xm:f>KPIS!J266:J267</xm:f>
              <xm:sqref>Q266</xm:sqref>
            </x14:sparkline>
            <x14:sparkline>
              <xm:f>KPIS!J267:J268</xm:f>
              <xm:sqref>Q267</xm:sqref>
            </x14:sparkline>
            <x14:sparkline>
              <xm:f>KPIS!J268:J269</xm:f>
              <xm:sqref>Q268</xm:sqref>
            </x14:sparkline>
            <x14:sparkline>
              <xm:f>KPIS!J269:J270</xm:f>
              <xm:sqref>Q269</xm:sqref>
            </x14:sparkline>
            <x14:sparkline>
              <xm:f>KPIS!J270:J271</xm:f>
              <xm:sqref>Q270</xm:sqref>
            </x14:sparkline>
            <x14:sparkline>
              <xm:f>KPIS!J271:J272</xm:f>
              <xm:sqref>Q271</xm:sqref>
            </x14:sparkline>
            <x14:sparkline>
              <xm:f>KPIS!J272:J273</xm:f>
              <xm:sqref>Q272</xm:sqref>
            </x14:sparkline>
            <x14:sparkline>
              <xm:f>KPIS!J273:J274</xm:f>
              <xm:sqref>Q273</xm:sqref>
            </x14:sparkline>
            <x14:sparkline>
              <xm:f>KPIS!J274:J275</xm:f>
              <xm:sqref>Q274</xm:sqref>
            </x14:sparkline>
            <x14:sparkline>
              <xm:f>KPIS!J275:J276</xm:f>
              <xm:sqref>Q275</xm:sqref>
            </x14:sparkline>
            <x14:sparkline>
              <xm:f>KPIS!J276:J277</xm:f>
              <xm:sqref>Q276</xm:sqref>
            </x14:sparkline>
            <x14:sparkline>
              <xm:f>KPIS!J277:J278</xm:f>
              <xm:sqref>Q277</xm:sqref>
            </x14:sparkline>
            <x14:sparkline>
              <xm:f>KPIS!J278:J279</xm:f>
              <xm:sqref>Q278</xm:sqref>
            </x14:sparkline>
            <x14:sparkline>
              <xm:f>KPIS!J279:J280</xm:f>
              <xm:sqref>Q279</xm:sqref>
            </x14:sparkline>
            <x14:sparkline>
              <xm:f>KPIS!J280:J281</xm:f>
              <xm:sqref>Q280</xm:sqref>
            </x14:sparkline>
            <x14:sparkline>
              <xm:f>KPIS!J281:J282</xm:f>
              <xm:sqref>Q281</xm:sqref>
            </x14:sparkline>
            <x14:sparkline>
              <xm:f>KPIS!J282:J283</xm:f>
              <xm:sqref>Q282</xm:sqref>
            </x14:sparkline>
            <x14:sparkline>
              <xm:f>KPIS!J283:J284</xm:f>
              <xm:sqref>Q283</xm:sqref>
            </x14:sparkline>
            <x14:sparkline>
              <xm:f>KPIS!J284:J285</xm:f>
              <xm:sqref>Q284</xm:sqref>
            </x14:sparkline>
            <x14:sparkline>
              <xm:f>KPIS!J285:J286</xm:f>
              <xm:sqref>Q285</xm:sqref>
            </x14:sparkline>
            <x14:sparkline>
              <xm:f>KPIS!J286:J287</xm:f>
              <xm:sqref>Q286</xm:sqref>
            </x14:sparkline>
            <x14:sparkline>
              <xm:f>KPIS!J287:J288</xm:f>
              <xm:sqref>Q287</xm:sqref>
            </x14:sparkline>
            <x14:sparkline>
              <xm:f>KPIS!J288:J289</xm:f>
              <xm:sqref>Q288</xm:sqref>
            </x14:sparkline>
            <x14:sparkline>
              <xm:f>KPIS!J289:J290</xm:f>
              <xm:sqref>Q289</xm:sqref>
            </x14:sparkline>
            <x14:sparkline>
              <xm:f>KPIS!J290:J291</xm:f>
              <xm:sqref>Q290</xm:sqref>
            </x14:sparkline>
            <x14:sparkline>
              <xm:f>KPIS!J291:J292</xm:f>
              <xm:sqref>Q291</xm:sqref>
            </x14:sparkline>
            <x14:sparkline>
              <xm:f>KPIS!J292:J293</xm:f>
              <xm:sqref>Q292</xm:sqref>
            </x14:sparkline>
            <x14:sparkline>
              <xm:f>KPIS!J293:J294</xm:f>
              <xm:sqref>Q293</xm:sqref>
            </x14:sparkline>
            <x14:sparkline>
              <xm:f>KPIS!J294:J295</xm:f>
              <xm:sqref>Q294</xm:sqref>
            </x14:sparkline>
            <x14:sparkline>
              <xm:f>KPIS!J295:J296</xm:f>
              <xm:sqref>Q295</xm:sqref>
            </x14:sparkline>
            <x14:sparkline>
              <xm:f>KPIS!J296:J297</xm:f>
              <xm:sqref>Q296</xm:sqref>
            </x14:sparkline>
            <x14:sparkline>
              <xm:f>KPIS!J297:J298</xm:f>
              <xm:sqref>Q297</xm:sqref>
            </x14:sparkline>
            <x14:sparkline>
              <xm:f>KPIS!J298:J299</xm:f>
              <xm:sqref>Q298</xm:sqref>
            </x14:sparkline>
            <x14:sparkline>
              <xm:f>KPIS!J299:J300</xm:f>
              <xm:sqref>Q299</xm:sqref>
            </x14:sparkline>
            <x14:sparkline>
              <xm:f>KPIS!J300:J301</xm:f>
              <xm:sqref>Q300</xm:sqref>
            </x14:sparkline>
            <x14:sparkline>
              <xm:f>KPIS!J301:J302</xm:f>
              <xm:sqref>Q301</xm:sqref>
            </x14:sparkline>
            <x14:sparkline>
              <xm:f>KPIS!J302:J303</xm:f>
              <xm:sqref>Q302</xm:sqref>
            </x14:sparkline>
            <x14:sparkline>
              <xm:f>KPIS!J303:J304</xm:f>
              <xm:sqref>Q303</xm:sqref>
            </x14:sparkline>
            <x14:sparkline>
              <xm:f>KPIS!J304:J305</xm:f>
              <xm:sqref>Q304</xm:sqref>
            </x14:sparkline>
            <x14:sparkline>
              <xm:f>KPIS!J305:J306</xm:f>
              <xm:sqref>Q305</xm:sqref>
            </x14:sparkline>
            <x14:sparkline>
              <xm:f>KPIS!J306:J307</xm:f>
              <xm:sqref>Q306</xm:sqref>
            </x14:sparkline>
            <x14:sparkline>
              <xm:f>KPIS!J307:J308</xm:f>
              <xm:sqref>Q307</xm:sqref>
            </x14:sparkline>
            <x14:sparkline>
              <xm:f>KPIS!J308:J309</xm:f>
              <xm:sqref>Q308</xm:sqref>
            </x14:sparkline>
            <x14:sparkline>
              <xm:f>KPIS!J309:J310</xm:f>
              <xm:sqref>Q309</xm:sqref>
            </x14:sparkline>
            <x14:sparkline>
              <xm:f>KPIS!J310:J311</xm:f>
              <xm:sqref>Q310</xm:sqref>
            </x14:sparkline>
            <x14:sparkline>
              <xm:f>KPIS!J311:J312</xm:f>
              <xm:sqref>Q311</xm:sqref>
            </x14:sparkline>
            <x14:sparkline>
              <xm:f>KPIS!J312:J313</xm:f>
              <xm:sqref>Q312</xm:sqref>
            </x14:sparkline>
            <x14:sparkline>
              <xm:f>KPIS!J313:J314</xm:f>
              <xm:sqref>Q313</xm:sqref>
            </x14:sparkline>
            <x14:sparkline>
              <xm:f>KPIS!J314:J315</xm:f>
              <xm:sqref>Q314</xm:sqref>
            </x14:sparkline>
            <x14:sparkline>
              <xm:f>KPIS!J315:J316</xm:f>
              <xm:sqref>Q315</xm:sqref>
            </x14:sparkline>
            <x14:sparkline>
              <xm:f>KPIS!J316:J317</xm:f>
              <xm:sqref>Q316</xm:sqref>
            </x14:sparkline>
            <x14:sparkline>
              <xm:f>KPIS!J317:J318</xm:f>
              <xm:sqref>Q317</xm:sqref>
            </x14:sparkline>
            <x14:sparkline>
              <xm:f>KPIS!J318:J319</xm:f>
              <xm:sqref>Q318</xm:sqref>
            </x14:sparkline>
            <x14:sparkline>
              <xm:f>KPIS!J319:J320</xm:f>
              <xm:sqref>Q319</xm:sqref>
            </x14:sparkline>
            <x14:sparkline>
              <xm:f>KPIS!J320:J321</xm:f>
              <xm:sqref>Q320</xm:sqref>
            </x14:sparkline>
            <x14:sparkline>
              <xm:f>KPIS!J321:J322</xm:f>
              <xm:sqref>Q321</xm:sqref>
            </x14:sparkline>
            <x14:sparkline>
              <xm:f>KPIS!J322:J323</xm:f>
              <xm:sqref>Q322</xm:sqref>
            </x14:sparkline>
            <x14:sparkline>
              <xm:f>KPIS!J323:J324</xm:f>
              <xm:sqref>Q323</xm:sqref>
            </x14:sparkline>
            <x14:sparkline>
              <xm:f>KPIS!J324:J325</xm:f>
              <xm:sqref>Q324</xm:sqref>
            </x14:sparkline>
            <x14:sparkline>
              <xm:f>KPIS!J325:J326</xm:f>
              <xm:sqref>Q325</xm:sqref>
            </x14:sparkline>
            <x14:sparkline>
              <xm:f>KPIS!J326:J327</xm:f>
              <xm:sqref>Q326</xm:sqref>
            </x14:sparkline>
            <x14:sparkline>
              <xm:f>KPIS!J327:J328</xm:f>
              <xm:sqref>Q327</xm:sqref>
            </x14:sparkline>
            <x14:sparkline>
              <xm:f>KPIS!J328:J329</xm:f>
              <xm:sqref>Q328</xm:sqref>
            </x14:sparkline>
            <x14:sparkline>
              <xm:f>KPIS!J329:J330</xm:f>
              <xm:sqref>Q329</xm:sqref>
            </x14:sparkline>
            <x14:sparkline>
              <xm:f>KPIS!J330:J331</xm:f>
              <xm:sqref>Q330</xm:sqref>
            </x14:sparkline>
            <x14:sparkline>
              <xm:f>KPIS!J331:J332</xm:f>
              <xm:sqref>Q331</xm:sqref>
            </x14:sparkline>
            <x14:sparkline>
              <xm:f>KPIS!J332:J333</xm:f>
              <xm:sqref>Q332</xm:sqref>
            </x14:sparkline>
            <x14:sparkline>
              <xm:f>KPIS!J333:J334</xm:f>
              <xm:sqref>Q333</xm:sqref>
            </x14:sparkline>
            <x14:sparkline>
              <xm:f>KPIS!J334:J335</xm:f>
              <xm:sqref>Q334</xm:sqref>
            </x14:sparkline>
            <x14:sparkline>
              <xm:f>KPIS!J335:J336</xm:f>
              <xm:sqref>Q335</xm:sqref>
            </x14:sparkline>
            <x14:sparkline>
              <xm:f>KPIS!J336:J337</xm:f>
              <xm:sqref>Q336</xm:sqref>
            </x14:sparkline>
            <x14:sparkline>
              <xm:f>KPIS!J337:J338</xm:f>
              <xm:sqref>Q337</xm:sqref>
            </x14:sparkline>
            <x14:sparkline>
              <xm:f>KPIS!J338:J339</xm:f>
              <xm:sqref>Q338</xm:sqref>
            </x14:sparkline>
            <x14:sparkline>
              <xm:f>KPIS!J339:J340</xm:f>
              <xm:sqref>Q339</xm:sqref>
            </x14:sparkline>
            <x14:sparkline>
              <xm:f>KPIS!J340:J341</xm:f>
              <xm:sqref>Q340</xm:sqref>
            </x14:sparkline>
            <x14:sparkline>
              <xm:f>KPIS!J341:J342</xm:f>
              <xm:sqref>Q341</xm:sqref>
            </x14:sparkline>
            <x14:sparkline>
              <xm:f>KPIS!J342:J343</xm:f>
              <xm:sqref>Q342</xm:sqref>
            </x14:sparkline>
            <x14:sparkline>
              <xm:f>KPIS!J343:J344</xm:f>
              <xm:sqref>Q343</xm:sqref>
            </x14:sparkline>
            <x14:sparkline>
              <xm:f>KPIS!J344:J345</xm:f>
              <xm:sqref>Q344</xm:sqref>
            </x14:sparkline>
            <x14:sparkline>
              <xm:f>KPIS!J345:J346</xm:f>
              <xm:sqref>Q345</xm:sqref>
            </x14:sparkline>
            <x14:sparkline>
              <xm:f>KPIS!J346:J347</xm:f>
              <xm:sqref>Q346</xm:sqref>
            </x14:sparkline>
            <x14:sparkline>
              <xm:f>KPIS!J347:J348</xm:f>
              <xm:sqref>Q347</xm:sqref>
            </x14:sparkline>
            <x14:sparkline>
              <xm:f>KPIS!J348:J349</xm:f>
              <xm:sqref>Q348</xm:sqref>
            </x14:sparkline>
            <x14:sparkline>
              <xm:f>KPIS!J349:J350</xm:f>
              <xm:sqref>Q349</xm:sqref>
            </x14:sparkline>
            <x14:sparkline>
              <xm:f>KPIS!J350:J351</xm:f>
              <xm:sqref>Q350</xm:sqref>
            </x14:sparkline>
            <x14:sparkline>
              <xm:f>KPIS!J351:J352</xm:f>
              <xm:sqref>Q351</xm:sqref>
            </x14:sparkline>
            <x14:sparkline>
              <xm:f>KPIS!J352:J353</xm:f>
              <xm:sqref>Q352</xm:sqref>
            </x14:sparkline>
            <x14:sparkline>
              <xm:f>KPIS!J353:J354</xm:f>
              <xm:sqref>Q353</xm:sqref>
            </x14:sparkline>
            <x14:sparkline>
              <xm:f>KPIS!J354:J355</xm:f>
              <xm:sqref>Q354</xm:sqref>
            </x14:sparkline>
            <x14:sparkline>
              <xm:f>KPIS!J355:J356</xm:f>
              <xm:sqref>Q355</xm:sqref>
            </x14:sparkline>
            <x14:sparkline>
              <xm:f>KPIS!J356:J357</xm:f>
              <xm:sqref>Q356</xm:sqref>
            </x14:sparkline>
            <x14:sparkline>
              <xm:f>KPIS!J357:J358</xm:f>
              <xm:sqref>Q357</xm:sqref>
            </x14:sparkline>
            <x14:sparkline>
              <xm:f>KPIS!J358:J359</xm:f>
              <xm:sqref>Q358</xm:sqref>
            </x14:sparkline>
            <x14:sparkline>
              <xm:f>KPIS!J359:J360</xm:f>
              <xm:sqref>Q359</xm:sqref>
            </x14:sparkline>
            <x14:sparkline>
              <xm:f>KPIS!J360:J361</xm:f>
              <xm:sqref>Q360</xm:sqref>
            </x14:sparkline>
            <x14:sparkline>
              <xm:f>KPIS!J361:J362</xm:f>
              <xm:sqref>Q361</xm:sqref>
            </x14:sparkline>
            <x14:sparkline>
              <xm:f>KPIS!J362:J363</xm:f>
              <xm:sqref>Q362</xm:sqref>
            </x14:sparkline>
            <x14:sparkline>
              <xm:f>KPIS!J363:J364</xm:f>
              <xm:sqref>Q363</xm:sqref>
            </x14:sparkline>
            <x14:sparkline>
              <xm:f>KPIS!J364:J365</xm:f>
              <xm:sqref>Q364</xm:sqref>
            </x14:sparkline>
            <x14:sparkline>
              <xm:f>KPIS!J365:J366</xm:f>
              <xm:sqref>Q365</xm:sqref>
            </x14:sparkline>
            <x14:sparkline>
              <xm:f>KPIS!J366:J367</xm:f>
              <xm:sqref>Q366</xm:sqref>
            </x14:sparkline>
            <x14:sparkline>
              <xm:f>KPIS!J367:J368</xm:f>
              <xm:sqref>Q367</xm:sqref>
            </x14:sparkline>
            <x14:sparkline>
              <xm:f>KPIS!J368:J369</xm:f>
              <xm:sqref>Q368</xm:sqref>
            </x14:sparkline>
            <x14:sparkline>
              <xm:f>KPIS!J369:J370</xm:f>
              <xm:sqref>Q369</xm:sqref>
            </x14:sparkline>
            <x14:sparkline>
              <xm:f>KPIS!J370:J371</xm:f>
              <xm:sqref>Q370</xm:sqref>
            </x14:sparkline>
            <x14:sparkline>
              <xm:f>KPIS!J371:J372</xm:f>
              <xm:sqref>Q371</xm:sqref>
            </x14:sparkline>
            <x14:sparkline>
              <xm:f>KPIS!J372:J373</xm:f>
              <xm:sqref>Q372</xm:sqref>
            </x14:sparkline>
            <x14:sparkline>
              <xm:f>KPIS!J373:J374</xm:f>
              <xm:sqref>Q373</xm:sqref>
            </x14:sparkline>
            <x14:sparkline>
              <xm:f>KPIS!J374:J375</xm:f>
              <xm:sqref>Q374</xm:sqref>
            </x14:sparkline>
            <x14:sparkline>
              <xm:f>KPIS!J375:J376</xm:f>
              <xm:sqref>Q375</xm:sqref>
            </x14:sparkline>
            <x14:sparkline>
              <xm:f>KPIS!J376:J377</xm:f>
              <xm:sqref>Q376</xm:sqref>
            </x14:sparkline>
            <x14:sparkline>
              <xm:f>KPIS!J377:J378</xm:f>
              <xm:sqref>Q377</xm:sqref>
            </x14:sparkline>
            <x14:sparkline>
              <xm:f>KPIS!J378:J379</xm:f>
              <xm:sqref>Q378</xm:sqref>
            </x14:sparkline>
            <x14:sparkline>
              <xm:f>KPIS!J379:J380</xm:f>
              <xm:sqref>Q379</xm:sqref>
            </x14:sparkline>
            <x14:sparkline>
              <xm:f>KPIS!J380:J381</xm:f>
              <xm:sqref>Q380</xm:sqref>
            </x14:sparkline>
            <x14:sparkline>
              <xm:f>KPIS!J381:J382</xm:f>
              <xm:sqref>Q381</xm:sqref>
            </x14:sparkline>
            <x14:sparkline>
              <xm:f>KPIS!J382:J383</xm:f>
              <xm:sqref>Q382</xm:sqref>
            </x14:sparkline>
            <x14:sparkline>
              <xm:f>KPIS!J383:J384</xm:f>
              <xm:sqref>Q383</xm:sqref>
            </x14:sparkline>
            <x14:sparkline>
              <xm:f>KPIS!J384:J385</xm:f>
              <xm:sqref>Q384</xm:sqref>
            </x14:sparkline>
            <x14:sparkline>
              <xm:f>KPIS!J385:J386</xm:f>
              <xm:sqref>Q385</xm:sqref>
            </x14:sparkline>
            <x14:sparkline>
              <xm:f>KPIS!J386:J387</xm:f>
              <xm:sqref>Q386</xm:sqref>
            </x14:sparkline>
            <x14:sparkline>
              <xm:f>KPIS!J387:J388</xm:f>
              <xm:sqref>Q387</xm:sqref>
            </x14:sparkline>
            <x14:sparkline>
              <xm:f>KPIS!J388:J389</xm:f>
              <xm:sqref>Q388</xm:sqref>
            </x14:sparkline>
            <x14:sparkline>
              <xm:f>KPIS!J389:J390</xm:f>
              <xm:sqref>Q389</xm:sqref>
            </x14:sparkline>
            <x14:sparkline>
              <xm:f>KPIS!J390:J391</xm:f>
              <xm:sqref>Q390</xm:sqref>
            </x14:sparkline>
            <x14:sparkline>
              <xm:f>KPIS!J391:J392</xm:f>
              <xm:sqref>Q391</xm:sqref>
            </x14:sparkline>
            <x14:sparkline>
              <xm:f>KPIS!J392:J393</xm:f>
              <xm:sqref>Q392</xm:sqref>
            </x14:sparkline>
            <x14:sparkline>
              <xm:f>KPIS!J393:J394</xm:f>
              <xm:sqref>Q393</xm:sqref>
            </x14:sparkline>
            <x14:sparkline>
              <xm:f>KPIS!J394:J395</xm:f>
              <xm:sqref>Q394</xm:sqref>
            </x14:sparkline>
            <x14:sparkline>
              <xm:f>KPIS!J395:J396</xm:f>
              <xm:sqref>Q395</xm:sqref>
            </x14:sparkline>
            <x14:sparkline>
              <xm:f>KPIS!J396:J397</xm:f>
              <xm:sqref>Q396</xm:sqref>
            </x14:sparkline>
            <x14:sparkline>
              <xm:f>KPIS!J397:J398</xm:f>
              <xm:sqref>Q397</xm:sqref>
            </x14:sparkline>
            <x14:sparkline>
              <xm:f>KPIS!J398:J399</xm:f>
              <xm:sqref>Q398</xm:sqref>
            </x14:sparkline>
            <x14:sparkline>
              <xm:f>KPIS!J399:J400</xm:f>
              <xm:sqref>Q399</xm:sqref>
            </x14:sparkline>
            <x14:sparkline>
              <xm:f>KPIS!J400:J401</xm:f>
              <xm:sqref>Q400</xm:sqref>
            </x14:sparkline>
            <x14:sparkline>
              <xm:f>KPIS!J401:J402</xm:f>
              <xm:sqref>Q401</xm:sqref>
            </x14:sparkline>
            <x14:sparkline>
              <xm:f>KPIS!J402:J403</xm:f>
              <xm:sqref>Q402</xm:sqref>
            </x14:sparkline>
            <x14:sparkline>
              <xm:f>KPIS!J403:J404</xm:f>
              <xm:sqref>Q403</xm:sqref>
            </x14:sparkline>
            <x14:sparkline>
              <xm:f>KPIS!J404:J405</xm:f>
              <xm:sqref>Q404</xm:sqref>
            </x14:sparkline>
            <x14:sparkline>
              <xm:f>KPIS!J405:J406</xm:f>
              <xm:sqref>Q405</xm:sqref>
            </x14:sparkline>
            <x14:sparkline>
              <xm:f>KPIS!J406:J407</xm:f>
              <xm:sqref>Q406</xm:sqref>
            </x14:sparkline>
            <x14:sparkline>
              <xm:f>KPIS!J407:J408</xm:f>
              <xm:sqref>Q407</xm:sqref>
            </x14:sparkline>
            <x14:sparkline>
              <xm:f>KPIS!J408:J409</xm:f>
              <xm:sqref>Q408</xm:sqref>
            </x14:sparkline>
            <x14:sparkline>
              <xm:f>KPIS!J409:J410</xm:f>
              <xm:sqref>Q409</xm:sqref>
            </x14:sparkline>
            <x14:sparkline>
              <xm:f>KPIS!J410:J411</xm:f>
              <xm:sqref>Q410</xm:sqref>
            </x14:sparkline>
            <x14:sparkline>
              <xm:f>KPIS!J411:J412</xm:f>
              <xm:sqref>Q411</xm:sqref>
            </x14:sparkline>
            <x14:sparkline>
              <xm:f>KPIS!J412:J413</xm:f>
              <xm:sqref>Q412</xm:sqref>
            </x14:sparkline>
            <x14:sparkline>
              <xm:f>KPIS!J413:J414</xm:f>
              <xm:sqref>Q413</xm:sqref>
            </x14:sparkline>
            <x14:sparkline>
              <xm:f>KPIS!J414:J415</xm:f>
              <xm:sqref>Q414</xm:sqref>
            </x14:sparkline>
            <x14:sparkline>
              <xm:f>KPIS!J415:J416</xm:f>
              <xm:sqref>Q415</xm:sqref>
            </x14:sparkline>
            <x14:sparkline>
              <xm:f>KPIS!J416:J417</xm:f>
              <xm:sqref>Q416</xm:sqref>
            </x14:sparkline>
            <x14:sparkline>
              <xm:f>KPIS!J417:J418</xm:f>
              <xm:sqref>Q417</xm:sqref>
            </x14:sparkline>
            <x14:sparkline>
              <xm:f>KPIS!J418:J419</xm:f>
              <xm:sqref>Q418</xm:sqref>
            </x14:sparkline>
            <x14:sparkline>
              <xm:f>KPIS!J419:J420</xm:f>
              <xm:sqref>Q419</xm:sqref>
            </x14:sparkline>
            <x14:sparkline>
              <xm:f>KPIS!J420:J421</xm:f>
              <xm:sqref>Q420</xm:sqref>
            </x14:sparkline>
            <x14:sparkline>
              <xm:f>KPIS!J421:J422</xm:f>
              <xm:sqref>Q421</xm:sqref>
            </x14:sparkline>
            <x14:sparkline>
              <xm:f>KPIS!J422:J423</xm:f>
              <xm:sqref>Q422</xm:sqref>
            </x14:sparkline>
            <x14:sparkline>
              <xm:f>KPIS!J423:J424</xm:f>
              <xm:sqref>Q423</xm:sqref>
            </x14:sparkline>
            <x14:sparkline>
              <xm:f>KPIS!J424:J425</xm:f>
              <xm:sqref>Q424</xm:sqref>
            </x14:sparkline>
            <x14:sparkline>
              <xm:f>KPIS!J425:J426</xm:f>
              <xm:sqref>Q425</xm:sqref>
            </x14:sparkline>
            <x14:sparkline>
              <xm:f>KPIS!J426:J427</xm:f>
              <xm:sqref>Q426</xm:sqref>
            </x14:sparkline>
            <x14:sparkline>
              <xm:f>KPIS!J427:J428</xm:f>
              <xm:sqref>Q427</xm:sqref>
            </x14:sparkline>
            <x14:sparkline>
              <xm:f>KPIS!J428:J429</xm:f>
              <xm:sqref>Q428</xm:sqref>
            </x14:sparkline>
            <x14:sparkline>
              <xm:f>KPIS!J429:J430</xm:f>
              <xm:sqref>Q429</xm:sqref>
            </x14:sparkline>
            <x14:sparkline>
              <xm:f>KPIS!J430:J431</xm:f>
              <xm:sqref>Q430</xm:sqref>
            </x14:sparkline>
            <x14:sparkline>
              <xm:f>KPIS!J431:J432</xm:f>
              <xm:sqref>Q431</xm:sqref>
            </x14:sparkline>
            <x14:sparkline>
              <xm:f>KPIS!J432:J433</xm:f>
              <xm:sqref>Q432</xm:sqref>
            </x14:sparkline>
            <x14:sparkline>
              <xm:f>KPIS!J433:J434</xm:f>
              <xm:sqref>Q433</xm:sqref>
            </x14:sparkline>
            <x14:sparkline>
              <xm:f>KPIS!J434:J435</xm:f>
              <xm:sqref>Q434</xm:sqref>
            </x14:sparkline>
            <x14:sparkline>
              <xm:f>KPIS!J435:J436</xm:f>
              <xm:sqref>Q435</xm:sqref>
            </x14:sparkline>
            <x14:sparkline>
              <xm:f>KPIS!J436:J437</xm:f>
              <xm:sqref>Q436</xm:sqref>
            </x14:sparkline>
            <x14:sparkline>
              <xm:f>KPIS!J437:J438</xm:f>
              <xm:sqref>Q437</xm:sqref>
            </x14:sparkline>
            <x14:sparkline>
              <xm:f>KPIS!J438:J439</xm:f>
              <xm:sqref>Q438</xm:sqref>
            </x14:sparkline>
            <x14:sparkline>
              <xm:f>KPIS!J439:J440</xm:f>
              <xm:sqref>Q439</xm:sqref>
            </x14:sparkline>
            <x14:sparkline>
              <xm:f>KPIS!J440:J441</xm:f>
              <xm:sqref>Q440</xm:sqref>
            </x14:sparkline>
            <x14:sparkline>
              <xm:f>KPIS!J441:J442</xm:f>
              <xm:sqref>Q441</xm:sqref>
            </x14:sparkline>
            <x14:sparkline>
              <xm:f>KPIS!J442:J443</xm:f>
              <xm:sqref>Q442</xm:sqref>
            </x14:sparkline>
            <x14:sparkline>
              <xm:f>KPIS!J443:J444</xm:f>
              <xm:sqref>Q443</xm:sqref>
            </x14:sparkline>
            <x14:sparkline>
              <xm:f>KPIS!J444:J445</xm:f>
              <xm:sqref>Q444</xm:sqref>
            </x14:sparkline>
            <x14:sparkline>
              <xm:f>KPIS!J445:J446</xm:f>
              <xm:sqref>Q445</xm:sqref>
            </x14:sparkline>
            <x14:sparkline>
              <xm:f>KPIS!J446:J447</xm:f>
              <xm:sqref>Q446</xm:sqref>
            </x14:sparkline>
            <x14:sparkline>
              <xm:f>KPIS!J447:J448</xm:f>
              <xm:sqref>Q447</xm:sqref>
            </x14:sparkline>
            <x14:sparkline>
              <xm:f>KPIS!J448:J449</xm:f>
              <xm:sqref>Q448</xm:sqref>
            </x14:sparkline>
            <x14:sparkline>
              <xm:f>KPIS!J449:J450</xm:f>
              <xm:sqref>Q449</xm:sqref>
            </x14:sparkline>
            <x14:sparkline>
              <xm:f>KPIS!J450:J451</xm:f>
              <xm:sqref>Q450</xm:sqref>
            </x14:sparkline>
            <x14:sparkline>
              <xm:f>KPIS!J451:J452</xm:f>
              <xm:sqref>Q451</xm:sqref>
            </x14:sparkline>
            <x14:sparkline>
              <xm:f>KPIS!J452:J453</xm:f>
              <xm:sqref>Q452</xm:sqref>
            </x14:sparkline>
            <x14:sparkline>
              <xm:f>KPIS!J453:J454</xm:f>
              <xm:sqref>Q453</xm:sqref>
            </x14:sparkline>
            <x14:sparkline>
              <xm:f>KPIS!J454:J455</xm:f>
              <xm:sqref>Q454</xm:sqref>
            </x14:sparkline>
            <x14:sparkline>
              <xm:f>KPIS!J455:J456</xm:f>
              <xm:sqref>Q455</xm:sqref>
            </x14:sparkline>
            <x14:sparkline>
              <xm:f>KPIS!J456:J457</xm:f>
              <xm:sqref>Q456</xm:sqref>
            </x14:sparkline>
            <x14:sparkline>
              <xm:f>KPIS!J457:J458</xm:f>
              <xm:sqref>Q457</xm:sqref>
            </x14:sparkline>
            <x14:sparkline>
              <xm:f>KPIS!J458:J459</xm:f>
              <xm:sqref>Q458</xm:sqref>
            </x14:sparkline>
            <x14:sparkline>
              <xm:f>KPIS!J459:J460</xm:f>
              <xm:sqref>Q459</xm:sqref>
            </x14:sparkline>
            <x14:sparkline>
              <xm:f>KPIS!J460:J461</xm:f>
              <xm:sqref>Q460</xm:sqref>
            </x14:sparkline>
            <x14:sparkline>
              <xm:f>KPIS!J461:J462</xm:f>
              <xm:sqref>Q461</xm:sqref>
            </x14:sparkline>
            <x14:sparkline>
              <xm:f>KPIS!J462:J463</xm:f>
              <xm:sqref>Q462</xm:sqref>
            </x14:sparkline>
            <x14:sparkline>
              <xm:f>KPIS!J463:J464</xm:f>
              <xm:sqref>Q463</xm:sqref>
            </x14:sparkline>
            <x14:sparkline>
              <xm:f>KPIS!J464:J465</xm:f>
              <xm:sqref>Q464</xm:sqref>
            </x14:sparkline>
            <x14:sparkline>
              <xm:f>KPIS!J465:J466</xm:f>
              <xm:sqref>Q465</xm:sqref>
            </x14:sparkline>
            <x14:sparkline>
              <xm:f>KPIS!J466:J467</xm:f>
              <xm:sqref>Q466</xm:sqref>
            </x14:sparkline>
            <x14:sparkline>
              <xm:f>KPIS!J467:J468</xm:f>
              <xm:sqref>Q467</xm:sqref>
            </x14:sparkline>
            <x14:sparkline>
              <xm:f>KPIS!J468:J469</xm:f>
              <xm:sqref>Q468</xm:sqref>
            </x14:sparkline>
            <x14:sparkline>
              <xm:f>KPIS!J469:J470</xm:f>
              <xm:sqref>Q469</xm:sqref>
            </x14:sparkline>
            <x14:sparkline>
              <xm:f>KPIS!J470:J471</xm:f>
              <xm:sqref>Q470</xm:sqref>
            </x14:sparkline>
            <x14:sparkline>
              <xm:f>KPIS!J471:J472</xm:f>
              <xm:sqref>Q471</xm:sqref>
            </x14:sparkline>
            <x14:sparkline>
              <xm:f>KPIS!J472:J473</xm:f>
              <xm:sqref>Q472</xm:sqref>
            </x14:sparkline>
            <x14:sparkline>
              <xm:f>KPIS!J473:J474</xm:f>
              <xm:sqref>Q473</xm:sqref>
            </x14:sparkline>
            <x14:sparkline>
              <xm:f>KPIS!J474:J475</xm:f>
              <xm:sqref>Q474</xm:sqref>
            </x14:sparkline>
            <x14:sparkline>
              <xm:f>KPIS!J475:J476</xm:f>
              <xm:sqref>Q475</xm:sqref>
            </x14:sparkline>
            <x14:sparkline>
              <xm:f>KPIS!J476:J477</xm:f>
              <xm:sqref>Q476</xm:sqref>
            </x14:sparkline>
            <x14:sparkline>
              <xm:f>KPIS!J477:J478</xm:f>
              <xm:sqref>Q477</xm:sqref>
            </x14:sparkline>
            <x14:sparkline>
              <xm:f>KPIS!J478:J479</xm:f>
              <xm:sqref>Q478</xm:sqref>
            </x14:sparkline>
            <x14:sparkline>
              <xm:f>KPIS!J479:J480</xm:f>
              <xm:sqref>Q479</xm:sqref>
            </x14:sparkline>
            <x14:sparkline>
              <xm:f>KPIS!J480:J481</xm:f>
              <xm:sqref>Q480</xm:sqref>
            </x14:sparkline>
            <x14:sparkline>
              <xm:f>KPIS!J481:J482</xm:f>
              <xm:sqref>Q481</xm:sqref>
            </x14:sparkline>
            <x14:sparkline>
              <xm:f>KPIS!J482:J483</xm:f>
              <xm:sqref>Q482</xm:sqref>
            </x14:sparkline>
            <x14:sparkline>
              <xm:f>KPIS!J483:J484</xm:f>
              <xm:sqref>Q483</xm:sqref>
            </x14:sparkline>
            <x14:sparkline>
              <xm:f>KPIS!J484:J485</xm:f>
              <xm:sqref>Q484</xm:sqref>
            </x14:sparkline>
            <x14:sparkline>
              <xm:f>KPIS!J485:J486</xm:f>
              <xm:sqref>Q485</xm:sqref>
            </x14:sparkline>
            <x14:sparkline>
              <xm:f>KPIS!J486:J487</xm:f>
              <xm:sqref>Q486</xm:sqref>
            </x14:sparkline>
            <x14:sparkline>
              <xm:f>KPIS!J487:J488</xm:f>
              <xm:sqref>Q487</xm:sqref>
            </x14:sparkline>
            <x14:sparkline>
              <xm:f>KPIS!J488:J489</xm:f>
              <xm:sqref>Q488</xm:sqref>
            </x14:sparkline>
            <x14:sparkline>
              <xm:f>KPIS!J489:J490</xm:f>
              <xm:sqref>Q489</xm:sqref>
            </x14:sparkline>
            <x14:sparkline>
              <xm:f>KPIS!J490:J491</xm:f>
              <xm:sqref>Q490</xm:sqref>
            </x14:sparkline>
            <x14:sparkline>
              <xm:f>KPIS!J491:J492</xm:f>
              <xm:sqref>Q491</xm:sqref>
            </x14:sparkline>
            <x14:sparkline>
              <xm:f>KPIS!J492:J493</xm:f>
              <xm:sqref>Q492</xm:sqref>
            </x14:sparkline>
            <x14:sparkline>
              <xm:f>KPIS!J493:J494</xm:f>
              <xm:sqref>Q493</xm:sqref>
            </x14:sparkline>
            <x14:sparkline>
              <xm:f>KPIS!J494:J495</xm:f>
              <xm:sqref>Q494</xm:sqref>
            </x14:sparkline>
            <x14:sparkline>
              <xm:f>KPIS!J495:J496</xm:f>
              <xm:sqref>Q495</xm:sqref>
            </x14:sparkline>
            <x14:sparkline>
              <xm:f>KPIS!J496:J497</xm:f>
              <xm:sqref>Q496</xm:sqref>
            </x14:sparkline>
            <x14:sparkline>
              <xm:f>KPIS!J497:J498</xm:f>
              <xm:sqref>Q497</xm:sqref>
            </x14:sparkline>
            <x14:sparkline>
              <xm:f>KPIS!J498:J499</xm:f>
              <xm:sqref>Q498</xm:sqref>
            </x14:sparkline>
            <x14:sparkline>
              <xm:f>KPIS!J499:J500</xm:f>
              <xm:sqref>Q499</xm:sqref>
            </x14:sparkline>
            <x14:sparkline>
              <xm:f>KPIS!J500:J501</xm:f>
              <xm:sqref>Q500</xm:sqref>
            </x14:sparkline>
            <x14:sparkline>
              <xm:f>KPIS!J501:J501</xm:f>
              <xm:sqref>Q501</xm:sqref>
            </x14:sparkline>
          </x14:sparklines>
        </x14:sparklineGroup>
        <x14:sparklineGroup displayEmptyCellsAs="gap" xr2:uid="{4054B5C3-7C9A-41FE-B86C-D64B1F69FF8C}">
          <x14:colorSeries rgb="FF376092"/>
          <x14:colorNegative rgb="FFD00000"/>
          <x14:colorAxis rgb="FF000000"/>
          <x14:colorMarkers rgb="FFD00000"/>
          <x14:colorFirst rgb="FFD00000"/>
          <x14:colorLast rgb="FFD00000"/>
          <x14:colorHigh rgb="FFD00000"/>
          <x14:colorLow rgb="FFD00000"/>
          <x14:sparklines>
            <x14:sparkline>
              <xm:f>KPIS!J2:J3</xm:f>
              <xm:sqref>P2</xm:sqref>
            </x14:sparkline>
            <x14:sparkline>
              <xm:f>KPIS!J3:J4</xm:f>
              <xm:sqref>P3</xm:sqref>
            </x14:sparkline>
            <x14:sparkline>
              <xm:f>KPIS!J4:J5</xm:f>
              <xm:sqref>P4</xm:sqref>
            </x14:sparkline>
            <x14:sparkline>
              <xm:f>KPIS!J5:J6</xm:f>
              <xm:sqref>P5</xm:sqref>
            </x14:sparkline>
            <x14:sparkline>
              <xm:f>KPIS!J6:J7</xm:f>
              <xm:sqref>P6</xm:sqref>
            </x14:sparkline>
            <x14:sparkline>
              <xm:f>KPIS!J7:J8</xm:f>
              <xm:sqref>P7</xm:sqref>
            </x14:sparkline>
            <x14:sparkline>
              <xm:f>KPIS!J8:J9</xm:f>
              <xm:sqref>P8</xm:sqref>
            </x14:sparkline>
            <x14:sparkline>
              <xm:f>KPIS!J9:J10</xm:f>
              <xm:sqref>P9</xm:sqref>
            </x14:sparkline>
            <x14:sparkline>
              <xm:f>KPIS!J10:J11</xm:f>
              <xm:sqref>P10</xm:sqref>
            </x14:sparkline>
            <x14:sparkline>
              <xm:f>KPIS!J11:J12</xm:f>
              <xm:sqref>P11</xm:sqref>
            </x14:sparkline>
            <x14:sparkline>
              <xm:f>KPIS!J12:J13</xm:f>
              <xm:sqref>P12</xm:sqref>
            </x14:sparkline>
            <x14:sparkline>
              <xm:f>KPIS!J13:J14</xm:f>
              <xm:sqref>P13</xm:sqref>
            </x14:sparkline>
            <x14:sparkline>
              <xm:f>KPIS!J14:J15</xm:f>
              <xm:sqref>P14</xm:sqref>
            </x14:sparkline>
            <x14:sparkline>
              <xm:f>KPIS!J15:J16</xm:f>
              <xm:sqref>P15</xm:sqref>
            </x14:sparkline>
            <x14:sparkline>
              <xm:f>KPIS!J16:J17</xm:f>
              <xm:sqref>P16</xm:sqref>
            </x14:sparkline>
            <x14:sparkline>
              <xm:f>KPIS!J17:J18</xm:f>
              <xm:sqref>P17</xm:sqref>
            </x14:sparkline>
            <x14:sparkline>
              <xm:f>KPIS!J18:J19</xm:f>
              <xm:sqref>P18</xm:sqref>
            </x14:sparkline>
            <x14:sparkline>
              <xm:f>KPIS!J19:J20</xm:f>
              <xm:sqref>P19</xm:sqref>
            </x14:sparkline>
            <x14:sparkline>
              <xm:f>KPIS!J20:J21</xm:f>
              <xm:sqref>P20</xm:sqref>
            </x14:sparkline>
            <x14:sparkline>
              <xm:f>KPIS!J21:J22</xm:f>
              <xm:sqref>P21</xm:sqref>
            </x14:sparkline>
            <x14:sparkline>
              <xm:f>KPIS!J22:J23</xm:f>
              <xm:sqref>P22</xm:sqref>
            </x14:sparkline>
            <x14:sparkline>
              <xm:f>KPIS!J23:J24</xm:f>
              <xm:sqref>P23</xm:sqref>
            </x14:sparkline>
            <x14:sparkline>
              <xm:f>KPIS!J24:J25</xm:f>
              <xm:sqref>P24</xm:sqref>
            </x14:sparkline>
            <x14:sparkline>
              <xm:f>KPIS!J25:J26</xm:f>
              <xm:sqref>P25</xm:sqref>
            </x14:sparkline>
            <x14:sparkline>
              <xm:f>KPIS!J26:J27</xm:f>
              <xm:sqref>P26</xm:sqref>
            </x14:sparkline>
            <x14:sparkline>
              <xm:f>KPIS!J27:J28</xm:f>
              <xm:sqref>P27</xm:sqref>
            </x14:sparkline>
            <x14:sparkline>
              <xm:f>KPIS!J28:J29</xm:f>
              <xm:sqref>P28</xm:sqref>
            </x14:sparkline>
            <x14:sparkline>
              <xm:f>KPIS!J29:J30</xm:f>
              <xm:sqref>P29</xm:sqref>
            </x14:sparkline>
            <x14:sparkline>
              <xm:f>KPIS!J30:J31</xm:f>
              <xm:sqref>P30</xm:sqref>
            </x14:sparkline>
            <x14:sparkline>
              <xm:f>KPIS!J31:J32</xm:f>
              <xm:sqref>P31</xm:sqref>
            </x14:sparkline>
            <x14:sparkline>
              <xm:f>KPIS!J32:J33</xm:f>
              <xm:sqref>P32</xm:sqref>
            </x14:sparkline>
            <x14:sparkline>
              <xm:f>KPIS!J33:J34</xm:f>
              <xm:sqref>P33</xm:sqref>
            </x14:sparkline>
            <x14:sparkline>
              <xm:f>KPIS!J34:J35</xm:f>
              <xm:sqref>P34</xm:sqref>
            </x14:sparkline>
            <x14:sparkline>
              <xm:f>KPIS!J35:J36</xm:f>
              <xm:sqref>P35</xm:sqref>
            </x14:sparkline>
            <x14:sparkline>
              <xm:f>KPIS!J36:J37</xm:f>
              <xm:sqref>P36</xm:sqref>
            </x14:sparkline>
            <x14:sparkline>
              <xm:f>KPIS!J37:J38</xm:f>
              <xm:sqref>P37</xm:sqref>
            </x14:sparkline>
            <x14:sparkline>
              <xm:f>KPIS!J38:J39</xm:f>
              <xm:sqref>P38</xm:sqref>
            </x14:sparkline>
            <x14:sparkline>
              <xm:f>KPIS!J39:J40</xm:f>
              <xm:sqref>P39</xm:sqref>
            </x14:sparkline>
            <x14:sparkline>
              <xm:f>KPIS!J40:J41</xm:f>
              <xm:sqref>P40</xm:sqref>
            </x14:sparkline>
            <x14:sparkline>
              <xm:f>KPIS!J41:J42</xm:f>
              <xm:sqref>P41</xm:sqref>
            </x14:sparkline>
            <x14:sparkline>
              <xm:f>KPIS!J42:J43</xm:f>
              <xm:sqref>P42</xm:sqref>
            </x14:sparkline>
            <x14:sparkline>
              <xm:f>KPIS!J43:J44</xm:f>
              <xm:sqref>P43</xm:sqref>
            </x14:sparkline>
            <x14:sparkline>
              <xm:f>KPIS!J44:J45</xm:f>
              <xm:sqref>P44</xm:sqref>
            </x14:sparkline>
            <x14:sparkline>
              <xm:f>KPIS!J45:J46</xm:f>
              <xm:sqref>P45</xm:sqref>
            </x14:sparkline>
            <x14:sparkline>
              <xm:f>KPIS!J46:J47</xm:f>
              <xm:sqref>P46</xm:sqref>
            </x14:sparkline>
            <x14:sparkline>
              <xm:f>KPIS!J47:J48</xm:f>
              <xm:sqref>P47</xm:sqref>
            </x14:sparkline>
            <x14:sparkline>
              <xm:f>KPIS!J48:J49</xm:f>
              <xm:sqref>P48</xm:sqref>
            </x14:sparkline>
            <x14:sparkline>
              <xm:f>KPIS!J49:J50</xm:f>
              <xm:sqref>P49</xm:sqref>
            </x14:sparkline>
            <x14:sparkline>
              <xm:f>KPIS!J50:J51</xm:f>
              <xm:sqref>P50</xm:sqref>
            </x14:sparkline>
            <x14:sparkline>
              <xm:f>KPIS!J51:J52</xm:f>
              <xm:sqref>P51</xm:sqref>
            </x14:sparkline>
            <x14:sparkline>
              <xm:f>KPIS!J52:J53</xm:f>
              <xm:sqref>P52</xm:sqref>
            </x14:sparkline>
            <x14:sparkline>
              <xm:f>KPIS!J53:J54</xm:f>
              <xm:sqref>P53</xm:sqref>
            </x14:sparkline>
            <x14:sparkline>
              <xm:f>KPIS!J54:J55</xm:f>
              <xm:sqref>P54</xm:sqref>
            </x14:sparkline>
            <x14:sparkline>
              <xm:f>KPIS!J55:J56</xm:f>
              <xm:sqref>P55</xm:sqref>
            </x14:sparkline>
            <x14:sparkline>
              <xm:f>KPIS!J56:J57</xm:f>
              <xm:sqref>P56</xm:sqref>
            </x14:sparkline>
            <x14:sparkline>
              <xm:f>KPIS!J57:J58</xm:f>
              <xm:sqref>P57</xm:sqref>
            </x14:sparkline>
            <x14:sparkline>
              <xm:f>KPIS!J58:J59</xm:f>
              <xm:sqref>P58</xm:sqref>
            </x14:sparkline>
            <x14:sparkline>
              <xm:f>KPIS!J59:J60</xm:f>
              <xm:sqref>P59</xm:sqref>
            </x14:sparkline>
            <x14:sparkline>
              <xm:f>KPIS!J60:J61</xm:f>
              <xm:sqref>P60</xm:sqref>
            </x14:sparkline>
            <x14:sparkline>
              <xm:f>KPIS!J61:J62</xm:f>
              <xm:sqref>P61</xm:sqref>
            </x14:sparkline>
            <x14:sparkline>
              <xm:f>KPIS!J62:J63</xm:f>
              <xm:sqref>P62</xm:sqref>
            </x14:sparkline>
            <x14:sparkline>
              <xm:f>KPIS!J63:J64</xm:f>
              <xm:sqref>P63</xm:sqref>
            </x14:sparkline>
            <x14:sparkline>
              <xm:f>KPIS!J64:J65</xm:f>
              <xm:sqref>P64</xm:sqref>
            </x14:sparkline>
            <x14:sparkline>
              <xm:f>KPIS!J65:J66</xm:f>
              <xm:sqref>P65</xm:sqref>
            </x14:sparkline>
            <x14:sparkline>
              <xm:f>KPIS!J66:J67</xm:f>
              <xm:sqref>P66</xm:sqref>
            </x14:sparkline>
            <x14:sparkline>
              <xm:f>KPIS!J67:J68</xm:f>
              <xm:sqref>P67</xm:sqref>
            </x14:sparkline>
            <x14:sparkline>
              <xm:f>KPIS!J68:J69</xm:f>
              <xm:sqref>P68</xm:sqref>
            </x14:sparkline>
            <x14:sparkline>
              <xm:f>KPIS!J69:J70</xm:f>
              <xm:sqref>P69</xm:sqref>
            </x14:sparkline>
            <x14:sparkline>
              <xm:f>KPIS!J70:J71</xm:f>
              <xm:sqref>P70</xm:sqref>
            </x14:sparkline>
            <x14:sparkline>
              <xm:f>KPIS!J71:J72</xm:f>
              <xm:sqref>P71</xm:sqref>
            </x14:sparkline>
            <x14:sparkline>
              <xm:f>KPIS!J72:J73</xm:f>
              <xm:sqref>P72</xm:sqref>
            </x14:sparkline>
            <x14:sparkline>
              <xm:f>KPIS!J73:J74</xm:f>
              <xm:sqref>P73</xm:sqref>
            </x14:sparkline>
            <x14:sparkline>
              <xm:f>KPIS!J74:J75</xm:f>
              <xm:sqref>P74</xm:sqref>
            </x14:sparkline>
            <x14:sparkline>
              <xm:f>KPIS!J75:J76</xm:f>
              <xm:sqref>P75</xm:sqref>
            </x14:sparkline>
            <x14:sparkline>
              <xm:f>KPIS!J76:J77</xm:f>
              <xm:sqref>P76</xm:sqref>
            </x14:sparkline>
            <x14:sparkline>
              <xm:f>KPIS!J77:J78</xm:f>
              <xm:sqref>P77</xm:sqref>
            </x14:sparkline>
            <x14:sparkline>
              <xm:f>KPIS!J78:J79</xm:f>
              <xm:sqref>P78</xm:sqref>
            </x14:sparkline>
            <x14:sparkline>
              <xm:f>KPIS!J79:J80</xm:f>
              <xm:sqref>P79</xm:sqref>
            </x14:sparkline>
            <x14:sparkline>
              <xm:f>KPIS!J80:J81</xm:f>
              <xm:sqref>P80</xm:sqref>
            </x14:sparkline>
            <x14:sparkline>
              <xm:f>KPIS!J81:J82</xm:f>
              <xm:sqref>P81</xm:sqref>
            </x14:sparkline>
            <x14:sparkline>
              <xm:f>KPIS!J82:J83</xm:f>
              <xm:sqref>P82</xm:sqref>
            </x14:sparkline>
            <x14:sparkline>
              <xm:f>KPIS!J83:J84</xm:f>
              <xm:sqref>P83</xm:sqref>
            </x14:sparkline>
            <x14:sparkline>
              <xm:f>KPIS!J84:J85</xm:f>
              <xm:sqref>P84</xm:sqref>
            </x14:sparkline>
            <x14:sparkline>
              <xm:f>KPIS!J85:J86</xm:f>
              <xm:sqref>P85</xm:sqref>
            </x14:sparkline>
            <x14:sparkline>
              <xm:f>KPIS!J86:J87</xm:f>
              <xm:sqref>P86</xm:sqref>
            </x14:sparkline>
            <x14:sparkline>
              <xm:f>KPIS!J87:J88</xm:f>
              <xm:sqref>P87</xm:sqref>
            </x14:sparkline>
            <x14:sparkline>
              <xm:f>KPIS!J88:J89</xm:f>
              <xm:sqref>P88</xm:sqref>
            </x14:sparkline>
            <x14:sparkline>
              <xm:f>KPIS!J89:J90</xm:f>
              <xm:sqref>P89</xm:sqref>
            </x14:sparkline>
            <x14:sparkline>
              <xm:f>KPIS!J90:J91</xm:f>
              <xm:sqref>P90</xm:sqref>
            </x14:sparkline>
            <x14:sparkline>
              <xm:f>KPIS!J91:J92</xm:f>
              <xm:sqref>P91</xm:sqref>
            </x14:sparkline>
            <x14:sparkline>
              <xm:f>KPIS!J92:J93</xm:f>
              <xm:sqref>P92</xm:sqref>
            </x14:sparkline>
            <x14:sparkline>
              <xm:f>KPIS!J93:J94</xm:f>
              <xm:sqref>P93</xm:sqref>
            </x14:sparkline>
            <x14:sparkline>
              <xm:f>KPIS!J94:J95</xm:f>
              <xm:sqref>P94</xm:sqref>
            </x14:sparkline>
            <x14:sparkline>
              <xm:f>KPIS!J95:J96</xm:f>
              <xm:sqref>P95</xm:sqref>
            </x14:sparkline>
            <x14:sparkline>
              <xm:f>KPIS!J96:J97</xm:f>
              <xm:sqref>P96</xm:sqref>
            </x14:sparkline>
            <x14:sparkline>
              <xm:f>KPIS!J97:J98</xm:f>
              <xm:sqref>P97</xm:sqref>
            </x14:sparkline>
            <x14:sparkline>
              <xm:f>KPIS!J98:J99</xm:f>
              <xm:sqref>P98</xm:sqref>
            </x14:sparkline>
            <x14:sparkline>
              <xm:f>KPIS!J99:J100</xm:f>
              <xm:sqref>P99</xm:sqref>
            </x14:sparkline>
            <x14:sparkline>
              <xm:f>KPIS!J100:J101</xm:f>
              <xm:sqref>P100</xm:sqref>
            </x14:sparkline>
            <x14:sparkline>
              <xm:f>KPIS!J101:J102</xm:f>
              <xm:sqref>P101</xm:sqref>
            </x14:sparkline>
            <x14:sparkline>
              <xm:f>KPIS!J102:J103</xm:f>
              <xm:sqref>P102</xm:sqref>
            </x14:sparkline>
            <x14:sparkline>
              <xm:f>KPIS!J103:J104</xm:f>
              <xm:sqref>P103</xm:sqref>
            </x14:sparkline>
            <x14:sparkline>
              <xm:f>KPIS!J104:J105</xm:f>
              <xm:sqref>P104</xm:sqref>
            </x14:sparkline>
            <x14:sparkline>
              <xm:f>KPIS!J105:J106</xm:f>
              <xm:sqref>P105</xm:sqref>
            </x14:sparkline>
            <x14:sparkline>
              <xm:f>KPIS!J106:J107</xm:f>
              <xm:sqref>P106</xm:sqref>
            </x14:sparkline>
            <x14:sparkline>
              <xm:f>KPIS!J107:J108</xm:f>
              <xm:sqref>P107</xm:sqref>
            </x14:sparkline>
            <x14:sparkline>
              <xm:f>KPIS!J108:J109</xm:f>
              <xm:sqref>P108</xm:sqref>
            </x14:sparkline>
            <x14:sparkline>
              <xm:f>KPIS!J109:J110</xm:f>
              <xm:sqref>P109</xm:sqref>
            </x14:sparkline>
            <x14:sparkline>
              <xm:f>KPIS!J110:J111</xm:f>
              <xm:sqref>P110</xm:sqref>
            </x14:sparkline>
            <x14:sparkline>
              <xm:f>KPIS!J111:J112</xm:f>
              <xm:sqref>P111</xm:sqref>
            </x14:sparkline>
            <x14:sparkline>
              <xm:f>KPIS!J112:J113</xm:f>
              <xm:sqref>P112</xm:sqref>
            </x14:sparkline>
            <x14:sparkline>
              <xm:f>KPIS!J113:J114</xm:f>
              <xm:sqref>P113</xm:sqref>
            </x14:sparkline>
            <x14:sparkline>
              <xm:f>KPIS!J114:J115</xm:f>
              <xm:sqref>P114</xm:sqref>
            </x14:sparkline>
            <x14:sparkline>
              <xm:f>KPIS!J115:J116</xm:f>
              <xm:sqref>P115</xm:sqref>
            </x14:sparkline>
            <x14:sparkline>
              <xm:f>KPIS!J116:J117</xm:f>
              <xm:sqref>P116</xm:sqref>
            </x14:sparkline>
            <x14:sparkline>
              <xm:f>KPIS!J117:J118</xm:f>
              <xm:sqref>P117</xm:sqref>
            </x14:sparkline>
            <x14:sparkline>
              <xm:f>KPIS!J118:J119</xm:f>
              <xm:sqref>P118</xm:sqref>
            </x14:sparkline>
            <x14:sparkline>
              <xm:f>KPIS!J119:J120</xm:f>
              <xm:sqref>P119</xm:sqref>
            </x14:sparkline>
            <x14:sparkline>
              <xm:f>KPIS!J120:J121</xm:f>
              <xm:sqref>P120</xm:sqref>
            </x14:sparkline>
            <x14:sparkline>
              <xm:f>KPIS!J121:J122</xm:f>
              <xm:sqref>P121</xm:sqref>
            </x14:sparkline>
            <x14:sparkline>
              <xm:f>KPIS!J122:J123</xm:f>
              <xm:sqref>P122</xm:sqref>
            </x14:sparkline>
            <x14:sparkline>
              <xm:f>KPIS!J123:J124</xm:f>
              <xm:sqref>P123</xm:sqref>
            </x14:sparkline>
            <x14:sparkline>
              <xm:f>KPIS!J124:J125</xm:f>
              <xm:sqref>P124</xm:sqref>
            </x14:sparkline>
            <x14:sparkline>
              <xm:f>KPIS!J125:J126</xm:f>
              <xm:sqref>P125</xm:sqref>
            </x14:sparkline>
            <x14:sparkline>
              <xm:f>KPIS!J126:J127</xm:f>
              <xm:sqref>P126</xm:sqref>
            </x14:sparkline>
            <x14:sparkline>
              <xm:f>KPIS!J127:J128</xm:f>
              <xm:sqref>P127</xm:sqref>
            </x14:sparkline>
            <x14:sparkline>
              <xm:f>KPIS!J128:J129</xm:f>
              <xm:sqref>P128</xm:sqref>
            </x14:sparkline>
            <x14:sparkline>
              <xm:f>KPIS!J129:J130</xm:f>
              <xm:sqref>P129</xm:sqref>
            </x14:sparkline>
            <x14:sparkline>
              <xm:f>KPIS!J130:J131</xm:f>
              <xm:sqref>P130</xm:sqref>
            </x14:sparkline>
            <x14:sparkline>
              <xm:f>KPIS!J131:J132</xm:f>
              <xm:sqref>P131</xm:sqref>
            </x14:sparkline>
            <x14:sparkline>
              <xm:f>KPIS!J132:J133</xm:f>
              <xm:sqref>P132</xm:sqref>
            </x14:sparkline>
            <x14:sparkline>
              <xm:f>KPIS!J133:J134</xm:f>
              <xm:sqref>P133</xm:sqref>
            </x14:sparkline>
            <x14:sparkline>
              <xm:f>KPIS!J134:J135</xm:f>
              <xm:sqref>P134</xm:sqref>
            </x14:sparkline>
            <x14:sparkline>
              <xm:f>KPIS!J135:J136</xm:f>
              <xm:sqref>P135</xm:sqref>
            </x14:sparkline>
            <x14:sparkline>
              <xm:f>KPIS!J136:J137</xm:f>
              <xm:sqref>P136</xm:sqref>
            </x14:sparkline>
            <x14:sparkline>
              <xm:f>KPIS!J137:J138</xm:f>
              <xm:sqref>P137</xm:sqref>
            </x14:sparkline>
            <x14:sparkline>
              <xm:f>KPIS!J138:J139</xm:f>
              <xm:sqref>P138</xm:sqref>
            </x14:sparkline>
            <x14:sparkline>
              <xm:f>KPIS!J139:J140</xm:f>
              <xm:sqref>P139</xm:sqref>
            </x14:sparkline>
            <x14:sparkline>
              <xm:f>KPIS!J140:J141</xm:f>
              <xm:sqref>P140</xm:sqref>
            </x14:sparkline>
            <x14:sparkline>
              <xm:f>KPIS!J141:J142</xm:f>
              <xm:sqref>P141</xm:sqref>
            </x14:sparkline>
            <x14:sparkline>
              <xm:f>KPIS!J142:J143</xm:f>
              <xm:sqref>P142</xm:sqref>
            </x14:sparkline>
            <x14:sparkline>
              <xm:f>KPIS!J143:J144</xm:f>
              <xm:sqref>P143</xm:sqref>
            </x14:sparkline>
            <x14:sparkline>
              <xm:f>KPIS!J144:J145</xm:f>
              <xm:sqref>P144</xm:sqref>
            </x14:sparkline>
            <x14:sparkline>
              <xm:f>KPIS!J145:J146</xm:f>
              <xm:sqref>P145</xm:sqref>
            </x14:sparkline>
            <x14:sparkline>
              <xm:f>KPIS!J146:J147</xm:f>
              <xm:sqref>P146</xm:sqref>
            </x14:sparkline>
            <x14:sparkline>
              <xm:f>KPIS!J147:J148</xm:f>
              <xm:sqref>P147</xm:sqref>
            </x14:sparkline>
            <x14:sparkline>
              <xm:f>KPIS!J148:J149</xm:f>
              <xm:sqref>P148</xm:sqref>
            </x14:sparkline>
            <x14:sparkline>
              <xm:f>KPIS!J149:J150</xm:f>
              <xm:sqref>P149</xm:sqref>
            </x14:sparkline>
            <x14:sparkline>
              <xm:f>KPIS!J150:J151</xm:f>
              <xm:sqref>P150</xm:sqref>
            </x14:sparkline>
            <x14:sparkline>
              <xm:f>KPIS!J151:J152</xm:f>
              <xm:sqref>P151</xm:sqref>
            </x14:sparkline>
            <x14:sparkline>
              <xm:f>KPIS!J152:J153</xm:f>
              <xm:sqref>P152</xm:sqref>
            </x14:sparkline>
            <x14:sparkline>
              <xm:f>KPIS!J153:J154</xm:f>
              <xm:sqref>P153</xm:sqref>
            </x14:sparkline>
            <x14:sparkline>
              <xm:f>KPIS!J154:J155</xm:f>
              <xm:sqref>P154</xm:sqref>
            </x14:sparkline>
            <x14:sparkline>
              <xm:f>KPIS!J155:J156</xm:f>
              <xm:sqref>P155</xm:sqref>
            </x14:sparkline>
            <x14:sparkline>
              <xm:f>KPIS!J156:J157</xm:f>
              <xm:sqref>P156</xm:sqref>
            </x14:sparkline>
            <x14:sparkline>
              <xm:f>KPIS!J157:J158</xm:f>
              <xm:sqref>P157</xm:sqref>
            </x14:sparkline>
            <x14:sparkline>
              <xm:f>KPIS!J158:J159</xm:f>
              <xm:sqref>P158</xm:sqref>
            </x14:sparkline>
            <x14:sparkline>
              <xm:f>KPIS!J159:J160</xm:f>
              <xm:sqref>P159</xm:sqref>
            </x14:sparkline>
            <x14:sparkline>
              <xm:f>KPIS!J160:J161</xm:f>
              <xm:sqref>P160</xm:sqref>
            </x14:sparkline>
            <x14:sparkline>
              <xm:f>KPIS!J161:J162</xm:f>
              <xm:sqref>P161</xm:sqref>
            </x14:sparkline>
            <x14:sparkline>
              <xm:f>KPIS!J162:J163</xm:f>
              <xm:sqref>P162</xm:sqref>
            </x14:sparkline>
            <x14:sparkline>
              <xm:f>KPIS!J163:J164</xm:f>
              <xm:sqref>P163</xm:sqref>
            </x14:sparkline>
            <x14:sparkline>
              <xm:f>KPIS!J164:J165</xm:f>
              <xm:sqref>P164</xm:sqref>
            </x14:sparkline>
            <x14:sparkline>
              <xm:f>KPIS!J165:J166</xm:f>
              <xm:sqref>P165</xm:sqref>
            </x14:sparkline>
            <x14:sparkline>
              <xm:f>KPIS!J166:J167</xm:f>
              <xm:sqref>P166</xm:sqref>
            </x14:sparkline>
            <x14:sparkline>
              <xm:f>KPIS!J167:J168</xm:f>
              <xm:sqref>P167</xm:sqref>
            </x14:sparkline>
            <x14:sparkline>
              <xm:f>KPIS!J168:J169</xm:f>
              <xm:sqref>P168</xm:sqref>
            </x14:sparkline>
            <x14:sparkline>
              <xm:f>KPIS!J169:J170</xm:f>
              <xm:sqref>P169</xm:sqref>
            </x14:sparkline>
            <x14:sparkline>
              <xm:f>KPIS!J170:J171</xm:f>
              <xm:sqref>P170</xm:sqref>
            </x14:sparkline>
            <x14:sparkline>
              <xm:f>KPIS!J171:J172</xm:f>
              <xm:sqref>P171</xm:sqref>
            </x14:sparkline>
            <x14:sparkline>
              <xm:f>KPIS!J172:J173</xm:f>
              <xm:sqref>P172</xm:sqref>
            </x14:sparkline>
            <x14:sparkline>
              <xm:f>KPIS!J173:J174</xm:f>
              <xm:sqref>P173</xm:sqref>
            </x14:sparkline>
            <x14:sparkline>
              <xm:f>KPIS!J174:J175</xm:f>
              <xm:sqref>P174</xm:sqref>
            </x14:sparkline>
            <x14:sparkline>
              <xm:f>KPIS!J175:J176</xm:f>
              <xm:sqref>P175</xm:sqref>
            </x14:sparkline>
            <x14:sparkline>
              <xm:f>KPIS!J176:J177</xm:f>
              <xm:sqref>P176</xm:sqref>
            </x14:sparkline>
            <x14:sparkline>
              <xm:f>KPIS!J177:J178</xm:f>
              <xm:sqref>P177</xm:sqref>
            </x14:sparkline>
            <x14:sparkline>
              <xm:f>KPIS!J178:J179</xm:f>
              <xm:sqref>P178</xm:sqref>
            </x14:sparkline>
            <x14:sparkline>
              <xm:f>KPIS!J179:J180</xm:f>
              <xm:sqref>P179</xm:sqref>
            </x14:sparkline>
            <x14:sparkline>
              <xm:f>KPIS!J180:J181</xm:f>
              <xm:sqref>P180</xm:sqref>
            </x14:sparkline>
            <x14:sparkline>
              <xm:f>KPIS!J181:J182</xm:f>
              <xm:sqref>P181</xm:sqref>
            </x14:sparkline>
            <x14:sparkline>
              <xm:f>KPIS!J182:J183</xm:f>
              <xm:sqref>P182</xm:sqref>
            </x14:sparkline>
            <x14:sparkline>
              <xm:f>KPIS!J183:J184</xm:f>
              <xm:sqref>P183</xm:sqref>
            </x14:sparkline>
            <x14:sparkline>
              <xm:f>KPIS!J184:J185</xm:f>
              <xm:sqref>P184</xm:sqref>
            </x14:sparkline>
            <x14:sparkline>
              <xm:f>KPIS!J185:J186</xm:f>
              <xm:sqref>P185</xm:sqref>
            </x14:sparkline>
            <x14:sparkline>
              <xm:f>KPIS!J186:J187</xm:f>
              <xm:sqref>P186</xm:sqref>
            </x14:sparkline>
            <x14:sparkline>
              <xm:f>KPIS!J187:J188</xm:f>
              <xm:sqref>P187</xm:sqref>
            </x14:sparkline>
            <x14:sparkline>
              <xm:f>KPIS!J188:J189</xm:f>
              <xm:sqref>P188</xm:sqref>
            </x14:sparkline>
            <x14:sparkline>
              <xm:f>KPIS!J189:J190</xm:f>
              <xm:sqref>P189</xm:sqref>
            </x14:sparkline>
            <x14:sparkline>
              <xm:f>KPIS!J190:J191</xm:f>
              <xm:sqref>P190</xm:sqref>
            </x14:sparkline>
            <x14:sparkline>
              <xm:f>KPIS!J191:J192</xm:f>
              <xm:sqref>P191</xm:sqref>
            </x14:sparkline>
            <x14:sparkline>
              <xm:f>KPIS!J192:J193</xm:f>
              <xm:sqref>P192</xm:sqref>
            </x14:sparkline>
            <x14:sparkline>
              <xm:f>KPIS!J193:J194</xm:f>
              <xm:sqref>P193</xm:sqref>
            </x14:sparkline>
            <x14:sparkline>
              <xm:f>KPIS!J194:J195</xm:f>
              <xm:sqref>P194</xm:sqref>
            </x14:sparkline>
            <x14:sparkline>
              <xm:f>KPIS!J195:J196</xm:f>
              <xm:sqref>P195</xm:sqref>
            </x14:sparkline>
            <x14:sparkline>
              <xm:f>KPIS!J196:J197</xm:f>
              <xm:sqref>P196</xm:sqref>
            </x14:sparkline>
            <x14:sparkline>
              <xm:f>KPIS!J197:J198</xm:f>
              <xm:sqref>P197</xm:sqref>
            </x14:sparkline>
            <x14:sparkline>
              <xm:f>KPIS!J198:J199</xm:f>
              <xm:sqref>P198</xm:sqref>
            </x14:sparkline>
            <x14:sparkline>
              <xm:f>KPIS!J199:J200</xm:f>
              <xm:sqref>P199</xm:sqref>
            </x14:sparkline>
            <x14:sparkline>
              <xm:f>KPIS!J200:J201</xm:f>
              <xm:sqref>P200</xm:sqref>
            </x14:sparkline>
            <x14:sparkline>
              <xm:f>KPIS!J201:J202</xm:f>
              <xm:sqref>P201</xm:sqref>
            </x14:sparkline>
            <x14:sparkline>
              <xm:f>KPIS!J202:J203</xm:f>
              <xm:sqref>P202</xm:sqref>
            </x14:sparkline>
            <x14:sparkline>
              <xm:f>KPIS!J203:J204</xm:f>
              <xm:sqref>P203</xm:sqref>
            </x14:sparkline>
            <x14:sparkline>
              <xm:f>KPIS!J204:J205</xm:f>
              <xm:sqref>P204</xm:sqref>
            </x14:sparkline>
            <x14:sparkline>
              <xm:f>KPIS!J205:J206</xm:f>
              <xm:sqref>P205</xm:sqref>
            </x14:sparkline>
            <x14:sparkline>
              <xm:f>KPIS!J206:J207</xm:f>
              <xm:sqref>P206</xm:sqref>
            </x14:sparkline>
            <x14:sparkline>
              <xm:f>KPIS!J207:J208</xm:f>
              <xm:sqref>P207</xm:sqref>
            </x14:sparkline>
            <x14:sparkline>
              <xm:f>KPIS!J208:J209</xm:f>
              <xm:sqref>P208</xm:sqref>
            </x14:sparkline>
            <x14:sparkline>
              <xm:f>KPIS!J209:J210</xm:f>
              <xm:sqref>P209</xm:sqref>
            </x14:sparkline>
            <x14:sparkline>
              <xm:f>KPIS!J210:J211</xm:f>
              <xm:sqref>P210</xm:sqref>
            </x14:sparkline>
            <x14:sparkline>
              <xm:f>KPIS!J211:J212</xm:f>
              <xm:sqref>P211</xm:sqref>
            </x14:sparkline>
            <x14:sparkline>
              <xm:f>KPIS!J212:J213</xm:f>
              <xm:sqref>P212</xm:sqref>
            </x14:sparkline>
            <x14:sparkline>
              <xm:f>KPIS!J213:J214</xm:f>
              <xm:sqref>P213</xm:sqref>
            </x14:sparkline>
            <x14:sparkline>
              <xm:f>KPIS!J214:J215</xm:f>
              <xm:sqref>P214</xm:sqref>
            </x14:sparkline>
            <x14:sparkline>
              <xm:f>KPIS!J215:J216</xm:f>
              <xm:sqref>P215</xm:sqref>
            </x14:sparkline>
            <x14:sparkline>
              <xm:f>KPIS!J216:J217</xm:f>
              <xm:sqref>P216</xm:sqref>
            </x14:sparkline>
            <x14:sparkline>
              <xm:f>KPIS!J217:J218</xm:f>
              <xm:sqref>P217</xm:sqref>
            </x14:sparkline>
            <x14:sparkline>
              <xm:f>KPIS!J218:J219</xm:f>
              <xm:sqref>P218</xm:sqref>
            </x14:sparkline>
            <x14:sparkline>
              <xm:f>KPIS!J219:J220</xm:f>
              <xm:sqref>P219</xm:sqref>
            </x14:sparkline>
            <x14:sparkline>
              <xm:f>KPIS!J220:J221</xm:f>
              <xm:sqref>P220</xm:sqref>
            </x14:sparkline>
            <x14:sparkline>
              <xm:f>KPIS!J221:J222</xm:f>
              <xm:sqref>P221</xm:sqref>
            </x14:sparkline>
            <x14:sparkline>
              <xm:f>KPIS!J222:J223</xm:f>
              <xm:sqref>P222</xm:sqref>
            </x14:sparkline>
            <x14:sparkline>
              <xm:f>KPIS!J223:J224</xm:f>
              <xm:sqref>P223</xm:sqref>
            </x14:sparkline>
            <x14:sparkline>
              <xm:f>KPIS!J224:J225</xm:f>
              <xm:sqref>P224</xm:sqref>
            </x14:sparkline>
            <x14:sparkline>
              <xm:f>KPIS!J225:J226</xm:f>
              <xm:sqref>P225</xm:sqref>
            </x14:sparkline>
            <x14:sparkline>
              <xm:f>KPIS!J226:J227</xm:f>
              <xm:sqref>P226</xm:sqref>
            </x14:sparkline>
            <x14:sparkline>
              <xm:f>KPIS!J227:J228</xm:f>
              <xm:sqref>P227</xm:sqref>
            </x14:sparkline>
            <x14:sparkline>
              <xm:f>KPIS!J228:J229</xm:f>
              <xm:sqref>P228</xm:sqref>
            </x14:sparkline>
            <x14:sparkline>
              <xm:f>KPIS!J229:J230</xm:f>
              <xm:sqref>P229</xm:sqref>
            </x14:sparkline>
            <x14:sparkline>
              <xm:f>KPIS!J230:J231</xm:f>
              <xm:sqref>P230</xm:sqref>
            </x14:sparkline>
            <x14:sparkline>
              <xm:f>KPIS!J231:J232</xm:f>
              <xm:sqref>P231</xm:sqref>
            </x14:sparkline>
            <x14:sparkline>
              <xm:f>KPIS!J232:J233</xm:f>
              <xm:sqref>P232</xm:sqref>
            </x14:sparkline>
            <x14:sparkline>
              <xm:f>KPIS!J233:J234</xm:f>
              <xm:sqref>P233</xm:sqref>
            </x14:sparkline>
            <x14:sparkline>
              <xm:f>KPIS!J234:J235</xm:f>
              <xm:sqref>P234</xm:sqref>
            </x14:sparkline>
            <x14:sparkline>
              <xm:f>KPIS!J235:J236</xm:f>
              <xm:sqref>P235</xm:sqref>
            </x14:sparkline>
            <x14:sparkline>
              <xm:f>KPIS!J236:J237</xm:f>
              <xm:sqref>P236</xm:sqref>
            </x14:sparkline>
            <x14:sparkline>
              <xm:f>KPIS!J237:J238</xm:f>
              <xm:sqref>P237</xm:sqref>
            </x14:sparkline>
            <x14:sparkline>
              <xm:f>KPIS!J238:J239</xm:f>
              <xm:sqref>P238</xm:sqref>
            </x14:sparkline>
            <x14:sparkline>
              <xm:f>KPIS!J239:J240</xm:f>
              <xm:sqref>P239</xm:sqref>
            </x14:sparkline>
            <x14:sparkline>
              <xm:f>KPIS!J240:J241</xm:f>
              <xm:sqref>P240</xm:sqref>
            </x14:sparkline>
            <x14:sparkline>
              <xm:f>KPIS!J241:J242</xm:f>
              <xm:sqref>P241</xm:sqref>
            </x14:sparkline>
            <x14:sparkline>
              <xm:f>KPIS!J242:J243</xm:f>
              <xm:sqref>P242</xm:sqref>
            </x14:sparkline>
            <x14:sparkline>
              <xm:f>KPIS!J243:J244</xm:f>
              <xm:sqref>P243</xm:sqref>
            </x14:sparkline>
            <x14:sparkline>
              <xm:f>KPIS!J244:J245</xm:f>
              <xm:sqref>P244</xm:sqref>
            </x14:sparkline>
            <x14:sparkline>
              <xm:f>KPIS!J245:J246</xm:f>
              <xm:sqref>P245</xm:sqref>
            </x14:sparkline>
            <x14:sparkline>
              <xm:f>KPIS!J246:J247</xm:f>
              <xm:sqref>P246</xm:sqref>
            </x14:sparkline>
            <x14:sparkline>
              <xm:f>KPIS!J247:J248</xm:f>
              <xm:sqref>P247</xm:sqref>
            </x14:sparkline>
            <x14:sparkline>
              <xm:f>KPIS!J248:J249</xm:f>
              <xm:sqref>P248</xm:sqref>
            </x14:sparkline>
            <x14:sparkline>
              <xm:f>KPIS!J249:J250</xm:f>
              <xm:sqref>P249</xm:sqref>
            </x14:sparkline>
            <x14:sparkline>
              <xm:f>KPIS!J250:J251</xm:f>
              <xm:sqref>P250</xm:sqref>
            </x14:sparkline>
            <x14:sparkline>
              <xm:f>KPIS!J251:J252</xm:f>
              <xm:sqref>P251</xm:sqref>
            </x14:sparkline>
            <x14:sparkline>
              <xm:f>KPIS!J252:J253</xm:f>
              <xm:sqref>P252</xm:sqref>
            </x14:sparkline>
            <x14:sparkline>
              <xm:f>KPIS!J253:J254</xm:f>
              <xm:sqref>P253</xm:sqref>
            </x14:sparkline>
            <x14:sparkline>
              <xm:f>KPIS!J254:J255</xm:f>
              <xm:sqref>P254</xm:sqref>
            </x14:sparkline>
            <x14:sparkline>
              <xm:f>KPIS!J255:J256</xm:f>
              <xm:sqref>P255</xm:sqref>
            </x14:sparkline>
            <x14:sparkline>
              <xm:f>KPIS!J256:J257</xm:f>
              <xm:sqref>P256</xm:sqref>
            </x14:sparkline>
            <x14:sparkline>
              <xm:f>KPIS!J257:J258</xm:f>
              <xm:sqref>P257</xm:sqref>
            </x14:sparkline>
            <x14:sparkline>
              <xm:f>KPIS!J258:J259</xm:f>
              <xm:sqref>P258</xm:sqref>
            </x14:sparkline>
            <x14:sparkline>
              <xm:f>KPIS!J259:J260</xm:f>
              <xm:sqref>P259</xm:sqref>
            </x14:sparkline>
            <x14:sparkline>
              <xm:f>KPIS!J260:J261</xm:f>
              <xm:sqref>P260</xm:sqref>
            </x14:sparkline>
            <x14:sparkline>
              <xm:f>KPIS!J261:J262</xm:f>
              <xm:sqref>P261</xm:sqref>
            </x14:sparkline>
            <x14:sparkline>
              <xm:f>KPIS!J262:J263</xm:f>
              <xm:sqref>P262</xm:sqref>
            </x14:sparkline>
            <x14:sparkline>
              <xm:f>KPIS!J263:J264</xm:f>
              <xm:sqref>P263</xm:sqref>
            </x14:sparkline>
            <x14:sparkline>
              <xm:f>KPIS!J264:J265</xm:f>
              <xm:sqref>P264</xm:sqref>
            </x14:sparkline>
            <x14:sparkline>
              <xm:f>KPIS!J265:J266</xm:f>
              <xm:sqref>P265</xm:sqref>
            </x14:sparkline>
            <x14:sparkline>
              <xm:f>KPIS!J266:J267</xm:f>
              <xm:sqref>P266</xm:sqref>
            </x14:sparkline>
            <x14:sparkline>
              <xm:f>KPIS!J267:J268</xm:f>
              <xm:sqref>P267</xm:sqref>
            </x14:sparkline>
            <x14:sparkline>
              <xm:f>KPIS!J268:J269</xm:f>
              <xm:sqref>P268</xm:sqref>
            </x14:sparkline>
            <x14:sparkline>
              <xm:f>KPIS!J269:J270</xm:f>
              <xm:sqref>P269</xm:sqref>
            </x14:sparkline>
            <x14:sparkline>
              <xm:f>KPIS!J270:J271</xm:f>
              <xm:sqref>P270</xm:sqref>
            </x14:sparkline>
            <x14:sparkline>
              <xm:f>KPIS!J271:J272</xm:f>
              <xm:sqref>P271</xm:sqref>
            </x14:sparkline>
            <x14:sparkline>
              <xm:f>KPIS!J272:J273</xm:f>
              <xm:sqref>P272</xm:sqref>
            </x14:sparkline>
            <x14:sparkline>
              <xm:f>KPIS!J273:J274</xm:f>
              <xm:sqref>P273</xm:sqref>
            </x14:sparkline>
            <x14:sparkline>
              <xm:f>KPIS!J274:J275</xm:f>
              <xm:sqref>P274</xm:sqref>
            </x14:sparkline>
            <x14:sparkline>
              <xm:f>KPIS!J275:J276</xm:f>
              <xm:sqref>P275</xm:sqref>
            </x14:sparkline>
            <x14:sparkline>
              <xm:f>KPIS!J276:J277</xm:f>
              <xm:sqref>P276</xm:sqref>
            </x14:sparkline>
            <x14:sparkline>
              <xm:f>KPIS!J277:J278</xm:f>
              <xm:sqref>P277</xm:sqref>
            </x14:sparkline>
            <x14:sparkline>
              <xm:f>KPIS!J278:J279</xm:f>
              <xm:sqref>P278</xm:sqref>
            </x14:sparkline>
            <x14:sparkline>
              <xm:f>KPIS!J279:J280</xm:f>
              <xm:sqref>P279</xm:sqref>
            </x14:sparkline>
            <x14:sparkline>
              <xm:f>KPIS!J280:J281</xm:f>
              <xm:sqref>P280</xm:sqref>
            </x14:sparkline>
            <x14:sparkline>
              <xm:f>KPIS!J281:J282</xm:f>
              <xm:sqref>P281</xm:sqref>
            </x14:sparkline>
            <x14:sparkline>
              <xm:f>KPIS!J282:J283</xm:f>
              <xm:sqref>P282</xm:sqref>
            </x14:sparkline>
            <x14:sparkline>
              <xm:f>KPIS!J283:J284</xm:f>
              <xm:sqref>P283</xm:sqref>
            </x14:sparkline>
            <x14:sparkline>
              <xm:f>KPIS!J284:J285</xm:f>
              <xm:sqref>P284</xm:sqref>
            </x14:sparkline>
            <x14:sparkline>
              <xm:f>KPIS!J285:J286</xm:f>
              <xm:sqref>P285</xm:sqref>
            </x14:sparkline>
            <x14:sparkline>
              <xm:f>KPIS!J286:J287</xm:f>
              <xm:sqref>P286</xm:sqref>
            </x14:sparkline>
            <x14:sparkline>
              <xm:f>KPIS!J287:J288</xm:f>
              <xm:sqref>P287</xm:sqref>
            </x14:sparkline>
            <x14:sparkline>
              <xm:f>KPIS!J288:J289</xm:f>
              <xm:sqref>P288</xm:sqref>
            </x14:sparkline>
            <x14:sparkline>
              <xm:f>KPIS!J289:J290</xm:f>
              <xm:sqref>P289</xm:sqref>
            </x14:sparkline>
            <x14:sparkline>
              <xm:f>KPIS!J290:J291</xm:f>
              <xm:sqref>P290</xm:sqref>
            </x14:sparkline>
            <x14:sparkline>
              <xm:f>KPIS!J291:J292</xm:f>
              <xm:sqref>P291</xm:sqref>
            </x14:sparkline>
            <x14:sparkline>
              <xm:f>KPIS!J292:J293</xm:f>
              <xm:sqref>P292</xm:sqref>
            </x14:sparkline>
            <x14:sparkline>
              <xm:f>KPIS!J293:J294</xm:f>
              <xm:sqref>P293</xm:sqref>
            </x14:sparkline>
            <x14:sparkline>
              <xm:f>KPIS!J294:J295</xm:f>
              <xm:sqref>P294</xm:sqref>
            </x14:sparkline>
            <x14:sparkline>
              <xm:f>KPIS!J295:J296</xm:f>
              <xm:sqref>P295</xm:sqref>
            </x14:sparkline>
            <x14:sparkline>
              <xm:f>KPIS!J296:J297</xm:f>
              <xm:sqref>P296</xm:sqref>
            </x14:sparkline>
            <x14:sparkline>
              <xm:f>KPIS!J297:J298</xm:f>
              <xm:sqref>P297</xm:sqref>
            </x14:sparkline>
            <x14:sparkline>
              <xm:f>KPIS!J298:J299</xm:f>
              <xm:sqref>P298</xm:sqref>
            </x14:sparkline>
            <x14:sparkline>
              <xm:f>KPIS!J299:J300</xm:f>
              <xm:sqref>P299</xm:sqref>
            </x14:sparkline>
            <x14:sparkline>
              <xm:f>KPIS!J300:J301</xm:f>
              <xm:sqref>P300</xm:sqref>
            </x14:sparkline>
            <x14:sparkline>
              <xm:f>KPIS!J301:J302</xm:f>
              <xm:sqref>P301</xm:sqref>
            </x14:sparkline>
            <x14:sparkline>
              <xm:f>KPIS!J302:J303</xm:f>
              <xm:sqref>P302</xm:sqref>
            </x14:sparkline>
            <x14:sparkline>
              <xm:f>KPIS!J303:J304</xm:f>
              <xm:sqref>P303</xm:sqref>
            </x14:sparkline>
            <x14:sparkline>
              <xm:f>KPIS!J304:J305</xm:f>
              <xm:sqref>P304</xm:sqref>
            </x14:sparkline>
            <x14:sparkline>
              <xm:f>KPIS!J305:J306</xm:f>
              <xm:sqref>P305</xm:sqref>
            </x14:sparkline>
            <x14:sparkline>
              <xm:f>KPIS!J306:J307</xm:f>
              <xm:sqref>P306</xm:sqref>
            </x14:sparkline>
            <x14:sparkline>
              <xm:f>KPIS!J307:J308</xm:f>
              <xm:sqref>P307</xm:sqref>
            </x14:sparkline>
            <x14:sparkline>
              <xm:f>KPIS!J308:J309</xm:f>
              <xm:sqref>P308</xm:sqref>
            </x14:sparkline>
            <x14:sparkline>
              <xm:f>KPIS!J309:J310</xm:f>
              <xm:sqref>P309</xm:sqref>
            </x14:sparkline>
            <x14:sparkline>
              <xm:f>KPIS!J310:J311</xm:f>
              <xm:sqref>P310</xm:sqref>
            </x14:sparkline>
            <x14:sparkline>
              <xm:f>KPIS!J311:J312</xm:f>
              <xm:sqref>P311</xm:sqref>
            </x14:sparkline>
            <x14:sparkline>
              <xm:f>KPIS!J312:J313</xm:f>
              <xm:sqref>P312</xm:sqref>
            </x14:sparkline>
            <x14:sparkline>
              <xm:f>KPIS!J313:J314</xm:f>
              <xm:sqref>P313</xm:sqref>
            </x14:sparkline>
            <x14:sparkline>
              <xm:f>KPIS!J314:J315</xm:f>
              <xm:sqref>P314</xm:sqref>
            </x14:sparkline>
            <x14:sparkline>
              <xm:f>KPIS!J315:J316</xm:f>
              <xm:sqref>P315</xm:sqref>
            </x14:sparkline>
            <x14:sparkline>
              <xm:f>KPIS!J316:J317</xm:f>
              <xm:sqref>P316</xm:sqref>
            </x14:sparkline>
            <x14:sparkline>
              <xm:f>KPIS!J317:J318</xm:f>
              <xm:sqref>P317</xm:sqref>
            </x14:sparkline>
            <x14:sparkline>
              <xm:f>KPIS!J318:J319</xm:f>
              <xm:sqref>P318</xm:sqref>
            </x14:sparkline>
            <x14:sparkline>
              <xm:f>KPIS!J319:J320</xm:f>
              <xm:sqref>P319</xm:sqref>
            </x14:sparkline>
            <x14:sparkline>
              <xm:f>KPIS!J320:J321</xm:f>
              <xm:sqref>P320</xm:sqref>
            </x14:sparkline>
            <x14:sparkline>
              <xm:f>KPIS!J321:J322</xm:f>
              <xm:sqref>P321</xm:sqref>
            </x14:sparkline>
            <x14:sparkline>
              <xm:f>KPIS!J322:J323</xm:f>
              <xm:sqref>P322</xm:sqref>
            </x14:sparkline>
            <x14:sparkline>
              <xm:f>KPIS!J323:J324</xm:f>
              <xm:sqref>P323</xm:sqref>
            </x14:sparkline>
            <x14:sparkline>
              <xm:f>KPIS!J324:J325</xm:f>
              <xm:sqref>P324</xm:sqref>
            </x14:sparkline>
            <x14:sparkline>
              <xm:f>KPIS!J325:J326</xm:f>
              <xm:sqref>P325</xm:sqref>
            </x14:sparkline>
            <x14:sparkline>
              <xm:f>KPIS!J326:J327</xm:f>
              <xm:sqref>P326</xm:sqref>
            </x14:sparkline>
            <x14:sparkline>
              <xm:f>KPIS!J327:J328</xm:f>
              <xm:sqref>P327</xm:sqref>
            </x14:sparkline>
            <x14:sparkline>
              <xm:f>KPIS!J328:J329</xm:f>
              <xm:sqref>P328</xm:sqref>
            </x14:sparkline>
            <x14:sparkline>
              <xm:f>KPIS!J329:J330</xm:f>
              <xm:sqref>P329</xm:sqref>
            </x14:sparkline>
            <x14:sparkline>
              <xm:f>KPIS!J330:J331</xm:f>
              <xm:sqref>P330</xm:sqref>
            </x14:sparkline>
            <x14:sparkline>
              <xm:f>KPIS!J331:J332</xm:f>
              <xm:sqref>P331</xm:sqref>
            </x14:sparkline>
            <x14:sparkline>
              <xm:f>KPIS!J332:J333</xm:f>
              <xm:sqref>P332</xm:sqref>
            </x14:sparkline>
            <x14:sparkline>
              <xm:f>KPIS!J333:J334</xm:f>
              <xm:sqref>P333</xm:sqref>
            </x14:sparkline>
            <x14:sparkline>
              <xm:f>KPIS!J334:J335</xm:f>
              <xm:sqref>P334</xm:sqref>
            </x14:sparkline>
            <x14:sparkline>
              <xm:f>KPIS!J335:J336</xm:f>
              <xm:sqref>P335</xm:sqref>
            </x14:sparkline>
            <x14:sparkline>
              <xm:f>KPIS!J336:J337</xm:f>
              <xm:sqref>P336</xm:sqref>
            </x14:sparkline>
            <x14:sparkline>
              <xm:f>KPIS!J337:J338</xm:f>
              <xm:sqref>P337</xm:sqref>
            </x14:sparkline>
            <x14:sparkline>
              <xm:f>KPIS!J338:J339</xm:f>
              <xm:sqref>P338</xm:sqref>
            </x14:sparkline>
            <x14:sparkline>
              <xm:f>KPIS!J339:J340</xm:f>
              <xm:sqref>P339</xm:sqref>
            </x14:sparkline>
            <x14:sparkline>
              <xm:f>KPIS!J340:J341</xm:f>
              <xm:sqref>P340</xm:sqref>
            </x14:sparkline>
            <x14:sparkline>
              <xm:f>KPIS!J341:J342</xm:f>
              <xm:sqref>P341</xm:sqref>
            </x14:sparkline>
            <x14:sparkline>
              <xm:f>KPIS!J342:J343</xm:f>
              <xm:sqref>P342</xm:sqref>
            </x14:sparkline>
            <x14:sparkline>
              <xm:f>KPIS!J343:J344</xm:f>
              <xm:sqref>P343</xm:sqref>
            </x14:sparkline>
            <x14:sparkline>
              <xm:f>KPIS!J344:J345</xm:f>
              <xm:sqref>P344</xm:sqref>
            </x14:sparkline>
            <x14:sparkline>
              <xm:f>KPIS!J345:J346</xm:f>
              <xm:sqref>P345</xm:sqref>
            </x14:sparkline>
            <x14:sparkline>
              <xm:f>KPIS!J346:J347</xm:f>
              <xm:sqref>P346</xm:sqref>
            </x14:sparkline>
            <x14:sparkline>
              <xm:f>KPIS!J347:J348</xm:f>
              <xm:sqref>P347</xm:sqref>
            </x14:sparkline>
            <x14:sparkline>
              <xm:f>KPIS!J348:J349</xm:f>
              <xm:sqref>P348</xm:sqref>
            </x14:sparkline>
            <x14:sparkline>
              <xm:f>KPIS!J349:J350</xm:f>
              <xm:sqref>P349</xm:sqref>
            </x14:sparkline>
            <x14:sparkline>
              <xm:f>KPIS!J350:J351</xm:f>
              <xm:sqref>P350</xm:sqref>
            </x14:sparkline>
            <x14:sparkline>
              <xm:f>KPIS!J351:J352</xm:f>
              <xm:sqref>P351</xm:sqref>
            </x14:sparkline>
            <x14:sparkline>
              <xm:f>KPIS!J352:J353</xm:f>
              <xm:sqref>P352</xm:sqref>
            </x14:sparkline>
            <x14:sparkline>
              <xm:f>KPIS!J353:J354</xm:f>
              <xm:sqref>P353</xm:sqref>
            </x14:sparkline>
            <x14:sparkline>
              <xm:f>KPIS!J354:J355</xm:f>
              <xm:sqref>P354</xm:sqref>
            </x14:sparkline>
            <x14:sparkline>
              <xm:f>KPIS!J355:J356</xm:f>
              <xm:sqref>P355</xm:sqref>
            </x14:sparkline>
            <x14:sparkline>
              <xm:f>KPIS!J356:J357</xm:f>
              <xm:sqref>P356</xm:sqref>
            </x14:sparkline>
            <x14:sparkline>
              <xm:f>KPIS!J357:J358</xm:f>
              <xm:sqref>P357</xm:sqref>
            </x14:sparkline>
            <x14:sparkline>
              <xm:f>KPIS!J358:J359</xm:f>
              <xm:sqref>P358</xm:sqref>
            </x14:sparkline>
            <x14:sparkline>
              <xm:f>KPIS!J359:J360</xm:f>
              <xm:sqref>P359</xm:sqref>
            </x14:sparkline>
            <x14:sparkline>
              <xm:f>KPIS!J360:J361</xm:f>
              <xm:sqref>P360</xm:sqref>
            </x14:sparkline>
            <x14:sparkline>
              <xm:f>KPIS!J361:J362</xm:f>
              <xm:sqref>P361</xm:sqref>
            </x14:sparkline>
            <x14:sparkline>
              <xm:f>KPIS!J362:J363</xm:f>
              <xm:sqref>P362</xm:sqref>
            </x14:sparkline>
            <x14:sparkline>
              <xm:f>KPIS!J363:J364</xm:f>
              <xm:sqref>P363</xm:sqref>
            </x14:sparkline>
            <x14:sparkline>
              <xm:f>KPIS!J364:J365</xm:f>
              <xm:sqref>P364</xm:sqref>
            </x14:sparkline>
            <x14:sparkline>
              <xm:f>KPIS!J365:J366</xm:f>
              <xm:sqref>P365</xm:sqref>
            </x14:sparkline>
            <x14:sparkline>
              <xm:f>KPIS!J366:J367</xm:f>
              <xm:sqref>P366</xm:sqref>
            </x14:sparkline>
            <x14:sparkline>
              <xm:f>KPIS!J367:J368</xm:f>
              <xm:sqref>P367</xm:sqref>
            </x14:sparkline>
            <x14:sparkline>
              <xm:f>KPIS!J368:J369</xm:f>
              <xm:sqref>P368</xm:sqref>
            </x14:sparkline>
            <x14:sparkline>
              <xm:f>KPIS!J369:J370</xm:f>
              <xm:sqref>P369</xm:sqref>
            </x14:sparkline>
            <x14:sparkline>
              <xm:f>KPIS!J370:J371</xm:f>
              <xm:sqref>P370</xm:sqref>
            </x14:sparkline>
            <x14:sparkline>
              <xm:f>KPIS!J371:J372</xm:f>
              <xm:sqref>P371</xm:sqref>
            </x14:sparkline>
            <x14:sparkline>
              <xm:f>KPIS!J372:J373</xm:f>
              <xm:sqref>P372</xm:sqref>
            </x14:sparkline>
            <x14:sparkline>
              <xm:f>KPIS!J373:J374</xm:f>
              <xm:sqref>P373</xm:sqref>
            </x14:sparkline>
            <x14:sparkline>
              <xm:f>KPIS!J374:J375</xm:f>
              <xm:sqref>P374</xm:sqref>
            </x14:sparkline>
            <x14:sparkline>
              <xm:f>KPIS!J375:J376</xm:f>
              <xm:sqref>P375</xm:sqref>
            </x14:sparkline>
            <x14:sparkline>
              <xm:f>KPIS!J376:J377</xm:f>
              <xm:sqref>P376</xm:sqref>
            </x14:sparkline>
            <x14:sparkline>
              <xm:f>KPIS!J377:J378</xm:f>
              <xm:sqref>P377</xm:sqref>
            </x14:sparkline>
            <x14:sparkline>
              <xm:f>KPIS!J378:J379</xm:f>
              <xm:sqref>P378</xm:sqref>
            </x14:sparkline>
            <x14:sparkline>
              <xm:f>KPIS!J379:J380</xm:f>
              <xm:sqref>P379</xm:sqref>
            </x14:sparkline>
            <x14:sparkline>
              <xm:f>KPIS!J380:J381</xm:f>
              <xm:sqref>P380</xm:sqref>
            </x14:sparkline>
            <x14:sparkline>
              <xm:f>KPIS!J381:J382</xm:f>
              <xm:sqref>P381</xm:sqref>
            </x14:sparkline>
            <x14:sparkline>
              <xm:f>KPIS!J382:J383</xm:f>
              <xm:sqref>P382</xm:sqref>
            </x14:sparkline>
            <x14:sparkline>
              <xm:f>KPIS!J383:J384</xm:f>
              <xm:sqref>P383</xm:sqref>
            </x14:sparkline>
            <x14:sparkline>
              <xm:f>KPIS!J384:J385</xm:f>
              <xm:sqref>P384</xm:sqref>
            </x14:sparkline>
            <x14:sparkline>
              <xm:f>KPIS!J385:J386</xm:f>
              <xm:sqref>P385</xm:sqref>
            </x14:sparkline>
            <x14:sparkline>
              <xm:f>KPIS!J386:J387</xm:f>
              <xm:sqref>P386</xm:sqref>
            </x14:sparkline>
            <x14:sparkline>
              <xm:f>KPIS!J387:J388</xm:f>
              <xm:sqref>P387</xm:sqref>
            </x14:sparkline>
            <x14:sparkline>
              <xm:f>KPIS!J388:J389</xm:f>
              <xm:sqref>P388</xm:sqref>
            </x14:sparkline>
            <x14:sparkline>
              <xm:f>KPIS!J389:J390</xm:f>
              <xm:sqref>P389</xm:sqref>
            </x14:sparkline>
            <x14:sparkline>
              <xm:f>KPIS!J390:J391</xm:f>
              <xm:sqref>P390</xm:sqref>
            </x14:sparkline>
            <x14:sparkline>
              <xm:f>KPIS!J391:J392</xm:f>
              <xm:sqref>P391</xm:sqref>
            </x14:sparkline>
            <x14:sparkline>
              <xm:f>KPIS!J392:J393</xm:f>
              <xm:sqref>P392</xm:sqref>
            </x14:sparkline>
            <x14:sparkline>
              <xm:f>KPIS!J393:J394</xm:f>
              <xm:sqref>P393</xm:sqref>
            </x14:sparkline>
            <x14:sparkline>
              <xm:f>KPIS!J394:J395</xm:f>
              <xm:sqref>P394</xm:sqref>
            </x14:sparkline>
            <x14:sparkline>
              <xm:f>KPIS!J395:J396</xm:f>
              <xm:sqref>P395</xm:sqref>
            </x14:sparkline>
            <x14:sparkline>
              <xm:f>KPIS!J396:J397</xm:f>
              <xm:sqref>P396</xm:sqref>
            </x14:sparkline>
            <x14:sparkline>
              <xm:f>KPIS!J397:J398</xm:f>
              <xm:sqref>P397</xm:sqref>
            </x14:sparkline>
            <x14:sparkline>
              <xm:f>KPIS!J398:J399</xm:f>
              <xm:sqref>P398</xm:sqref>
            </x14:sparkline>
            <x14:sparkline>
              <xm:f>KPIS!J399:J400</xm:f>
              <xm:sqref>P399</xm:sqref>
            </x14:sparkline>
            <x14:sparkline>
              <xm:f>KPIS!J400:J401</xm:f>
              <xm:sqref>P400</xm:sqref>
            </x14:sparkline>
            <x14:sparkline>
              <xm:f>KPIS!J401:J402</xm:f>
              <xm:sqref>P401</xm:sqref>
            </x14:sparkline>
            <x14:sparkline>
              <xm:f>KPIS!J402:J403</xm:f>
              <xm:sqref>P402</xm:sqref>
            </x14:sparkline>
            <x14:sparkline>
              <xm:f>KPIS!J403:J404</xm:f>
              <xm:sqref>P403</xm:sqref>
            </x14:sparkline>
            <x14:sparkline>
              <xm:f>KPIS!J404:J405</xm:f>
              <xm:sqref>P404</xm:sqref>
            </x14:sparkline>
            <x14:sparkline>
              <xm:f>KPIS!J405:J406</xm:f>
              <xm:sqref>P405</xm:sqref>
            </x14:sparkline>
            <x14:sparkline>
              <xm:f>KPIS!J406:J407</xm:f>
              <xm:sqref>P406</xm:sqref>
            </x14:sparkline>
            <x14:sparkline>
              <xm:f>KPIS!J407:J408</xm:f>
              <xm:sqref>P407</xm:sqref>
            </x14:sparkline>
            <x14:sparkline>
              <xm:f>KPIS!J408:J409</xm:f>
              <xm:sqref>P408</xm:sqref>
            </x14:sparkline>
            <x14:sparkline>
              <xm:f>KPIS!J409:J410</xm:f>
              <xm:sqref>P409</xm:sqref>
            </x14:sparkline>
            <x14:sparkline>
              <xm:f>KPIS!J410:J411</xm:f>
              <xm:sqref>P410</xm:sqref>
            </x14:sparkline>
            <x14:sparkline>
              <xm:f>KPIS!J411:J412</xm:f>
              <xm:sqref>P411</xm:sqref>
            </x14:sparkline>
            <x14:sparkline>
              <xm:f>KPIS!J412:J413</xm:f>
              <xm:sqref>P412</xm:sqref>
            </x14:sparkline>
            <x14:sparkline>
              <xm:f>KPIS!J413:J414</xm:f>
              <xm:sqref>P413</xm:sqref>
            </x14:sparkline>
            <x14:sparkline>
              <xm:f>KPIS!J414:J415</xm:f>
              <xm:sqref>P414</xm:sqref>
            </x14:sparkline>
            <x14:sparkline>
              <xm:f>KPIS!J415:J416</xm:f>
              <xm:sqref>P415</xm:sqref>
            </x14:sparkline>
            <x14:sparkline>
              <xm:f>KPIS!J416:J417</xm:f>
              <xm:sqref>P416</xm:sqref>
            </x14:sparkline>
            <x14:sparkline>
              <xm:f>KPIS!J417:J418</xm:f>
              <xm:sqref>P417</xm:sqref>
            </x14:sparkline>
            <x14:sparkline>
              <xm:f>KPIS!J418:J419</xm:f>
              <xm:sqref>P418</xm:sqref>
            </x14:sparkline>
            <x14:sparkline>
              <xm:f>KPIS!J419:J420</xm:f>
              <xm:sqref>P419</xm:sqref>
            </x14:sparkline>
            <x14:sparkline>
              <xm:f>KPIS!J420:J421</xm:f>
              <xm:sqref>P420</xm:sqref>
            </x14:sparkline>
            <x14:sparkline>
              <xm:f>KPIS!J421:J422</xm:f>
              <xm:sqref>P421</xm:sqref>
            </x14:sparkline>
            <x14:sparkline>
              <xm:f>KPIS!J422:J423</xm:f>
              <xm:sqref>P422</xm:sqref>
            </x14:sparkline>
            <x14:sparkline>
              <xm:f>KPIS!J423:J424</xm:f>
              <xm:sqref>P423</xm:sqref>
            </x14:sparkline>
            <x14:sparkline>
              <xm:f>KPIS!J424:J425</xm:f>
              <xm:sqref>P424</xm:sqref>
            </x14:sparkline>
            <x14:sparkline>
              <xm:f>KPIS!J425:J426</xm:f>
              <xm:sqref>P425</xm:sqref>
            </x14:sparkline>
            <x14:sparkline>
              <xm:f>KPIS!J426:J427</xm:f>
              <xm:sqref>P426</xm:sqref>
            </x14:sparkline>
            <x14:sparkline>
              <xm:f>KPIS!J427:J428</xm:f>
              <xm:sqref>P427</xm:sqref>
            </x14:sparkline>
            <x14:sparkline>
              <xm:f>KPIS!J428:J429</xm:f>
              <xm:sqref>P428</xm:sqref>
            </x14:sparkline>
            <x14:sparkline>
              <xm:f>KPIS!J429:J430</xm:f>
              <xm:sqref>P429</xm:sqref>
            </x14:sparkline>
            <x14:sparkline>
              <xm:f>KPIS!J430:J431</xm:f>
              <xm:sqref>P430</xm:sqref>
            </x14:sparkline>
            <x14:sparkline>
              <xm:f>KPIS!J431:J432</xm:f>
              <xm:sqref>P431</xm:sqref>
            </x14:sparkline>
            <x14:sparkline>
              <xm:f>KPIS!J432:J433</xm:f>
              <xm:sqref>P432</xm:sqref>
            </x14:sparkline>
            <x14:sparkline>
              <xm:f>KPIS!J433:J434</xm:f>
              <xm:sqref>P433</xm:sqref>
            </x14:sparkline>
            <x14:sparkline>
              <xm:f>KPIS!J434:J435</xm:f>
              <xm:sqref>P434</xm:sqref>
            </x14:sparkline>
            <x14:sparkline>
              <xm:f>KPIS!J435:J436</xm:f>
              <xm:sqref>P435</xm:sqref>
            </x14:sparkline>
            <x14:sparkline>
              <xm:f>KPIS!J436:J437</xm:f>
              <xm:sqref>P436</xm:sqref>
            </x14:sparkline>
            <x14:sparkline>
              <xm:f>KPIS!J437:J438</xm:f>
              <xm:sqref>P437</xm:sqref>
            </x14:sparkline>
            <x14:sparkline>
              <xm:f>KPIS!J438:J439</xm:f>
              <xm:sqref>P438</xm:sqref>
            </x14:sparkline>
            <x14:sparkline>
              <xm:f>KPIS!J439:J440</xm:f>
              <xm:sqref>P439</xm:sqref>
            </x14:sparkline>
            <x14:sparkline>
              <xm:f>KPIS!J440:J441</xm:f>
              <xm:sqref>P440</xm:sqref>
            </x14:sparkline>
            <x14:sparkline>
              <xm:f>KPIS!J441:J442</xm:f>
              <xm:sqref>P441</xm:sqref>
            </x14:sparkline>
            <x14:sparkline>
              <xm:f>KPIS!J442:J443</xm:f>
              <xm:sqref>P442</xm:sqref>
            </x14:sparkline>
            <x14:sparkline>
              <xm:f>KPIS!J443:J444</xm:f>
              <xm:sqref>P443</xm:sqref>
            </x14:sparkline>
            <x14:sparkline>
              <xm:f>KPIS!J444:J445</xm:f>
              <xm:sqref>P444</xm:sqref>
            </x14:sparkline>
            <x14:sparkline>
              <xm:f>KPIS!J445:J446</xm:f>
              <xm:sqref>P445</xm:sqref>
            </x14:sparkline>
            <x14:sparkline>
              <xm:f>KPIS!J446:J447</xm:f>
              <xm:sqref>P446</xm:sqref>
            </x14:sparkline>
            <x14:sparkline>
              <xm:f>KPIS!J447:J448</xm:f>
              <xm:sqref>P447</xm:sqref>
            </x14:sparkline>
            <x14:sparkline>
              <xm:f>KPIS!J448:J449</xm:f>
              <xm:sqref>P448</xm:sqref>
            </x14:sparkline>
            <x14:sparkline>
              <xm:f>KPIS!J449:J450</xm:f>
              <xm:sqref>P449</xm:sqref>
            </x14:sparkline>
            <x14:sparkline>
              <xm:f>KPIS!J450:J451</xm:f>
              <xm:sqref>P450</xm:sqref>
            </x14:sparkline>
            <x14:sparkline>
              <xm:f>KPIS!J451:J452</xm:f>
              <xm:sqref>P451</xm:sqref>
            </x14:sparkline>
            <x14:sparkline>
              <xm:f>KPIS!J452:J453</xm:f>
              <xm:sqref>P452</xm:sqref>
            </x14:sparkline>
            <x14:sparkline>
              <xm:f>KPIS!J453:J454</xm:f>
              <xm:sqref>P453</xm:sqref>
            </x14:sparkline>
            <x14:sparkline>
              <xm:f>KPIS!J454:J455</xm:f>
              <xm:sqref>P454</xm:sqref>
            </x14:sparkline>
            <x14:sparkline>
              <xm:f>KPIS!J455:J456</xm:f>
              <xm:sqref>P455</xm:sqref>
            </x14:sparkline>
            <x14:sparkline>
              <xm:f>KPIS!J456:J457</xm:f>
              <xm:sqref>P456</xm:sqref>
            </x14:sparkline>
            <x14:sparkline>
              <xm:f>KPIS!J457:J458</xm:f>
              <xm:sqref>P457</xm:sqref>
            </x14:sparkline>
            <x14:sparkline>
              <xm:f>KPIS!J458:J459</xm:f>
              <xm:sqref>P458</xm:sqref>
            </x14:sparkline>
            <x14:sparkline>
              <xm:f>KPIS!J459:J460</xm:f>
              <xm:sqref>P459</xm:sqref>
            </x14:sparkline>
            <x14:sparkline>
              <xm:f>KPIS!J460:J461</xm:f>
              <xm:sqref>P460</xm:sqref>
            </x14:sparkline>
            <x14:sparkline>
              <xm:f>KPIS!J461:J462</xm:f>
              <xm:sqref>P461</xm:sqref>
            </x14:sparkline>
            <x14:sparkline>
              <xm:f>KPIS!J462:J463</xm:f>
              <xm:sqref>P462</xm:sqref>
            </x14:sparkline>
            <x14:sparkline>
              <xm:f>KPIS!J463:J464</xm:f>
              <xm:sqref>P463</xm:sqref>
            </x14:sparkline>
            <x14:sparkline>
              <xm:f>KPIS!J464:J465</xm:f>
              <xm:sqref>P464</xm:sqref>
            </x14:sparkline>
            <x14:sparkline>
              <xm:f>KPIS!J465:J466</xm:f>
              <xm:sqref>P465</xm:sqref>
            </x14:sparkline>
            <x14:sparkline>
              <xm:f>KPIS!J466:J467</xm:f>
              <xm:sqref>P466</xm:sqref>
            </x14:sparkline>
            <x14:sparkline>
              <xm:f>KPIS!J467:J468</xm:f>
              <xm:sqref>P467</xm:sqref>
            </x14:sparkline>
            <x14:sparkline>
              <xm:f>KPIS!J468:J469</xm:f>
              <xm:sqref>P468</xm:sqref>
            </x14:sparkline>
            <x14:sparkline>
              <xm:f>KPIS!J469:J470</xm:f>
              <xm:sqref>P469</xm:sqref>
            </x14:sparkline>
            <x14:sparkline>
              <xm:f>KPIS!J470:J471</xm:f>
              <xm:sqref>P470</xm:sqref>
            </x14:sparkline>
            <x14:sparkline>
              <xm:f>KPIS!J471:J472</xm:f>
              <xm:sqref>P471</xm:sqref>
            </x14:sparkline>
            <x14:sparkline>
              <xm:f>KPIS!J472:J473</xm:f>
              <xm:sqref>P472</xm:sqref>
            </x14:sparkline>
            <x14:sparkline>
              <xm:f>KPIS!J473:J474</xm:f>
              <xm:sqref>P473</xm:sqref>
            </x14:sparkline>
            <x14:sparkline>
              <xm:f>KPIS!J474:J475</xm:f>
              <xm:sqref>P474</xm:sqref>
            </x14:sparkline>
            <x14:sparkline>
              <xm:f>KPIS!J475:J476</xm:f>
              <xm:sqref>P475</xm:sqref>
            </x14:sparkline>
            <x14:sparkline>
              <xm:f>KPIS!J476:J477</xm:f>
              <xm:sqref>P476</xm:sqref>
            </x14:sparkline>
            <x14:sparkline>
              <xm:f>KPIS!J477:J478</xm:f>
              <xm:sqref>P477</xm:sqref>
            </x14:sparkline>
            <x14:sparkline>
              <xm:f>KPIS!J478:J479</xm:f>
              <xm:sqref>P478</xm:sqref>
            </x14:sparkline>
            <x14:sparkline>
              <xm:f>KPIS!J479:J480</xm:f>
              <xm:sqref>P479</xm:sqref>
            </x14:sparkline>
            <x14:sparkline>
              <xm:f>KPIS!J480:J481</xm:f>
              <xm:sqref>P480</xm:sqref>
            </x14:sparkline>
            <x14:sparkline>
              <xm:f>KPIS!J481:J482</xm:f>
              <xm:sqref>P481</xm:sqref>
            </x14:sparkline>
            <x14:sparkline>
              <xm:f>KPIS!J482:J483</xm:f>
              <xm:sqref>P482</xm:sqref>
            </x14:sparkline>
            <x14:sparkline>
              <xm:f>KPIS!J483:J484</xm:f>
              <xm:sqref>P483</xm:sqref>
            </x14:sparkline>
            <x14:sparkline>
              <xm:f>KPIS!J484:J485</xm:f>
              <xm:sqref>P484</xm:sqref>
            </x14:sparkline>
            <x14:sparkline>
              <xm:f>KPIS!J485:J486</xm:f>
              <xm:sqref>P485</xm:sqref>
            </x14:sparkline>
            <x14:sparkline>
              <xm:f>KPIS!J486:J487</xm:f>
              <xm:sqref>P486</xm:sqref>
            </x14:sparkline>
            <x14:sparkline>
              <xm:f>KPIS!J487:J488</xm:f>
              <xm:sqref>P487</xm:sqref>
            </x14:sparkline>
            <x14:sparkline>
              <xm:f>KPIS!J488:J489</xm:f>
              <xm:sqref>P488</xm:sqref>
            </x14:sparkline>
            <x14:sparkline>
              <xm:f>KPIS!J489:J490</xm:f>
              <xm:sqref>P489</xm:sqref>
            </x14:sparkline>
            <x14:sparkline>
              <xm:f>KPIS!J490:J491</xm:f>
              <xm:sqref>P490</xm:sqref>
            </x14:sparkline>
            <x14:sparkline>
              <xm:f>KPIS!J491:J492</xm:f>
              <xm:sqref>P491</xm:sqref>
            </x14:sparkline>
            <x14:sparkline>
              <xm:f>KPIS!J492:J493</xm:f>
              <xm:sqref>P492</xm:sqref>
            </x14:sparkline>
            <x14:sparkline>
              <xm:f>KPIS!J493:J494</xm:f>
              <xm:sqref>P493</xm:sqref>
            </x14:sparkline>
            <x14:sparkline>
              <xm:f>KPIS!J494:J495</xm:f>
              <xm:sqref>P494</xm:sqref>
            </x14:sparkline>
            <x14:sparkline>
              <xm:f>KPIS!J495:J496</xm:f>
              <xm:sqref>P495</xm:sqref>
            </x14:sparkline>
            <x14:sparkline>
              <xm:f>KPIS!J496:J497</xm:f>
              <xm:sqref>P496</xm:sqref>
            </x14:sparkline>
            <x14:sparkline>
              <xm:f>KPIS!J497:J498</xm:f>
              <xm:sqref>P497</xm:sqref>
            </x14:sparkline>
            <x14:sparkline>
              <xm:f>KPIS!J498:J499</xm:f>
              <xm:sqref>P498</xm:sqref>
            </x14:sparkline>
            <x14:sparkline>
              <xm:f>KPIS!J499:J500</xm:f>
              <xm:sqref>P499</xm:sqref>
            </x14:sparkline>
            <x14:sparkline>
              <xm:f>KPIS!J500:J501</xm:f>
              <xm:sqref>P500</xm:sqref>
            </x14:sparkline>
          </x14:sparklines>
        </x14:sparklineGroup>
        <x14:sparklineGroup displayEmptyCellsAs="gap" xr2:uid="{27F0DD0D-B56C-4C27-A1C5-DF73E7610E08}">
          <x14:colorSeries rgb="FF376092"/>
          <x14:colorNegative rgb="FFD00000"/>
          <x14:colorAxis rgb="FF000000"/>
          <x14:colorMarkers rgb="FFD00000"/>
          <x14:colorFirst rgb="FFD00000"/>
          <x14:colorLast rgb="FFD00000"/>
          <x14:colorHigh rgb="FFD00000"/>
          <x14:colorLow rgb="FFD00000"/>
          <x14:sparklines>
            <x14:sparkline>
              <xm:f>KPIS!J500:J501</xm:f>
              <xm:sqref>P501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D202-BDE6-4CA7-B02A-84098E54686B}">
  <dimension ref="A1:P51"/>
  <sheetViews>
    <sheetView zoomScale="95" workbookViewId="0">
      <selection activeCell="I14" sqref="I14"/>
    </sheetView>
  </sheetViews>
  <sheetFormatPr defaultRowHeight="14.4" x14ac:dyDescent="0.3"/>
  <cols>
    <col min="1" max="1" width="10.44140625" customWidth="1"/>
    <col min="2" max="2" width="12.5546875" customWidth="1"/>
    <col min="3" max="3" width="8.6640625" customWidth="1"/>
    <col min="4" max="4" width="12.21875" bestFit="1" customWidth="1"/>
    <col min="5" max="5" width="12" bestFit="1" customWidth="1"/>
    <col min="6" max="6" width="16.109375" customWidth="1"/>
    <col min="7" max="7" width="13" customWidth="1"/>
    <col min="8" max="8" width="15.5546875" customWidth="1"/>
    <col min="9" max="9" width="16.109375" customWidth="1"/>
    <col min="10" max="10" width="10.21875" customWidth="1"/>
    <col min="11" max="11" width="11.5546875" customWidth="1"/>
    <col min="12" max="12" width="12.33203125" customWidth="1"/>
    <col min="13" max="13" width="12.6640625" customWidth="1"/>
    <col min="14" max="14" width="8" customWidth="1"/>
    <col min="15" max="15" width="16.44140625" customWidth="1"/>
    <col min="16" max="16" width="15.88671875" customWidth="1"/>
  </cols>
  <sheetData>
    <row r="1" spans="1:16" x14ac:dyDescent="0.3">
      <c r="A1" t="s">
        <v>0</v>
      </c>
      <c r="B1" t="s">
        <v>71</v>
      </c>
      <c r="C1" t="s">
        <v>4</v>
      </c>
      <c r="D1" t="s">
        <v>3</v>
      </c>
      <c r="E1" t="s">
        <v>2</v>
      </c>
      <c r="F1" t="s">
        <v>72</v>
      </c>
      <c r="G1" t="s">
        <v>73</v>
      </c>
      <c r="H1" t="s">
        <v>74</v>
      </c>
      <c r="I1" t="s">
        <v>75</v>
      </c>
      <c r="J1" t="s">
        <v>8</v>
      </c>
      <c r="K1" t="s">
        <v>76</v>
      </c>
      <c r="L1" t="s">
        <v>77</v>
      </c>
      <c r="M1" t="s">
        <v>78</v>
      </c>
      <c r="N1" t="s">
        <v>9</v>
      </c>
      <c r="O1" t="s">
        <v>79</v>
      </c>
      <c r="P1" t="s">
        <v>80</v>
      </c>
    </row>
    <row r="2" spans="1:16" x14ac:dyDescent="0.3">
      <c r="A2" t="s">
        <v>81</v>
      </c>
      <c r="B2" s="25">
        <v>46025</v>
      </c>
      <c r="C2" t="s">
        <v>30</v>
      </c>
      <c r="D2" t="s">
        <v>23</v>
      </c>
      <c r="E2" t="s">
        <v>37</v>
      </c>
      <c r="F2" t="s">
        <v>82</v>
      </c>
      <c r="G2" t="s">
        <v>20</v>
      </c>
      <c r="H2" t="s">
        <v>41</v>
      </c>
      <c r="I2" t="s">
        <v>83</v>
      </c>
      <c r="J2">
        <v>2</v>
      </c>
      <c r="K2">
        <v>55000</v>
      </c>
      <c r="L2">
        <v>110000</v>
      </c>
      <c r="M2">
        <v>10</v>
      </c>
      <c r="N2">
        <v>18000</v>
      </c>
      <c r="O2" t="s">
        <v>84</v>
      </c>
      <c r="P2" t="s">
        <v>85</v>
      </c>
    </row>
    <row r="3" spans="1:16" x14ac:dyDescent="0.3">
      <c r="A3" t="s">
        <v>86</v>
      </c>
      <c r="B3" s="25">
        <v>46026</v>
      </c>
      <c r="C3" t="s">
        <v>27</v>
      </c>
      <c r="D3" t="s">
        <v>29</v>
      </c>
      <c r="E3" t="s">
        <v>29</v>
      </c>
      <c r="F3" t="s">
        <v>87</v>
      </c>
      <c r="G3" t="s">
        <v>31</v>
      </c>
      <c r="H3" t="s">
        <v>88</v>
      </c>
      <c r="I3" t="s">
        <v>89</v>
      </c>
      <c r="J3">
        <v>5</v>
      </c>
      <c r="K3">
        <v>4500</v>
      </c>
      <c r="L3">
        <v>22500</v>
      </c>
      <c r="M3">
        <v>5</v>
      </c>
      <c r="N3">
        <v>4000</v>
      </c>
      <c r="O3" t="s">
        <v>90</v>
      </c>
      <c r="P3" t="s">
        <v>85</v>
      </c>
    </row>
    <row r="4" spans="1:16" x14ac:dyDescent="0.3">
      <c r="A4" t="s">
        <v>91</v>
      </c>
      <c r="B4" s="25">
        <v>46027</v>
      </c>
      <c r="C4" t="s">
        <v>19</v>
      </c>
      <c r="D4" t="s">
        <v>43</v>
      </c>
      <c r="E4" t="s">
        <v>42</v>
      </c>
      <c r="F4" t="s">
        <v>92</v>
      </c>
      <c r="G4" t="s">
        <v>20</v>
      </c>
      <c r="H4" t="s">
        <v>93</v>
      </c>
      <c r="I4" t="s">
        <v>83</v>
      </c>
      <c r="J4">
        <v>10</v>
      </c>
      <c r="K4">
        <v>1200</v>
      </c>
      <c r="L4">
        <v>12000</v>
      </c>
      <c r="M4">
        <v>8</v>
      </c>
      <c r="N4">
        <v>2500</v>
      </c>
      <c r="O4" t="s">
        <v>94</v>
      </c>
      <c r="P4" t="s">
        <v>85</v>
      </c>
    </row>
    <row r="5" spans="1:16" x14ac:dyDescent="0.3">
      <c r="A5" t="s">
        <v>95</v>
      </c>
      <c r="B5" s="25">
        <v>46028</v>
      </c>
      <c r="C5" t="s">
        <v>30</v>
      </c>
      <c r="D5" t="s">
        <v>34</v>
      </c>
      <c r="E5" t="s">
        <v>33</v>
      </c>
      <c r="F5" t="s">
        <v>96</v>
      </c>
      <c r="G5" t="s">
        <v>38</v>
      </c>
      <c r="H5" t="s">
        <v>97</v>
      </c>
      <c r="I5" t="s">
        <v>83</v>
      </c>
      <c r="J5">
        <v>20</v>
      </c>
      <c r="K5">
        <v>800</v>
      </c>
      <c r="L5">
        <v>16000</v>
      </c>
      <c r="M5">
        <v>12</v>
      </c>
      <c r="N5">
        <v>3200</v>
      </c>
      <c r="O5" t="s">
        <v>84</v>
      </c>
      <c r="P5" t="s">
        <v>98</v>
      </c>
    </row>
    <row r="6" spans="1:16" x14ac:dyDescent="0.3">
      <c r="A6" t="s">
        <v>99</v>
      </c>
      <c r="B6" s="25">
        <v>46028</v>
      </c>
      <c r="C6" t="s">
        <v>24</v>
      </c>
      <c r="D6" t="s">
        <v>100</v>
      </c>
      <c r="E6" t="s">
        <v>101</v>
      </c>
      <c r="F6" t="s">
        <v>102</v>
      </c>
      <c r="G6" t="s">
        <v>31</v>
      </c>
      <c r="H6" t="s">
        <v>103</v>
      </c>
      <c r="I6" t="s">
        <v>89</v>
      </c>
      <c r="J6">
        <v>3</v>
      </c>
      <c r="K6">
        <v>7000</v>
      </c>
      <c r="L6">
        <v>21000</v>
      </c>
      <c r="M6">
        <v>6</v>
      </c>
      <c r="N6">
        <v>3500</v>
      </c>
      <c r="O6" t="s">
        <v>90</v>
      </c>
      <c r="P6" t="s">
        <v>85</v>
      </c>
    </row>
    <row r="7" spans="1:16" x14ac:dyDescent="0.3">
      <c r="A7" t="s">
        <v>104</v>
      </c>
      <c r="B7" s="25">
        <v>46029</v>
      </c>
      <c r="C7" t="s">
        <v>19</v>
      </c>
      <c r="D7" t="s">
        <v>26</v>
      </c>
      <c r="E7" t="s">
        <v>25</v>
      </c>
      <c r="F7" t="s">
        <v>105</v>
      </c>
      <c r="G7" t="s">
        <v>20</v>
      </c>
      <c r="H7" t="s">
        <v>106</v>
      </c>
      <c r="I7" t="s">
        <v>89</v>
      </c>
      <c r="J7">
        <v>4</v>
      </c>
      <c r="K7">
        <v>15000</v>
      </c>
      <c r="L7">
        <v>60000</v>
      </c>
      <c r="M7">
        <v>10</v>
      </c>
      <c r="N7">
        <v>9000</v>
      </c>
      <c r="O7" t="s">
        <v>84</v>
      </c>
      <c r="P7" t="s">
        <v>107</v>
      </c>
    </row>
    <row r="8" spans="1:16" x14ac:dyDescent="0.3">
      <c r="A8" t="s">
        <v>108</v>
      </c>
      <c r="B8" s="25">
        <v>46030</v>
      </c>
      <c r="C8" t="s">
        <v>30</v>
      </c>
      <c r="D8" t="s">
        <v>23</v>
      </c>
      <c r="E8" t="s">
        <v>22</v>
      </c>
      <c r="F8" t="s">
        <v>82</v>
      </c>
      <c r="G8" t="s">
        <v>20</v>
      </c>
      <c r="H8" t="s">
        <v>109</v>
      </c>
      <c r="I8" t="s">
        <v>83</v>
      </c>
      <c r="J8">
        <v>15</v>
      </c>
      <c r="K8">
        <v>700</v>
      </c>
      <c r="L8">
        <v>10500</v>
      </c>
      <c r="M8">
        <v>5</v>
      </c>
      <c r="N8">
        <v>2100</v>
      </c>
      <c r="O8" t="s">
        <v>94</v>
      </c>
      <c r="P8" t="s">
        <v>85</v>
      </c>
    </row>
    <row r="9" spans="1:16" x14ac:dyDescent="0.3">
      <c r="A9" t="s">
        <v>110</v>
      </c>
      <c r="B9" s="25">
        <v>46031</v>
      </c>
      <c r="C9" t="s">
        <v>27</v>
      </c>
      <c r="D9" t="s">
        <v>111</v>
      </c>
      <c r="E9" t="s">
        <v>112</v>
      </c>
      <c r="F9" t="s">
        <v>87</v>
      </c>
      <c r="G9" t="s">
        <v>38</v>
      </c>
      <c r="H9" t="s">
        <v>39</v>
      </c>
      <c r="I9" t="s">
        <v>83</v>
      </c>
      <c r="J9">
        <v>8</v>
      </c>
      <c r="K9">
        <v>1800</v>
      </c>
      <c r="L9">
        <v>14400</v>
      </c>
      <c r="M9">
        <v>7</v>
      </c>
      <c r="N9">
        <v>3000</v>
      </c>
      <c r="O9" t="s">
        <v>90</v>
      </c>
      <c r="P9" t="s">
        <v>85</v>
      </c>
    </row>
    <row r="10" spans="1:16" x14ac:dyDescent="0.3">
      <c r="A10" t="s">
        <v>113</v>
      </c>
      <c r="B10" s="25">
        <v>46032</v>
      </c>
      <c r="C10" t="s">
        <v>19</v>
      </c>
      <c r="D10" t="s">
        <v>114</v>
      </c>
      <c r="E10" t="s">
        <v>115</v>
      </c>
      <c r="F10" t="s">
        <v>92</v>
      </c>
      <c r="G10" t="s">
        <v>31</v>
      </c>
      <c r="H10" t="s">
        <v>32</v>
      </c>
      <c r="I10" t="s">
        <v>89</v>
      </c>
      <c r="J10">
        <v>2</v>
      </c>
      <c r="K10">
        <v>30000</v>
      </c>
      <c r="L10">
        <v>60000</v>
      </c>
      <c r="M10">
        <v>15</v>
      </c>
      <c r="N10">
        <v>8000</v>
      </c>
      <c r="O10" t="s">
        <v>84</v>
      </c>
      <c r="P10" t="s">
        <v>85</v>
      </c>
    </row>
    <row r="11" spans="1:16" x14ac:dyDescent="0.3">
      <c r="A11" t="s">
        <v>116</v>
      </c>
      <c r="B11" s="25">
        <v>46033</v>
      </c>
      <c r="C11" t="s">
        <v>24</v>
      </c>
      <c r="D11" t="s">
        <v>117</v>
      </c>
      <c r="E11" t="s">
        <v>118</v>
      </c>
      <c r="F11" t="s">
        <v>96</v>
      </c>
      <c r="G11" t="s">
        <v>20</v>
      </c>
      <c r="H11" t="s">
        <v>28</v>
      </c>
      <c r="I11" t="s">
        <v>83</v>
      </c>
      <c r="J11">
        <v>6</v>
      </c>
      <c r="K11">
        <v>18000</v>
      </c>
      <c r="L11">
        <v>108000</v>
      </c>
      <c r="M11">
        <v>9</v>
      </c>
      <c r="N11">
        <v>16000</v>
      </c>
      <c r="O11" t="s">
        <v>90</v>
      </c>
      <c r="P11" t="s">
        <v>85</v>
      </c>
    </row>
    <row r="12" spans="1:16" x14ac:dyDescent="0.3">
      <c r="A12" t="s">
        <v>119</v>
      </c>
      <c r="B12" s="25">
        <v>46034</v>
      </c>
      <c r="C12" t="s">
        <v>30</v>
      </c>
      <c r="D12" t="s">
        <v>23</v>
      </c>
      <c r="E12" t="s">
        <v>37</v>
      </c>
      <c r="F12" t="s">
        <v>82</v>
      </c>
      <c r="G12" t="s">
        <v>38</v>
      </c>
      <c r="H12" t="s">
        <v>46</v>
      </c>
      <c r="I12" t="s">
        <v>83</v>
      </c>
      <c r="J12">
        <v>7</v>
      </c>
      <c r="K12">
        <v>2500</v>
      </c>
      <c r="L12">
        <v>17500</v>
      </c>
      <c r="M12">
        <v>5</v>
      </c>
      <c r="N12">
        <v>3500</v>
      </c>
      <c r="O12" t="s">
        <v>84</v>
      </c>
      <c r="P12" t="s">
        <v>85</v>
      </c>
    </row>
    <row r="13" spans="1:16" x14ac:dyDescent="0.3">
      <c r="A13" t="s">
        <v>120</v>
      </c>
      <c r="B13" s="25">
        <v>46035</v>
      </c>
      <c r="C13" t="s">
        <v>27</v>
      </c>
      <c r="D13" t="s">
        <v>29</v>
      </c>
      <c r="E13" t="s">
        <v>29</v>
      </c>
      <c r="F13" t="s">
        <v>87</v>
      </c>
      <c r="G13" t="s">
        <v>20</v>
      </c>
      <c r="H13" t="s">
        <v>121</v>
      </c>
      <c r="I13" t="s">
        <v>89</v>
      </c>
      <c r="J13">
        <v>3</v>
      </c>
      <c r="K13">
        <v>12000</v>
      </c>
      <c r="L13">
        <v>36000</v>
      </c>
      <c r="M13">
        <v>8</v>
      </c>
      <c r="N13">
        <v>6500</v>
      </c>
      <c r="O13" t="s">
        <v>90</v>
      </c>
      <c r="P13" t="s">
        <v>107</v>
      </c>
    </row>
    <row r="14" spans="1:16" x14ac:dyDescent="0.3">
      <c r="A14" t="s">
        <v>122</v>
      </c>
      <c r="B14" s="25">
        <v>46036</v>
      </c>
      <c r="C14" t="s">
        <v>19</v>
      </c>
      <c r="D14" t="s">
        <v>43</v>
      </c>
      <c r="E14" t="s">
        <v>42</v>
      </c>
      <c r="F14" t="s">
        <v>92</v>
      </c>
      <c r="G14" t="s">
        <v>31</v>
      </c>
      <c r="H14" t="s">
        <v>123</v>
      </c>
      <c r="I14" t="s">
        <v>89</v>
      </c>
      <c r="J14">
        <v>2</v>
      </c>
      <c r="K14">
        <v>15000</v>
      </c>
      <c r="L14">
        <v>30000</v>
      </c>
      <c r="M14">
        <v>10</v>
      </c>
      <c r="N14">
        <v>5000</v>
      </c>
      <c r="O14" t="s">
        <v>94</v>
      </c>
      <c r="P14" t="s">
        <v>85</v>
      </c>
    </row>
    <row r="15" spans="1:16" x14ac:dyDescent="0.3">
      <c r="A15" t="s">
        <v>124</v>
      </c>
      <c r="B15" s="25">
        <v>46037</v>
      </c>
      <c r="C15" t="s">
        <v>24</v>
      </c>
      <c r="D15" t="s">
        <v>100</v>
      </c>
      <c r="E15" t="s">
        <v>101</v>
      </c>
      <c r="F15" t="s">
        <v>96</v>
      </c>
      <c r="G15" t="s">
        <v>38</v>
      </c>
      <c r="H15" t="s">
        <v>125</v>
      </c>
      <c r="I15" t="s">
        <v>83</v>
      </c>
      <c r="J15">
        <v>12</v>
      </c>
      <c r="K15">
        <v>2200</v>
      </c>
      <c r="L15">
        <v>26400</v>
      </c>
      <c r="M15">
        <v>6</v>
      </c>
      <c r="N15">
        <v>5000</v>
      </c>
      <c r="O15" t="s">
        <v>84</v>
      </c>
      <c r="P15" t="s">
        <v>98</v>
      </c>
    </row>
    <row r="16" spans="1:16" x14ac:dyDescent="0.3">
      <c r="A16" t="s">
        <v>126</v>
      </c>
      <c r="B16" s="25">
        <v>46038</v>
      </c>
      <c r="C16" t="s">
        <v>30</v>
      </c>
      <c r="D16" t="s">
        <v>34</v>
      </c>
      <c r="E16" t="s">
        <v>44</v>
      </c>
      <c r="F16" t="s">
        <v>82</v>
      </c>
      <c r="G16" t="s">
        <v>20</v>
      </c>
      <c r="H16" t="s">
        <v>127</v>
      </c>
      <c r="I16" t="s">
        <v>83</v>
      </c>
      <c r="J16">
        <v>5</v>
      </c>
      <c r="K16">
        <v>30000</v>
      </c>
      <c r="L16">
        <v>150000</v>
      </c>
      <c r="M16">
        <v>12</v>
      </c>
      <c r="N16">
        <v>25000</v>
      </c>
      <c r="O16" t="s">
        <v>90</v>
      </c>
      <c r="P16" t="s">
        <v>85</v>
      </c>
    </row>
    <row r="17" spans="1:16" x14ac:dyDescent="0.3">
      <c r="A17" t="s">
        <v>128</v>
      </c>
      <c r="B17" s="25">
        <v>46039</v>
      </c>
      <c r="C17" t="s">
        <v>27</v>
      </c>
      <c r="D17" t="s">
        <v>129</v>
      </c>
      <c r="E17" t="s">
        <v>130</v>
      </c>
      <c r="F17" t="s">
        <v>87</v>
      </c>
      <c r="G17" t="s">
        <v>31</v>
      </c>
      <c r="H17" t="s">
        <v>35</v>
      </c>
      <c r="I17" t="s">
        <v>89</v>
      </c>
      <c r="J17">
        <v>4</v>
      </c>
      <c r="K17">
        <v>9000</v>
      </c>
      <c r="L17">
        <v>36000</v>
      </c>
      <c r="M17">
        <v>5</v>
      </c>
      <c r="N17">
        <v>7000</v>
      </c>
      <c r="O17" t="s">
        <v>84</v>
      </c>
      <c r="P17" t="s">
        <v>85</v>
      </c>
    </row>
    <row r="18" spans="1:16" x14ac:dyDescent="0.3">
      <c r="A18" t="s">
        <v>131</v>
      </c>
      <c r="B18" s="25">
        <v>46040</v>
      </c>
      <c r="C18" t="s">
        <v>19</v>
      </c>
      <c r="D18" t="s">
        <v>26</v>
      </c>
      <c r="E18" t="s">
        <v>25</v>
      </c>
      <c r="F18" t="s">
        <v>92</v>
      </c>
      <c r="G18" t="s">
        <v>38</v>
      </c>
      <c r="H18" t="s">
        <v>132</v>
      </c>
      <c r="I18" t="s">
        <v>83</v>
      </c>
      <c r="J18">
        <v>9</v>
      </c>
      <c r="K18">
        <v>2000</v>
      </c>
      <c r="L18">
        <v>18000</v>
      </c>
      <c r="M18">
        <v>7</v>
      </c>
      <c r="N18">
        <v>3600</v>
      </c>
      <c r="O18" t="s">
        <v>94</v>
      </c>
      <c r="P18" t="s">
        <v>85</v>
      </c>
    </row>
    <row r="19" spans="1:16" x14ac:dyDescent="0.3">
      <c r="A19" t="s">
        <v>133</v>
      </c>
      <c r="B19" s="25">
        <v>46041</v>
      </c>
      <c r="C19" t="s">
        <v>24</v>
      </c>
      <c r="D19" t="s">
        <v>134</v>
      </c>
      <c r="E19" t="s">
        <v>135</v>
      </c>
      <c r="F19" t="s">
        <v>96</v>
      </c>
      <c r="G19" t="s">
        <v>20</v>
      </c>
      <c r="H19" t="s">
        <v>136</v>
      </c>
      <c r="I19" t="s">
        <v>83</v>
      </c>
      <c r="J19">
        <v>11</v>
      </c>
      <c r="K19">
        <v>3500</v>
      </c>
      <c r="L19">
        <v>38500</v>
      </c>
      <c r="M19">
        <v>8</v>
      </c>
      <c r="N19">
        <v>7000</v>
      </c>
      <c r="O19" t="s">
        <v>90</v>
      </c>
      <c r="P19" t="s">
        <v>107</v>
      </c>
    </row>
    <row r="20" spans="1:16" x14ac:dyDescent="0.3">
      <c r="A20" t="s">
        <v>137</v>
      </c>
      <c r="B20" s="25">
        <v>46042</v>
      </c>
      <c r="C20" t="s">
        <v>30</v>
      </c>
      <c r="D20" t="s">
        <v>23</v>
      </c>
      <c r="E20" t="s">
        <v>138</v>
      </c>
      <c r="F20" t="s">
        <v>82</v>
      </c>
      <c r="G20" t="s">
        <v>31</v>
      </c>
      <c r="H20" t="s">
        <v>139</v>
      </c>
      <c r="I20" t="s">
        <v>89</v>
      </c>
      <c r="J20">
        <v>3</v>
      </c>
      <c r="K20">
        <v>11000</v>
      </c>
      <c r="L20">
        <v>33000</v>
      </c>
      <c r="M20">
        <v>6</v>
      </c>
      <c r="N20">
        <v>6000</v>
      </c>
      <c r="O20" t="s">
        <v>84</v>
      </c>
      <c r="P20" t="s">
        <v>85</v>
      </c>
    </row>
    <row r="21" spans="1:16" x14ac:dyDescent="0.3">
      <c r="A21" t="s">
        <v>140</v>
      </c>
      <c r="B21" s="25">
        <v>46043</v>
      </c>
      <c r="C21" t="s">
        <v>27</v>
      </c>
      <c r="D21" t="s">
        <v>29</v>
      </c>
      <c r="E21" t="s">
        <v>29</v>
      </c>
      <c r="F21" t="s">
        <v>87</v>
      </c>
      <c r="G21" t="s">
        <v>20</v>
      </c>
      <c r="H21" t="s">
        <v>141</v>
      </c>
      <c r="I21" t="s">
        <v>89</v>
      </c>
      <c r="J21">
        <v>2</v>
      </c>
      <c r="K21">
        <v>45000</v>
      </c>
      <c r="L21">
        <v>90000</v>
      </c>
      <c r="M21">
        <v>10</v>
      </c>
      <c r="N21">
        <v>14000</v>
      </c>
      <c r="O21" t="s">
        <v>90</v>
      </c>
      <c r="P21" t="s">
        <v>85</v>
      </c>
    </row>
    <row r="22" spans="1:16" x14ac:dyDescent="0.3">
      <c r="A22" t="s">
        <v>170</v>
      </c>
      <c r="B22" s="25">
        <v>46044</v>
      </c>
      <c r="C22" t="s">
        <v>19</v>
      </c>
      <c r="D22" t="s">
        <v>114</v>
      </c>
      <c r="E22" t="s">
        <v>171</v>
      </c>
      <c r="F22" t="s">
        <v>92</v>
      </c>
      <c r="G22" t="s">
        <v>38</v>
      </c>
      <c r="H22" t="s">
        <v>172</v>
      </c>
      <c r="I22" t="s">
        <v>83</v>
      </c>
      <c r="J22">
        <v>25</v>
      </c>
      <c r="K22">
        <v>500</v>
      </c>
      <c r="L22">
        <v>12500</v>
      </c>
      <c r="M22">
        <v>5</v>
      </c>
      <c r="N22">
        <v>2500</v>
      </c>
      <c r="O22" t="s">
        <v>94</v>
      </c>
      <c r="P22" t="s">
        <v>85</v>
      </c>
    </row>
    <row r="23" spans="1:16" x14ac:dyDescent="0.3">
      <c r="A23" t="s">
        <v>173</v>
      </c>
      <c r="B23" s="25">
        <v>46045</v>
      </c>
      <c r="C23" t="s">
        <v>24</v>
      </c>
      <c r="D23" t="s">
        <v>174</v>
      </c>
      <c r="E23" t="s">
        <v>175</v>
      </c>
      <c r="F23" t="s">
        <v>96</v>
      </c>
      <c r="G23" t="s">
        <v>31</v>
      </c>
      <c r="H23" t="s">
        <v>176</v>
      </c>
      <c r="I23" t="s">
        <v>89</v>
      </c>
      <c r="J23">
        <v>2</v>
      </c>
      <c r="K23">
        <v>40000</v>
      </c>
      <c r="L23">
        <v>80000</v>
      </c>
      <c r="M23">
        <v>10</v>
      </c>
      <c r="N23">
        <v>12000</v>
      </c>
      <c r="O23" t="s">
        <v>84</v>
      </c>
      <c r="P23" t="s">
        <v>85</v>
      </c>
    </row>
    <row r="24" spans="1:16" x14ac:dyDescent="0.3">
      <c r="A24" t="s">
        <v>177</v>
      </c>
      <c r="B24" s="25">
        <v>46046</v>
      </c>
      <c r="C24" t="s">
        <v>30</v>
      </c>
      <c r="D24" t="s">
        <v>23</v>
      </c>
      <c r="E24" t="s">
        <v>178</v>
      </c>
      <c r="F24" t="s">
        <v>82</v>
      </c>
      <c r="G24" t="s">
        <v>20</v>
      </c>
      <c r="H24" t="s">
        <v>179</v>
      </c>
      <c r="I24" t="s">
        <v>83</v>
      </c>
      <c r="J24">
        <v>8</v>
      </c>
      <c r="K24">
        <v>5000</v>
      </c>
      <c r="L24">
        <v>40000</v>
      </c>
      <c r="M24">
        <v>6</v>
      </c>
      <c r="N24">
        <v>7500</v>
      </c>
      <c r="O24" t="s">
        <v>90</v>
      </c>
      <c r="P24" t="s">
        <v>85</v>
      </c>
    </row>
    <row r="25" spans="1:16" x14ac:dyDescent="0.3">
      <c r="A25" t="s">
        <v>180</v>
      </c>
      <c r="B25" s="25">
        <v>46047</v>
      </c>
      <c r="C25" t="s">
        <v>27</v>
      </c>
      <c r="D25" t="s">
        <v>181</v>
      </c>
      <c r="E25" t="s">
        <v>182</v>
      </c>
      <c r="F25" t="s">
        <v>87</v>
      </c>
      <c r="G25" t="s">
        <v>38</v>
      </c>
      <c r="H25" t="s">
        <v>40</v>
      </c>
      <c r="I25" t="s">
        <v>83</v>
      </c>
      <c r="J25">
        <v>18</v>
      </c>
      <c r="K25">
        <v>1200</v>
      </c>
      <c r="L25">
        <v>21600</v>
      </c>
      <c r="M25">
        <v>8</v>
      </c>
      <c r="N25">
        <v>4200</v>
      </c>
      <c r="O25" t="s">
        <v>94</v>
      </c>
      <c r="P25" t="s">
        <v>98</v>
      </c>
    </row>
    <row r="26" spans="1:16" x14ac:dyDescent="0.3">
      <c r="A26" t="s">
        <v>183</v>
      </c>
      <c r="B26" s="25">
        <v>46048</v>
      </c>
      <c r="C26" t="s">
        <v>19</v>
      </c>
      <c r="D26" t="s">
        <v>184</v>
      </c>
      <c r="E26" t="s">
        <v>185</v>
      </c>
      <c r="F26" t="s">
        <v>105</v>
      </c>
      <c r="G26" t="s">
        <v>20</v>
      </c>
      <c r="H26" t="s">
        <v>186</v>
      </c>
      <c r="I26" t="s">
        <v>83</v>
      </c>
      <c r="J26">
        <v>6</v>
      </c>
      <c r="K26">
        <v>12000</v>
      </c>
      <c r="L26">
        <v>72000</v>
      </c>
      <c r="M26">
        <v>9</v>
      </c>
      <c r="N26">
        <v>11000</v>
      </c>
      <c r="O26" t="s">
        <v>84</v>
      </c>
      <c r="P26" t="s">
        <v>85</v>
      </c>
    </row>
    <row r="27" spans="1:16" x14ac:dyDescent="0.3">
      <c r="A27" t="s">
        <v>187</v>
      </c>
      <c r="B27" s="25">
        <v>46049</v>
      </c>
      <c r="C27" t="s">
        <v>24</v>
      </c>
      <c r="D27" t="s">
        <v>188</v>
      </c>
      <c r="E27" t="s">
        <v>189</v>
      </c>
      <c r="F27" t="s">
        <v>102</v>
      </c>
      <c r="G27" t="s">
        <v>31</v>
      </c>
      <c r="H27" t="s">
        <v>190</v>
      </c>
      <c r="I27" t="s">
        <v>89</v>
      </c>
      <c r="J27">
        <v>1</v>
      </c>
      <c r="K27">
        <v>55000</v>
      </c>
      <c r="L27">
        <v>55000</v>
      </c>
      <c r="M27">
        <v>12</v>
      </c>
      <c r="N27">
        <v>9000</v>
      </c>
      <c r="O27" t="s">
        <v>90</v>
      </c>
      <c r="P27" t="s">
        <v>107</v>
      </c>
    </row>
    <row r="28" spans="1:16" x14ac:dyDescent="0.3">
      <c r="A28" t="s">
        <v>191</v>
      </c>
      <c r="B28" s="25">
        <v>46050</v>
      </c>
      <c r="C28" t="s">
        <v>30</v>
      </c>
      <c r="D28" t="s">
        <v>34</v>
      </c>
      <c r="E28" t="s">
        <v>45</v>
      </c>
      <c r="F28" t="s">
        <v>82</v>
      </c>
      <c r="G28" t="s">
        <v>38</v>
      </c>
      <c r="H28" t="s">
        <v>192</v>
      </c>
      <c r="I28" t="s">
        <v>83</v>
      </c>
      <c r="J28">
        <v>4</v>
      </c>
      <c r="K28">
        <v>4500</v>
      </c>
      <c r="L28">
        <v>18000</v>
      </c>
      <c r="M28">
        <v>5</v>
      </c>
      <c r="N28">
        <v>3500</v>
      </c>
      <c r="O28" t="s">
        <v>94</v>
      </c>
      <c r="P28" t="s">
        <v>85</v>
      </c>
    </row>
    <row r="29" spans="1:16" x14ac:dyDescent="0.3">
      <c r="A29" t="s">
        <v>193</v>
      </c>
      <c r="B29" s="25">
        <v>46051</v>
      </c>
      <c r="C29" t="s">
        <v>27</v>
      </c>
      <c r="D29" t="s">
        <v>18</v>
      </c>
      <c r="E29" t="s">
        <v>17</v>
      </c>
      <c r="F29" t="s">
        <v>87</v>
      </c>
      <c r="G29" t="s">
        <v>20</v>
      </c>
      <c r="H29" t="s">
        <v>194</v>
      </c>
      <c r="I29" t="s">
        <v>89</v>
      </c>
      <c r="J29">
        <v>3</v>
      </c>
      <c r="K29">
        <v>38000</v>
      </c>
      <c r="L29">
        <v>114000</v>
      </c>
      <c r="M29">
        <v>10</v>
      </c>
      <c r="N29">
        <v>17000</v>
      </c>
      <c r="O29" t="s">
        <v>84</v>
      </c>
      <c r="P29" t="s">
        <v>85</v>
      </c>
    </row>
    <row r="30" spans="1:16" x14ac:dyDescent="0.3">
      <c r="A30" t="s">
        <v>195</v>
      </c>
      <c r="B30" s="25">
        <v>46052</v>
      </c>
      <c r="C30" t="s">
        <v>19</v>
      </c>
      <c r="D30" t="s">
        <v>43</v>
      </c>
      <c r="E30" t="s">
        <v>196</v>
      </c>
      <c r="F30" t="s">
        <v>92</v>
      </c>
      <c r="G30" t="s">
        <v>31</v>
      </c>
      <c r="H30" t="s">
        <v>197</v>
      </c>
      <c r="I30" t="s">
        <v>83</v>
      </c>
      <c r="J30">
        <v>2</v>
      </c>
      <c r="K30">
        <v>18000</v>
      </c>
      <c r="L30">
        <v>36000</v>
      </c>
      <c r="M30">
        <v>7</v>
      </c>
      <c r="N30">
        <v>6000</v>
      </c>
      <c r="O30" t="s">
        <v>90</v>
      </c>
      <c r="P30" t="s">
        <v>85</v>
      </c>
    </row>
    <row r="31" spans="1:16" x14ac:dyDescent="0.3">
      <c r="A31" t="s">
        <v>198</v>
      </c>
      <c r="B31" s="25">
        <v>46053</v>
      </c>
      <c r="C31" t="s">
        <v>24</v>
      </c>
      <c r="D31" t="s">
        <v>100</v>
      </c>
      <c r="E31" t="s">
        <v>199</v>
      </c>
      <c r="F31" t="s">
        <v>96</v>
      </c>
      <c r="G31" t="s">
        <v>20</v>
      </c>
      <c r="H31" t="s">
        <v>200</v>
      </c>
      <c r="I31" t="s">
        <v>83</v>
      </c>
      <c r="J31">
        <v>14</v>
      </c>
      <c r="K31">
        <v>2500</v>
      </c>
      <c r="L31">
        <v>35000</v>
      </c>
      <c r="M31">
        <v>6</v>
      </c>
      <c r="N31">
        <v>6500</v>
      </c>
      <c r="O31" t="s">
        <v>84</v>
      </c>
      <c r="P31" t="s">
        <v>85</v>
      </c>
    </row>
    <row r="32" spans="1:16" x14ac:dyDescent="0.3">
      <c r="A32" t="s">
        <v>201</v>
      </c>
      <c r="B32" s="25">
        <v>46054</v>
      </c>
      <c r="C32" t="s">
        <v>30</v>
      </c>
      <c r="D32" t="s">
        <v>23</v>
      </c>
      <c r="E32" t="s">
        <v>37</v>
      </c>
      <c r="F32" t="s">
        <v>82</v>
      </c>
      <c r="G32" t="s">
        <v>31</v>
      </c>
      <c r="H32" t="s">
        <v>202</v>
      </c>
      <c r="I32" t="s">
        <v>89</v>
      </c>
      <c r="J32">
        <v>2</v>
      </c>
      <c r="K32">
        <v>65000</v>
      </c>
      <c r="L32">
        <v>130000</v>
      </c>
      <c r="M32">
        <v>15</v>
      </c>
      <c r="N32">
        <v>18000</v>
      </c>
      <c r="O32" t="s">
        <v>90</v>
      </c>
      <c r="P32" t="s">
        <v>85</v>
      </c>
    </row>
    <row r="33" spans="1:16" x14ac:dyDescent="0.3">
      <c r="A33" t="s">
        <v>203</v>
      </c>
      <c r="B33" s="25">
        <v>46055</v>
      </c>
      <c r="C33" t="s">
        <v>27</v>
      </c>
      <c r="D33" t="s">
        <v>29</v>
      </c>
      <c r="E33" t="s">
        <v>29</v>
      </c>
      <c r="F33" t="s">
        <v>87</v>
      </c>
      <c r="G33" t="s">
        <v>38</v>
      </c>
      <c r="H33" t="s">
        <v>204</v>
      </c>
      <c r="I33" t="s">
        <v>83</v>
      </c>
      <c r="J33">
        <v>10</v>
      </c>
      <c r="K33">
        <v>1800</v>
      </c>
      <c r="L33">
        <v>18000</v>
      </c>
      <c r="M33">
        <v>5</v>
      </c>
      <c r="N33">
        <v>3200</v>
      </c>
      <c r="O33" t="s">
        <v>94</v>
      </c>
      <c r="P33" t="s">
        <v>85</v>
      </c>
    </row>
    <row r="34" spans="1:16" x14ac:dyDescent="0.3">
      <c r="A34" t="s">
        <v>205</v>
      </c>
      <c r="B34" s="25">
        <v>46056</v>
      </c>
      <c r="C34" t="s">
        <v>19</v>
      </c>
      <c r="D34" t="s">
        <v>26</v>
      </c>
      <c r="E34" t="s">
        <v>206</v>
      </c>
      <c r="F34" t="s">
        <v>105</v>
      </c>
      <c r="G34" t="s">
        <v>20</v>
      </c>
      <c r="H34" t="s">
        <v>207</v>
      </c>
      <c r="I34" t="s">
        <v>83</v>
      </c>
      <c r="J34">
        <v>4</v>
      </c>
      <c r="K34">
        <v>28000</v>
      </c>
      <c r="L34">
        <v>112000</v>
      </c>
      <c r="M34">
        <v>8</v>
      </c>
      <c r="N34">
        <v>19000</v>
      </c>
      <c r="O34" t="s">
        <v>84</v>
      </c>
      <c r="P34" t="s">
        <v>85</v>
      </c>
    </row>
    <row r="35" spans="1:16" x14ac:dyDescent="0.3">
      <c r="A35" t="s">
        <v>208</v>
      </c>
      <c r="B35" s="25">
        <v>46057</v>
      </c>
      <c r="C35" t="s">
        <v>24</v>
      </c>
      <c r="D35" t="s">
        <v>134</v>
      </c>
      <c r="E35" t="s">
        <v>209</v>
      </c>
      <c r="F35" t="s">
        <v>102</v>
      </c>
      <c r="G35" t="s">
        <v>31</v>
      </c>
      <c r="H35" t="s">
        <v>210</v>
      </c>
      <c r="I35" t="s">
        <v>89</v>
      </c>
      <c r="J35">
        <v>3</v>
      </c>
      <c r="K35">
        <v>14000</v>
      </c>
      <c r="L35">
        <v>42000</v>
      </c>
      <c r="M35">
        <v>9</v>
      </c>
      <c r="N35">
        <v>7000</v>
      </c>
      <c r="O35" t="s">
        <v>90</v>
      </c>
      <c r="P35" t="s">
        <v>107</v>
      </c>
    </row>
    <row r="36" spans="1:16" x14ac:dyDescent="0.3">
      <c r="A36" t="s">
        <v>211</v>
      </c>
      <c r="B36" s="25">
        <v>46058</v>
      </c>
      <c r="C36" t="s">
        <v>30</v>
      </c>
      <c r="D36" t="s">
        <v>34</v>
      </c>
      <c r="E36" t="s">
        <v>33</v>
      </c>
      <c r="F36" t="s">
        <v>96</v>
      </c>
      <c r="G36" t="s">
        <v>38</v>
      </c>
      <c r="H36" t="s">
        <v>212</v>
      </c>
      <c r="I36" t="s">
        <v>83</v>
      </c>
      <c r="J36">
        <v>12</v>
      </c>
      <c r="K36">
        <v>3500</v>
      </c>
      <c r="L36">
        <v>42000</v>
      </c>
      <c r="M36">
        <v>7</v>
      </c>
      <c r="N36">
        <v>8000</v>
      </c>
      <c r="O36" t="s">
        <v>84</v>
      </c>
      <c r="P36" t="s">
        <v>85</v>
      </c>
    </row>
    <row r="37" spans="1:16" x14ac:dyDescent="0.3">
      <c r="A37" t="s">
        <v>213</v>
      </c>
      <c r="B37" s="25">
        <v>46059</v>
      </c>
      <c r="C37" t="s">
        <v>27</v>
      </c>
      <c r="D37" t="s">
        <v>111</v>
      </c>
      <c r="E37" t="s">
        <v>214</v>
      </c>
      <c r="F37" t="s">
        <v>87</v>
      </c>
      <c r="G37" t="s">
        <v>20</v>
      </c>
      <c r="H37" t="s">
        <v>215</v>
      </c>
      <c r="I37" t="s">
        <v>83</v>
      </c>
      <c r="J37">
        <v>5</v>
      </c>
      <c r="K37">
        <v>9000</v>
      </c>
      <c r="L37">
        <v>45000</v>
      </c>
      <c r="M37">
        <v>6</v>
      </c>
      <c r="N37">
        <v>7500</v>
      </c>
      <c r="O37" t="s">
        <v>94</v>
      </c>
      <c r="P37" t="s">
        <v>85</v>
      </c>
    </row>
    <row r="38" spans="1:16" x14ac:dyDescent="0.3">
      <c r="A38" t="s">
        <v>216</v>
      </c>
      <c r="B38" s="25">
        <v>46060</v>
      </c>
      <c r="C38" t="s">
        <v>19</v>
      </c>
      <c r="D38" t="s">
        <v>114</v>
      </c>
      <c r="E38" t="s">
        <v>115</v>
      </c>
      <c r="F38" t="s">
        <v>92</v>
      </c>
      <c r="G38" t="s">
        <v>31</v>
      </c>
      <c r="H38" t="s">
        <v>217</v>
      </c>
      <c r="I38" t="s">
        <v>83</v>
      </c>
      <c r="J38">
        <v>2</v>
      </c>
      <c r="K38">
        <v>25000</v>
      </c>
      <c r="L38">
        <v>50000</v>
      </c>
      <c r="M38">
        <v>10</v>
      </c>
      <c r="N38">
        <v>8500</v>
      </c>
      <c r="O38" t="s">
        <v>90</v>
      </c>
      <c r="P38" t="s">
        <v>85</v>
      </c>
    </row>
    <row r="39" spans="1:16" x14ac:dyDescent="0.3">
      <c r="A39" t="s">
        <v>218</v>
      </c>
      <c r="B39" s="25">
        <v>46061</v>
      </c>
      <c r="C39" t="s">
        <v>24</v>
      </c>
      <c r="D39" t="s">
        <v>117</v>
      </c>
      <c r="E39" t="s">
        <v>219</v>
      </c>
      <c r="F39" t="s">
        <v>96</v>
      </c>
      <c r="G39" t="s">
        <v>20</v>
      </c>
      <c r="H39" t="s">
        <v>220</v>
      </c>
      <c r="I39" t="s">
        <v>83</v>
      </c>
      <c r="J39">
        <v>20</v>
      </c>
      <c r="K39">
        <v>1500</v>
      </c>
      <c r="L39">
        <v>30000</v>
      </c>
      <c r="M39">
        <v>5</v>
      </c>
      <c r="N39">
        <v>6000</v>
      </c>
      <c r="O39" t="s">
        <v>84</v>
      </c>
      <c r="P39" t="s">
        <v>98</v>
      </c>
    </row>
    <row r="40" spans="1:16" x14ac:dyDescent="0.3">
      <c r="A40" t="s">
        <v>221</v>
      </c>
      <c r="B40" s="25">
        <v>46062</v>
      </c>
      <c r="C40" t="s">
        <v>30</v>
      </c>
      <c r="D40" t="s">
        <v>23</v>
      </c>
      <c r="E40" t="s">
        <v>22</v>
      </c>
      <c r="F40" t="s">
        <v>82</v>
      </c>
      <c r="G40" t="s">
        <v>38</v>
      </c>
      <c r="H40" t="s">
        <v>222</v>
      </c>
      <c r="I40" t="s">
        <v>83</v>
      </c>
      <c r="J40">
        <v>16</v>
      </c>
      <c r="K40">
        <v>1400</v>
      </c>
      <c r="L40">
        <v>22400</v>
      </c>
      <c r="M40">
        <v>8</v>
      </c>
      <c r="N40">
        <v>4200</v>
      </c>
      <c r="O40" t="s">
        <v>94</v>
      </c>
      <c r="P40" t="s">
        <v>85</v>
      </c>
    </row>
    <row r="41" spans="1:16" x14ac:dyDescent="0.3">
      <c r="A41" t="s">
        <v>223</v>
      </c>
      <c r="B41" s="25">
        <v>46063</v>
      </c>
      <c r="C41" t="s">
        <v>27</v>
      </c>
      <c r="D41" t="s">
        <v>129</v>
      </c>
      <c r="E41" t="s">
        <v>224</v>
      </c>
      <c r="F41" t="s">
        <v>87</v>
      </c>
      <c r="G41" t="s">
        <v>31</v>
      </c>
      <c r="H41" t="s">
        <v>225</v>
      </c>
      <c r="I41" t="s">
        <v>89</v>
      </c>
      <c r="J41">
        <v>4</v>
      </c>
      <c r="K41">
        <v>10000</v>
      </c>
      <c r="L41">
        <v>40000</v>
      </c>
      <c r="M41">
        <v>6</v>
      </c>
      <c r="N41">
        <v>7200</v>
      </c>
      <c r="O41" t="s">
        <v>90</v>
      </c>
      <c r="P41" t="s">
        <v>85</v>
      </c>
    </row>
    <row r="42" spans="1:16" x14ac:dyDescent="0.3">
      <c r="A42" t="s">
        <v>226</v>
      </c>
      <c r="B42" s="25">
        <v>46064</v>
      </c>
      <c r="C42" t="s">
        <v>19</v>
      </c>
      <c r="D42" t="s">
        <v>184</v>
      </c>
      <c r="E42" t="s">
        <v>185</v>
      </c>
      <c r="F42" t="s">
        <v>105</v>
      </c>
      <c r="G42" t="s">
        <v>20</v>
      </c>
      <c r="H42" t="s">
        <v>41</v>
      </c>
      <c r="I42" t="s">
        <v>83</v>
      </c>
      <c r="J42">
        <v>3</v>
      </c>
      <c r="K42">
        <v>60000</v>
      </c>
      <c r="L42">
        <v>180000</v>
      </c>
      <c r="M42">
        <v>12</v>
      </c>
      <c r="N42">
        <v>30000</v>
      </c>
      <c r="O42" t="s">
        <v>84</v>
      </c>
      <c r="P42" t="s">
        <v>85</v>
      </c>
    </row>
    <row r="43" spans="1:16" x14ac:dyDescent="0.3">
      <c r="A43" t="s">
        <v>227</v>
      </c>
      <c r="B43" s="25">
        <v>46065</v>
      </c>
      <c r="C43" t="s">
        <v>24</v>
      </c>
      <c r="D43" t="s">
        <v>174</v>
      </c>
      <c r="E43" t="s">
        <v>228</v>
      </c>
      <c r="F43" t="s">
        <v>102</v>
      </c>
      <c r="G43" t="s">
        <v>38</v>
      </c>
      <c r="H43" t="s">
        <v>46</v>
      </c>
      <c r="I43" t="s">
        <v>83</v>
      </c>
      <c r="J43">
        <v>7</v>
      </c>
      <c r="K43">
        <v>2800</v>
      </c>
      <c r="L43">
        <v>19600</v>
      </c>
      <c r="M43">
        <v>5</v>
      </c>
      <c r="N43">
        <v>3600</v>
      </c>
      <c r="O43" t="s">
        <v>94</v>
      </c>
      <c r="P43" t="s">
        <v>85</v>
      </c>
    </row>
    <row r="44" spans="1:16" x14ac:dyDescent="0.3">
      <c r="A44" t="s">
        <v>229</v>
      </c>
      <c r="B44" s="25">
        <v>46066</v>
      </c>
      <c r="C44" t="s">
        <v>30</v>
      </c>
      <c r="D44" t="s">
        <v>34</v>
      </c>
      <c r="E44" t="s">
        <v>230</v>
      </c>
      <c r="F44" t="s">
        <v>96</v>
      </c>
      <c r="G44" t="s">
        <v>31</v>
      </c>
      <c r="H44" t="s">
        <v>32</v>
      </c>
      <c r="I44" t="s">
        <v>83</v>
      </c>
      <c r="J44">
        <v>1</v>
      </c>
      <c r="K44">
        <v>45000</v>
      </c>
      <c r="L44">
        <v>45000</v>
      </c>
      <c r="M44">
        <v>8</v>
      </c>
      <c r="N44">
        <v>7000</v>
      </c>
      <c r="O44" t="s">
        <v>90</v>
      </c>
      <c r="P44" t="s">
        <v>107</v>
      </c>
    </row>
    <row r="45" spans="1:16" x14ac:dyDescent="0.3">
      <c r="A45" t="s">
        <v>231</v>
      </c>
      <c r="B45" s="25">
        <v>46067</v>
      </c>
      <c r="C45" t="s">
        <v>27</v>
      </c>
      <c r="D45" t="s">
        <v>181</v>
      </c>
      <c r="E45" t="s">
        <v>232</v>
      </c>
      <c r="F45" t="s">
        <v>87</v>
      </c>
      <c r="G45" t="s">
        <v>20</v>
      </c>
      <c r="H45" t="s">
        <v>28</v>
      </c>
      <c r="I45" t="s">
        <v>83</v>
      </c>
      <c r="J45">
        <v>5</v>
      </c>
      <c r="K45">
        <v>20000</v>
      </c>
      <c r="L45">
        <v>100000</v>
      </c>
      <c r="M45">
        <v>10</v>
      </c>
      <c r="N45">
        <v>15000</v>
      </c>
      <c r="O45" t="s">
        <v>84</v>
      </c>
      <c r="P45" t="s">
        <v>85</v>
      </c>
    </row>
    <row r="46" spans="1:16" x14ac:dyDescent="0.3">
      <c r="A46" t="s">
        <v>233</v>
      </c>
      <c r="B46" s="25">
        <v>46068</v>
      </c>
      <c r="C46" t="s">
        <v>19</v>
      </c>
      <c r="D46" t="s">
        <v>43</v>
      </c>
      <c r="E46" t="s">
        <v>42</v>
      </c>
      <c r="F46" t="s">
        <v>92</v>
      </c>
      <c r="G46" t="s">
        <v>38</v>
      </c>
      <c r="H46" t="s">
        <v>234</v>
      </c>
      <c r="I46" t="s">
        <v>83</v>
      </c>
      <c r="J46">
        <v>11</v>
      </c>
      <c r="K46">
        <v>1800</v>
      </c>
      <c r="L46">
        <v>19800</v>
      </c>
      <c r="M46">
        <v>6</v>
      </c>
      <c r="N46">
        <v>3900</v>
      </c>
      <c r="O46" t="s">
        <v>94</v>
      </c>
      <c r="P46" t="s">
        <v>85</v>
      </c>
    </row>
    <row r="47" spans="1:16" x14ac:dyDescent="0.3">
      <c r="A47" t="s">
        <v>235</v>
      </c>
      <c r="B47" s="25">
        <v>46069</v>
      </c>
      <c r="C47" t="s">
        <v>24</v>
      </c>
      <c r="D47" t="s">
        <v>188</v>
      </c>
      <c r="E47" t="s">
        <v>236</v>
      </c>
      <c r="F47" t="s">
        <v>96</v>
      </c>
      <c r="G47" t="s">
        <v>31</v>
      </c>
      <c r="H47" t="s">
        <v>237</v>
      </c>
      <c r="I47" t="s">
        <v>89</v>
      </c>
      <c r="J47">
        <v>2</v>
      </c>
      <c r="K47">
        <v>30000</v>
      </c>
      <c r="L47">
        <v>60000</v>
      </c>
      <c r="M47">
        <v>9</v>
      </c>
      <c r="N47">
        <v>9500</v>
      </c>
      <c r="O47" t="s">
        <v>90</v>
      </c>
      <c r="P47" t="s">
        <v>85</v>
      </c>
    </row>
    <row r="48" spans="1:16" x14ac:dyDescent="0.3">
      <c r="A48" t="s">
        <v>238</v>
      </c>
      <c r="B48" s="25">
        <v>46070</v>
      </c>
      <c r="C48" t="s">
        <v>30</v>
      </c>
      <c r="D48" t="s">
        <v>23</v>
      </c>
      <c r="E48" t="s">
        <v>138</v>
      </c>
      <c r="F48" t="s">
        <v>82</v>
      </c>
      <c r="G48" t="s">
        <v>20</v>
      </c>
      <c r="H48" t="s">
        <v>239</v>
      </c>
      <c r="I48" t="s">
        <v>83</v>
      </c>
      <c r="J48">
        <v>9</v>
      </c>
      <c r="K48">
        <v>2500</v>
      </c>
      <c r="L48">
        <v>22500</v>
      </c>
      <c r="M48">
        <v>5</v>
      </c>
      <c r="N48">
        <v>4500</v>
      </c>
      <c r="O48" t="s">
        <v>84</v>
      </c>
      <c r="P48" t="s">
        <v>85</v>
      </c>
    </row>
    <row r="49" spans="1:16" x14ac:dyDescent="0.3">
      <c r="A49" t="s">
        <v>240</v>
      </c>
      <c r="B49" s="25">
        <v>46071</v>
      </c>
      <c r="C49" t="s">
        <v>27</v>
      </c>
      <c r="D49" t="s">
        <v>18</v>
      </c>
      <c r="E49" t="s">
        <v>241</v>
      </c>
      <c r="F49" t="s">
        <v>87</v>
      </c>
      <c r="G49" t="s">
        <v>38</v>
      </c>
      <c r="H49" t="s">
        <v>242</v>
      </c>
      <c r="I49" t="s">
        <v>83</v>
      </c>
      <c r="J49">
        <v>13</v>
      </c>
      <c r="K49">
        <v>1600</v>
      </c>
      <c r="L49">
        <v>20800</v>
      </c>
      <c r="M49">
        <v>7</v>
      </c>
      <c r="N49">
        <v>4100</v>
      </c>
      <c r="O49" t="s">
        <v>94</v>
      </c>
      <c r="P49" t="s">
        <v>98</v>
      </c>
    </row>
    <row r="50" spans="1:16" x14ac:dyDescent="0.3">
      <c r="A50" t="s">
        <v>243</v>
      </c>
      <c r="B50" s="25">
        <v>46072</v>
      </c>
      <c r="C50" t="s">
        <v>19</v>
      </c>
      <c r="D50" t="s">
        <v>26</v>
      </c>
      <c r="E50" t="s">
        <v>244</v>
      </c>
      <c r="F50" t="s">
        <v>105</v>
      </c>
      <c r="G50" t="s">
        <v>31</v>
      </c>
      <c r="H50" t="s">
        <v>245</v>
      </c>
      <c r="I50" t="s">
        <v>89</v>
      </c>
      <c r="J50">
        <v>2</v>
      </c>
      <c r="K50">
        <v>22000</v>
      </c>
      <c r="L50">
        <v>44000</v>
      </c>
      <c r="M50">
        <v>8</v>
      </c>
      <c r="N50">
        <v>7800</v>
      </c>
      <c r="O50" t="s">
        <v>90</v>
      </c>
      <c r="P50" t="s">
        <v>85</v>
      </c>
    </row>
    <row r="51" spans="1:16" x14ac:dyDescent="0.3">
      <c r="A51" t="s">
        <v>246</v>
      </c>
      <c r="B51" s="25">
        <v>46073</v>
      </c>
      <c r="C51" t="s">
        <v>24</v>
      </c>
      <c r="D51" t="s">
        <v>100</v>
      </c>
      <c r="E51" t="s">
        <v>101</v>
      </c>
      <c r="F51" t="s">
        <v>102</v>
      </c>
      <c r="G51" t="s">
        <v>20</v>
      </c>
      <c r="H51" t="s">
        <v>121</v>
      </c>
      <c r="I51" t="s">
        <v>83</v>
      </c>
      <c r="J51">
        <v>4</v>
      </c>
      <c r="K51">
        <v>14000</v>
      </c>
      <c r="L51">
        <v>56000</v>
      </c>
      <c r="M51">
        <v>10</v>
      </c>
      <c r="N51">
        <v>8500</v>
      </c>
      <c r="O51" t="s">
        <v>84</v>
      </c>
      <c r="P51" t="s">
        <v>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1059-2E20-42E2-ABAB-2BDE33640031}">
  <dimension ref="B1:F119"/>
  <sheetViews>
    <sheetView topLeftCell="F1" zoomScale="79" zoomScaleNormal="106" workbookViewId="0">
      <selection activeCell="S78" sqref="S78"/>
    </sheetView>
  </sheetViews>
  <sheetFormatPr defaultRowHeight="14.4" x14ac:dyDescent="0.3"/>
  <cols>
    <col min="2" max="2" width="61.6640625" bestFit="1" customWidth="1"/>
    <col min="4" max="4" width="12.77734375" bestFit="1" customWidth="1"/>
    <col min="5" max="5" width="22.6640625" bestFit="1" customWidth="1"/>
    <col min="6" max="6" width="12.109375" customWidth="1"/>
  </cols>
  <sheetData>
    <row r="1" spans="2:5" x14ac:dyDescent="0.3">
      <c r="D1">
        <v>1</v>
      </c>
    </row>
    <row r="2" spans="2:5" ht="15.6" x14ac:dyDescent="0.3">
      <c r="B2" s="31" t="s">
        <v>148</v>
      </c>
      <c r="D2" s="50" t="s">
        <v>283</v>
      </c>
      <c r="E2" t="s">
        <v>333</v>
      </c>
    </row>
    <row r="3" spans="2:5" x14ac:dyDescent="0.3">
      <c r="D3" s="35" t="s">
        <v>19</v>
      </c>
      <c r="E3">
        <v>706300</v>
      </c>
    </row>
    <row r="4" spans="2:5" x14ac:dyDescent="0.3">
      <c r="B4" s="29" t="s">
        <v>142</v>
      </c>
      <c r="D4" s="35" t="s">
        <v>30</v>
      </c>
      <c r="E4">
        <v>656900</v>
      </c>
    </row>
    <row r="5" spans="2:5" x14ac:dyDescent="0.3">
      <c r="D5" s="35" t="s">
        <v>24</v>
      </c>
      <c r="E5">
        <v>571500</v>
      </c>
    </row>
    <row r="6" spans="2:5" x14ac:dyDescent="0.3">
      <c r="B6" t="s">
        <v>143</v>
      </c>
      <c r="D6" s="35" t="s">
        <v>27</v>
      </c>
      <c r="E6">
        <v>558300</v>
      </c>
    </row>
    <row r="7" spans="2:5" x14ac:dyDescent="0.3">
      <c r="D7" s="35" t="s">
        <v>284</v>
      </c>
      <c r="E7">
        <v>2493000</v>
      </c>
    </row>
    <row r="8" spans="2:5" x14ac:dyDescent="0.3">
      <c r="B8" s="28" t="s">
        <v>144</v>
      </c>
    </row>
    <row r="9" spans="2:5" x14ac:dyDescent="0.3">
      <c r="B9" s="27"/>
      <c r="D9">
        <v>2</v>
      </c>
    </row>
    <row r="10" spans="2:5" x14ac:dyDescent="0.3">
      <c r="B10" s="27" t="s">
        <v>145</v>
      </c>
      <c r="D10" s="50" t="s">
        <v>283</v>
      </c>
      <c r="E10" t="s">
        <v>288</v>
      </c>
    </row>
    <row r="11" spans="2:5" x14ac:dyDescent="0.3">
      <c r="B11" s="27" t="s">
        <v>146</v>
      </c>
      <c r="D11" s="35" t="s">
        <v>87</v>
      </c>
      <c r="E11">
        <v>92700</v>
      </c>
    </row>
    <row r="12" spans="2:5" x14ac:dyDescent="0.3">
      <c r="B12" s="27" t="s">
        <v>147</v>
      </c>
      <c r="D12" s="35" t="s">
        <v>82</v>
      </c>
      <c r="E12">
        <v>92300</v>
      </c>
    </row>
    <row r="13" spans="2:5" x14ac:dyDescent="0.3">
      <c r="D13" s="35" t="s">
        <v>96</v>
      </c>
      <c r="E13">
        <v>80200</v>
      </c>
    </row>
    <row r="14" spans="2:5" ht="15.6" x14ac:dyDescent="0.3">
      <c r="B14" s="30" t="s">
        <v>149</v>
      </c>
      <c r="D14" s="35" t="s">
        <v>105</v>
      </c>
      <c r="E14">
        <v>76800</v>
      </c>
    </row>
    <row r="15" spans="2:5" x14ac:dyDescent="0.3">
      <c r="D15" s="35" t="s">
        <v>92</v>
      </c>
      <c r="E15">
        <v>40000</v>
      </c>
    </row>
    <row r="16" spans="2:5" x14ac:dyDescent="0.3">
      <c r="B16" s="29" t="s">
        <v>142</v>
      </c>
      <c r="D16" s="35" t="s">
        <v>102</v>
      </c>
      <c r="E16">
        <v>31600</v>
      </c>
    </row>
    <row r="17" spans="2:6" x14ac:dyDescent="0.3">
      <c r="D17" s="35" t="s">
        <v>284</v>
      </c>
      <c r="E17">
        <v>413600</v>
      </c>
    </row>
    <row r="18" spans="2:6" x14ac:dyDescent="0.3">
      <c r="B18" t="s">
        <v>150</v>
      </c>
    </row>
    <row r="19" spans="2:6" x14ac:dyDescent="0.3">
      <c r="D19">
        <v>3</v>
      </c>
    </row>
    <row r="20" spans="2:6" ht="15.6" x14ac:dyDescent="0.3">
      <c r="B20" s="32" t="s">
        <v>151</v>
      </c>
      <c r="D20" s="50" t="s">
        <v>283</v>
      </c>
      <c r="E20" t="s">
        <v>288</v>
      </c>
    </row>
    <row r="21" spans="2:6" x14ac:dyDescent="0.3">
      <c r="D21" s="35" t="s">
        <v>38</v>
      </c>
      <c r="E21">
        <v>55500</v>
      </c>
    </row>
    <row r="22" spans="2:6" x14ac:dyDescent="0.3">
      <c r="B22" s="29" t="s">
        <v>142</v>
      </c>
      <c r="D22" s="35" t="s">
        <v>20</v>
      </c>
      <c r="E22">
        <v>232600</v>
      </c>
    </row>
    <row r="23" spans="2:6" x14ac:dyDescent="0.3">
      <c r="D23" s="35" t="s">
        <v>31</v>
      </c>
      <c r="E23">
        <v>125500</v>
      </c>
    </row>
    <row r="24" spans="2:6" x14ac:dyDescent="0.3">
      <c r="B24" t="s">
        <v>152</v>
      </c>
      <c r="D24" s="35" t="s">
        <v>284</v>
      </c>
      <c r="E24">
        <v>413600</v>
      </c>
    </row>
    <row r="26" spans="2:6" ht="17.399999999999999" customHeight="1" x14ac:dyDescent="0.3">
      <c r="B26" s="26" t="s">
        <v>153</v>
      </c>
      <c r="D26">
        <v>4</v>
      </c>
    </row>
    <row r="27" spans="2:6" x14ac:dyDescent="0.3">
      <c r="B27" s="26" t="s">
        <v>154</v>
      </c>
      <c r="D27" s="50" t="s">
        <v>283</v>
      </c>
      <c r="E27" t="s">
        <v>333</v>
      </c>
      <c r="F27" t="s">
        <v>288</v>
      </c>
    </row>
    <row r="28" spans="2:6" x14ac:dyDescent="0.3">
      <c r="D28" s="35" t="s">
        <v>89</v>
      </c>
      <c r="E28">
        <v>953500</v>
      </c>
      <c r="F28">
        <v>150500</v>
      </c>
    </row>
    <row r="29" spans="2:6" ht="15.6" x14ac:dyDescent="0.3">
      <c r="B29" s="32" t="s">
        <v>155</v>
      </c>
      <c r="D29" s="35" t="s">
        <v>83</v>
      </c>
      <c r="E29">
        <v>1539500</v>
      </c>
      <c r="F29">
        <v>263100</v>
      </c>
    </row>
    <row r="30" spans="2:6" x14ac:dyDescent="0.3">
      <c r="D30" s="35" t="s">
        <v>284</v>
      </c>
      <c r="E30">
        <v>2493000</v>
      </c>
      <c r="F30">
        <v>413600</v>
      </c>
    </row>
    <row r="31" spans="2:6" x14ac:dyDescent="0.3">
      <c r="B31" s="29" t="s">
        <v>142</v>
      </c>
    </row>
    <row r="32" spans="2:6" x14ac:dyDescent="0.3">
      <c r="D32">
        <v>5</v>
      </c>
    </row>
    <row r="33" spans="2:5" x14ac:dyDescent="0.3">
      <c r="B33" t="s">
        <v>156</v>
      </c>
      <c r="D33" s="50" t="s">
        <v>283</v>
      </c>
      <c r="E33" t="s">
        <v>333</v>
      </c>
    </row>
    <row r="34" spans="2:5" x14ac:dyDescent="0.3">
      <c r="D34" s="35" t="s">
        <v>304</v>
      </c>
      <c r="E34">
        <v>1393900</v>
      </c>
    </row>
    <row r="35" spans="2:5" x14ac:dyDescent="0.3">
      <c r="B35" t="s">
        <v>157</v>
      </c>
      <c r="D35" s="35" t="s">
        <v>305</v>
      </c>
      <c r="E35">
        <v>1099100</v>
      </c>
    </row>
    <row r="36" spans="2:5" x14ac:dyDescent="0.3">
      <c r="B36" t="s">
        <v>158</v>
      </c>
      <c r="D36" s="35" t="s">
        <v>284</v>
      </c>
      <c r="E36">
        <v>2493000</v>
      </c>
    </row>
    <row r="38" spans="2:5" ht="15.6" x14ac:dyDescent="0.3">
      <c r="B38" s="32" t="s">
        <v>159</v>
      </c>
      <c r="D38">
        <v>6</v>
      </c>
    </row>
    <row r="39" spans="2:5" x14ac:dyDescent="0.3">
      <c r="D39" s="50" t="s">
        <v>283</v>
      </c>
      <c r="E39" t="s">
        <v>334</v>
      </c>
    </row>
    <row r="40" spans="2:5" x14ac:dyDescent="0.3">
      <c r="B40" s="29" t="s">
        <v>142</v>
      </c>
      <c r="D40" s="35" t="s">
        <v>85</v>
      </c>
      <c r="E40">
        <v>39</v>
      </c>
    </row>
    <row r="41" spans="2:5" x14ac:dyDescent="0.3">
      <c r="D41" s="35" t="s">
        <v>107</v>
      </c>
      <c r="E41">
        <v>6</v>
      </c>
    </row>
    <row r="42" spans="2:5" x14ac:dyDescent="0.3">
      <c r="B42" t="s">
        <v>160</v>
      </c>
      <c r="D42" s="35" t="s">
        <v>98</v>
      </c>
      <c r="E42">
        <v>5</v>
      </c>
    </row>
    <row r="43" spans="2:5" x14ac:dyDescent="0.3">
      <c r="D43" s="35" t="s">
        <v>284</v>
      </c>
      <c r="E43">
        <v>50</v>
      </c>
    </row>
    <row r="44" spans="2:5" ht="15.6" x14ac:dyDescent="0.3">
      <c r="B44" s="32" t="s">
        <v>161</v>
      </c>
    </row>
    <row r="45" spans="2:5" x14ac:dyDescent="0.3">
      <c r="D45">
        <v>7</v>
      </c>
    </row>
    <row r="46" spans="2:5" x14ac:dyDescent="0.3">
      <c r="B46" s="29" t="s">
        <v>142</v>
      </c>
      <c r="D46" s="50" t="s">
        <v>283</v>
      </c>
      <c r="E46" t="s">
        <v>338</v>
      </c>
    </row>
    <row r="47" spans="2:5" x14ac:dyDescent="0.3">
      <c r="D47" s="35" t="s">
        <v>90</v>
      </c>
      <c r="E47">
        <v>18</v>
      </c>
    </row>
    <row r="48" spans="2:5" x14ac:dyDescent="0.3">
      <c r="B48" t="s">
        <v>162</v>
      </c>
      <c r="D48" s="35" t="s">
        <v>94</v>
      </c>
      <c r="E48">
        <v>13</v>
      </c>
    </row>
    <row r="49" spans="2:5" x14ac:dyDescent="0.3">
      <c r="D49" s="35" t="s">
        <v>84</v>
      </c>
      <c r="E49">
        <v>19</v>
      </c>
    </row>
    <row r="50" spans="2:5" x14ac:dyDescent="0.3">
      <c r="B50" t="s">
        <v>163</v>
      </c>
      <c r="D50" s="35" t="s">
        <v>284</v>
      </c>
      <c r="E50">
        <v>50</v>
      </c>
    </row>
    <row r="51" spans="2:5" x14ac:dyDescent="0.3">
      <c r="B51" t="s">
        <v>164</v>
      </c>
    </row>
    <row r="52" spans="2:5" x14ac:dyDescent="0.3">
      <c r="D52">
        <v>8</v>
      </c>
    </row>
    <row r="53" spans="2:5" x14ac:dyDescent="0.3">
      <c r="D53" s="50" t="s">
        <v>283</v>
      </c>
      <c r="E53" t="s">
        <v>333</v>
      </c>
    </row>
    <row r="54" spans="2:5" ht="15.6" x14ac:dyDescent="0.3">
      <c r="B54" s="32" t="s">
        <v>335</v>
      </c>
      <c r="D54" s="35" t="s">
        <v>174</v>
      </c>
      <c r="E54">
        <v>99600</v>
      </c>
    </row>
    <row r="55" spans="2:5" x14ac:dyDescent="0.3">
      <c r="D55" s="35" t="s">
        <v>134</v>
      </c>
      <c r="E55">
        <v>80500</v>
      </c>
    </row>
    <row r="56" spans="2:5" x14ac:dyDescent="0.3">
      <c r="B56" s="29" t="s">
        <v>142</v>
      </c>
      <c r="D56" s="35" t="s">
        <v>29</v>
      </c>
      <c r="E56">
        <v>166500</v>
      </c>
    </row>
    <row r="57" spans="2:5" x14ac:dyDescent="0.3">
      <c r="D57" s="35" t="s">
        <v>34</v>
      </c>
      <c r="E57">
        <v>271000</v>
      </c>
    </row>
    <row r="58" spans="2:5" x14ac:dyDescent="0.3">
      <c r="B58" t="s">
        <v>165</v>
      </c>
      <c r="D58" s="35" t="s">
        <v>129</v>
      </c>
      <c r="E58">
        <v>76000</v>
      </c>
    </row>
    <row r="59" spans="2:5" x14ac:dyDescent="0.3">
      <c r="D59" s="35" t="s">
        <v>188</v>
      </c>
      <c r="E59">
        <v>115000</v>
      </c>
    </row>
    <row r="60" spans="2:5" ht="15.6" x14ac:dyDescent="0.3">
      <c r="B60" s="32" t="s">
        <v>336</v>
      </c>
      <c r="D60" s="35" t="s">
        <v>43</v>
      </c>
      <c r="E60">
        <v>97800</v>
      </c>
    </row>
    <row r="61" spans="2:5" x14ac:dyDescent="0.3">
      <c r="D61" s="35" t="s">
        <v>114</v>
      </c>
      <c r="E61">
        <v>122500</v>
      </c>
    </row>
    <row r="62" spans="2:5" x14ac:dyDescent="0.3">
      <c r="B62" s="29" t="s">
        <v>142</v>
      </c>
      <c r="D62" s="35" t="s">
        <v>23</v>
      </c>
      <c r="E62">
        <v>385900</v>
      </c>
    </row>
    <row r="63" spans="2:5" x14ac:dyDescent="0.3">
      <c r="D63" s="35" t="s">
        <v>117</v>
      </c>
      <c r="E63">
        <v>138000</v>
      </c>
    </row>
    <row r="64" spans="2:5" x14ac:dyDescent="0.3">
      <c r="B64" t="s">
        <v>166</v>
      </c>
      <c r="D64" s="35" t="s">
        <v>111</v>
      </c>
      <c r="E64">
        <v>59400</v>
      </c>
    </row>
    <row r="65" spans="2:5" x14ac:dyDescent="0.3">
      <c r="D65" s="35" t="s">
        <v>18</v>
      </c>
      <c r="E65">
        <v>134800</v>
      </c>
    </row>
    <row r="66" spans="2:5" ht="15.6" x14ac:dyDescent="0.3">
      <c r="B66" s="32" t="s">
        <v>337</v>
      </c>
      <c r="D66" s="35" t="s">
        <v>26</v>
      </c>
      <c r="E66">
        <v>234000</v>
      </c>
    </row>
    <row r="67" spans="2:5" x14ac:dyDescent="0.3">
      <c r="D67" s="35" t="s">
        <v>184</v>
      </c>
      <c r="E67">
        <v>252000</v>
      </c>
    </row>
    <row r="68" spans="2:5" x14ac:dyDescent="0.3">
      <c r="B68" s="29" t="s">
        <v>142</v>
      </c>
      <c r="D68" s="35" t="s">
        <v>181</v>
      </c>
      <c r="E68">
        <v>121600</v>
      </c>
    </row>
    <row r="69" spans="2:5" x14ac:dyDescent="0.3">
      <c r="D69" s="35" t="s">
        <v>100</v>
      </c>
      <c r="E69">
        <v>138400</v>
      </c>
    </row>
    <row r="70" spans="2:5" x14ac:dyDescent="0.3">
      <c r="B70" t="s">
        <v>167</v>
      </c>
      <c r="D70" s="35" t="s">
        <v>284</v>
      </c>
      <c r="E70">
        <v>2493000</v>
      </c>
    </row>
    <row r="72" spans="2:5" x14ac:dyDescent="0.3">
      <c r="B72" t="s">
        <v>168</v>
      </c>
      <c r="D72">
        <v>9</v>
      </c>
    </row>
    <row r="73" spans="2:5" x14ac:dyDescent="0.3">
      <c r="B73" t="s">
        <v>169</v>
      </c>
      <c r="D73" s="50" t="s">
        <v>283</v>
      </c>
      <c r="E73" t="s">
        <v>333</v>
      </c>
    </row>
    <row r="74" spans="2:5" x14ac:dyDescent="0.3">
      <c r="D74" s="35" t="s">
        <v>41</v>
      </c>
      <c r="E74">
        <v>290000</v>
      </c>
    </row>
    <row r="75" spans="2:5" x14ac:dyDescent="0.3">
      <c r="D75" s="35" t="s">
        <v>28</v>
      </c>
      <c r="E75">
        <v>208000</v>
      </c>
    </row>
    <row r="76" spans="2:5" x14ac:dyDescent="0.3">
      <c r="D76" s="35" t="s">
        <v>127</v>
      </c>
      <c r="E76">
        <v>150000</v>
      </c>
    </row>
    <row r="77" spans="2:5" x14ac:dyDescent="0.3">
      <c r="D77" s="35" t="s">
        <v>202</v>
      </c>
      <c r="E77">
        <v>130000</v>
      </c>
    </row>
    <row r="78" spans="2:5" x14ac:dyDescent="0.3">
      <c r="D78" s="35" t="s">
        <v>194</v>
      </c>
      <c r="E78">
        <v>114000</v>
      </c>
    </row>
    <row r="79" spans="2:5" x14ac:dyDescent="0.3">
      <c r="D79" s="35" t="s">
        <v>207</v>
      </c>
      <c r="E79">
        <v>112000</v>
      </c>
    </row>
    <row r="80" spans="2:5" x14ac:dyDescent="0.3">
      <c r="D80" s="35" t="s">
        <v>32</v>
      </c>
      <c r="E80">
        <v>105000</v>
      </c>
    </row>
    <row r="81" spans="4:5" x14ac:dyDescent="0.3">
      <c r="D81" s="35" t="s">
        <v>121</v>
      </c>
      <c r="E81">
        <v>92000</v>
      </c>
    </row>
    <row r="82" spans="4:5" x14ac:dyDescent="0.3">
      <c r="D82" s="35" t="s">
        <v>141</v>
      </c>
      <c r="E82">
        <v>90000</v>
      </c>
    </row>
    <row r="83" spans="4:5" x14ac:dyDescent="0.3">
      <c r="D83" s="35" t="s">
        <v>176</v>
      </c>
      <c r="E83">
        <v>80000</v>
      </c>
    </row>
    <row r="84" spans="4:5" x14ac:dyDescent="0.3">
      <c r="D84" s="35" t="s">
        <v>186</v>
      </c>
      <c r="E84">
        <v>72000</v>
      </c>
    </row>
    <row r="85" spans="4:5" x14ac:dyDescent="0.3">
      <c r="D85" s="35" t="s">
        <v>237</v>
      </c>
      <c r="E85">
        <v>60000</v>
      </c>
    </row>
    <row r="86" spans="4:5" x14ac:dyDescent="0.3">
      <c r="D86" s="35" t="s">
        <v>106</v>
      </c>
      <c r="E86">
        <v>60000</v>
      </c>
    </row>
    <row r="87" spans="4:5" x14ac:dyDescent="0.3">
      <c r="D87" s="35" t="s">
        <v>190</v>
      </c>
      <c r="E87">
        <v>55000</v>
      </c>
    </row>
    <row r="88" spans="4:5" x14ac:dyDescent="0.3">
      <c r="D88" s="35" t="s">
        <v>217</v>
      </c>
      <c r="E88">
        <v>50000</v>
      </c>
    </row>
    <row r="89" spans="4:5" x14ac:dyDescent="0.3">
      <c r="D89" s="35" t="s">
        <v>215</v>
      </c>
      <c r="E89">
        <v>45000</v>
      </c>
    </row>
    <row r="90" spans="4:5" x14ac:dyDescent="0.3">
      <c r="D90" s="35" t="s">
        <v>245</v>
      </c>
      <c r="E90">
        <v>44000</v>
      </c>
    </row>
    <row r="91" spans="4:5" x14ac:dyDescent="0.3">
      <c r="D91" s="35" t="s">
        <v>212</v>
      </c>
      <c r="E91">
        <v>42000</v>
      </c>
    </row>
    <row r="92" spans="4:5" x14ac:dyDescent="0.3">
      <c r="D92" s="35" t="s">
        <v>210</v>
      </c>
      <c r="E92">
        <v>42000</v>
      </c>
    </row>
    <row r="93" spans="4:5" x14ac:dyDescent="0.3">
      <c r="D93" s="35" t="s">
        <v>225</v>
      </c>
      <c r="E93">
        <v>40000</v>
      </c>
    </row>
    <row r="94" spans="4:5" x14ac:dyDescent="0.3">
      <c r="D94" s="35" t="s">
        <v>179</v>
      </c>
      <c r="E94">
        <v>40000</v>
      </c>
    </row>
    <row r="95" spans="4:5" x14ac:dyDescent="0.3">
      <c r="D95" s="35" t="s">
        <v>136</v>
      </c>
      <c r="E95">
        <v>38500</v>
      </c>
    </row>
    <row r="96" spans="4:5" x14ac:dyDescent="0.3">
      <c r="D96" s="35" t="s">
        <v>46</v>
      </c>
      <c r="E96">
        <v>37100</v>
      </c>
    </row>
    <row r="97" spans="4:5" x14ac:dyDescent="0.3">
      <c r="D97" s="35" t="s">
        <v>35</v>
      </c>
      <c r="E97">
        <v>36000</v>
      </c>
    </row>
    <row r="98" spans="4:5" x14ac:dyDescent="0.3">
      <c r="D98" s="35" t="s">
        <v>197</v>
      </c>
      <c r="E98">
        <v>36000</v>
      </c>
    </row>
    <row r="99" spans="4:5" x14ac:dyDescent="0.3">
      <c r="D99" s="35" t="s">
        <v>200</v>
      </c>
      <c r="E99">
        <v>35000</v>
      </c>
    </row>
    <row r="100" spans="4:5" x14ac:dyDescent="0.3">
      <c r="D100" s="35" t="s">
        <v>139</v>
      </c>
      <c r="E100">
        <v>33000</v>
      </c>
    </row>
    <row r="101" spans="4:5" x14ac:dyDescent="0.3">
      <c r="D101" s="35" t="s">
        <v>220</v>
      </c>
      <c r="E101">
        <v>30000</v>
      </c>
    </row>
    <row r="102" spans="4:5" x14ac:dyDescent="0.3">
      <c r="D102" s="35" t="s">
        <v>123</v>
      </c>
      <c r="E102">
        <v>30000</v>
      </c>
    </row>
    <row r="103" spans="4:5" x14ac:dyDescent="0.3">
      <c r="D103" s="35" t="s">
        <v>125</v>
      </c>
      <c r="E103">
        <v>26400</v>
      </c>
    </row>
    <row r="104" spans="4:5" x14ac:dyDescent="0.3">
      <c r="D104" s="35" t="s">
        <v>239</v>
      </c>
      <c r="E104">
        <v>22500</v>
      </c>
    </row>
    <row r="105" spans="4:5" x14ac:dyDescent="0.3">
      <c r="D105" s="35" t="s">
        <v>88</v>
      </c>
      <c r="E105">
        <v>22500</v>
      </c>
    </row>
    <row r="106" spans="4:5" x14ac:dyDescent="0.3">
      <c r="D106" s="35" t="s">
        <v>222</v>
      </c>
      <c r="E106">
        <v>22400</v>
      </c>
    </row>
    <row r="107" spans="4:5" x14ac:dyDescent="0.3">
      <c r="D107" s="35" t="s">
        <v>40</v>
      </c>
      <c r="E107">
        <v>21600</v>
      </c>
    </row>
    <row r="108" spans="4:5" x14ac:dyDescent="0.3">
      <c r="D108" s="35" t="s">
        <v>103</v>
      </c>
      <c r="E108">
        <v>21000</v>
      </c>
    </row>
    <row r="109" spans="4:5" x14ac:dyDescent="0.3">
      <c r="D109" s="35" t="s">
        <v>242</v>
      </c>
      <c r="E109">
        <v>20800</v>
      </c>
    </row>
    <row r="110" spans="4:5" x14ac:dyDescent="0.3">
      <c r="D110" s="35" t="s">
        <v>234</v>
      </c>
      <c r="E110">
        <v>19800</v>
      </c>
    </row>
    <row r="111" spans="4:5" x14ac:dyDescent="0.3">
      <c r="D111" s="35" t="s">
        <v>192</v>
      </c>
      <c r="E111">
        <v>18000</v>
      </c>
    </row>
    <row r="112" spans="4:5" x14ac:dyDescent="0.3">
      <c r="D112" s="35" t="s">
        <v>204</v>
      </c>
      <c r="E112">
        <v>18000</v>
      </c>
    </row>
    <row r="113" spans="4:5" x14ac:dyDescent="0.3">
      <c r="D113" s="35" t="s">
        <v>132</v>
      </c>
      <c r="E113">
        <v>18000</v>
      </c>
    </row>
    <row r="114" spans="4:5" x14ac:dyDescent="0.3">
      <c r="D114" s="35" t="s">
        <v>97</v>
      </c>
      <c r="E114">
        <v>16000</v>
      </c>
    </row>
    <row r="115" spans="4:5" x14ac:dyDescent="0.3">
      <c r="D115" s="35" t="s">
        <v>39</v>
      </c>
      <c r="E115">
        <v>14400</v>
      </c>
    </row>
    <row r="116" spans="4:5" x14ac:dyDescent="0.3">
      <c r="D116" s="35" t="s">
        <v>172</v>
      </c>
      <c r="E116">
        <v>12500</v>
      </c>
    </row>
    <row r="117" spans="4:5" x14ac:dyDescent="0.3">
      <c r="D117" s="35" t="s">
        <v>93</v>
      </c>
      <c r="E117">
        <v>12000</v>
      </c>
    </row>
    <row r="118" spans="4:5" x14ac:dyDescent="0.3">
      <c r="D118" s="35" t="s">
        <v>109</v>
      </c>
      <c r="E118">
        <v>10500</v>
      </c>
    </row>
    <row r="119" spans="4:5" x14ac:dyDescent="0.3">
      <c r="D119" s="35" t="s">
        <v>284</v>
      </c>
      <c r="E119">
        <v>2493000</v>
      </c>
    </row>
  </sheetData>
  <pageMargins left="0.7" right="0.7" top="0.75" bottom="0.75" header="0.3" footer="0.3"/>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7E5D2-7229-4A93-B54C-D765FF1EE17E}">
  <sheetPr>
    <pageSetUpPr fitToPage="1"/>
  </sheetPr>
  <dimension ref="A1:Z100"/>
  <sheetViews>
    <sheetView tabSelected="1" zoomScale="73" workbookViewId="0">
      <selection activeCell="AC17" sqref="AC17"/>
    </sheetView>
  </sheetViews>
  <sheetFormatPr defaultRowHeight="14.4" x14ac:dyDescent="0.3"/>
  <sheetData>
    <row r="1" spans="1:26" x14ac:dyDescent="0.3">
      <c r="A1" s="53"/>
      <c r="B1" s="53"/>
      <c r="C1" s="53"/>
      <c r="D1" s="53"/>
      <c r="E1" s="53"/>
      <c r="F1" s="53"/>
      <c r="G1" s="53"/>
      <c r="H1" s="53"/>
      <c r="I1" s="53"/>
      <c r="J1" s="53"/>
      <c r="K1" s="53"/>
      <c r="L1" s="53"/>
      <c r="M1" s="53"/>
      <c r="N1" s="53"/>
      <c r="O1" s="53"/>
      <c r="P1" s="53"/>
      <c r="Q1" s="53"/>
      <c r="R1" s="53"/>
      <c r="S1" s="53"/>
      <c r="T1" s="53"/>
      <c r="U1" s="53"/>
      <c r="V1" s="53"/>
      <c r="W1" s="53"/>
      <c r="X1" s="53"/>
      <c r="Y1" s="53"/>
      <c r="Z1" s="53"/>
    </row>
    <row r="2" spans="1:26" x14ac:dyDescent="0.3">
      <c r="A2" s="53"/>
      <c r="B2" s="53"/>
      <c r="C2" s="53"/>
      <c r="D2" s="53"/>
      <c r="E2" s="53"/>
      <c r="F2" s="53"/>
      <c r="G2" s="53"/>
      <c r="H2" s="53"/>
      <c r="I2" s="53"/>
      <c r="J2" s="53"/>
      <c r="K2" s="53"/>
      <c r="L2" s="53"/>
      <c r="M2" s="53"/>
      <c r="N2" s="53"/>
      <c r="O2" s="53"/>
      <c r="P2" s="53"/>
      <c r="Q2" s="53"/>
      <c r="R2" s="53"/>
      <c r="S2" s="53"/>
      <c r="T2" s="53"/>
      <c r="U2" s="53"/>
      <c r="V2" s="53"/>
      <c r="W2" s="53"/>
      <c r="X2" s="53"/>
      <c r="Y2" s="53"/>
      <c r="Z2" s="53"/>
    </row>
    <row r="3" spans="1:26" x14ac:dyDescent="0.3">
      <c r="A3" s="53"/>
      <c r="B3" s="53"/>
      <c r="C3" s="53"/>
      <c r="D3" s="53"/>
      <c r="E3" s="53"/>
      <c r="F3" s="53"/>
      <c r="G3" s="53"/>
      <c r="H3" s="53"/>
      <c r="I3" s="53"/>
      <c r="J3" s="53"/>
      <c r="K3" s="53"/>
      <c r="L3" s="53"/>
      <c r="M3" s="53"/>
      <c r="N3" s="53"/>
      <c r="O3" s="53"/>
      <c r="P3" s="53"/>
      <c r="Q3" s="53"/>
      <c r="R3" s="53"/>
      <c r="S3" s="53"/>
      <c r="T3" s="53"/>
      <c r="U3" s="53"/>
      <c r="V3" s="53"/>
      <c r="W3" s="53"/>
      <c r="X3" s="53"/>
      <c r="Y3" s="53"/>
      <c r="Z3" s="53"/>
    </row>
    <row r="4" spans="1:26" x14ac:dyDescent="0.3">
      <c r="A4" s="53"/>
      <c r="B4" s="53"/>
      <c r="C4" s="53"/>
      <c r="D4" s="53"/>
      <c r="E4" s="53"/>
      <c r="F4" s="53"/>
      <c r="G4" s="53"/>
      <c r="H4" s="53"/>
      <c r="I4" s="53"/>
      <c r="J4" s="53"/>
      <c r="K4" s="53"/>
      <c r="L4" s="53"/>
      <c r="M4" s="53"/>
      <c r="N4" s="53"/>
      <c r="O4" s="53"/>
      <c r="P4" s="53"/>
      <c r="Q4" s="53"/>
      <c r="R4" s="53"/>
      <c r="S4" s="53"/>
      <c r="T4" s="53"/>
      <c r="U4" s="53"/>
      <c r="V4" s="53"/>
      <c r="W4" s="53"/>
      <c r="X4" s="53"/>
      <c r="Y4" s="53"/>
      <c r="Z4" s="53"/>
    </row>
    <row r="5" spans="1:26" x14ac:dyDescent="0.3">
      <c r="A5" s="53"/>
      <c r="B5" s="53"/>
      <c r="C5" s="53"/>
      <c r="D5" s="53"/>
      <c r="E5" s="53"/>
      <c r="F5" s="53"/>
      <c r="G5" s="53"/>
      <c r="H5" s="53"/>
      <c r="I5" s="53"/>
      <c r="J5" s="53"/>
      <c r="K5" s="53"/>
      <c r="L5" s="53"/>
      <c r="M5" s="53"/>
      <c r="N5" s="53"/>
      <c r="O5" s="53"/>
      <c r="P5" s="53"/>
      <c r="Q5" s="53"/>
      <c r="R5" s="53"/>
      <c r="S5" s="53"/>
      <c r="T5" s="53"/>
      <c r="U5" s="53"/>
      <c r="V5" s="53"/>
      <c r="W5" s="53"/>
      <c r="X5" s="53"/>
      <c r="Y5" s="53"/>
      <c r="Z5" s="53"/>
    </row>
    <row r="6" spans="1:26" x14ac:dyDescent="0.3">
      <c r="A6" s="53"/>
      <c r="B6" s="53"/>
      <c r="C6" s="53"/>
      <c r="D6" s="53"/>
      <c r="E6" s="53"/>
      <c r="F6" s="53"/>
      <c r="G6" s="53"/>
      <c r="H6" s="53"/>
      <c r="I6" s="53"/>
      <c r="J6" s="53"/>
      <c r="K6" s="53"/>
      <c r="L6" s="53"/>
      <c r="M6" s="53"/>
      <c r="N6" s="53"/>
      <c r="O6" s="53"/>
      <c r="P6" s="53"/>
      <c r="Q6" s="53"/>
      <c r="R6" s="53"/>
      <c r="S6" s="53"/>
      <c r="T6" s="53"/>
      <c r="U6" s="53"/>
      <c r="V6" s="53"/>
      <c r="W6" s="53"/>
      <c r="X6" s="53"/>
      <c r="Y6" s="53"/>
      <c r="Z6" s="53"/>
    </row>
    <row r="7" spans="1:26" x14ac:dyDescent="0.3">
      <c r="A7" s="53"/>
      <c r="B7" s="53"/>
      <c r="C7" s="53"/>
      <c r="D7" s="53"/>
      <c r="E7" s="53"/>
      <c r="F7" s="53"/>
      <c r="G7" s="53"/>
      <c r="H7" s="53"/>
      <c r="I7" s="53"/>
      <c r="J7" s="53"/>
      <c r="K7" s="53"/>
      <c r="L7" s="53"/>
      <c r="M7" s="53"/>
      <c r="N7" s="53"/>
      <c r="O7" s="53"/>
      <c r="P7" s="53"/>
      <c r="Q7" s="53"/>
      <c r="R7" s="53"/>
      <c r="S7" s="53"/>
      <c r="T7" s="53"/>
      <c r="U7" s="53"/>
      <c r="V7" s="53"/>
      <c r="W7" s="53"/>
      <c r="X7" s="53"/>
      <c r="Y7" s="53"/>
      <c r="Z7" s="53"/>
    </row>
    <row r="8" spans="1:26" x14ac:dyDescent="0.3">
      <c r="A8" s="53"/>
      <c r="B8" s="53"/>
      <c r="C8" s="53"/>
      <c r="D8" s="53"/>
      <c r="E8" s="53"/>
      <c r="F8" s="53"/>
      <c r="G8" s="53"/>
      <c r="H8" s="53"/>
      <c r="I8" s="53"/>
      <c r="J8" s="53"/>
      <c r="K8" s="53"/>
      <c r="L8" s="53"/>
      <c r="M8" s="53"/>
      <c r="N8" s="53"/>
      <c r="O8" s="53"/>
      <c r="P8" s="53"/>
      <c r="Q8" s="53"/>
      <c r="R8" s="53"/>
      <c r="S8" s="53"/>
      <c r="T8" s="53"/>
      <c r="U8" s="53"/>
      <c r="V8" s="53"/>
      <c r="W8" s="53"/>
      <c r="X8" s="53"/>
      <c r="Y8" s="53"/>
      <c r="Z8" s="53"/>
    </row>
    <row r="9" spans="1:26" x14ac:dyDescent="0.3">
      <c r="A9" s="53"/>
      <c r="B9" s="53"/>
      <c r="C9" s="53"/>
      <c r="D9" s="53"/>
      <c r="E9" s="53"/>
      <c r="F9" s="53"/>
      <c r="G9" s="53"/>
      <c r="H9" s="53"/>
      <c r="I9" s="53"/>
      <c r="J9" s="53"/>
      <c r="K9" s="53"/>
      <c r="L9" s="53"/>
      <c r="M9" s="53"/>
      <c r="N9" s="53"/>
      <c r="O9" s="53"/>
      <c r="P9" s="53"/>
      <c r="Q9" s="53"/>
      <c r="R9" s="53"/>
      <c r="S9" s="53"/>
      <c r="T9" s="53"/>
      <c r="U9" s="53"/>
      <c r="V9" s="53"/>
      <c r="W9" s="53"/>
      <c r="X9" s="53"/>
      <c r="Y9" s="53"/>
      <c r="Z9" s="53"/>
    </row>
    <row r="10" spans="1:26" x14ac:dyDescent="0.3">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spans="1:26" x14ac:dyDescent="0.3">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spans="1:26" x14ac:dyDescent="0.3">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spans="1:26" x14ac:dyDescent="0.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spans="1:26" x14ac:dyDescent="0.3">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spans="1:26" x14ac:dyDescent="0.3">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spans="1:26" x14ac:dyDescent="0.3">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spans="1:26" x14ac:dyDescent="0.3">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spans="1:26" x14ac:dyDescent="0.3">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spans="1:26" x14ac:dyDescent="0.3">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spans="1:26" x14ac:dyDescent="0.3">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spans="1:26" x14ac:dyDescent="0.3">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spans="1:26" x14ac:dyDescent="0.3">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spans="1:26" x14ac:dyDescent="0.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spans="1:26" x14ac:dyDescent="0.3">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spans="1:26" x14ac:dyDescent="0.3">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spans="1:26" x14ac:dyDescent="0.3">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spans="1:26" x14ac:dyDescent="0.3">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spans="1:26" x14ac:dyDescent="0.3">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spans="1:26" x14ac:dyDescent="0.3">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spans="1:26" x14ac:dyDescent="0.3">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spans="1:26" x14ac:dyDescent="0.3">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spans="1:26" x14ac:dyDescent="0.3">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spans="1:26" x14ac:dyDescent="0.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spans="1:26" x14ac:dyDescent="0.3">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spans="1:26" x14ac:dyDescent="0.3">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spans="1:26" x14ac:dyDescent="0.3">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spans="1:26" x14ac:dyDescent="0.3">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spans="1:26" x14ac:dyDescent="0.3">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spans="1:26" x14ac:dyDescent="0.3">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spans="1:26" x14ac:dyDescent="0.3">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spans="1:26" x14ac:dyDescent="0.3">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spans="1:26" x14ac:dyDescent="0.3">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spans="1:26" x14ac:dyDescent="0.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spans="1:26" x14ac:dyDescent="0.3">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spans="1:26" x14ac:dyDescent="0.3">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spans="1:26" x14ac:dyDescent="0.3">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spans="1:26" x14ac:dyDescent="0.3">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spans="1:26" x14ac:dyDescent="0.3">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spans="1:26" x14ac:dyDescent="0.3">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spans="1:26" x14ac:dyDescent="0.3">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spans="1:26" x14ac:dyDescent="0.3">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spans="1:26" x14ac:dyDescent="0.3">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spans="1:26" x14ac:dyDescent="0.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spans="1:26" x14ac:dyDescent="0.3">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spans="1:26" x14ac:dyDescent="0.3">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spans="1:26" x14ac:dyDescent="0.3">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spans="1:26" x14ac:dyDescent="0.3">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spans="1:26" x14ac:dyDescent="0.3">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spans="1:26" x14ac:dyDescent="0.3">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spans="1:26" x14ac:dyDescent="0.3">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spans="1:26" x14ac:dyDescent="0.3">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spans="1:26" x14ac:dyDescent="0.3">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spans="1:26" x14ac:dyDescent="0.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spans="1:26" x14ac:dyDescent="0.3">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spans="1:26" x14ac:dyDescent="0.3">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spans="1:26" x14ac:dyDescent="0.3">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spans="1:26" x14ac:dyDescent="0.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spans="1:26" x14ac:dyDescent="0.3">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spans="1:26" x14ac:dyDescent="0.3">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spans="1:26" x14ac:dyDescent="0.3">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spans="1:26" x14ac:dyDescent="0.3">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1:26" x14ac:dyDescent="0.3">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1:26" x14ac:dyDescent="0.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spans="1:26" x14ac:dyDescent="0.3">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spans="1:26" x14ac:dyDescent="0.3">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spans="1:26" x14ac:dyDescent="0.3">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spans="1:26" x14ac:dyDescent="0.3">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spans="1:26" x14ac:dyDescent="0.3">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spans="1:26" x14ac:dyDescent="0.3">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spans="1:26" x14ac:dyDescent="0.3">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spans="1:26" x14ac:dyDescent="0.3">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spans="1:26" x14ac:dyDescent="0.3">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spans="1:26" x14ac:dyDescent="0.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spans="1:26" x14ac:dyDescent="0.3">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spans="1:26" x14ac:dyDescent="0.3">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spans="1:26" x14ac:dyDescent="0.3">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spans="1:26" x14ac:dyDescent="0.3">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spans="1:26" x14ac:dyDescent="0.3">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spans="1:26" x14ac:dyDescent="0.3">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spans="1:26" x14ac:dyDescent="0.3">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spans="1:26" x14ac:dyDescent="0.3">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spans="1:26" x14ac:dyDescent="0.3">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spans="1:26" x14ac:dyDescent="0.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spans="1:26" x14ac:dyDescent="0.3">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spans="1:26" x14ac:dyDescent="0.3">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spans="1:26" x14ac:dyDescent="0.3">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spans="1:26" x14ac:dyDescent="0.3">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spans="1:26" x14ac:dyDescent="0.3">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spans="1:26" x14ac:dyDescent="0.3">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spans="1:26" x14ac:dyDescent="0.3">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sheetData>
  <mergeCells count="1">
    <mergeCell ref="A1:Z100"/>
  </mergeCells>
  <pageMargins left="0.25" right="0.25" top="0.75" bottom="0.75" header="0.3" footer="0.3"/>
  <pageSetup scale="58"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Data</vt:lpstr>
      <vt:lpstr>Pivots Tasks</vt:lpstr>
      <vt:lpstr>KPIS</vt:lpstr>
      <vt:lpstr>Data Sets 2</vt:lpstr>
      <vt:lpstr>Problem Statements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Vishalsinh Mahida</dc:creator>
  <cp:lastModifiedBy>Prince Patel</cp:lastModifiedBy>
  <cp:lastPrinted>2026-05-20T09:38:31Z</cp:lastPrinted>
  <dcterms:created xsi:type="dcterms:W3CDTF">2026-05-16T10:22:14Z</dcterms:created>
  <dcterms:modified xsi:type="dcterms:W3CDTF">2026-05-20T09:39:31Z</dcterms:modified>
</cp:coreProperties>
</file>