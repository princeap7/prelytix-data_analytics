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nce patel\Documents\prelytix-data_analytics\Day 4\"/>
    </mc:Choice>
  </mc:AlternateContent>
  <xr:revisionPtr revIDLastSave="0" documentId="13_ncr:1_{C7B7ED63-5F2A-4C78-8E41-A2849075B52D}" xr6:coauthVersionLast="47" xr6:coauthVersionMax="47" xr10:uidLastSave="{00000000-0000-0000-0000-000000000000}"/>
  <bookViews>
    <workbookView xWindow="-108" yWindow="-108" windowWidth="23256" windowHeight="12456" xr2:uid="{81B3C963-CCD2-411C-B8B1-BD0AEF9B3196}"/>
  </bookViews>
  <sheets>
    <sheet name="TEXT &amp; DATE FUNCTIONS" sheetId="3" r:id="rId1"/>
    <sheet name="TEXT &amp; DATE TASKS" sheetId="4" r:id="rId2"/>
    <sheet name="ADD COLUMN + SPARKLINE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9" i="3" l="1"/>
  <c r="S9" i="3"/>
  <c r="M9" i="3"/>
  <c r="O9" i="3" s="1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M2" i="5"/>
  <c r="P2" i="5" s="1"/>
  <c r="M3" i="5"/>
  <c r="P3" i="5" s="1"/>
  <c r="M4" i="5"/>
  <c r="P4" i="5" s="1"/>
  <c r="M5" i="5"/>
  <c r="P5" i="5" s="1"/>
  <c r="M6" i="5"/>
  <c r="P6" i="5" s="1"/>
  <c r="M7" i="5"/>
  <c r="P7" i="5" s="1"/>
  <c r="M8" i="5"/>
  <c r="P8" i="5" s="1"/>
  <c r="M9" i="5"/>
  <c r="P9" i="5" s="1"/>
  <c r="M10" i="5"/>
  <c r="P10" i="5" s="1"/>
  <c r="M11" i="5"/>
  <c r="P11" i="5" s="1"/>
  <c r="M12" i="5"/>
  <c r="P12" i="5" s="1"/>
  <c r="M13" i="5"/>
  <c r="P13" i="5" s="1"/>
  <c r="M14" i="5"/>
  <c r="P14" i="5" s="1"/>
  <c r="M15" i="5"/>
  <c r="P15" i="5" s="1"/>
  <c r="M16" i="5"/>
  <c r="P16" i="5" s="1"/>
  <c r="M17" i="5"/>
  <c r="P17" i="5" s="1"/>
  <c r="M18" i="5"/>
  <c r="P18" i="5" s="1"/>
  <c r="M19" i="5"/>
  <c r="P19" i="5" s="1"/>
  <c r="M20" i="5"/>
  <c r="P20" i="5" s="1"/>
  <c r="M21" i="5"/>
  <c r="P21" i="5" s="1"/>
  <c r="M22" i="5"/>
  <c r="P22" i="5" s="1"/>
  <c r="M23" i="5"/>
  <c r="P23" i="5" s="1"/>
  <c r="M24" i="5"/>
  <c r="P24" i="5" s="1"/>
  <c r="M25" i="5"/>
  <c r="P25" i="5" s="1"/>
  <c r="M26" i="5"/>
  <c r="P26" i="5" s="1"/>
  <c r="M27" i="5"/>
  <c r="P27" i="5" s="1"/>
  <c r="M28" i="5"/>
  <c r="P28" i="5" s="1"/>
  <c r="M29" i="5"/>
  <c r="P29" i="5" s="1"/>
  <c r="M30" i="5"/>
  <c r="P30" i="5" s="1"/>
  <c r="M31" i="5"/>
  <c r="P31" i="5" s="1"/>
  <c r="M32" i="5"/>
  <c r="P32" i="5" s="1"/>
  <c r="M33" i="5"/>
  <c r="P33" i="5" s="1"/>
  <c r="M34" i="5"/>
  <c r="P34" i="5" s="1"/>
  <c r="M35" i="5"/>
  <c r="P35" i="5" s="1"/>
  <c r="M36" i="5"/>
  <c r="P36" i="5" s="1"/>
  <c r="M37" i="5"/>
  <c r="P37" i="5" s="1"/>
  <c r="M38" i="5"/>
  <c r="P38" i="5" s="1"/>
  <c r="M39" i="5"/>
  <c r="P39" i="5" s="1"/>
  <c r="M40" i="5"/>
  <c r="P40" i="5" s="1"/>
  <c r="M41" i="5"/>
  <c r="P41" i="5" s="1"/>
  <c r="M42" i="5"/>
  <c r="P42" i="5" s="1"/>
  <c r="M43" i="5"/>
  <c r="P43" i="5" s="1"/>
  <c r="M44" i="5"/>
  <c r="P44" i="5" s="1"/>
  <c r="M45" i="5"/>
  <c r="P45" i="5" s="1"/>
  <c r="M46" i="5"/>
  <c r="P46" i="5" s="1"/>
  <c r="M47" i="5"/>
  <c r="P47" i="5" s="1"/>
  <c r="M48" i="5"/>
  <c r="P48" i="5" s="1"/>
  <c r="M49" i="5"/>
  <c r="P49" i="5" s="1"/>
  <c r="M50" i="5"/>
  <c r="P50" i="5" s="1"/>
  <c r="M51" i="5"/>
  <c r="P51" i="5" s="1"/>
  <c r="M52" i="5"/>
  <c r="P52" i="5" s="1"/>
  <c r="M53" i="5"/>
  <c r="P53" i="5" s="1"/>
  <c r="M54" i="5"/>
  <c r="P54" i="5" s="1"/>
  <c r="M55" i="5"/>
  <c r="P55" i="5" s="1"/>
  <c r="M56" i="5"/>
  <c r="P56" i="5" s="1"/>
  <c r="M57" i="5"/>
  <c r="P57" i="5" s="1"/>
  <c r="M58" i="5"/>
  <c r="P58" i="5" s="1"/>
  <c r="M59" i="5"/>
  <c r="P59" i="5" s="1"/>
  <c r="M60" i="5"/>
  <c r="P60" i="5" s="1"/>
  <c r="M61" i="5"/>
  <c r="P61" i="5" s="1"/>
  <c r="M62" i="5"/>
  <c r="P62" i="5" s="1"/>
  <c r="M63" i="5"/>
  <c r="P63" i="5" s="1"/>
  <c r="M64" i="5"/>
  <c r="P64" i="5" s="1"/>
  <c r="M65" i="5"/>
  <c r="P65" i="5" s="1"/>
  <c r="M66" i="5"/>
  <c r="P66" i="5" s="1"/>
  <c r="M67" i="5"/>
  <c r="P67" i="5" s="1"/>
  <c r="M68" i="5"/>
  <c r="P68" i="5" s="1"/>
  <c r="M69" i="5"/>
  <c r="P69" i="5" s="1"/>
  <c r="M70" i="5"/>
  <c r="P70" i="5" s="1"/>
  <c r="M71" i="5"/>
  <c r="P71" i="5" s="1"/>
  <c r="M72" i="5"/>
  <c r="P72" i="5" s="1"/>
  <c r="M73" i="5"/>
  <c r="P73" i="5" s="1"/>
  <c r="M74" i="5"/>
  <c r="P74" i="5" s="1"/>
  <c r="M75" i="5"/>
  <c r="P75" i="5" s="1"/>
  <c r="M76" i="5"/>
  <c r="P76" i="5" s="1"/>
  <c r="M77" i="5"/>
  <c r="P77" i="5" s="1"/>
  <c r="M78" i="5"/>
  <c r="P78" i="5" s="1"/>
  <c r="M79" i="5"/>
  <c r="P79" i="5" s="1"/>
  <c r="M80" i="5"/>
  <c r="P80" i="5" s="1"/>
  <c r="M81" i="5"/>
  <c r="P81" i="5" s="1"/>
  <c r="M82" i="5"/>
  <c r="P82" i="5" s="1"/>
  <c r="M83" i="5"/>
  <c r="P83" i="5" s="1"/>
  <c r="M84" i="5"/>
  <c r="P84" i="5" s="1"/>
  <c r="M85" i="5"/>
  <c r="P85" i="5" s="1"/>
  <c r="M86" i="5"/>
  <c r="P86" i="5" s="1"/>
  <c r="M87" i="5"/>
  <c r="P87" i="5" s="1"/>
  <c r="M88" i="5"/>
  <c r="P88" i="5" s="1"/>
  <c r="M89" i="5"/>
  <c r="P89" i="5" s="1"/>
  <c r="M90" i="5"/>
  <c r="P90" i="5" s="1"/>
  <c r="M91" i="5"/>
  <c r="P91" i="5" s="1"/>
  <c r="M92" i="5"/>
  <c r="P92" i="5" s="1"/>
  <c r="M93" i="5"/>
  <c r="P93" i="5" s="1"/>
  <c r="M94" i="5"/>
  <c r="P94" i="5" s="1"/>
  <c r="M95" i="5"/>
  <c r="P95" i="5" s="1"/>
  <c r="M96" i="5"/>
  <c r="P96" i="5" s="1"/>
  <c r="M97" i="5"/>
  <c r="P97" i="5" s="1"/>
  <c r="M98" i="5"/>
  <c r="P98" i="5" s="1"/>
  <c r="M99" i="5"/>
  <c r="P99" i="5" s="1"/>
  <c r="M100" i="5"/>
  <c r="P100" i="5" s="1"/>
  <c r="M101" i="5"/>
  <c r="P101" i="5" s="1"/>
  <c r="M102" i="5"/>
  <c r="P102" i="5" s="1"/>
  <c r="M103" i="5"/>
  <c r="P103" i="5" s="1"/>
  <c r="M104" i="5"/>
  <c r="P104" i="5" s="1"/>
  <c r="M105" i="5"/>
  <c r="P105" i="5" s="1"/>
  <c r="M106" i="5"/>
  <c r="P106" i="5" s="1"/>
  <c r="M107" i="5"/>
  <c r="P107" i="5" s="1"/>
  <c r="M108" i="5"/>
  <c r="P108" i="5" s="1"/>
  <c r="M109" i="5"/>
  <c r="P109" i="5" s="1"/>
  <c r="M110" i="5"/>
  <c r="P110" i="5" s="1"/>
  <c r="M111" i="5"/>
  <c r="P111" i="5" s="1"/>
  <c r="M112" i="5"/>
  <c r="P112" i="5" s="1"/>
  <c r="M113" i="5"/>
  <c r="P113" i="5" s="1"/>
  <c r="M114" i="5"/>
  <c r="P114" i="5" s="1"/>
  <c r="M115" i="5"/>
  <c r="P115" i="5" s="1"/>
  <c r="M116" i="5"/>
  <c r="P116" i="5" s="1"/>
  <c r="M117" i="5"/>
  <c r="P117" i="5" s="1"/>
  <c r="M118" i="5"/>
  <c r="P118" i="5" s="1"/>
  <c r="M119" i="5"/>
  <c r="P119" i="5" s="1"/>
  <c r="M120" i="5"/>
  <c r="P120" i="5" s="1"/>
  <c r="M121" i="5"/>
  <c r="P121" i="5" s="1"/>
  <c r="M122" i="5"/>
  <c r="P122" i="5" s="1"/>
  <c r="M123" i="5"/>
  <c r="P123" i="5" s="1"/>
  <c r="M124" i="5"/>
  <c r="P124" i="5" s="1"/>
  <c r="M125" i="5"/>
  <c r="P125" i="5" s="1"/>
  <c r="M126" i="5"/>
  <c r="P126" i="5" s="1"/>
  <c r="M127" i="5"/>
  <c r="P127" i="5" s="1"/>
  <c r="M128" i="5"/>
  <c r="P128" i="5" s="1"/>
  <c r="M129" i="5"/>
  <c r="P129" i="5" s="1"/>
  <c r="M130" i="5"/>
  <c r="P130" i="5" s="1"/>
  <c r="M131" i="5"/>
  <c r="P131" i="5" s="1"/>
  <c r="M132" i="5"/>
  <c r="P132" i="5" s="1"/>
  <c r="M133" i="5"/>
  <c r="P133" i="5" s="1"/>
  <c r="M134" i="5"/>
  <c r="P134" i="5" s="1"/>
  <c r="M135" i="5"/>
  <c r="P135" i="5" s="1"/>
  <c r="M136" i="5"/>
  <c r="P136" i="5" s="1"/>
  <c r="M137" i="5"/>
  <c r="P137" i="5" s="1"/>
  <c r="M138" i="5"/>
  <c r="P138" i="5" s="1"/>
  <c r="M139" i="5"/>
  <c r="P139" i="5" s="1"/>
  <c r="M140" i="5"/>
  <c r="P140" i="5" s="1"/>
  <c r="M141" i="5"/>
  <c r="P141" i="5" s="1"/>
  <c r="M142" i="5"/>
  <c r="P142" i="5" s="1"/>
  <c r="M143" i="5"/>
  <c r="P143" i="5" s="1"/>
  <c r="M144" i="5"/>
  <c r="P144" i="5" s="1"/>
  <c r="M145" i="5"/>
  <c r="P145" i="5" s="1"/>
  <c r="M146" i="5"/>
  <c r="P146" i="5" s="1"/>
  <c r="M147" i="5"/>
  <c r="P147" i="5" s="1"/>
  <c r="M148" i="5"/>
  <c r="P148" i="5" s="1"/>
  <c r="M149" i="5"/>
  <c r="P149" i="5" s="1"/>
  <c r="M150" i="5"/>
  <c r="P150" i="5" s="1"/>
  <c r="M151" i="5"/>
  <c r="P151" i="5" s="1"/>
  <c r="M152" i="5"/>
  <c r="P152" i="5" s="1"/>
  <c r="M153" i="5"/>
  <c r="P153" i="5" s="1"/>
  <c r="M154" i="5"/>
  <c r="P154" i="5" s="1"/>
  <c r="M155" i="5"/>
  <c r="P155" i="5" s="1"/>
  <c r="M156" i="5"/>
  <c r="P156" i="5" s="1"/>
  <c r="M157" i="5"/>
  <c r="P157" i="5" s="1"/>
  <c r="M158" i="5"/>
  <c r="P158" i="5" s="1"/>
  <c r="M159" i="5"/>
  <c r="P159" i="5" s="1"/>
  <c r="M160" i="5"/>
  <c r="P160" i="5" s="1"/>
  <c r="M161" i="5"/>
  <c r="P161" i="5" s="1"/>
  <c r="M162" i="5"/>
  <c r="P162" i="5" s="1"/>
  <c r="M163" i="5"/>
  <c r="P163" i="5" s="1"/>
  <c r="M164" i="5"/>
  <c r="P164" i="5" s="1"/>
  <c r="M165" i="5"/>
  <c r="P165" i="5" s="1"/>
  <c r="M166" i="5"/>
  <c r="P166" i="5" s="1"/>
  <c r="M167" i="5"/>
  <c r="P167" i="5" s="1"/>
  <c r="M168" i="5"/>
  <c r="P168" i="5" s="1"/>
  <c r="M169" i="5"/>
  <c r="P169" i="5" s="1"/>
  <c r="M170" i="5"/>
  <c r="P170" i="5" s="1"/>
  <c r="M171" i="5"/>
  <c r="P171" i="5" s="1"/>
  <c r="M172" i="5"/>
  <c r="P172" i="5" s="1"/>
  <c r="M173" i="5"/>
  <c r="P173" i="5" s="1"/>
  <c r="M174" i="5"/>
  <c r="P174" i="5" s="1"/>
  <c r="M175" i="5"/>
  <c r="P175" i="5" s="1"/>
  <c r="M176" i="5"/>
  <c r="P176" i="5" s="1"/>
  <c r="M177" i="5"/>
  <c r="P177" i="5" s="1"/>
  <c r="M178" i="5"/>
  <c r="P178" i="5" s="1"/>
  <c r="M179" i="5"/>
  <c r="P179" i="5" s="1"/>
  <c r="M180" i="5"/>
  <c r="P180" i="5" s="1"/>
  <c r="M181" i="5"/>
  <c r="P181" i="5" s="1"/>
  <c r="M182" i="5"/>
  <c r="P182" i="5" s="1"/>
  <c r="M183" i="5"/>
  <c r="P183" i="5" s="1"/>
  <c r="M184" i="5"/>
  <c r="P184" i="5" s="1"/>
  <c r="M185" i="5"/>
  <c r="P185" i="5" s="1"/>
  <c r="M186" i="5"/>
  <c r="P186" i="5" s="1"/>
  <c r="M187" i="5"/>
  <c r="P187" i="5" s="1"/>
  <c r="M188" i="5"/>
  <c r="P188" i="5" s="1"/>
  <c r="M189" i="5"/>
  <c r="P189" i="5" s="1"/>
  <c r="M190" i="5"/>
  <c r="P190" i="5" s="1"/>
  <c r="M191" i="5"/>
  <c r="P191" i="5" s="1"/>
  <c r="M192" i="5"/>
  <c r="P192" i="5" s="1"/>
  <c r="M193" i="5"/>
  <c r="P193" i="5" s="1"/>
  <c r="M194" i="5"/>
  <c r="P194" i="5" s="1"/>
  <c r="M195" i="5"/>
  <c r="P195" i="5" s="1"/>
  <c r="M196" i="5"/>
  <c r="P196" i="5" s="1"/>
  <c r="M197" i="5"/>
  <c r="P197" i="5" s="1"/>
  <c r="M198" i="5"/>
  <c r="P198" i="5" s="1"/>
  <c r="M199" i="5"/>
  <c r="P199" i="5" s="1"/>
  <c r="M200" i="5"/>
  <c r="P200" i="5" s="1"/>
  <c r="M201" i="5"/>
  <c r="P201" i="5" s="1"/>
  <c r="M202" i="5"/>
  <c r="P202" i="5" s="1"/>
  <c r="M203" i="5"/>
  <c r="P203" i="5" s="1"/>
  <c r="M204" i="5"/>
  <c r="P204" i="5" s="1"/>
  <c r="M205" i="5"/>
  <c r="P205" i="5" s="1"/>
  <c r="M206" i="5"/>
  <c r="P206" i="5" s="1"/>
  <c r="M207" i="5"/>
  <c r="P207" i="5" s="1"/>
  <c r="M208" i="5"/>
  <c r="P208" i="5" s="1"/>
  <c r="M209" i="5"/>
  <c r="P209" i="5" s="1"/>
  <c r="M210" i="5"/>
  <c r="P210" i="5" s="1"/>
  <c r="M211" i="5"/>
  <c r="P211" i="5" s="1"/>
  <c r="M212" i="5"/>
  <c r="P212" i="5" s="1"/>
  <c r="M213" i="5"/>
  <c r="P213" i="5" s="1"/>
  <c r="M214" i="5"/>
  <c r="P214" i="5" s="1"/>
  <c r="M215" i="5"/>
  <c r="P215" i="5" s="1"/>
  <c r="M216" i="5"/>
  <c r="P216" i="5" s="1"/>
  <c r="M217" i="5"/>
  <c r="P217" i="5" s="1"/>
  <c r="M218" i="5"/>
  <c r="P218" i="5" s="1"/>
  <c r="M219" i="5"/>
  <c r="P219" i="5" s="1"/>
  <c r="M220" i="5"/>
  <c r="P220" i="5" s="1"/>
  <c r="M221" i="5"/>
  <c r="P221" i="5" s="1"/>
  <c r="M222" i="5"/>
  <c r="P222" i="5" s="1"/>
  <c r="M223" i="5"/>
  <c r="P223" i="5" s="1"/>
  <c r="M224" i="5"/>
  <c r="P224" i="5" s="1"/>
  <c r="M225" i="5"/>
  <c r="P225" i="5" s="1"/>
  <c r="M226" i="5"/>
  <c r="P226" i="5" s="1"/>
  <c r="M227" i="5"/>
  <c r="P227" i="5" s="1"/>
  <c r="M228" i="5"/>
  <c r="P228" i="5" s="1"/>
  <c r="M229" i="5"/>
  <c r="P229" i="5" s="1"/>
  <c r="M230" i="5"/>
  <c r="P230" i="5" s="1"/>
  <c r="M231" i="5"/>
  <c r="P231" i="5" s="1"/>
  <c r="M232" i="5"/>
  <c r="P232" i="5" s="1"/>
  <c r="M233" i="5"/>
  <c r="P233" i="5" s="1"/>
  <c r="M234" i="5"/>
  <c r="P234" i="5" s="1"/>
  <c r="M235" i="5"/>
  <c r="P235" i="5" s="1"/>
  <c r="M236" i="5"/>
  <c r="P236" i="5" s="1"/>
  <c r="M237" i="5"/>
  <c r="P237" i="5" s="1"/>
  <c r="M238" i="5"/>
  <c r="P238" i="5" s="1"/>
  <c r="M239" i="5"/>
  <c r="P239" i="5" s="1"/>
  <c r="M240" i="5"/>
  <c r="P240" i="5" s="1"/>
  <c r="M241" i="5"/>
  <c r="P241" i="5" s="1"/>
  <c r="M242" i="5"/>
  <c r="P242" i="5" s="1"/>
  <c r="M243" i="5"/>
  <c r="P243" i="5" s="1"/>
  <c r="M244" i="5"/>
  <c r="P244" i="5" s="1"/>
  <c r="M245" i="5"/>
  <c r="P245" i="5" s="1"/>
  <c r="M246" i="5"/>
  <c r="P246" i="5" s="1"/>
  <c r="M247" i="5"/>
  <c r="P247" i="5" s="1"/>
  <c r="M248" i="5"/>
  <c r="P248" i="5" s="1"/>
  <c r="M249" i="5"/>
  <c r="P249" i="5" s="1"/>
  <c r="M250" i="5"/>
  <c r="P250" i="5" s="1"/>
  <c r="M251" i="5"/>
  <c r="P251" i="5" s="1"/>
  <c r="M252" i="5"/>
  <c r="P252" i="5" s="1"/>
  <c r="M253" i="5"/>
  <c r="P253" i="5" s="1"/>
  <c r="M254" i="5"/>
  <c r="P254" i="5" s="1"/>
  <c r="M255" i="5"/>
  <c r="P255" i="5" s="1"/>
  <c r="M256" i="5"/>
  <c r="P256" i="5" s="1"/>
  <c r="M257" i="5"/>
  <c r="P257" i="5" s="1"/>
  <c r="M258" i="5"/>
  <c r="P258" i="5" s="1"/>
  <c r="M259" i="5"/>
  <c r="P259" i="5" s="1"/>
  <c r="M260" i="5"/>
  <c r="P260" i="5" s="1"/>
  <c r="M261" i="5"/>
  <c r="P261" i="5" s="1"/>
  <c r="M262" i="5"/>
  <c r="P262" i="5" s="1"/>
  <c r="M263" i="5"/>
  <c r="P263" i="5" s="1"/>
  <c r="M264" i="5"/>
  <c r="P264" i="5" s="1"/>
  <c r="M265" i="5"/>
  <c r="P265" i="5" s="1"/>
  <c r="M266" i="5"/>
  <c r="P266" i="5" s="1"/>
  <c r="M267" i="5"/>
  <c r="P267" i="5" s="1"/>
  <c r="M268" i="5"/>
  <c r="P268" i="5" s="1"/>
  <c r="M269" i="5"/>
  <c r="P269" i="5" s="1"/>
  <c r="M270" i="5"/>
  <c r="P270" i="5" s="1"/>
  <c r="M271" i="5"/>
  <c r="P271" i="5" s="1"/>
  <c r="M272" i="5"/>
  <c r="P272" i="5" s="1"/>
  <c r="M273" i="5"/>
  <c r="P273" i="5" s="1"/>
  <c r="M274" i="5"/>
  <c r="P274" i="5" s="1"/>
  <c r="M275" i="5"/>
  <c r="P275" i="5" s="1"/>
  <c r="M276" i="5"/>
  <c r="P276" i="5" s="1"/>
  <c r="M277" i="5"/>
  <c r="P277" i="5" s="1"/>
  <c r="M278" i="5"/>
  <c r="P278" i="5" s="1"/>
  <c r="M279" i="5"/>
  <c r="P279" i="5" s="1"/>
  <c r="M280" i="5"/>
  <c r="P280" i="5" s="1"/>
  <c r="M281" i="5"/>
  <c r="P281" i="5" s="1"/>
  <c r="M282" i="5"/>
  <c r="P282" i="5" s="1"/>
  <c r="M283" i="5"/>
  <c r="P283" i="5" s="1"/>
  <c r="M284" i="5"/>
  <c r="P284" i="5" s="1"/>
  <c r="M285" i="5"/>
  <c r="P285" i="5" s="1"/>
  <c r="M286" i="5"/>
  <c r="P286" i="5" s="1"/>
  <c r="M287" i="5"/>
  <c r="P287" i="5" s="1"/>
  <c r="M288" i="5"/>
  <c r="P288" i="5" s="1"/>
  <c r="M289" i="5"/>
  <c r="P289" i="5" s="1"/>
  <c r="M290" i="5"/>
  <c r="P290" i="5" s="1"/>
  <c r="M291" i="5"/>
  <c r="P291" i="5" s="1"/>
  <c r="M292" i="5"/>
  <c r="P292" i="5" s="1"/>
  <c r="M293" i="5"/>
  <c r="P293" i="5" s="1"/>
  <c r="M294" i="5"/>
  <c r="P294" i="5" s="1"/>
  <c r="M295" i="5"/>
  <c r="P295" i="5" s="1"/>
  <c r="M296" i="5"/>
  <c r="P296" i="5" s="1"/>
  <c r="M297" i="5"/>
  <c r="P297" i="5" s="1"/>
  <c r="M298" i="5"/>
  <c r="P298" i="5" s="1"/>
  <c r="M299" i="5"/>
  <c r="P299" i="5" s="1"/>
  <c r="M300" i="5"/>
  <c r="P300" i="5" s="1"/>
  <c r="M301" i="5"/>
  <c r="P301" i="5" s="1"/>
  <c r="M302" i="5"/>
  <c r="P302" i="5" s="1"/>
  <c r="M303" i="5"/>
  <c r="P303" i="5" s="1"/>
  <c r="M304" i="5"/>
  <c r="P304" i="5" s="1"/>
  <c r="M305" i="5"/>
  <c r="P305" i="5" s="1"/>
  <c r="M306" i="5"/>
  <c r="P306" i="5" s="1"/>
  <c r="M307" i="5"/>
  <c r="P307" i="5" s="1"/>
  <c r="M308" i="5"/>
  <c r="P308" i="5" s="1"/>
  <c r="M309" i="5"/>
  <c r="P309" i="5" s="1"/>
  <c r="M310" i="5"/>
  <c r="P310" i="5" s="1"/>
  <c r="M311" i="5"/>
  <c r="P311" i="5" s="1"/>
  <c r="M312" i="5"/>
  <c r="P312" i="5" s="1"/>
  <c r="M313" i="5"/>
  <c r="P313" i="5" s="1"/>
  <c r="M314" i="5"/>
  <c r="P314" i="5" s="1"/>
  <c r="M315" i="5"/>
  <c r="P315" i="5" s="1"/>
  <c r="M316" i="5"/>
  <c r="P316" i="5" s="1"/>
  <c r="M317" i="5"/>
  <c r="P317" i="5" s="1"/>
  <c r="M318" i="5"/>
  <c r="P318" i="5" s="1"/>
  <c r="M319" i="5"/>
  <c r="P319" i="5" s="1"/>
  <c r="M320" i="5"/>
  <c r="P320" i="5" s="1"/>
  <c r="M321" i="5"/>
  <c r="P321" i="5" s="1"/>
  <c r="M322" i="5"/>
  <c r="P322" i="5" s="1"/>
  <c r="M323" i="5"/>
  <c r="P323" i="5" s="1"/>
  <c r="M324" i="5"/>
  <c r="P324" i="5" s="1"/>
  <c r="M325" i="5"/>
  <c r="P325" i="5" s="1"/>
  <c r="M326" i="5"/>
  <c r="P326" i="5" s="1"/>
  <c r="M327" i="5"/>
  <c r="P327" i="5" s="1"/>
  <c r="M328" i="5"/>
  <c r="P328" i="5" s="1"/>
  <c r="M329" i="5"/>
  <c r="P329" i="5" s="1"/>
  <c r="M330" i="5"/>
  <c r="P330" i="5" s="1"/>
  <c r="M331" i="5"/>
  <c r="P331" i="5" s="1"/>
  <c r="M332" i="5"/>
  <c r="P332" i="5" s="1"/>
  <c r="M333" i="5"/>
  <c r="P333" i="5" s="1"/>
  <c r="M334" i="5"/>
  <c r="P334" i="5" s="1"/>
  <c r="M335" i="5"/>
  <c r="P335" i="5" s="1"/>
  <c r="M336" i="5"/>
  <c r="P336" i="5" s="1"/>
  <c r="M337" i="5"/>
  <c r="P337" i="5" s="1"/>
  <c r="M338" i="5"/>
  <c r="P338" i="5" s="1"/>
  <c r="M339" i="5"/>
  <c r="P339" i="5" s="1"/>
  <c r="M340" i="5"/>
  <c r="P340" i="5" s="1"/>
  <c r="M341" i="5"/>
  <c r="P341" i="5" s="1"/>
  <c r="M342" i="5"/>
  <c r="P342" i="5" s="1"/>
  <c r="M343" i="5"/>
  <c r="P343" i="5" s="1"/>
  <c r="M344" i="5"/>
  <c r="P344" i="5" s="1"/>
  <c r="M345" i="5"/>
  <c r="P345" i="5" s="1"/>
  <c r="M346" i="5"/>
  <c r="P346" i="5" s="1"/>
  <c r="M347" i="5"/>
  <c r="P347" i="5" s="1"/>
  <c r="M348" i="5"/>
  <c r="P348" i="5" s="1"/>
  <c r="M349" i="5"/>
  <c r="P349" i="5" s="1"/>
  <c r="M350" i="5"/>
  <c r="P350" i="5" s="1"/>
  <c r="M351" i="5"/>
  <c r="P351" i="5" s="1"/>
  <c r="M352" i="5"/>
  <c r="P352" i="5" s="1"/>
  <c r="M353" i="5"/>
  <c r="P353" i="5" s="1"/>
  <c r="M354" i="5"/>
  <c r="P354" i="5" s="1"/>
  <c r="M355" i="5"/>
  <c r="P355" i="5" s="1"/>
  <c r="M356" i="5"/>
  <c r="P356" i="5" s="1"/>
  <c r="M357" i="5"/>
  <c r="P357" i="5" s="1"/>
  <c r="M358" i="5"/>
  <c r="P358" i="5" s="1"/>
  <c r="M359" i="5"/>
  <c r="P359" i="5" s="1"/>
  <c r="M360" i="5"/>
  <c r="P360" i="5" s="1"/>
  <c r="M361" i="5"/>
  <c r="P361" i="5" s="1"/>
  <c r="M362" i="5"/>
  <c r="P362" i="5" s="1"/>
  <c r="M363" i="5"/>
  <c r="P363" i="5" s="1"/>
  <c r="M364" i="5"/>
  <c r="P364" i="5" s="1"/>
  <c r="M365" i="5"/>
  <c r="P365" i="5" s="1"/>
  <c r="M366" i="5"/>
  <c r="P366" i="5" s="1"/>
  <c r="M367" i="5"/>
  <c r="P367" i="5" s="1"/>
  <c r="M368" i="5"/>
  <c r="P368" i="5" s="1"/>
  <c r="M369" i="5"/>
  <c r="P369" i="5" s="1"/>
  <c r="M370" i="5"/>
  <c r="P370" i="5" s="1"/>
  <c r="M371" i="5"/>
  <c r="P371" i="5" s="1"/>
  <c r="M372" i="5"/>
  <c r="P372" i="5" s="1"/>
  <c r="M373" i="5"/>
  <c r="P373" i="5" s="1"/>
  <c r="M374" i="5"/>
  <c r="P374" i="5" s="1"/>
  <c r="M375" i="5"/>
  <c r="P375" i="5" s="1"/>
  <c r="M376" i="5"/>
  <c r="P376" i="5" s="1"/>
  <c r="M377" i="5"/>
  <c r="P377" i="5" s="1"/>
  <c r="M378" i="5"/>
  <c r="P378" i="5" s="1"/>
  <c r="M379" i="5"/>
  <c r="P379" i="5" s="1"/>
  <c r="M380" i="5"/>
  <c r="P380" i="5" s="1"/>
  <c r="M381" i="5"/>
  <c r="P381" i="5" s="1"/>
  <c r="M382" i="5"/>
  <c r="P382" i="5" s="1"/>
  <c r="M383" i="5"/>
  <c r="P383" i="5" s="1"/>
  <c r="M384" i="5"/>
  <c r="P384" i="5" s="1"/>
  <c r="M385" i="5"/>
  <c r="P385" i="5" s="1"/>
  <c r="M386" i="5"/>
  <c r="P386" i="5" s="1"/>
  <c r="M387" i="5"/>
  <c r="P387" i="5" s="1"/>
  <c r="M388" i="5"/>
  <c r="P388" i="5" s="1"/>
  <c r="M389" i="5"/>
  <c r="P389" i="5" s="1"/>
  <c r="M390" i="5"/>
  <c r="P390" i="5" s="1"/>
  <c r="M391" i="5"/>
  <c r="P391" i="5" s="1"/>
  <c r="M392" i="5"/>
  <c r="P392" i="5" s="1"/>
  <c r="M393" i="5"/>
  <c r="P393" i="5" s="1"/>
  <c r="M394" i="5"/>
  <c r="P394" i="5" s="1"/>
  <c r="M395" i="5"/>
  <c r="P395" i="5" s="1"/>
  <c r="M396" i="5"/>
  <c r="P396" i="5" s="1"/>
  <c r="M397" i="5"/>
  <c r="P397" i="5" s="1"/>
  <c r="M398" i="5"/>
  <c r="P398" i="5" s="1"/>
  <c r="M399" i="5"/>
  <c r="P399" i="5" s="1"/>
  <c r="M400" i="5"/>
  <c r="P400" i="5" s="1"/>
  <c r="M401" i="5"/>
  <c r="P401" i="5" s="1"/>
  <c r="M402" i="5"/>
  <c r="P402" i="5" s="1"/>
  <c r="M403" i="5"/>
  <c r="P403" i="5" s="1"/>
  <c r="M404" i="5"/>
  <c r="P404" i="5" s="1"/>
  <c r="M405" i="5"/>
  <c r="P405" i="5" s="1"/>
  <c r="M406" i="5"/>
  <c r="P406" i="5" s="1"/>
  <c r="M407" i="5"/>
  <c r="P407" i="5" s="1"/>
  <c r="M408" i="5"/>
  <c r="P408" i="5" s="1"/>
  <c r="M409" i="5"/>
  <c r="P409" i="5" s="1"/>
  <c r="M410" i="5"/>
  <c r="P410" i="5" s="1"/>
  <c r="M411" i="5"/>
  <c r="P411" i="5" s="1"/>
  <c r="M412" i="5"/>
  <c r="P412" i="5" s="1"/>
  <c r="M413" i="5"/>
  <c r="P413" i="5" s="1"/>
  <c r="M414" i="5"/>
  <c r="P414" i="5" s="1"/>
  <c r="M415" i="5"/>
  <c r="P415" i="5" s="1"/>
  <c r="M416" i="5"/>
  <c r="P416" i="5" s="1"/>
  <c r="M417" i="5"/>
  <c r="P417" i="5" s="1"/>
  <c r="M418" i="5"/>
  <c r="P418" i="5" s="1"/>
  <c r="M419" i="5"/>
  <c r="P419" i="5" s="1"/>
  <c r="M420" i="5"/>
  <c r="P420" i="5" s="1"/>
  <c r="M421" i="5"/>
  <c r="P421" i="5" s="1"/>
  <c r="M422" i="5"/>
  <c r="P422" i="5" s="1"/>
  <c r="M423" i="5"/>
  <c r="P423" i="5" s="1"/>
  <c r="M424" i="5"/>
  <c r="P424" i="5" s="1"/>
  <c r="M425" i="5"/>
  <c r="P425" i="5" s="1"/>
  <c r="M426" i="5"/>
  <c r="P426" i="5" s="1"/>
  <c r="M427" i="5"/>
  <c r="P427" i="5" s="1"/>
  <c r="M428" i="5"/>
  <c r="P428" i="5" s="1"/>
  <c r="M429" i="5"/>
  <c r="P429" i="5" s="1"/>
  <c r="M430" i="5"/>
  <c r="P430" i="5" s="1"/>
  <c r="M431" i="5"/>
  <c r="P431" i="5" s="1"/>
  <c r="M432" i="5"/>
  <c r="P432" i="5" s="1"/>
  <c r="M433" i="5"/>
  <c r="P433" i="5" s="1"/>
  <c r="M434" i="5"/>
  <c r="P434" i="5" s="1"/>
  <c r="M435" i="5"/>
  <c r="P435" i="5" s="1"/>
  <c r="M436" i="5"/>
  <c r="P436" i="5" s="1"/>
  <c r="M437" i="5"/>
  <c r="P437" i="5" s="1"/>
  <c r="M438" i="5"/>
  <c r="P438" i="5" s="1"/>
  <c r="M439" i="5"/>
  <c r="P439" i="5" s="1"/>
  <c r="M440" i="5"/>
  <c r="P440" i="5" s="1"/>
  <c r="M441" i="5"/>
  <c r="P441" i="5" s="1"/>
  <c r="M442" i="5"/>
  <c r="P442" i="5" s="1"/>
  <c r="M443" i="5"/>
  <c r="P443" i="5" s="1"/>
  <c r="M444" i="5"/>
  <c r="P444" i="5" s="1"/>
  <c r="M445" i="5"/>
  <c r="P445" i="5" s="1"/>
  <c r="M446" i="5"/>
  <c r="P446" i="5" s="1"/>
  <c r="M447" i="5"/>
  <c r="P447" i="5" s="1"/>
  <c r="M448" i="5"/>
  <c r="P448" i="5" s="1"/>
  <c r="M449" i="5"/>
  <c r="P449" i="5" s="1"/>
  <c r="M450" i="5"/>
  <c r="P450" i="5" s="1"/>
  <c r="M451" i="5"/>
  <c r="P451" i="5" s="1"/>
  <c r="M452" i="5"/>
  <c r="P452" i="5" s="1"/>
  <c r="M453" i="5"/>
  <c r="P453" i="5" s="1"/>
  <c r="M454" i="5"/>
  <c r="P454" i="5" s="1"/>
  <c r="M455" i="5"/>
  <c r="P455" i="5" s="1"/>
  <c r="M456" i="5"/>
  <c r="P456" i="5" s="1"/>
  <c r="M457" i="5"/>
  <c r="P457" i="5" s="1"/>
  <c r="M458" i="5"/>
  <c r="P458" i="5" s="1"/>
  <c r="M459" i="5"/>
  <c r="P459" i="5" s="1"/>
  <c r="M460" i="5"/>
  <c r="P460" i="5" s="1"/>
  <c r="M461" i="5"/>
  <c r="P461" i="5" s="1"/>
  <c r="M462" i="5"/>
  <c r="P462" i="5" s="1"/>
  <c r="M463" i="5"/>
  <c r="P463" i="5" s="1"/>
  <c r="M464" i="5"/>
  <c r="P464" i="5" s="1"/>
  <c r="M465" i="5"/>
  <c r="P465" i="5" s="1"/>
  <c r="M466" i="5"/>
  <c r="P466" i="5" s="1"/>
  <c r="M467" i="5"/>
  <c r="P467" i="5" s="1"/>
  <c r="M468" i="5"/>
  <c r="P468" i="5" s="1"/>
  <c r="M469" i="5"/>
  <c r="P469" i="5" s="1"/>
  <c r="M470" i="5"/>
  <c r="P470" i="5" s="1"/>
  <c r="M471" i="5"/>
  <c r="P471" i="5" s="1"/>
  <c r="M472" i="5"/>
  <c r="P472" i="5" s="1"/>
  <c r="M473" i="5"/>
  <c r="P473" i="5" s="1"/>
  <c r="M474" i="5"/>
  <c r="P474" i="5" s="1"/>
  <c r="M475" i="5"/>
  <c r="P475" i="5" s="1"/>
  <c r="M476" i="5"/>
  <c r="P476" i="5" s="1"/>
  <c r="M477" i="5"/>
  <c r="P477" i="5" s="1"/>
  <c r="M478" i="5"/>
  <c r="P478" i="5" s="1"/>
  <c r="M479" i="5"/>
  <c r="P479" i="5" s="1"/>
  <c r="M480" i="5"/>
  <c r="P480" i="5" s="1"/>
  <c r="M481" i="5"/>
  <c r="P481" i="5" s="1"/>
  <c r="M482" i="5"/>
  <c r="P482" i="5" s="1"/>
  <c r="M483" i="5"/>
  <c r="P483" i="5" s="1"/>
  <c r="M484" i="5"/>
  <c r="P484" i="5" s="1"/>
  <c r="M485" i="5"/>
  <c r="P485" i="5" s="1"/>
  <c r="M486" i="5"/>
  <c r="P486" i="5" s="1"/>
  <c r="M487" i="5"/>
  <c r="P487" i="5" s="1"/>
  <c r="M488" i="5"/>
  <c r="P488" i="5" s="1"/>
  <c r="M489" i="5"/>
  <c r="P489" i="5" s="1"/>
  <c r="M490" i="5"/>
  <c r="P490" i="5" s="1"/>
  <c r="M491" i="5"/>
  <c r="P491" i="5" s="1"/>
  <c r="M492" i="5"/>
  <c r="P492" i="5" s="1"/>
  <c r="M493" i="5"/>
  <c r="P493" i="5" s="1"/>
  <c r="M494" i="5"/>
  <c r="P494" i="5" s="1"/>
  <c r="M495" i="5"/>
  <c r="P495" i="5" s="1"/>
  <c r="M496" i="5"/>
  <c r="P496" i="5" s="1"/>
  <c r="M497" i="5"/>
  <c r="P497" i="5" s="1"/>
  <c r="M498" i="5"/>
  <c r="P498" i="5" s="1"/>
  <c r="M499" i="5"/>
  <c r="P499" i="5" s="1"/>
  <c r="M500" i="5"/>
  <c r="P500" i="5" s="1"/>
  <c r="M501" i="5"/>
  <c r="P501" i="5" s="1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O24" i="4"/>
  <c r="O25" i="4"/>
  <c r="O26" i="4"/>
  <c r="O27" i="4"/>
  <c r="O23" i="4"/>
  <c r="N24" i="4"/>
  <c r="N25" i="4"/>
  <c r="N26" i="4"/>
  <c r="N27" i="4"/>
  <c r="N23" i="4"/>
  <c r="M24" i="4"/>
  <c r="M25" i="4"/>
  <c r="M26" i="4"/>
  <c r="M27" i="4"/>
  <c r="M23" i="4"/>
  <c r="T16" i="4"/>
  <c r="T17" i="4"/>
  <c r="T18" i="4"/>
  <c r="T19" i="4"/>
  <c r="T15" i="4"/>
  <c r="S16" i="4"/>
  <c r="S17" i="4"/>
  <c r="S18" i="4"/>
  <c r="S19" i="4"/>
  <c r="S15" i="4"/>
  <c r="R16" i="4"/>
  <c r="R17" i="4"/>
  <c r="R18" i="4"/>
  <c r="R19" i="4"/>
  <c r="R15" i="4"/>
  <c r="Q16" i="4"/>
  <c r="Q17" i="4"/>
  <c r="Q18" i="4"/>
  <c r="Q19" i="4"/>
  <c r="Q15" i="4"/>
  <c r="P16" i="4"/>
  <c r="P17" i="4"/>
  <c r="P18" i="4"/>
  <c r="P19" i="4"/>
  <c r="P15" i="4"/>
  <c r="O16" i="4"/>
  <c r="O17" i="4"/>
  <c r="O18" i="4"/>
  <c r="O19" i="4"/>
  <c r="O15" i="4"/>
  <c r="N16" i="4"/>
  <c r="N17" i="4"/>
  <c r="N18" i="4"/>
  <c r="N19" i="4"/>
  <c r="N15" i="4"/>
  <c r="Q5" i="4"/>
  <c r="Q6" i="4"/>
  <c r="Q7" i="4"/>
  <c r="Q8" i="4"/>
  <c r="Q4" i="4"/>
  <c r="P5" i="4"/>
  <c r="P6" i="4"/>
  <c r="P7" i="4"/>
  <c r="P8" i="4"/>
  <c r="P4" i="4"/>
  <c r="O5" i="4"/>
  <c r="O6" i="4"/>
  <c r="O7" i="4"/>
  <c r="O8" i="4"/>
  <c r="O4" i="4"/>
  <c r="N5" i="4"/>
  <c r="N6" i="4"/>
  <c r="N7" i="4"/>
  <c r="N8" i="4"/>
  <c r="N4" i="4"/>
  <c r="M5" i="4"/>
  <c r="M6" i="4"/>
  <c r="M7" i="4"/>
  <c r="M8" i="4"/>
  <c r="M9" i="4"/>
  <c r="M4" i="4"/>
  <c r="K5" i="4"/>
  <c r="K6" i="4"/>
  <c r="K7" i="4"/>
  <c r="K8" i="4"/>
  <c r="K4" i="4"/>
  <c r="W20" i="3"/>
  <c r="S20" i="3"/>
  <c r="U20" i="3"/>
  <c r="W17" i="3"/>
  <c r="O17" i="3"/>
  <c r="Q17" i="3" s="1"/>
  <c r="M17" i="3"/>
  <c r="M20" i="3" s="1"/>
  <c r="Y6" i="3"/>
  <c r="W6" i="3"/>
  <c r="U6" i="3"/>
  <c r="O6" i="3"/>
  <c r="Q6" i="3" s="1"/>
  <c r="S6" i="3" s="1"/>
  <c r="M6" i="3"/>
  <c r="K2" i="5" a="1"/>
  <c r="K2" i="5" s="1"/>
  <c r="K3" i="5" a="1"/>
  <c r="K3" i="5" s="1"/>
  <c r="K4" i="5" a="1"/>
  <c r="K4" i="5" s="1"/>
  <c r="K5" i="5" a="1"/>
  <c r="K5" i="5" s="1"/>
  <c r="K6" i="5" a="1"/>
  <c r="K6" i="5" s="1"/>
  <c r="K7" i="5" a="1"/>
  <c r="K7" i="5" s="1"/>
  <c r="K8" i="5" a="1"/>
  <c r="K8" i="5" s="1"/>
  <c r="K9" i="5" a="1"/>
  <c r="K9" i="5" s="1"/>
  <c r="K10" i="5" a="1"/>
  <c r="K10" i="5" s="1"/>
  <c r="K11" i="5" a="1"/>
  <c r="K11" i="5" s="1"/>
  <c r="K12" i="5" a="1"/>
  <c r="K12" i="5" s="1"/>
  <c r="K13" i="5" a="1"/>
  <c r="K13" i="5" s="1"/>
  <c r="K14" i="5" a="1"/>
  <c r="K14" i="5" s="1"/>
  <c r="K15" i="5" a="1"/>
  <c r="K15" i="5" s="1"/>
  <c r="K16" i="5" a="1"/>
  <c r="K16" i="5" s="1"/>
  <c r="K17" i="5" a="1"/>
  <c r="K17" i="5" s="1"/>
  <c r="K18" i="5" a="1"/>
  <c r="K18" i="5" s="1"/>
  <c r="K19" i="5" a="1"/>
  <c r="K19" i="5" s="1"/>
  <c r="K20" i="5" a="1"/>
  <c r="K20" i="5" s="1"/>
  <c r="K21" i="5" a="1"/>
  <c r="K21" i="5" s="1"/>
  <c r="K22" i="5" a="1"/>
  <c r="K22" i="5" s="1"/>
  <c r="K23" i="5" a="1"/>
  <c r="K23" i="5" s="1"/>
  <c r="K24" i="5" a="1"/>
  <c r="K24" i="5" s="1"/>
  <c r="K25" i="5" a="1"/>
  <c r="K25" i="5" s="1"/>
  <c r="K26" i="5" a="1"/>
  <c r="K26" i="5" s="1"/>
  <c r="K27" i="5" a="1"/>
  <c r="K27" i="5" s="1"/>
  <c r="K28" i="5" a="1"/>
  <c r="K28" i="5" s="1"/>
  <c r="K29" i="5" a="1"/>
  <c r="K29" i="5" s="1"/>
  <c r="K30" i="5" a="1"/>
  <c r="K30" i="5" s="1"/>
  <c r="K31" i="5" a="1"/>
  <c r="K31" i="5" s="1"/>
  <c r="K32" i="5" a="1"/>
  <c r="K32" i="5" s="1"/>
  <c r="K33" i="5" a="1"/>
  <c r="K33" i="5" s="1"/>
  <c r="K34" i="5" a="1"/>
  <c r="K34" i="5" s="1"/>
  <c r="K35" i="5" a="1"/>
  <c r="K35" i="5" s="1"/>
  <c r="K36" i="5" a="1"/>
  <c r="K36" i="5" s="1"/>
  <c r="K37" i="5" a="1"/>
  <c r="K37" i="5" s="1"/>
  <c r="K38" i="5" a="1"/>
  <c r="K38" i="5" s="1"/>
  <c r="K39" i="5" a="1"/>
  <c r="K39" i="5" s="1"/>
  <c r="K40" i="5" a="1"/>
  <c r="K40" i="5" s="1"/>
  <c r="K41" i="5" a="1"/>
  <c r="K41" i="5" s="1"/>
  <c r="K42" i="5" a="1"/>
  <c r="K42" i="5" s="1"/>
  <c r="K43" i="5" a="1"/>
  <c r="K43" i="5" s="1"/>
  <c r="K44" i="5" a="1"/>
  <c r="K44" i="5" s="1"/>
  <c r="K45" i="5" a="1"/>
  <c r="K45" i="5" s="1"/>
  <c r="K46" i="5" a="1"/>
  <c r="K46" i="5" s="1"/>
  <c r="K47" i="5" a="1"/>
  <c r="K47" i="5" s="1"/>
  <c r="K48" i="5" a="1"/>
  <c r="K48" i="5" s="1"/>
  <c r="K49" i="5" a="1"/>
  <c r="K49" i="5" s="1"/>
  <c r="K50" i="5" a="1"/>
  <c r="K50" i="5" s="1"/>
  <c r="K51" i="5" a="1"/>
  <c r="K51" i="5" s="1"/>
  <c r="K52" i="5" a="1"/>
  <c r="K52" i="5" s="1"/>
  <c r="K53" i="5" a="1"/>
  <c r="K53" i="5" s="1"/>
  <c r="K54" i="5" a="1"/>
  <c r="K54" i="5" s="1"/>
  <c r="K55" i="5" a="1"/>
  <c r="K55" i="5" s="1"/>
  <c r="K56" i="5" a="1"/>
  <c r="K56" i="5" s="1"/>
  <c r="K57" i="5" a="1"/>
  <c r="K57" i="5" s="1"/>
  <c r="K58" i="5" a="1"/>
  <c r="K58" i="5" s="1"/>
  <c r="K59" i="5" a="1"/>
  <c r="K59" i="5" s="1"/>
  <c r="K60" i="5" a="1"/>
  <c r="K60" i="5" s="1"/>
  <c r="K61" i="5" a="1"/>
  <c r="K61" i="5" s="1"/>
  <c r="K62" i="5" a="1"/>
  <c r="K62" i="5" s="1"/>
  <c r="K63" i="5" a="1"/>
  <c r="K63" i="5" s="1"/>
  <c r="K64" i="5" a="1"/>
  <c r="K64" i="5" s="1"/>
  <c r="K65" i="5" a="1"/>
  <c r="K65" i="5" s="1"/>
  <c r="K66" i="5" a="1"/>
  <c r="K66" i="5" s="1"/>
  <c r="K67" i="5" a="1"/>
  <c r="K67" i="5" s="1"/>
  <c r="K68" i="5" a="1"/>
  <c r="K68" i="5" s="1"/>
  <c r="K69" i="5" a="1"/>
  <c r="K69" i="5" s="1"/>
  <c r="K70" i="5" a="1"/>
  <c r="K70" i="5" s="1"/>
  <c r="K71" i="5" a="1"/>
  <c r="K71" i="5" s="1"/>
  <c r="K72" i="5" a="1"/>
  <c r="K72" i="5" s="1"/>
  <c r="K73" i="5" a="1"/>
  <c r="K73" i="5" s="1"/>
  <c r="K74" i="5" a="1"/>
  <c r="K74" i="5" s="1"/>
  <c r="K75" i="5" a="1"/>
  <c r="K75" i="5" s="1"/>
  <c r="K76" i="5" a="1"/>
  <c r="K76" i="5" s="1"/>
  <c r="K77" i="5" a="1"/>
  <c r="K77" i="5" s="1"/>
  <c r="K78" i="5" a="1"/>
  <c r="K78" i="5" s="1"/>
  <c r="K79" i="5" a="1"/>
  <c r="K79" i="5" s="1"/>
  <c r="K80" i="5" a="1"/>
  <c r="K80" i="5" s="1"/>
  <c r="K81" i="5" a="1"/>
  <c r="K81" i="5" s="1"/>
  <c r="K82" i="5" a="1"/>
  <c r="K82" i="5" s="1"/>
  <c r="K83" i="5" a="1"/>
  <c r="K83" i="5" s="1"/>
  <c r="K84" i="5" a="1"/>
  <c r="K84" i="5" s="1"/>
  <c r="K85" i="5" a="1"/>
  <c r="K85" i="5" s="1"/>
  <c r="K86" i="5" a="1"/>
  <c r="K86" i="5" s="1"/>
  <c r="K87" i="5" a="1"/>
  <c r="K87" i="5" s="1"/>
  <c r="K88" i="5" a="1"/>
  <c r="K88" i="5" s="1"/>
  <c r="K89" i="5" a="1"/>
  <c r="K89" i="5" s="1"/>
  <c r="K90" i="5" a="1"/>
  <c r="K90" i="5" s="1"/>
  <c r="K91" i="5" a="1"/>
  <c r="K91" i="5" s="1"/>
  <c r="K92" i="5" a="1"/>
  <c r="K92" i="5" s="1"/>
  <c r="K93" i="5" a="1"/>
  <c r="K93" i="5" s="1"/>
  <c r="K94" i="5" a="1"/>
  <c r="K94" i="5" s="1"/>
  <c r="K95" i="5" a="1"/>
  <c r="K95" i="5" s="1"/>
  <c r="K96" i="5" a="1"/>
  <c r="K96" i="5" s="1"/>
  <c r="K97" i="5" a="1"/>
  <c r="K97" i="5" s="1"/>
  <c r="K98" i="5" a="1"/>
  <c r="K98" i="5" s="1"/>
  <c r="K99" i="5" a="1"/>
  <c r="K99" i="5" s="1"/>
  <c r="K100" i="5" a="1"/>
  <c r="K100" i="5" s="1"/>
  <c r="K101" i="5" a="1"/>
  <c r="K101" i="5" s="1"/>
  <c r="K102" i="5" a="1"/>
  <c r="K102" i="5" s="1"/>
  <c r="K103" i="5" a="1"/>
  <c r="K103" i="5" s="1"/>
  <c r="K104" i="5" a="1"/>
  <c r="K104" i="5" s="1"/>
  <c r="K105" i="5" a="1"/>
  <c r="K105" i="5" s="1"/>
  <c r="K106" i="5" a="1"/>
  <c r="K106" i="5" s="1"/>
  <c r="K107" i="5" a="1"/>
  <c r="K107" i="5" s="1"/>
  <c r="K108" i="5" a="1"/>
  <c r="K108" i="5" s="1"/>
  <c r="K109" i="5" a="1"/>
  <c r="K109" i="5" s="1"/>
  <c r="K110" i="5" a="1"/>
  <c r="K110" i="5" s="1"/>
  <c r="K111" i="5" a="1"/>
  <c r="K111" i="5" s="1"/>
  <c r="K112" i="5" a="1"/>
  <c r="K112" i="5" s="1"/>
  <c r="K113" i="5" a="1"/>
  <c r="K113" i="5" s="1"/>
  <c r="K114" i="5" a="1"/>
  <c r="K114" i="5" s="1"/>
  <c r="K115" i="5" a="1"/>
  <c r="K115" i="5" s="1"/>
  <c r="K116" i="5" a="1"/>
  <c r="K116" i="5" s="1"/>
  <c r="K117" i="5" a="1"/>
  <c r="K117" i="5" s="1"/>
  <c r="K118" i="5" a="1"/>
  <c r="K118" i="5" s="1"/>
  <c r="K119" i="5" a="1"/>
  <c r="K119" i="5" s="1"/>
  <c r="K120" i="5" a="1"/>
  <c r="K120" i="5" s="1"/>
  <c r="K121" i="5" a="1"/>
  <c r="K121" i="5" s="1"/>
  <c r="K122" i="5" a="1"/>
  <c r="K122" i="5" s="1"/>
  <c r="K123" i="5" a="1"/>
  <c r="K123" i="5" s="1"/>
  <c r="K124" i="5" a="1"/>
  <c r="K124" i="5" s="1"/>
  <c r="K125" i="5" a="1"/>
  <c r="K125" i="5" s="1"/>
  <c r="K126" i="5" a="1"/>
  <c r="K126" i="5" s="1"/>
  <c r="K127" i="5" a="1"/>
  <c r="K127" i="5" s="1"/>
  <c r="K128" i="5" a="1"/>
  <c r="K128" i="5" s="1"/>
  <c r="K129" i="5" a="1"/>
  <c r="K129" i="5" s="1"/>
  <c r="K130" i="5" a="1"/>
  <c r="K130" i="5" s="1"/>
  <c r="K131" i="5" a="1"/>
  <c r="K131" i="5" s="1"/>
  <c r="K132" i="5" a="1"/>
  <c r="K132" i="5" s="1"/>
  <c r="K133" i="5" a="1"/>
  <c r="K133" i="5" s="1"/>
  <c r="K134" i="5" a="1"/>
  <c r="K134" i="5" s="1"/>
  <c r="K135" i="5" a="1"/>
  <c r="K135" i="5" s="1"/>
  <c r="K136" i="5" a="1"/>
  <c r="K136" i="5" s="1"/>
  <c r="K137" i="5" a="1"/>
  <c r="K137" i="5" s="1"/>
  <c r="K138" i="5" a="1"/>
  <c r="K138" i="5" s="1"/>
  <c r="K139" i="5" a="1"/>
  <c r="K139" i="5" s="1"/>
  <c r="K140" i="5" a="1"/>
  <c r="K140" i="5" s="1"/>
  <c r="K141" i="5" a="1"/>
  <c r="K141" i="5" s="1"/>
  <c r="K142" i="5" a="1"/>
  <c r="K142" i="5" s="1"/>
  <c r="K143" i="5" a="1"/>
  <c r="K143" i="5" s="1"/>
  <c r="K144" i="5" a="1"/>
  <c r="K144" i="5" s="1"/>
  <c r="K145" i="5" a="1"/>
  <c r="K145" i="5" s="1"/>
  <c r="K146" i="5" a="1"/>
  <c r="K146" i="5" s="1"/>
  <c r="K147" i="5" a="1"/>
  <c r="K147" i="5" s="1"/>
  <c r="K148" i="5" a="1"/>
  <c r="K148" i="5" s="1"/>
  <c r="K149" i="5" a="1"/>
  <c r="K149" i="5" s="1"/>
  <c r="K150" i="5" a="1"/>
  <c r="K150" i="5" s="1"/>
  <c r="K151" i="5" a="1"/>
  <c r="K151" i="5" s="1"/>
  <c r="K152" i="5" a="1"/>
  <c r="K152" i="5" s="1"/>
  <c r="K153" i="5" a="1"/>
  <c r="K153" i="5" s="1"/>
  <c r="K154" i="5" a="1"/>
  <c r="K154" i="5" s="1"/>
  <c r="K155" i="5" a="1"/>
  <c r="K155" i="5" s="1"/>
  <c r="K156" i="5" a="1"/>
  <c r="K156" i="5" s="1"/>
  <c r="K157" i="5" a="1"/>
  <c r="K157" i="5" s="1"/>
  <c r="K158" i="5" a="1"/>
  <c r="K158" i="5" s="1"/>
  <c r="K159" i="5" a="1"/>
  <c r="K159" i="5" s="1"/>
  <c r="K160" i="5" a="1"/>
  <c r="K160" i="5" s="1"/>
  <c r="K161" i="5" a="1"/>
  <c r="K161" i="5" s="1"/>
  <c r="K162" i="5" a="1"/>
  <c r="K162" i="5" s="1"/>
  <c r="K163" i="5" a="1"/>
  <c r="K163" i="5" s="1"/>
  <c r="K164" i="5" a="1"/>
  <c r="K164" i="5" s="1"/>
  <c r="K165" i="5" a="1"/>
  <c r="K165" i="5" s="1"/>
  <c r="K166" i="5" a="1"/>
  <c r="K166" i="5" s="1"/>
  <c r="K167" i="5" a="1"/>
  <c r="K167" i="5" s="1"/>
  <c r="K168" i="5" a="1"/>
  <c r="K168" i="5" s="1"/>
  <c r="K169" i="5" a="1"/>
  <c r="K169" i="5" s="1"/>
  <c r="K170" i="5" a="1"/>
  <c r="K170" i="5" s="1"/>
  <c r="K171" i="5" a="1"/>
  <c r="K171" i="5" s="1"/>
  <c r="K172" i="5" a="1"/>
  <c r="K172" i="5" s="1"/>
  <c r="K173" i="5" a="1"/>
  <c r="K173" i="5" s="1"/>
  <c r="K174" i="5" a="1"/>
  <c r="K174" i="5" s="1"/>
  <c r="K175" i="5" a="1"/>
  <c r="K175" i="5" s="1"/>
  <c r="K176" i="5" a="1"/>
  <c r="K176" i="5" s="1"/>
  <c r="K177" i="5" a="1"/>
  <c r="K177" i="5" s="1"/>
  <c r="K178" i="5" a="1"/>
  <c r="K178" i="5" s="1"/>
  <c r="K179" i="5" a="1"/>
  <c r="K179" i="5" s="1"/>
  <c r="K180" i="5" a="1"/>
  <c r="K180" i="5" s="1"/>
  <c r="K181" i="5" a="1"/>
  <c r="K181" i="5" s="1"/>
  <c r="K182" i="5" a="1"/>
  <c r="K182" i="5" s="1"/>
  <c r="K183" i="5" a="1"/>
  <c r="K183" i="5" s="1"/>
  <c r="K184" i="5" a="1"/>
  <c r="K184" i="5" s="1"/>
  <c r="K185" i="5" a="1"/>
  <c r="K185" i="5" s="1"/>
  <c r="K186" i="5" a="1"/>
  <c r="K186" i="5" s="1"/>
  <c r="K187" i="5" a="1"/>
  <c r="K187" i="5" s="1"/>
  <c r="K188" i="5" a="1"/>
  <c r="K188" i="5" s="1"/>
  <c r="K189" i="5" a="1"/>
  <c r="K189" i="5" s="1"/>
  <c r="K190" i="5" a="1"/>
  <c r="K190" i="5" s="1"/>
  <c r="K191" i="5" a="1"/>
  <c r="K191" i="5" s="1"/>
  <c r="K192" i="5" a="1"/>
  <c r="K192" i="5" s="1"/>
  <c r="K193" i="5" a="1"/>
  <c r="K193" i="5" s="1"/>
  <c r="K194" i="5" a="1"/>
  <c r="K194" i="5" s="1"/>
  <c r="K195" i="5" a="1"/>
  <c r="K195" i="5" s="1"/>
  <c r="K196" i="5" a="1"/>
  <c r="K196" i="5" s="1"/>
  <c r="K197" i="5" a="1"/>
  <c r="K197" i="5" s="1"/>
  <c r="K198" i="5" a="1"/>
  <c r="K198" i="5" s="1"/>
  <c r="K199" i="5" a="1"/>
  <c r="K199" i="5" s="1"/>
  <c r="K200" i="5" a="1"/>
  <c r="K200" i="5" s="1"/>
  <c r="K201" i="5" a="1"/>
  <c r="K201" i="5" s="1"/>
  <c r="K202" i="5" a="1"/>
  <c r="K202" i="5" s="1"/>
  <c r="K203" i="5" a="1"/>
  <c r="K203" i="5" s="1"/>
  <c r="K204" i="5" a="1"/>
  <c r="K204" i="5" s="1"/>
  <c r="K205" i="5" a="1"/>
  <c r="K205" i="5" s="1"/>
  <c r="K206" i="5" a="1"/>
  <c r="K206" i="5" s="1"/>
  <c r="K207" i="5" a="1"/>
  <c r="K207" i="5" s="1"/>
  <c r="K208" i="5" a="1"/>
  <c r="K208" i="5" s="1"/>
  <c r="K209" i="5" a="1"/>
  <c r="K209" i="5" s="1"/>
  <c r="K210" i="5" a="1"/>
  <c r="K210" i="5" s="1"/>
  <c r="K211" i="5" a="1"/>
  <c r="K211" i="5" s="1"/>
  <c r="K212" i="5" a="1"/>
  <c r="K212" i="5" s="1"/>
  <c r="K213" i="5" a="1"/>
  <c r="K213" i="5" s="1"/>
  <c r="K214" i="5" a="1"/>
  <c r="K214" i="5" s="1"/>
  <c r="K215" i="5" a="1"/>
  <c r="K215" i="5" s="1"/>
  <c r="K216" i="5" a="1"/>
  <c r="K216" i="5" s="1"/>
  <c r="K217" i="5" a="1"/>
  <c r="K217" i="5" s="1"/>
  <c r="K218" i="5" a="1"/>
  <c r="K218" i="5" s="1"/>
  <c r="K219" i="5" a="1"/>
  <c r="K219" i="5" s="1"/>
  <c r="K220" i="5" a="1"/>
  <c r="K220" i="5" s="1"/>
  <c r="K221" i="5" a="1"/>
  <c r="K221" i="5" s="1"/>
  <c r="K222" i="5" a="1"/>
  <c r="K222" i="5" s="1"/>
  <c r="K223" i="5" a="1"/>
  <c r="K223" i="5" s="1"/>
  <c r="K224" i="5" a="1"/>
  <c r="K224" i="5" s="1"/>
  <c r="K225" i="5" a="1"/>
  <c r="K225" i="5" s="1"/>
  <c r="K226" i="5" a="1"/>
  <c r="K226" i="5" s="1"/>
  <c r="K227" i="5" a="1"/>
  <c r="K227" i="5" s="1"/>
  <c r="K228" i="5" a="1"/>
  <c r="K228" i="5" s="1"/>
  <c r="K229" i="5" a="1"/>
  <c r="K229" i="5" s="1"/>
  <c r="K230" i="5" a="1"/>
  <c r="K230" i="5" s="1"/>
  <c r="K231" i="5" a="1"/>
  <c r="K231" i="5" s="1"/>
  <c r="K232" i="5" a="1"/>
  <c r="K232" i="5" s="1"/>
  <c r="K233" i="5" a="1"/>
  <c r="K233" i="5" s="1"/>
  <c r="K234" i="5" a="1"/>
  <c r="K234" i="5" s="1"/>
  <c r="K235" i="5" a="1"/>
  <c r="K235" i="5" s="1"/>
  <c r="K236" i="5" a="1"/>
  <c r="K236" i="5" s="1"/>
  <c r="K237" i="5" a="1"/>
  <c r="K237" i="5" s="1"/>
  <c r="K238" i="5" a="1"/>
  <c r="K238" i="5" s="1"/>
  <c r="K239" i="5" a="1"/>
  <c r="K239" i="5" s="1"/>
  <c r="K240" i="5" a="1"/>
  <c r="K240" i="5" s="1"/>
  <c r="K241" i="5" a="1"/>
  <c r="K241" i="5" s="1"/>
  <c r="K242" i="5" a="1"/>
  <c r="K242" i="5" s="1"/>
  <c r="K243" i="5" a="1"/>
  <c r="K243" i="5" s="1"/>
  <c r="K244" i="5" a="1"/>
  <c r="K244" i="5" s="1"/>
  <c r="K245" i="5" a="1"/>
  <c r="K245" i="5" s="1"/>
  <c r="K246" i="5" a="1"/>
  <c r="K246" i="5" s="1"/>
  <c r="K247" i="5" a="1"/>
  <c r="K247" i="5" s="1"/>
  <c r="K248" i="5" a="1"/>
  <c r="K248" i="5" s="1"/>
  <c r="K249" i="5" a="1"/>
  <c r="K249" i="5" s="1"/>
  <c r="K250" i="5" a="1"/>
  <c r="K250" i="5" s="1"/>
  <c r="K251" i="5" a="1"/>
  <c r="K251" i="5" s="1"/>
  <c r="K252" i="5" a="1"/>
  <c r="K252" i="5" s="1"/>
  <c r="K253" i="5" a="1"/>
  <c r="K253" i="5" s="1"/>
  <c r="K254" i="5" a="1"/>
  <c r="K254" i="5" s="1"/>
  <c r="K255" i="5" a="1"/>
  <c r="K255" i="5" s="1"/>
  <c r="K256" i="5" a="1"/>
  <c r="K256" i="5" s="1"/>
  <c r="K257" i="5" a="1"/>
  <c r="K257" i="5" s="1"/>
  <c r="K258" i="5" a="1"/>
  <c r="K258" i="5" s="1"/>
  <c r="K259" i="5" a="1"/>
  <c r="K259" i="5" s="1"/>
  <c r="K260" i="5" a="1"/>
  <c r="K260" i="5" s="1"/>
  <c r="K261" i="5" a="1"/>
  <c r="K261" i="5" s="1"/>
  <c r="K262" i="5" a="1"/>
  <c r="K262" i="5" s="1"/>
  <c r="K263" i="5" a="1"/>
  <c r="K263" i="5" s="1"/>
  <c r="K264" i="5" a="1"/>
  <c r="K264" i="5" s="1"/>
  <c r="K265" i="5" a="1"/>
  <c r="K265" i="5" s="1"/>
  <c r="K266" i="5" a="1"/>
  <c r="K266" i="5" s="1"/>
  <c r="K267" i="5" a="1"/>
  <c r="K267" i="5" s="1"/>
  <c r="K268" i="5" a="1"/>
  <c r="K268" i="5" s="1"/>
  <c r="K269" i="5" a="1"/>
  <c r="K269" i="5" s="1"/>
  <c r="K270" i="5" a="1"/>
  <c r="K270" i="5" s="1"/>
  <c r="K271" i="5" a="1"/>
  <c r="K271" i="5" s="1"/>
  <c r="K272" i="5" a="1"/>
  <c r="K272" i="5" s="1"/>
  <c r="K273" i="5" a="1"/>
  <c r="K273" i="5" s="1"/>
  <c r="K274" i="5" a="1"/>
  <c r="K274" i="5" s="1"/>
  <c r="K275" i="5" a="1"/>
  <c r="K275" i="5" s="1"/>
  <c r="K276" i="5" a="1"/>
  <c r="K276" i="5" s="1"/>
  <c r="K277" i="5" a="1"/>
  <c r="K277" i="5" s="1"/>
  <c r="K278" i="5" a="1"/>
  <c r="K278" i="5" s="1"/>
  <c r="K279" i="5" a="1"/>
  <c r="K279" i="5" s="1"/>
  <c r="K280" i="5" a="1"/>
  <c r="K280" i="5" s="1"/>
  <c r="K281" i="5" a="1"/>
  <c r="K281" i="5" s="1"/>
  <c r="K282" i="5" a="1"/>
  <c r="K282" i="5" s="1"/>
  <c r="K283" i="5" a="1"/>
  <c r="K283" i="5" s="1"/>
  <c r="K284" i="5" a="1"/>
  <c r="K284" i="5" s="1"/>
  <c r="K285" i="5" a="1"/>
  <c r="K285" i="5" s="1"/>
  <c r="K286" i="5" a="1"/>
  <c r="K286" i="5" s="1"/>
  <c r="K287" i="5" a="1"/>
  <c r="K287" i="5" s="1"/>
  <c r="K288" i="5" a="1"/>
  <c r="K288" i="5" s="1"/>
  <c r="K289" i="5" a="1"/>
  <c r="K289" i="5" s="1"/>
  <c r="K290" i="5" a="1"/>
  <c r="K290" i="5" s="1"/>
  <c r="K291" i="5" a="1"/>
  <c r="K291" i="5" s="1"/>
  <c r="K292" i="5" a="1"/>
  <c r="K292" i="5" s="1"/>
  <c r="K293" i="5" a="1"/>
  <c r="K293" i="5" s="1"/>
  <c r="K294" i="5" a="1"/>
  <c r="K294" i="5" s="1"/>
  <c r="K295" i="5" a="1"/>
  <c r="K295" i="5" s="1"/>
  <c r="K296" i="5" a="1"/>
  <c r="K296" i="5" s="1"/>
  <c r="K297" i="5" a="1"/>
  <c r="K297" i="5" s="1"/>
  <c r="K298" i="5" a="1"/>
  <c r="K298" i="5" s="1"/>
  <c r="K299" i="5" a="1"/>
  <c r="K299" i="5" s="1"/>
  <c r="K300" i="5" a="1"/>
  <c r="K300" i="5" s="1"/>
  <c r="K301" i="5" a="1"/>
  <c r="K301" i="5" s="1"/>
  <c r="K302" i="5" a="1"/>
  <c r="K302" i="5" s="1"/>
  <c r="K303" i="5" a="1"/>
  <c r="K303" i="5" s="1"/>
  <c r="K304" i="5" a="1"/>
  <c r="K304" i="5" s="1"/>
  <c r="K305" i="5" a="1"/>
  <c r="K305" i="5" s="1"/>
  <c r="K306" i="5" a="1"/>
  <c r="K306" i="5" s="1"/>
  <c r="K307" i="5" a="1"/>
  <c r="K307" i="5" s="1"/>
  <c r="K308" i="5" a="1"/>
  <c r="K308" i="5" s="1"/>
  <c r="K309" i="5" a="1"/>
  <c r="K309" i="5" s="1"/>
  <c r="K310" i="5" a="1"/>
  <c r="K310" i="5" s="1"/>
  <c r="K311" i="5" a="1"/>
  <c r="K311" i="5" s="1"/>
  <c r="K312" i="5" a="1"/>
  <c r="K312" i="5" s="1"/>
  <c r="K313" i="5" a="1"/>
  <c r="K313" i="5" s="1"/>
  <c r="K314" i="5" a="1"/>
  <c r="K314" i="5" s="1"/>
  <c r="K315" i="5" a="1"/>
  <c r="K315" i="5" s="1"/>
  <c r="K316" i="5" a="1"/>
  <c r="K316" i="5" s="1"/>
  <c r="K317" i="5" a="1"/>
  <c r="K317" i="5" s="1"/>
  <c r="K318" i="5" a="1"/>
  <c r="K318" i="5" s="1"/>
  <c r="K319" i="5" a="1"/>
  <c r="K319" i="5" s="1"/>
  <c r="K320" i="5" a="1"/>
  <c r="K320" i="5" s="1"/>
  <c r="K321" i="5" a="1"/>
  <c r="K321" i="5" s="1"/>
  <c r="K322" i="5" a="1"/>
  <c r="K322" i="5" s="1"/>
  <c r="K323" i="5" a="1"/>
  <c r="K323" i="5" s="1"/>
  <c r="K324" i="5" a="1"/>
  <c r="K324" i="5" s="1"/>
  <c r="K325" i="5" a="1"/>
  <c r="K325" i="5" s="1"/>
  <c r="K326" i="5" a="1"/>
  <c r="K326" i="5" s="1"/>
  <c r="K327" i="5" a="1"/>
  <c r="K327" i="5" s="1"/>
  <c r="K328" i="5" a="1"/>
  <c r="K328" i="5" s="1"/>
  <c r="K329" i="5" a="1"/>
  <c r="K329" i="5" s="1"/>
  <c r="K330" i="5" a="1"/>
  <c r="K330" i="5" s="1"/>
  <c r="K331" i="5" a="1"/>
  <c r="K331" i="5" s="1"/>
  <c r="K332" i="5" a="1"/>
  <c r="K332" i="5" s="1"/>
  <c r="K333" i="5" a="1"/>
  <c r="K333" i="5" s="1"/>
  <c r="K334" i="5" a="1"/>
  <c r="K334" i="5" s="1"/>
  <c r="K335" i="5" a="1"/>
  <c r="K335" i="5" s="1"/>
  <c r="K336" i="5" a="1"/>
  <c r="K336" i="5" s="1"/>
  <c r="K337" i="5" a="1"/>
  <c r="K337" i="5" s="1"/>
  <c r="K338" i="5" a="1"/>
  <c r="K338" i="5" s="1"/>
  <c r="K339" i="5" a="1"/>
  <c r="K339" i="5" s="1"/>
  <c r="K340" i="5" a="1"/>
  <c r="K340" i="5" s="1"/>
  <c r="K341" i="5" a="1"/>
  <c r="K341" i="5" s="1"/>
  <c r="K342" i="5" a="1"/>
  <c r="K342" i="5" s="1"/>
  <c r="K343" i="5" a="1"/>
  <c r="K343" i="5" s="1"/>
  <c r="K344" i="5" a="1"/>
  <c r="K344" i="5" s="1"/>
  <c r="K345" i="5" a="1"/>
  <c r="K345" i="5" s="1"/>
  <c r="K346" i="5" a="1"/>
  <c r="K346" i="5" s="1"/>
  <c r="K347" i="5" a="1"/>
  <c r="K347" i="5" s="1"/>
  <c r="K348" i="5" a="1"/>
  <c r="K348" i="5" s="1"/>
  <c r="K349" i="5" a="1"/>
  <c r="K349" i="5" s="1"/>
  <c r="K350" i="5" a="1"/>
  <c r="K350" i="5" s="1"/>
  <c r="K351" i="5" a="1"/>
  <c r="K351" i="5" s="1"/>
  <c r="K352" i="5" a="1"/>
  <c r="K352" i="5" s="1"/>
  <c r="K353" i="5" a="1"/>
  <c r="K353" i="5" s="1"/>
  <c r="K354" i="5" a="1"/>
  <c r="K354" i="5" s="1"/>
  <c r="K355" i="5" a="1"/>
  <c r="K355" i="5" s="1"/>
  <c r="K356" i="5" a="1"/>
  <c r="K356" i="5" s="1"/>
  <c r="K357" i="5" a="1"/>
  <c r="K357" i="5" s="1"/>
  <c r="K358" i="5" a="1"/>
  <c r="K358" i="5" s="1"/>
  <c r="K359" i="5" a="1"/>
  <c r="K359" i="5" s="1"/>
  <c r="K360" i="5" a="1"/>
  <c r="K360" i="5" s="1"/>
  <c r="K361" i="5" a="1"/>
  <c r="K361" i="5" s="1"/>
  <c r="K362" i="5" a="1"/>
  <c r="K362" i="5" s="1"/>
  <c r="K363" i="5" a="1"/>
  <c r="K363" i="5" s="1"/>
  <c r="K364" i="5" a="1"/>
  <c r="K364" i="5" s="1"/>
  <c r="K365" i="5" a="1"/>
  <c r="K365" i="5" s="1"/>
  <c r="K366" i="5" a="1"/>
  <c r="K366" i="5" s="1"/>
  <c r="K367" i="5" a="1"/>
  <c r="K367" i="5" s="1"/>
  <c r="K368" i="5" a="1"/>
  <c r="K368" i="5" s="1"/>
  <c r="K369" i="5" a="1"/>
  <c r="K369" i="5" s="1"/>
  <c r="K370" i="5" a="1"/>
  <c r="K370" i="5" s="1"/>
  <c r="K371" i="5" a="1"/>
  <c r="K371" i="5" s="1"/>
  <c r="K372" i="5" a="1"/>
  <c r="K372" i="5" s="1"/>
  <c r="K373" i="5" a="1"/>
  <c r="K373" i="5" s="1"/>
  <c r="K374" i="5" a="1"/>
  <c r="K374" i="5" s="1"/>
  <c r="K375" i="5" a="1"/>
  <c r="K375" i="5" s="1"/>
  <c r="K376" i="5" a="1"/>
  <c r="K376" i="5" s="1"/>
  <c r="K377" i="5" a="1"/>
  <c r="K377" i="5" s="1"/>
  <c r="K378" i="5" a="1"/>
  <c r="K378" i="5" s="1"/>
  <c r="K379" i="5" a="1"/>
  <c r="K379" i="5" s="1"/>
  <c r="K380" i="5" a="1"/>
  <c r="K380" i="5" s="1"/>
  <c r="K381" i="5" a="1"/>
  <c r="K381" i="5" s="1"/>
  <c r="K382" i="5" a="1"/>
  <c r="K382" i="5" s="1"/>
  <c r="K383" i="5" a="1"/>
  <c r="K383" i="5" s="1"/>
  <c r="K384" i="5" a="1"/>
  <c r="K384" i="5" s="1"/>
  <c r="K385" i="5" a="1"/>
  <c r="K385" i="5" s="1"/>
  <c r="K386" i="5" a="1"/>
  <c r="K386" i="5" s="1"/>
  <c r="K387" i="5" a="1"/>
  <c r="K387" i="5" s="1"/>
  <c r="K388" i="5" a="1"/>
  <c r="K388" i="5" s="1"/>
  <c r="K389" i="5" a="1"/>
  <c r="K389" i="5" s="1"/>
  <c r="K390" i="5" a="1"/>
  <c r="K390" i="5" s="1"/>
  <c r="K391" i="5" a="1"/>
  <c r="K391" i="5" s="1"/>
  <c r="K392" i="5" a="1"/>
  <c r="K392" i="5" s="1"/>
  <c r="K393" i="5" a="1"/>
  <c r="K393" i="5" s="1"/>
  <c r="K394" i="5" a="1"/>
  <c r="K394" i="5" s="1"/>
  <c r="K395" i="5" a="1"/>
  <c r="K395" i="5" s="1"/>
  <c r="K396" i="5" a="1"/>
  <c r="K396" i="5" s="1"/>
  <c r="K397" i="5" a="1"/>
  <c r="K397" i="5" s="1"/>
  <c r="K398" i="5" a="1"/>
  <c r="K398" i="5" s="1"/>
  <c r="K399" i="5" a="1"/>
  <c r="K399" i="5" s="1"/>
  <c r="K400" i="5" a="1"/>
  <c r="K400" i="5" s="1"/>
  <c r="K401" i="5" a="1"/>
  <c r="K401" i="5" s="1"/>
  <c r="K402" i="5" a="1"/>
  <c r="K402" i="5" s="1"/>
  <c r="K403" i="5" a="1"/>
  <c r="K403" i="5" s="1"/>
  <c r="K404" i="5" a="1"/>
  <c r="K404" i="5" s="1"/>
  <c r="K405" i="5" a="1"/>
  <c r="K405" i="5" s="1"/>
  <c r="K406" i="5" a="1"/>
  <c r="K406" i="5" s="1"/>
  <c r="K407" i="5" a="1"/>
  <c r="K407" i="5" s="1"/>
  <c r="K408" i="5" a="1"/>
  <c r="K408" i="5" s="1"/>
  <c r="K409" i="5" a="1"/>
  <c r="K409" i="5" s="1"/>
  <c r="K410" i="5" a="1"/>
  <c r="K410" i="5" s="1"/>
  <c r="K411" i="5" a="1"/>
  <c r="K411" i="5" s="1"/>
  <c r="K412" i="5" a="1"/>
  <c r="K412" i="5" s="1"/>
  <c r="K413" i="5" a="1"/>
  <c r="K413" i="5" s="1"/>
  <c r="K414" i="5" a="1"/>
  <c r="K414" i="5" s="1"/>
  <c r="K415" i="5" a="1"/>
  <c r="K415" i="5" s="1"/>
  <c r="K416" i="5" a="1"/>
  <c r="K416" i="5" s="1"/>
  <c r="K417" i="5" a="1"/>
  <c r="K417" i="5" s="1"/>
  <c r="K418" i="5" a="1"/>
  <c r="K418" i="5" s="1"/>
  <c r="K419" i="5" a="1"/>
  <c r="K419" i="5" s="1"/>
  <c r="K420" i="5" a="1"/>
  <c r="K420" i="5" s="1"/>
  <c r="K421" i="5" a="1"/>
  <c r="K421" i="5" s="1"/>
  <c r="K422" i="5" a="1"/>
  <c r="K422" i="5" s="1"/>
  <c r="K423" i="5" a="1"/>
  <c r="K423" i="5" s="1"/>
  <c r="K424" i="5" a="1"/>
  <c r="K424" i="5" s="1"/>
  <c r="K425" i="5" a="1"/>
  <c r="K425" i="5" s="1"/>
  <c r="K426" i="5" a="1"/>
  <c r="K426" i="5" s="1"/>
  <c r="K427" i="5" a="1"/>
  <c r="K427" i="5" s="1"/>
  <c r="K428" i="5" a="1"/>
  <c r="K428" i="5" s="1"/>
  <c r="K429" i="5" a="1"/>
  <c r="K429" i="5" s="1"/>
  <c r="K430" i="5" a="1"/>
  <c r="K430" i="5" s="1"/>
  <c r="K431" i="5" a="1"/>
  <c r="K431" i="5" s="1"/>
  <c r="K432" i="5" a="1"/>
  <c r="K432" i="5" s="1"/>
  <c r="K433" i="5" a="1"/>
  <c r="K433" i="5" s="1"/>
  <c r="K434" i="5" a="1"/>
  <c r="K434" i="5" s="1"/>
  <c r="K435" i="5" a="1"/>
  <c r="K435" i="5" s="1"/>
  <c r="K436" i="5" a="1"/>
  <c r="K436" i="5" s="1"/>
  <c r="K437" i="5" a="1"/>
  <c r="K437" i="5" s="1"/>
  <c r="K438" i="5" a="1"/>
  <c r="K438" i="5" s="1"/>
  <c r="K439" i="5" a="1"/>
  <c r="K439" i="5" s="1"/>
  <c r="K440" i="5" a="1"/>
  <c r="K440" i="5" s="1"/>
  <c r="K441" i="5" a="1"/>
  <c r="K441" i="5" s="1"/>
  <c r="K442" i="5" a="1"/>
  <c r="K442" i="5" s="1"/>
  <c r="K443" i="5" a="1"/>
  <c r="K443" i="5" s="1"/>
  <c r="K444" i="5" a="1"/>
  <c r="K444" i="5" s="1"/>
  <c r="K445" i="5" a="1"/>
  <c r="K445" i="5" s="1"/>
  <c r="K446" i="5" a="1"/>
  <c r="K446" i="5" s="1"/>
  <c r="K447" i="5" a="1"/>
  <c r="K447" i="5" s="1"/>
  <c r="K448" i="5" a="1"/>
  <c r="K448" i="5" s="1"/>
  <c r="K449" i="5" a="1"/>
  <c r="K449" i="5" s="1"/>
  <c r="K450" i="5" a="1"/>
  <c r="K450" i="5" s="1"/>
  <c r="K451" i="5" a="1"/>
  <c r="K451" i="5" s="1"/>
  <c r="K452" i="5" a="1"/>
  <c r="K452" i="5" s="1"/>
  <c r="K453" i="5" a="1"/>
  <c r="K453" i="5" s="1"/>
  <c r="K454" i="5" a="1"/>
  <c r="K454" i="5" s="1"/>
  <c r="K455" i="5" a="1"/>
  <c r="K455" i="5" s="1"/>
  <c r="K456" i="5" a="1"/>
  <c r="K456" i="5" s="1"/>
  <c r="K457" i="5" a="1"/>
  <c r="K457" i="5" s="1"/>
  <c r="K458" i="5" a="1"/>
  <c r="K458" i="5" s="1"/>
  <c r="K459" i="5" a="1"/>
  <c r="K459" i="5" s="1"/>
  <c r="K460" i="5" a="1"/>
  <c r="K460" i="5" s="1"/>
  <c r="K461" i="5" a="1"/>
  <c r="K461" i="5" s="1"/>
  <c r="K462" i="5" a="1"/>
  <c r="K462" i="5" s="1"/>
  <c r="K463" i="5" a="1"/>
  <c r="K463" i="5" s="1"/>
  <c r="K464" i="5" a="1"/>
  <c r="K464" i="5" s="1"/>
  <c r="K465" i="5" a="1"/>
  <c r="K465" i="5" s="1"/>
  <c r="K466" i="5" a="1"/>
  <c r="K466" i="5" s="1"/>
  <c r="K467" i="5" a="1"/>
  <c r="K467" i="5" s="1"/>
  <c r="K468" i="5" a="1"/>
  <c r="K468" i="5" s="1"/>
  <c r="K469" i="5" a="1"/>
  <c r="K469" i="5" s="1"/>
  <c r="K470" i="5" a="1"/>
  <c r="K470" i="5" s="1"/>
  <c r="K471" i="5" a="1"/>
  <c r="K471" i="5" s="1"/>
  <c r="K472" i="5" a="1"/>
  <c r="K472" i="5" s="1"/>
  <c r="K473" i="5" a="1"/>
  <c r="K473" i="5" s="1"/>
  <c r="K474" i="5" a="1"/>
  <c r="K474" i="5" s="1"/>
  <c r="K475" i="5" a="1"/>
  <c r="K475" i="5" s="1"/>
  <c r="K476" i="5" a="1"/>
  <c r="K476" i="5" s="1"/>
  <c r="K477" i="5" a="1"/>
  <c r="K477" i="5" s="1"/>
  <c r="K478" i="5" a="1"/>
  <c r="K478" i="5" s="1"/>
  <c r="K479" i="5" a="1"/>
  <c r="K479" i="5" s="1"/>
  <c r="K480" i="5" a="1"/>
  <c r="K480" i="5" s="1"/>
  <c r="K481" i="5" a="1"/>
  <c r="K481" i="5" s="1"/>
  <c r="K482" i="5" a="1"/>
  <c r="K482" i="5" s="1"/>
  <c r="K483" i="5" a="1"/>
  <c r="K483" i="5" s="1"/>
  <c r="K484" i="5" a="1"/>
  <c r="K484" i="5" s="1"/>
  <c r="K485" i="5" a="1"/>
  <c r="K485" i="5" s="1"/>
  <c r="K486" i="5" a="1"/>
  <c r="K486" i="5" s="1"/>
  <c r="K487" i="5" a="1"/>
  <c r="K487" i="5" s="1"/>
  <c r="K488" i="5" a="1"/>
  <c r="K488" i="5" s="1"/>
  <c r="K489" i="5" a="1"/>
  <c r="K489" i="5" s="1"/>
  <c r="K490" i="5" a="1"/>
  <c r="K490" i="5" s="1"/>
  <c r="K491" i="5" a="1"/>
  <c r="K491" i="5" s="1"/>
  <c r="K492" i="5" a="1"/>
  <c r="K492" i="5" s="1"/>
  <c r="K493" i="5" a="1"/>
  <c r="K493" i="5" s="1"/>
  <c r="K494" i="5" a="1"/>
  <c r="K494" i="5" s="1"/>
  <c r="K495" i="5" a="1"/>
  <c r="K495" i="5" s="1"/>
  <c r="K496" i="5" a="1"/>
  <c r="K496" i="5" s="1"/>
  <c r="K497" i="5" a="1"/>
  <c r="K497" i="5" s="1"/>
  <c r="K498" i="5" a="1"/>
  <c r="K498" i="5" s="1"/>
  <c r="K499" i="5" a="1"/>
  <c r="K499" i="5" s="1"/>
  <c r="K500" i="5" a="1"/>
  <c r="K500" i="5" s="1"/>
  <c r="K501" i="5" a="1"/>
  <c r="K501" i="5" s="1"/>
  <c r="L27" i="4"/>
  <c r="L26" i="4"/>
  <c r="L24" i="4"/>
  <c r="L23" i="4"/>
  <c r="L25" i="4"/>
  <c r="Q20" i="3" l="1"/>
  <c r="O20" i="3"/>
  <c r="U17" i="3"/>
  <c r="S1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<sst xmlns="http://schemas.openxmlformats.org/spreadsheetml/2006/main" count="5118" uniqueCount="131">
  <si>
    <t>Order_ID</t>
  </si>
  <si>
    <t>Date</t>
  </si>
  <si>
    <t>City</t>
  </si>
  <si>
    <t>State</t>
  </si>
  <si>
    <t>Region</t>
  </si>
  <si>
    <t>Category</t>
  </si>
  <si>
    <t>Product</t>
  </si>
  <si>
    <t>Sales</t>
  </si>
  <si>
    <t>Quantity</t>
  </si>
  <si>
    <t>Profit</t>
  </si>
  <si>
    <t>Jaipur</t>
  </si>
  <si>
    <t>Rajasthan</t>
  </si>
  <si>
    <t>South</t>
  </si>
  <si>
    <t>Electronics</t>
  </si>
  <si>
    <t>Mobile</t>
  </si>
  <si>
    <t>Pune</t>
  </si>
  <si>
    <t>Maharashtra</t>
  </si>
  <si>
    <t>East</t>
  </si>
  <si>
    <t>Chennai</t>
  </si>
  <si>
    <t>Tamil Nadu</t>
  </si>
  <si>
    <t>North</t>
  </si>
  <si>
    <t>Tablet</t>
  </si>
  <si>
    <t>Delhi</t>
  </si>
  <si>
    <t>West</t>
  </si>
  <si>
    <t>Furniture</t>
  </si>
  <si>
    <t>Sofa</t>
  </si>
  <si>
    <t>Ahmedabad</t>
  </si>
  <si>
    <t>Gujarat</t>
  </si>
  <si>
    <t>Table</t>
  </si>
  <si>
    <t>Chair</t>
  </si>
  <si>
    <t>Mumbai</t>
  </si>
  <si>
    <t>Clothing</t>
  </si>
  <si>
    <t>Jeans</t>
  </si>
  <si>
    <t>Shirt</t>
  </si>
  <si>
    <t>Laptop</t>
  </si>
  <si>
    <t>Bangalore</t>
  </si>
  <si>
    <t>Karnataka</t>
  </si>
  <si>
    <t>Surat</t>
  </si>
  <si>
    <t>Vadodara</t>
  </si>
  <si>
    <t>Jacket</t>
  </si>
  <si>
    <t>Tamil    Nadu</t>
  </si>
  <si>
    <t>Tamil     Nadu</t>
  </si>
  <si>
    <t>TRIM</t>
  </si>
  <si>
    <t>UPPER</t>
  </si>
  <si>
    <t>TEXT FUNCTIONS</t>
  </si>
  <si>
    <t>LOWER</t>
  </si>
  <si>
    <t>PROPER</t>
  </si>
  <si>
    <t>LEFT</t>
  </si>
  <si>
    <t>RIGHT</t>
  </si>
  <si>
    <t>MID</t>
  </si>
  <si>
    <t>REPLACE</t>
  </si>
  <si>
    <t>SUBSITUTE</t>
  </si>
  <si>
    <t>TEXT JOINT</t>
  </si>
  <si>
    <t>CONCATE</t>
  </si>
  <si>
    <t>RAjAStHaN</t>
  </si>
  <si>
    <t>Infotech</t>
  </si>
  <si>
    <t>Private</t>
  </si>
  <si>
    <t>Limited</t>
  </si>
  <si>
    <t>DATE FUNCTIONS</t>
  </si>
  <si>
    <t>TODAY</t>
  </si>
  <si>
    <t>NOW</t>
  </si>
  <si>
    <t>HOUR</t>
  </si>
  <si>
    <t>MINUTES</t>
  </si>
  <si>
    <t>SECONDS</t>
  </si>
  <si>
    <t>TIME</t>
  </si>
  <si>
    <t>YEAR</t>
  </si>
  <si>
    <t>MONTH</t>
  </si>
  <si>
    <t>DAY</t>
  </si>
  <si>
    <t>NETWORKING DAYS</t>
  </si>
  <si>
    <t>DAYS</t>
  </si>
  <si>
    <t>DAYS 360</t>
  </si>
  <si>
    <t>RaHuL   ShArMa</t>
  </si>
  <si>
    <t>PrEEt    pAtEl</t>
  </si>
  <si>
    <t>LavANYa PaTEl</t>
  </si>
  <si>
    <t>jIYA PaTeL</t>
  </si>
  <si>
    <t>cHaRMi Patel</t>
  </si>
  <si>
    <t>Trimmed</t>
  </si>
  <si>
    <t>Proper Case</t>
  </si>
  <si>
    <t>Upper Case</t>
  </si>
  <si>
    <t>2. Add New Column With ProperCase Letters.</t>
  </si>
  <si>
    <t>3. Add New Column With Upper Case.</t>
  </si>
  <si>
    <t>Last 5 Characters</t>
  </si>
  <si>
    <t>Full Name</t>
  </si>
  <si>
    <t>Full Email</t>
  </si>
  <si>
    <t>Email(1)</t>
  </si>
  <si>
    <t>Email(2)</t>
  </si>
  <si>
    <t>rahul24</t>
  </si>
  <si>
    <t>@gmail.com</t>
  </si>
  <si>
    <t>preet256</t>
  </si>
  <si>
    <t>lavanya01</t>
  </si>
  <si>
    <t>jiya007</t>
  </si>
  <si>
    <t>charmi336</t>
  </si>
  <si>
    <t>4. Using Email(1) and Email(2) Generate a Full Email</t>
  </si>
  <si>
    <t>6. Fetch Last 5 Characters from The Name And Add New Column.</t>
  </si>
  <si>
    <t>5. Fetch First 5 Character From Name  And Add New Column.</t>
  </si>
  <si>
    <t>Starting Date</t>
  </si>
  <si>
    <t>Ending Date</t>
  </si>
  <si>
    <t>Employe ID</t>
  </si>
  <si>
    <t>Total Work Days</t>
  </si>
  <si>
    <t>Joining Year</t>
  </si>
  <si>
    <t>Joining Month</t>
  </si>
  <si>
    <t>Joining Date</t>
  </si>
  <si>
    <t>Ending Year</t>
  </si>
  <si>
    <t>Ending Month</t>
  </si>
  <si>
    <t>3. Fetch Month From Joining Date For All Employees.</t>
  </si>
  <si>
    <t>2. Fetch Joining Year From Starting Date For All Employees.</t>
  </si>
  <si>
    <t>1. Calculate Total Working Days For All Employee.</t>
  </si>
  <si>
    <t>4. Fetch Joining Day from Joining Date For All Employees.</t>
  </si>
  <si>
    <t>6. Fetch Ending Month From Ending Date For All Employees.</t>
  </si>
  <si>
    <t>5. Fetch Ending Year From Ending Date  For All Employees.</t>
  </si>
  <si>
    <t>7. Fetch Day From Ending Date For The All Employees.</t>
  </si>
  <si>
    <t>Employee ID</t>
  </si>
  <si>
    <t>Joining Time</t>
  </si>
  <si>
    <t xml:space="preserve">8. Fetch Hour , Minutes And Seconds From The Joining Time. </t>
  </si>
  <si>
    <t>Sales Status</t>
  </si>
  <si>
    <t>2. Add Column Month , Based On Date Column.</t>
  </si>
  <si>
    <t>3. Add Column Day , Based On Date.</t>
  </si>
  <si>
    <t>4. Based On Month Column Add Column Month Name</t>
  </si>
  <si>
    <t>5. Add Sparkline Column Between all Two Sales Value</t>
  </si>
  <si>
    <t>6. Add Sparkline Lines Between Two Days</t>
  </si>
  <si>
    <t>Top 10 Sales Profit Trend</t>
  </si>
  <si>
    <t>7. Find Top 10 Orders By Profit Display it Using Sparkilines.Add Column And Line Sparkine, Make aDisplay Card.</t>
  </si>
  <si>
    <t>1. Add Column Year, Using Date Column.</t>
  </si>
  <si>
    <t>1. Remove Unneccessary Space From Fullname Add New Trimmed Column.</t>
  </si>
  <si>
    <t>Vishal      Mahida</t>
  </si>
  <si>
    <t>First 5 Character</t>
  </si>
  <si>
    <t>DAY(DATE)</t>
  </si>
  <si>
    <t>MONTHNAME</t>
  </si>
  <si>
    <t>SparklineCol</t>
  </si>
  <si>
    <t>SparkLine-Line</t>
  </si>
  <si>
    <t>Vinix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</si>
</sst>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4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1" xfId="0" applyBorder="1"/>
    <xf numFmtId="14" fontId="0" fillId="0" borderId="1" xfId="0" applyNumberFormat="1" applyBorder="1"/>
    <xf numFmtId="22" fontId="0" fillId="0" borderId="1" xfId="0" applyNumberFormat="1" applyBorder="1"/>
    <xf numFmtId="18" fontId="0" fillId="0" borderId="1" xfId="0" applyNumberFormat="1" applyBorder="1"/>
    <xf numFmtId="0" fontId="2" fillId="3" borderId="0" xfId="2" applyAlignment="1">
      <alignment horizontal="center"/>
    </xf>
    <xf numFmtId="0" fontId="2" fillId="3" borderId="0" xfId="2"/>
    <xf numFmtId="14" fontId="2" fillId="3" borderId="0" xfId="2" applyNumberFormat="1"/>
    <xf numFmtId="0" fontId="4" fillId="2" borderId="1" xfId="1" applyFont="1" applyBorder="1"/>
    <xf numFmtId="0" fontId="3" fillId="0" borderId="0" xfId="0" applyFont="1"/>
    <xf numFmtId="0" fontId="4" fillId="2" borderId="1" xfId="1" applyFont="1" applyBorder="1" applyAlignment="1">
      <alignment horizontal="center"/>
    </xf>
    <xf numFmtId="49" fontId="0" fillId="0" borderId="1" xfId="0" applyNumberFormat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8" fontId="0" fillId="0" borderId="1" xfId="0" applyNumberFormat="1" applyBorder="1" applyAlignment="1">
      <alignment horizontal="center"/>
    </xf>
    <xf numFmtId="0" fontId="1" fillId="2" borderId="1" xfId="1" applyBorder="1" applyAlignment="1">
      <alignment horizontal="center"/>
    </xf>
    <xf numFmtId="0" fontId="0" fillId="0" borderId="5" xfId="0" applyBorder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4" borderId="6" xfId="0" applyNumberFormat="1" applyFill="1" applyBorder="1" applyAlignment="1">
      <alignment horizontal="center"/>
    </xf>
    <xf numFmtId="1" fontId="0" fillId="5" borderId="6" xfId="0" applyNumberFormat="1" applyFill="1" applyBorder="1" applyAlignment="1">
      <alignment horizontal="center"/>
    </xf>
    <xf numFmtId="0" fontId="4" fillId="2" borderId="1" xfId="1" applyFont="1" applyBorder="1" applyAlignment="1"/>
    <xf numFmtId="0" fontId="4" fillId="2" borderId="3" xfId="1" applyFont="1" applyBorder="1" applyAlignment="1">
      <alignment horizontal="center"/>
    </xf>
    <xf numFmtId="0" fontId="4" fillId="2" borderId="4" xfId="1" applyFont="1" applyBorder="1" applyAlignment="1">
      <alignment horizontal="center"/>
    </xf>
    <xf numFmtId="0" fontId="1" fillId="2" borderId="2" xfId="1" applyBorder="1" applyAlignment="1">
      <alignment horizontal="left"/>
    </xf>
    <xf numFmtId="0" fontId="1" fillId="2" borderId="3" xfId="1" applyBorder="1" applyAlignment="1">
      <alignment horizontal="left"/>
    </xf>
    <xf numFmtId="0" fontId="1" fillId="2" borderId="4" xfId="1" applyBorder="1" applyAlignment="1">
      <alignment horizontal="left"/>
    </xf>
    <xf numFmtId="0" fontId="0" fillId="0" borderId="0" xfId="0" applyAlignment="1">
      <alignment horizontal="center"/>
    </xf>
    <xf numFmtId="0" fontId="1" fillId="2" borderId="1" xfId="1" applyBorder="1" applyAlignment="1">
      <alignment horizontal="left"/>
    </xf>
    <xf numFmtId="0" fontId="4" fillId="2" borderId="0" xfId="1" applyFont="1" applyAlignment="1"/>
    <xf numFmtId="0" fontId="4" fillId="2" borderId="1" xfId="1" applyFont="1" applyBorder="1" applyAlignment="1">
      <alignment horizontal="center"/>
    </xf>
  </cellXfs>
  <cellStyles count="3">
    <cellStyle name="40% - Accent3" xfId="2" builtinId="39"/>
    <cellStyle name="Good" xfId="1" builtinId="26"/>
    <cellStyle name="Normal" xfId="0" builtinId="0"/>
  </cellStyles>
  <dxfs count="21">
    <dxf>
      <numFmt numFmtId="1" formatCode="0"/>
    </dxf>
    <dxf>
      <numFmt numFmtId="1" formatCode="0"/>
    </dxf>
    <dxf>
      <numFmt numFmtId="164" formatCode="m/d/yyyy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92192</xdr:colOff>
      <xdr:row>16</xdr:row>
      <xdr:rowOff>23712</xdr:rowOff>
    </xdr:from>
    <xdr:to>
      <xdr:col>22</xdr:col>
      <xdr:colOff>8459</xdr:colOff>
      <xdr:row>29</xdr:row>
      <xdr:rowOff>164096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D7C39288-0477-3BE0-CD54-65AEF4D0BEC7}"/>
            </a:ext>
          </a:extLst>
        </xdr:cNvPr>
        <xdr:cNvGrpSpPr/>
      </xdr:nvGrpSpPr>
      <xdr:grpSpPr>
        <a:xfrm>
          <a:off x="16356386" y="2907841"/>
          <a:ext cx="1940073" cy="2483739"/>
          <a:chOff x="21602817" y="293586"/>
          <a:chExt cx="1937684" cy="2548093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35F0D6BA-B155-870A-F15F-56E74CE442AA}"/>
              </a:ext>
            </a:extLst>
          </xdr:cNvPr>
          <xdr:cNvSpPr/>
        </xdr:nvSpPr>
        <xdr:spPr>
          <a:xfrm>
            <a:off x="21602817" y="293586"/>
            <a:ext cx="1937684" cy="2548093"/>
          </a:xfrm>
          <a:prstGeom prst="rect">
            <a:avLst/>
          </a:prstGeom>
        </xdr:spPr>
        <xdr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IN" sz="1100">
                <a:solidFill>
                  <a:schemeClr val="accent6">
                    <a:lumMod val="50000"/>
                  </a:schemeClr>
                </a:solidFill>
              </a:rPr>
              <a:t>Top</a:t>
            </a:r>
            <a:r>
              <a:rPr lang="en-IN" sz="1100" baseline="0">
                <a:solidFill>
                  <a:schemeClr val="accent6">
                    <a:lumMod val="50000"/>
                  </a:schemeClr>
                </a:solidFill>
              </a:rPr>
              <a:t> 10 Profits</a:t>
            </a:r>
            <a:endParaRPr lang="en-IN" sz="1100">
              <a:solidFill>
                <a:schemeClr val="accent6">
                  <a:lumMod val="50000"/>
                </a:schemeClr>
              </a:solidFill>
            </a:endParaRPr>
          </a:p>
        </xdr:txBody>
      </xdr:sp>
      <xdr:pic>
        <xdr:nvPicPr>
          <xdr:cNvPr id="3" name="Picture 2">
            <a:extLst>
              <a:ext uri="{FF2B5EF4-FFF2-40B4-BE49-F238E27FC236}">
                <a16:creationId xmlns:a16="http://schemas.microsoft.com/office/drawing/2014/main" id="{03E1362B-B073-EEC1-0EFB-B47CAE62407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624904" y="1335841"/>
            <a:ext cx="1909669" cy="13040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E2BACCCA-FE83-E709-7942-04C33F1947D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625202" y="539749"/>
            <a:ext cx="1869799" cy="79745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64529F-0E7A-4C32-B9A7-EFD50B0B97A5}" name="Table134" displayName="Table134" ref="A1:J501" totalsRowShown="0">
  <autoFilter ref="A1:J501" xr:uid="{3864529F-0E7A-4C32-B9A7-EFD50B0B97A5}"/>
  <tableColumns count="10">
    <tableColumn id="1" xr3:uid="{819C22C5-77AD-4FA4-AA2B-59CE16265CF2}" name="Order_ID"/>
    <tableColumn id="2" xr3:uid="{7FEFBB53-230A-4F04-8474-EAAF59E1C89E}" name="Date" dataDxfId="2"/>
    <tableColumn id="3" xr3:uid="{CA4C8194-2BC2-45F3-922D-E1F7E0F7CA34}" name="City"/>
    <tableColumn id="4" xr3:uid="{C41120AA-B331-4A4C-8850-D8FF7AEE2F8B}" name="State"/>
    <tableColumn id="5" xr3:uid="{7D6B511B-7F7F-4DB7-AD09-A43C490DB89C}" name="Region"/>
    <tableColumn id="6" xr3:uid="{0E4A1F8E-78A0-461A-A6AE-EEA58FAA9E1C}" name="Category"/>
    <tableColumn id="7" xr3:uid="{CB222AD6-5724-41CA-90AD-0D05BA1AE3E9}" name="Product"/>
    <tableColumn id="8" xr3:uid="{9E5820B5-3779-4DBE-9A3F-527FE33AB44F}" name="Sales" dataDxfId="1"/>
    <tableColumn id="9" xr3:uid="{2AD0DB3F-4670-4D0C-A5E8-AFD4BAB58C9F}" name="Quantity"/>
    <tableColumn id="10" xr3:uid="{519E1BEB-D693-4267-A75F-1DD342D1D9F0}" name="Profit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792113-146D-48F9-9F91-C83055D34FDE}" name="Table1342" displayName="Table1342" ref="A1:Q501" totalsRowShown="0" dataDxfId="20">
  <autoFilter ref="A1:Q501" xr:uid="{6E792113-146D-48F9-9F91-C83055D34FDE}"/>
  <tableColumns count="17">
    <tableColumn id="1" xr3:uid="{AF220441-9411-4F29-AC88-1AD797A32173}" name="Order_ID" dataDxfId="19"/>
    <tableColumn id="2" xr3:uid="{40588F16-F51F-4135-B5E6-160B606AA544}" name="Date" dataDxfId="18"/>
    <tableColumn id="3" xr3:uid="{04B72BEE-0C0E-4412-914F-8C06A72186BF}" name="City" dataDxfId="17"/>
    <tableColumn id="4" xr3:uid="{C03397AC-B252-4331-915E-9F11D7DD9A9E}" name="State" dataDxfId="16"/>
    <tableColumn id="5" xr3:uid="{8D6EFA61-5582-4B71-A0BE-F99D7C5BEEF2}" name="Region" dataDxfId="15"/>
    <tableColumn id="6" xr3:uid="{EBE8A356-549F-4008-8ED0-DF6B987EAB58}" name="Category" dataDxfId="14"/>
    <tableColumn id="7" xr3:uid="{65E947D8-C348-4995-B717-3456EE592664}" name="Product" dataDxfId="13"/>
    <tableColumn id="8" xr3:uid="{16CE97AC-3D16-4EB2-809A-533BBD6B6F5B}" name="Sales" dataDxfId="12"/>
    <tableColumn id="9" xr3:uid="{96242A13-93F9-41C0-9051-B5FA982D11D7}" name="Quantity" dataDxfId="11"/>
    <tableColumn id="10" xr3:uid="{B8C69968-8A75-40CE-A398-A18D97FB9B43}" name="Profit" dataDxfId="10"/>
    <tableColumn id="11" xr3:uid="{815B63F7-DB46-4071-8302-38BE833611A5}" name="Sales Status" dataDxfId="9">
      <calculatedColumnFormula array="1">_xlfn.IFS(Table1342[[#This Row],[Sales]]&gt;40000,"Best Sales",Table1342[[#This Row],[Sales]]&gt;20000,"Average Sales",Table1342[[#This Row],[Sales]]&gt;0,"Poor Sales")</calculatedColumnFormula>
    </tableColumn>
    <tableColumn id="13" xr3:uid="{B012C7B7-F057-449E-8B4B-B264CD7F8E27}" name="YEAR" dataDxfId="8">
      <calculatedColumnFormula>YEAR(Table1342[[#This Row],[Date]])</calculatedColumnFormula>
    </tableColumn>
    <tableColumn id="16" xr3:uid="{202DEE8D-BFFC-4120-A345-F08B2206573A}" name="MONTH" dataDxfId="7">
      <calculatedColumnFormula>MONTH(Table1342[[#This Row],[Date]])</calculatedColumnFormula>
    </tableColumn>
    <tableColumn id="17" xr3:uid="{04A8F61F-5939-4AB3-9F2F-F0CBE9621DFB}" name="DAY(DATE)" dataDxfId="6">
      <calculatedColumnFormula>DAY(Table1342[[#This Row],[Date]])</calculatedColumnFormula>
    </tableColumn>
    <tableColumn id="21" xr3:uid="{F58E5F75-AD5C-421C-B707-196E9EF23727}" name="SparkLine-Line" dataDxfId="5"/>
    <tableColumn id="18" xr3:uid="{2F7892B0-46BB-44C1-B8A8-F4AC62B8CF60}" name="MONTHNAME" dataDxfId="4">
      <calculatedColumnFormula>TEXT(DATE(2023,Table1342[[#This Row],[MONTH]],1),"mmm")</calculatedColumnFormula>
    </tableColumn>
    <tableColumn id="19" xr3:uid="{256BF8F7-0CD6-4569-83EA-53B25DFD9D4E}" name="SparklineCol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5C494-F9D9-4367-BCC5-7F7BCD01D3EB}">
  <dimension ref="A1:Y501"/>
  <sheetViews>
    <sheetView tabSelected="1" topLeftCell="L1" zoomScale="104" workbookViewId="0">
      <selection activeCell="S25" sqref="S25"/>
    </sheetView>
  </sheetViews>
  <sheetFormatPr defaultRowHeight="14.4" x14ac:dyDescent="0.3"/>
  <cols>
    <col min="1" max="1" width="10.77734375" bestFit="1" customWidth="1"/>
    <col min="2" max="2" width="10.5546875" bestFit="1" customWidth="1"/>
    <col min="3" max="3" width="10.6640625" bestFit="1" customWidth="1"/>
    <col min="4" max="4" width="12" bestFit="1" customWidth="1"/>
    <col min="5" max="5" width="9" bestFit="1" customWidth="1"/>
    <col min="6" max="6" width="10.77734375" bestFit="1" customWidth="1"/>
    <col min="7" max="8" width="9.5546875" customWidth="1"/>
    <col min="9" max="9" width="10.5546875" bestFit="1" customWidth="1"/>
    <col min="10" max="11" width="11.109375" customWidth="1"/>
    <col min="13" max="13" width="19.77734375" bestFit="1" customWidth="1"/>
    <col min="14" max="14" width="10.21875" bestFit="1" customWidth="1"/>
    <col min="15" max="15" width="17.21875" bestFit="1" customWidth="1"/>
    <col min="17" max="17" width="25.6640625" bestFit="1" customWidth="1"/>
    <col min="19" max="19" width="24.21875" bestFit="1" customWidth="1"/>
    <col min="21" max="21" width="12.44140625" bestFit="1" customWidth="1"/>
    <col min="23" max="23" width="8.88671875" bestFit="1" customWidth="1"/>
  </cols>
  <sheetData>
    <row r="1" spans="1:2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s="2" t="s">
        <v>9</v>
      </c>
      <c r="K1" s="2"/>
    </row>
    <row r="2" spans="1:25" x14ac:dyDescent="0.3">
      <c r="A2">
        <v>1</v>
      </c>
      <c r="B2" s="1">
        <v>45197</v>
      </c>
      <c r="C2" t="s">
        <v>10</v>
      </c>
      <c r="D2" t="s">
        <v>54</v>
      </c>
      <c r="E2" t="s">
        <v>12</v>
      </c>
      <c r="F2" t="s">
        <v>13</v>
      </c>
      <c r="G2" t="s">
        <v>14</v>
      </c>
      <c r="H2" s="2">
        <v>46482.46</v>
      </c>
      <c r="I2">
        <v>8</v>
      </c>
      <c r="J2" s="2">
        <v>12648.46</v>
      </c>
      <c r="K2" s="2"/>
    </row>
    <row r="3" spans="1:25" x14ac:dyDescent="0.3">
      <c r="A3">
        <v>2</v>
      </c>
      <c r="B3" s="1">
        <v>45274</v>
      </c>
      <c r="C3" t="s">
        <v>15</v>
      </c>
      <c r="D3" t="s">
        <v>16</v>
      </c>
      <c r="E3" t="s">
        <v>17</v>
      </c>
      <c r="F3" t="s">
        <v>13</v>
      </c>
      <c r="G3" t="s">
        <v>14</v>
      </c>
      <c r="H3" s="2">
        <v>47951.42</v>
      </c>
      <c r="I3">
        <v>10</v>
      </c>
      <c r="J3" s="2">
        <v>9869.94</v>
      </c>
      <c r="K3" s="2"/>
      <c r="N3" s="33" t="s">
        <v>44</v>
      </c>
      <c r="O3" s="33"/>
      <c r="P3" s="33"/>
      <c r="Q3" s="33"/>
    </row>
    <row r="4" spans="1:25" x14ac:dyDescent="0.3">
      <c r="A4">
        <v>3</v>
      </c>
      <c r="B4" s="1">
        <v>45136</v>
      </c>
      <c r="C4" t="s">
        <v>18</v>
      </c>
      <c r="D4" t="s">
        <v>40</v>
      </c>
      <c r="E4" t="s">
        <v>20</v>
      </c>
      <c r="F4" t="s">
        <v>13</v>
      </c>
      <c r="G4" t="s">
        <v>21</v>
      </c>
      <c r="H4" s="2">
        <v>24461.75</v>
      </c>
      <c r="I4">
        <v>3</v>
      </c>
      <c r="J4" s="2">
        <v>7086.73</v>
      </c>
      <c r="K4" s="2"/>
    </row>
    <row r="5" spans="1:25" x14ac:dyDescent="0.3">
      <c r="A5">
        <v>4</v>
      </c>
      <c r="B5" s="1">
        <v>45044</v>
      </c>
      <c r="C5" t="s">
        <v>22</v>
      </c>
      <c r="D5" t="s">
        <v>22</v>
      </c>
      <c r="E5" t="s">
        <v>23</v>
      </c>
      <c r="F5" t="s">
        <v>24</v>
      </c>
      <c r="G5" t="s">
        <v>25</v>
      </c>
      <c r="H5" s="2">
        <v>11804.18</v>
      </c>
      <c r="I5">
        <v>5</v>
      </c>
      <c r="J5" s="2">
        <v>2281.2199999999998</v>
      </c>
      <c r="K5" s="2"/>
      <c r="M5" s="12" t="s">
        <v>42</v>
      </c>
      <c r="O5" s="12" t="s">
        <v>43</v>
      </c>
      <c r="Q5" s="12" t="s">
        <v>45</v>
      </c>
      <c r="S5" s="12" t="s">
        <v>46</v>
      </c>
      <c r="U5" s="12" t="s">
        <v>47</v>
      </c>
      <c r="W5" s="12" t="s">
        <v>48</v>
      </c>
      <c r="X5" s="11"/>
      <c r="Y5" s="10" t="s">
        <v>49</v>
      </c>
    </row>
    <row r="6" spans="1:25" x14ac:dyDescent="0.3">
      <c r="A6">
        <v>5</v>
      </c>
      <c r="B6" s="1">
        <v>45175</v>
      </c>
      <c r="C6" t="s">
        <v>26</v>
      </c>
      <c r="D6" t="s">
        <v>27</v>
      </c>
      <c r="E6" t="s">
        <v>12</v>
      </c>
      <c r="F6" t="s">
        <v>24</v>
      </c>
      <c r="G6" t="s">
        <v>28</v>
      </c>
      <c r="H6" s="2">
        <v>32428.83</v>
      </c>
      <c r="I6">
        <v>7</v>
      </c>
      <c r="J6" s="2">
        <v>6931.45</v>
      </c>
      <c r="K6" s="2"/>
      <c r="M6" s="3" t="str">
        <f>TRIM(M11)</f>
        <v>Vishal Mahida</v>
      </c>
      <c r="O6" s="3" t="str">
        <f>UPPER(O11)</f>
        <v>VINIX</v>
      </c>
      <c r="Q6" s="3" t="str">
        <f>LOWER(O6)</f>
        <v>vinix</v>
      </c>
      <c r="S6" s="3" t="str">
        <f>PROPER(Q6)</f>
        <v>Vinix</v>
      </c>
      <c r="U6" s="3" t="str">
        <f>LEFT(P11,4)</f>
        <v>Info</v>
      </c>
      <c r="W6" s="3" t="str">
        <f>RIGHT(P11,4)</f>
        <v>tech</v>
      </c>
      <c r="Y6" s="3" t="str">
        <f>MID(O11,2,2)</f>
        <v>in</v>
      </c>
    </row>
    <row r="7" spans="1:25" x14ac:dyDescent="0.3">
      <c r="A7">
        <v>6</v>
      </c>
      <c r="B7" s="1">
        <v>45004</v>
      </c>
      <c r="C7" t="s">
        <v>18</v>
      </c>
      <c r="D7" t="s">
        <v>19</v>
      </c>
      <c r="E7" t="s">
        <v>17</v>
      </c>
      <c r="F7" t="s">
        <v>24</v>
      </c>
      <c r="G7" t="s">
        <v>29</v>
      </c>
      <c r="H7" s="2">
        <v>25931.95</v>
      </c>
      <c r="I7">
        <v>4</v>
      </c>
      <c r="J7" s="2">
        <v>1541.8</v>
      </c>
      <c r="K7" s="2"/>
    </row>
    <row r="8" spans="1:25" x14ac:dyDescent="0.3">
      <c r="A8">
        <v>7</v>
      </c>
      <c r="B8" s="1">
        <v>45258</v>
      </c>
      <c r="C8" t="s">
        <v>30</v>
      </c>
      <c r="D8" t="s">
        <v>16</v>
      </c>
      <c r="E8" t="s">
        <v>23</v>
      </c>
      <c r="F8" t="s">
        <v>24</v>
      </c>
      <c r="G8" t="s">
        <v>25</v>
      </c>
      <c r="H8" s="2">
        <v>15599.35</v>
      </c>
      <c r="I8">
        <v>4</v>
      </c>
      <c r="J8" s="2">
        <v>2837.29</v>
      </c>
      <c r="K8" s="2"/>
      <c r="M8" s="12" t="s">
        <v>50</v>
      </c>
      <c r="O8" s="12" t="s">
        <v>51</v>
      </c>
      <c r="Q8" s="12" t="s">
        <v>52</v>
      </c>
      <c r="S8" s="12" t="s">
        <v>53</v>
      </c>
    </row>
    <row r="9" spans="1:25" x14ac:dyDescent="0.3">
      <c r="A9">
        <v>8</v>
      </c>
      <c r="B9" s="1">
        <v>45165</v>
      </c>
      <c r="C9" t="s">
        <v>18</v>
      </c>
      <c r="D9" t="s">
        <v>41</v>
      </c>
      <c r="E9" t="s">
        <v>20</v>
      </c>
      <c r="F9" t="s">
        <v>31</v>
      </c>
      <c r="G9" t="s">
        <v>32</v>
      </c>
      <c r="H9" s="2">
        <v>31649</v>
      </c>
      <c r="I9">
        <v>5</v>
      </c>
      <c r="J9" s="2">
        <v>3646.09</v>
      </c>
      <c r="K9" s="2"/>
      <c r="M9" s="3" t="str">
        <f>REPLACE(O11,1,5,"VINIX")</f>
        <v>VINIX</v>
      </c>
      <c r="O9" s="3" t="str">
        <f>SUBSTITUTE(M9,"VINIX","Prelytix")</f>
        <v>Prelytix</v>
      </c>
      <c r="Q9" s="3" t="str">
        <f>_xlfn.TEXTJOIN("-",TRUE,O11:R11)</f>
        <v>Vinix-Infotech-Private-Limited</v>
      </c>
      <c r="S9" s="3" t="str">
        <f>_xlfn.CONCAT(O11:R11)</f>
        <v>VinixInfotechPrivateLimited</v>
      </c>
    </row>
    <row r="10" spans="1:25" x14ac:dyDescent="0.3">
      <c r="A10">
        <v>9</v>
      </c>
      <c r="B10" s="1">
        <v>45027</v>
      </c>
      <c r="C10" t="s">
        <v>15</v>
      </c>
      <c r="D10" t="s">
        <v>16</v>
      </c>
      <c r="E10" t="s">
        <v>12</v>
      </c>
      <c r="F10" t="s">
        <v>24</v>
      </c>
      <c r="G10" t="s">
        <v>29</v>
      </c>
      <c r="H10" s="2">
        <v>555555</v>
      </c>
      <c r="I10">
        <v>7</v>
      </c>
      <c r="J10" s="2">
        <v>2025</v>
      </c>
      <c r="K10" s="2"/>
    </row>
    <row r="11" spans="1:25" x14ac:dyDescent="0.3">
      <c r="A11">
        <v>10</v>
      </c>
      <c r="B11" s="1">
        <v>45097</v>
      </c>
      <c r="C11" t="s">
        <v>30</v>
      </c>
      <c r="D11" t="s">
        <v>16</v>
      </c>
      <c r="E11" t="s">
        <v>17</v>
      </c>
      <c r="F11" t="s">
        <v>31</v>
      </c>
      <c r="G11" t="s">
        <v>33</v>
      </c>
      <c r="H11" s="2">
        <v>31852.71</v>
      </c>
      <c r="I11">
        <v>5</v>
      </c>
      <c r="J11" s="2">
        <v>9113.66</v>
      </c>
      <c r="K11" s="2"/>
      <c r="M11" s="7" t="s">
        <v>124</v>
      </c>
      <c r="O11" s="8" t="s">
        <v>130</v>
      </c>
      <c r="P11" s="8" t="s">
        <v>55</v>
      </c>
      <c r="Q11" s="8" t="s">
        <v>56</v>
      </c>
      <c r="R11" s="8" t="s">
        <v>57</v>
      </c>
    </row>
    <row r="12" spans="1:25" x14ac:dyDescent="0.3">
      <c r="A12">
        <v>11</v>
      </c>
      <c r="B12" s="1">
        <v>45272</v>
      </c>
      <c r="C12" t="s">
        <v>22</v>
      </c>
      <c r="D12" t="s">
        <v>22</v>
      </c>
      <c r="E12" t="s">
        <v>23</v>
      </c>
      <c r="F12" t="s">
        <v>31</v>
      </c>
      <c r="G12" t="s">
        <v>32</v>
      </c>
      <c r="H12" s="2">
        <v>46127.15</v>
      </c>
      <c r="I12">
        <v>7</v>
      </c>
      <c r="J12" s="2">
        <v>12556.39</v>
      </c>
      <c r="K12" s="2"/>
    </row>
    <row r="13" spans="1:25" x14ac:dyDescent="0.3">
      <c r="A13">
        <v>12</v>
      </c>
      <c r="B13" s="1">
        <v>45123</v>
      </c>
      <c r="C13" t="s">
        <v>18</v>
      </c>
      <c r="D13" t="s">
        <v>19</v>
      </c>
      <c r="E13" t="s">
        <v>20</v>
      </c>
      <c r="F13" t="s">
        <v>13</v>
      </c>
      <c r="G13" t="s">
        <v>34</v>
      </c>
      <c r="H13" s="2">
        <v>16045.71</v>
      </c>
      <c r="I13">
        <v>10</v>
      </c>
      <c r="J13" s="2">
        <v>921.15</v>
      </c>
      <c r="K13" s="2"/>
    </row>
    <row r="14" spans="1:25" x14ac:dyDescent="0.3">
      <c r="A14">
        <v>13</v>
      </c>
      <c r="B14" s="1">
        <v>45004</v>
      </c>
      <c r="C14" t="s">
        <v>35</v>
      </c>
      <c r="D14" t="s">
        <v>36</v>
      </c>
      <c r="E14" t="s">
        <v>20</v>
      </c>
      <c r="F14" t="s">
        <v>31</v>
      </c>
      <c r="G14" t="s">
        <v>32</v>
      </c>
      <c r="H14" s="2">
        <v>17293.28</v>
      </c>
      <c r="I14">
        <v>3</v>
      </c>
      <c r="J14" s="2">
        <v>3755.05</v>
      </c>
      <c r="K14" s="2"/>
      <c r="N14" s="33" t="s">
        <v>58</v>
      </c>
      <c r="O14" s="33"/>
      <c r="P14" s="33"/>
      <c r="Q14" s="33"/>
    </row>
    <row r="15" spans="1:25" x14ac:dyDescent="0.3">
      <c r="A15">
        <v>14</v>
      </c>
      <c r="B15" s="1">
        <v>45278</v>
      </c>
      <c r="C15" t="s">
        <v>37</v>
      </c>
      <c r="D15" t="s">
        <v>27</v>
      </c>
      <c r="E15" t="s">
        <v>12</v>
      </c>
      <c r="F15" t="s">
        <v>13</v>
      </c>
      <c r="G15" t="s">
        <v>34</v>
      </c>
      <c r="H15" s="2">
        <v>34137.550000000003</v>
      </c>
      <c r="I15">
        <v>4</v>
      </c>
      <c r="J15" s="2">
        <v>1912.63</v>
      </c>
      <c r="K15" s="2"/>
    </row>
    <row r="16" spans="1:25" x14ac:dyDescent="0.3">
      <c r="A16">
        <v>15</v>
      </c>
      <c r="B16" s="1">
        <v>44966</v>
      </c>
      <c r="C16" t="s">
        <v>38</v>
      </c>
      <c r="D16" t="s">
        <v>27</v>
      </c>
      <c r="E16" t="s">
        <v>17</v>
      </c>
      <c r="F16" t="s">
        <v>24</v>
      </c>
      <c r="G16" t="s">
        <v>29</v>
      </c>
      <c r="H16" s="2">
        <v>37166.230000000003</v>
      </c>
      <c r="I16">
        <v>9</v>
      </c>
      <c r="J16" s="2">
        <v>4660.25</v>
      </c>
      <c r="K16" s="2"/>
      <c r="M16" s="12" t="s">
        <v>59</v>
      </c>
      <c r="O16" s="12" t="s">
        <v>60</v>
      </c>
      <c r="Q16" s="12" t="s">
        <v>61</v>
      </c>
      <c r="S16" s="12" t="s">
        <v>62</v>
      </c>
      <c r="U16" s="12" t="s">
        <v>63</v>
      </c>
      <c r="W16" s="12" t="s">
        <v>64</v>
      </c>
    </row>
    <row r="17" spans="1:23" x14ac:dyDescent="0.3">
      <c r="A17">
        <v>16</v>
      </c>
      <c r="B17" s="1">
        <v>45001</v>
      </c>
      <c r="C17" t="s">
        <v>38</v>
      </c>
      <c r="D17" t="s">
        <v>27</v>
      </c>
      <c r="E17" t="s">
        <v>17</v>
      </c>
      <c r="F17" t="s">
        <v>13</v>
      </c>
      <c r="G17" t="s">
        <v>21</v>
      </c>
      <c r="H17" s="2">
        <v>7067.15</v>
      </c>
      <c r="I17">
        <v>10</v>
      </c>
      <c r="J17" s="2">
        <v>959.24</v>
      </c>
      <c r="K17" s="2"/>
      <c r="M17" s="4">
        <f ca="1">TODAY()</f>
        <v>46157</v>
      </c>
      <c r="O17" s="5">
        <f ca="1">NOW()</f>
        <v>46157.626494212964</v>
      </c>
      <c r="Q17" s="3">
        <f ca="1">HOUR(O17)</f>
        <v>15</v>
      </c>
      <c r="S17" s="3">
        <f ca="1">MINUTE(O17)</f>
        <v>2</v>
      </c>
      <c r="U17" s="3">
        <f ca="1">SECOND(O17)</f>
        <v>9</v>
      </c>
      <c r="W17" s="6">
        <f>TIME(4,30,30)</f>
        <v>0.18784722222222222</v>
      </c>
    </row>
    <row r="18" spans="1:23" x14ac:dyDescent="0.3">
      <c r="A18">
        <v>17</v>
      </c>
      <c r="B18" s="1">
        <v>45119</v>
      </c>
      <c r="C18" t="s">
        <v>15</v>
      </c>
      <c r="D18" t="s">
        <v>16</v>
      </c>
      <c r="E18" t="s">
        <v>17</v>
      </c>
      <c r="F18" t="s">
        <v>31</v>
      </c>
      <c r="G18" t="s">
        <v>33</v>
      </c>
      <c r="H18" s="2">
        <v>28440.25</v>
      </c>
      <c r="I18">
        <v>7</v>
      </c>
      <c r="J18" s="2">
        <v>8317.2999999999993</v>
      </c>
      <c r="K18" s="2"/>
    </row>
    <row r="19" spans="1:23" x14ac:dyDescent="0.3">
      <c r="A19">
        <v>18</v>
      </c>
      <c r="B19" s="1">
        <v>45259</v>
      </c>
      <c r="C19" t="s">
        <v>22</v>
      </c>
      <c r="D19" t="s">
        <v>22</v>
      </c>
      <c r="E19" t="s">
        <v>17</v>
      </c>
      <c r="F19" t="s">
        <v>13</v>
      </c>
      <c r="G19" t="s">
        <v>34</v>
      </c>
      <c r="H19" s="2">
        <v>4336.55</v>
      </c>
      <c r="I19">
        <v>10</v>
      </c>
      <c r="J19" s="2">
        <v>883.82</v>
      </c>
      <c r="K19" s="2"/>
      <c r="M19" s="12" t="s">
        <v>65</v>
      </c>
      <c r="O19" s="12" t="s">
        <v>66</v>
      </c>
      <c r="Q19" s="12" t="s">
        <v>67</v>
      </c>
      <c r="S19" s="17" t="s">
        <v>68</v>
      </c>
      <c r="U19" s="12" t="s">
        <v>69</v>
      </c>
      <c r="W19" s="12" t="s">
        <v>70</v>
      </c>
    </row>
    <row r="20" spans="1:23" x14ac:dyDescent="0.3">
      <c r="A20">
        <v>19</v>
      </c>
      <c r="B20" s="1">
        <v>45282</v>
      </c>
      <c r="C20" t="s">
        <v>22</v>
      </c>
      <c r="D20" t="s">
        <v>22</v>
      </c>
      <c r="E20" t="s">
        <v>17</v>
      </c>
      <c r="F20" t="s">
        <v>13</v>
      </c>
      <c r="G20" t="s">
        <v>14</v>
      </c>
      <c r="H20" s="2">
        <v>1239.49</v>
      </c>
      <c r="I20">
        <v>4</v>
      </c>
      <c r="J20" s="2">
        <v>278.37</v>
      </c>
      <c r="K20" s="2"/>
      <c r="M20" s="3">
        <f ca="1">YEAR(M17)</f>
        <v>2026</v>
      </c>
      <c r="O20" s="3">
        <f ca="1">MONTH(O17)</f>
        <v>5</v>
      </c>
      <c r="Q20" s="3">
        <f ca="1">DAY(O17)</f>
        <v>15</v>
      </c>
      <c r="S20" s="3">
        <f>NETWORKDAYS(M23,O23)</f>
        <v>19</v>
      </c>
      <c r="U20" s="3">
        <f>_xlfn.DAYS(O23,M23)</f>
        <v>26</v>
      </c>
      <c r="W20" s="3">
        <f>DAYS360(M23,O23,TRUE)</f>
        <v>25</v>
      </c>
    </row>
    <row r="21" spans="1:23" x14ac:dyDescent="0.3">
      <c r="A21">
        <v>20</v>
      </c>
      <c r="B21" s="1">
        <v>45003</v>
      </c>
      <c r="C21" t="s">
        <v>26</v>
      </c>
      <c r="D21" t="s">
        <v>27</v>
      </c>
      <c r="E21" t="s">
        <v>17</v>
      </c>
      <c r="F21" t="s">
        <v>24</v>
      </c>
      <c r="G21" t="s">
        <v>25</v>
      </c>
      <c r="H21" s="2">
        <v>12013.15</v>
      </c>
      <c r="I21">
        <v>7</v>
      </c>
      <c r="J21" s="2">
        <v>968.92</v>
      </c>
      <c r="K21" s="2"/>
    </row>
    <row r="22" spans="1:23" x14ac:dyDescent="0.3">
      <c r="A22">
        <v>21</v>
      </c>
      <c r="B22" s="1">
        <v>44972</v>
      </c>
      <c r="C22" t="s">
        <v>10</v>
      </c>
      <c r="D22" t="s">
        <v>11</v>
      </c>
      <c r="E22" t="s">
        <v>17</v>
      </c>
      <c r="F22" t="s">
        <v>31</v>
      </c>
      <c r="G22" t="s">
        <v>39</v>
      </c>
      <c r="H22" s="2">
        <v>43252.06</v>
      </c>
      <c r="I22">
        <v>10</v>
      </c>
      <c r="J22" s="2">
        <v>8949.06</v>
      </c>
      <c r="K22" s="2"/>
    </row>
    <row r="23" spans="1:23" x14ac:dyDescent="0.3">
      <c r="A23">
        <v>22</v>
      </c>
      <c r="B23" s="1">
        <v>45175</v>
      </c>
      <c r="C23" t="s">
        <v>26</v>
      </c>
      <c r="D23" t="s">
        <v>27</v>
      </c>
      <c r="E23" t="s">
        <v>17</v>
      </c>
      <c r="F23" t="s">
        <v>24</v>
      </c>
      <c r="G23" t="s">
        <v>29</v>
      </c>
      <c r="H23" s="2">
        <v>13136.74</v>
      </c>
      <c r="I23">
        <v>10</v>
      </c>
      <c r="J23" s="2">
        <v>2907.53</v>
      </c>
      <c r="K23" s="2"/>
      <c r="M23" s="9">
        <v>46154</v>
      </c>
      <c r="O23" s="9">
        <v>46180</v>
      </c>
    </row>
    <row r="24" spans="1:23" x14ac:dyDescent="0.3">
      <c r="A24">
        <v>23</v>
      </c>
      <c r="B24" s="1">
        <v>45260</v>
      </c>
      <c r="C24" t="s">
        <v>26</v>
      </c>
      <c r="D24" t="s">
        <v>27</v>
      </c>
      <c r="E24" t="s">
        <v>20</v>
      </c>
      <c r="F24" t="s">
        <v>31</v>
      </c>
      <c r="G24" t="s">
        <v>39</v>
      </c>
      <c r="H24" s="2">
        <v>35956.54</v>
      </c>
      <c r="I24">
        <v>1</v>
      </c>
      <c r="J24" s="2">
        <v>6308.41</v>
      </c>
      <c r="K24" s="2"/>
    </row>
    <row r="25" spans="1:23" x14ac:dyDescent="0.3">
      <c r="A25">
        <v>24</v>
      </c>
      <c r="B25" s="1">
        <v>45103</v>
      </c>
      <c r="C25" t="s">
        <v>18</v>
      </c>
      <c r="D25" t="s">
        <v>19</v>
      </c>
      <c r="E25" t="s">
        <v>20</v>
      </c>
      <c r="F25" t="s">
        <v>31</v>
      </c>
      <c r="G25" t="s">
        <v>33</v>
      </c>
      <c r="H25" s="2">
        <v>36894.9</v>
      </c>
      <c r="I25">
        <v>5</v>
      </c>
      <c r="J25" s="2">
        <v>10265.879999999999</v>
      </c>
      <c r="K25" s="2"/>
    </row>
    <row r="26" spans="1:23" x14ac:dyDescent="0.3">
      <c r="A26">
        <v>25</v>
      </c>
      <c r="B26" s="1">
        <v>45176</v>
      </c>
      <c r="C26" t="s">
        <v>35</v>
      </c>
      <c r="D26" t="s">
        <v>36</v>
      </c>
      <c r="E26" t="s">
        <v>12</v>
      </c>
      <c r="F26" t="s">
        <v>13</v>
      </c>
      <c r="G26" t="s">
        <v>34</v>
      </c>
      <c r="H26" s="2">
        <v>36393.839999999997</v>
      </c>
      <c r="I26">
        <v>2</v>
      </c>
      <c r="J26" s="2">
        <v>4029.33</v>
      </c>
      <c r="K26" s="2"/>
    </row>
    <row r="27" spans="1:23" x14ac:dyDescent="0.3">
      <c r="A27">
        <v>26</v>
      </c>
      <c r="B27" s="1">
        <v>45153</v>
      </c>
      <c r="C27" t="s">
        <v>26</v>
      </c>
      <c r="D27" t="s">
        <v>27</v>
      </c>
      <c r="E27" t="s">
        <v>12</v>
      </c>
      <c r="F27" t="s">
        <v>24</v>
      </c>
      <c r="G27" t="s">
        <v>29</v>
      </c>
      <c r="H27" s="2">
        <v>18244.080000000002</v>
      </c>
      <c r="I27">
        <v>10</v>
      </c>
      <c r="J27" s="2">
        <v>1308.29</v>
      </c>
      <c r="K27" s="2"/>
    </row>
    <row r="28" spans="1:23" x14ac:dyDescent="0.3">
      <c r="A28">
        <v>27</v>
      </c>
      <c r="B28" s="1">
        <v>45050</v>
      </c>
      <c r="C28" t="s">
        <v>18</v>
      </c>
      <c r="D28" t="s">
        <v>19</v>
      </c>
      <c r="E28" t="s">
        <v>12</v>
      </c>
      <c r="F28" t="s">
        <v>24</v>
      </c>
      <c r="G28" t="s">
        <v>25</v>
      </c>
      <c r="H28" s="2">
        <v>39573.279999999999</v>
      </c>
      <c r="I28">
        <v>7</v>
      </c>
      <c r="J28" s="2">
        <v>6877.16</v>
      </c>
      <c r="K28" s="2"/>
    </row>
    <row r="29" spans="1:23" x14ac:dyDescent="0.3">
      <c r="A29">
        <v>28</v>
      </c>
      <c r="B29" s="1">
        <v>44968</v>
      </c>
      <c r="C29" t="s">
        <v>37</v>
      </c>
      <c r="D29" t="s">
        <v>27</v>
      </c>
      <c r="E29" t="s">
        <v>12</v>
      </c>
      <c r="F29" t="s">
        <v>24</v>
      </c>
      <c r="G29" t="s">
        <v>25</v>
      </c>
      <c r="H29" s="2">
        <v>16112.12</v>
      </c>
      <c r="I29">
        <v>2</v>
      </c>
      <c r="J29" s="2">
        <v>2614.2399999999998</v>
      </c>
      <c r="K29" s="2"/>
    </row>
    <row r="30" spans="1:23" x14ac:dyDescent="0.3">
      <c r="A30">
        <v>29</v>
      </c>
      <c r="B30" s="1">
        <v>45166</v>
      </c>
      <c r="C30" t="s">
        <v>18</v>
      </c>
      <c r="D30" t="s">
        <v>19</v>
      </c>
      <c r="E30" t="s">
        <v>12</v>
      </c>
      <c r="F30" t="s">
        <v>13</v>
      </c>
      <c r="G30" t="s">
        <v>14</v>
      </c>
      <c r="H30" s="2">
        <v>17197.509999999998</v>
      </c>
      <c r="I30">
        <v>3</v>
      </c>
      <c r="J30" s="2">
        <v>1675.41</v>
      </c>
      <c r="K30" s="2"/>
    </row>
    <row r="31" spans="1:23" x14ac:dyDescent="0.3">
      <c r="A31">
        <v>30</v>
      </c>
      <c r="B31" s="1">
        <v>44995</v>
      </c>
      <c r="C31" t="s">
        <v>30</v>
      </c>
      <c r="D31" t="s">
        <v>16</v>
      </c>
      <c r="E31" t="s">
        <v>12</v>
      </c>
      <c r="F31" t="s">
        <v>31</v>
      </c>
      <c r="G31" t="s">
        <v>39</v>
      </c>
      <c r="H31" s="2">
        <v>40062.949999999997</v>
      </c>
      <c r="I31">
        <v>5</v>
      </c>
      <c r="J31" s="2">
        <v>11536.21</v>
      </c>
      <c r="K31" s="2"/>
    </row>
    <row r="32" spans="1:23" x14ac:dyDescent="0.3">
      <c r="A32">
        <v>31</v>
      </c>
      <c r="B32" s="1">
        <v>45217</v>
      </c>
      <c r="C32" t="s">
        <v>15</v>
      </c>
      <c r="D32" t="s">
        <v>16</v>
      </c>
      <c r="E32" t="s">
        <v>12</v>
      </c>
      <c r="F32" t="s">
        <v>24</v>
      </c>
      <c r="G32" t="s">
        <v>25</v>
      </c>
      <c r="H32" s="2">
        <v>30699.4</v>
      </c>
      <c r="I32">
        <v>2</v>
      </c>
      <c r="J32" s="2">
        <v>5821.81</v>
      </c>
      <c r="K32" s="2"/>
    </row>
    <row r="33" spans="1:11" x14ac:dyDescent="0.3">
      <c r="A33">
        <v>32</v>
      </c>
      <c r="B33" s="1">
        <v>45127</v>
      </c>
      <c r="C33" t="s">
        <v>22</v>
      </c>
      <c r="D33" t="s">
        <v>22</v>
      </c>
      <c r="E33" t="s">
        <v>12</v>
      </c>
      <c r="F33" t="s">
        <v>31</v>
      </c>
      <c r="G33" t="s">
        <v>32</v>
      </c>
      <c r="H33" s="2">
        <v>46798.46</v>
      </c>
      <c r="I33">
        <v>8</v>
      </c>
      <c r="J33" s="2">
        <v>12650.58</v>
      </c>
      <c r="K33" s="2"/>
    </row>
    <row r="34" spans="1:11" x14ac:dyDescent="0.3">
      <c r="A34">
        <v>33</v>
      </c>
      <c r="B34" s="1">
        <v>45005</v>
      </c>
      <c r="C34" t="s">
        <v>30</v>
      </c>
      <c r="D34" t="s">
        <v>16</v>
      </c>
      <c r="E34" t="s">
        <v>12</v>
      </c>
      <c r="F34" t="s">
        <v>24</v>
      </c>
      <c r="G34" t="s">
        <v>28</v>
      </c>
      <c r="H34" s="2">
        <v>18545.72</v>
      </c>
      <c r="I34">
        <v>9</v>
      </c>
      <c r="J34" s="2">
        <v>3893.71</v>
      </c>
      <c r="K34" s="2"/>
    </row>
    <row r="35" spans="1:11" x14ac:dyDescent="0.3">
      <c r="A35">
        <v>34</v>
      </c>
      <c r="B35" s="1">
        <v>45097</v>
      </c>
      <c r="C35" t="s">
        <v>15</v>
      </c>
      <c r="D35" t="s">
        <v>16</v>
      </c>
      <c r="E35" t="s">
        <v>12</v>
      </c>
      <c r="F35" t="s">
        <v>24</v>
      </c>
      <c r="G35" t="s">
        <v>25</v>
      </c>
      <c r="H35" s="2">
        <v>47078.67</v>
      </c>
      <c r="I35">
        <v>4</v>
      </c>
      <c r="J35" s="2">
        <v>5416.29</v>
      </c>
      <c r="K35" s="2"/>
    </row>
    <row r="36" spans="1:11" x14ac:dyDescent="0.3">
      <c r="A36">
        <v>35</v>
      </c>
      <c r="B36" s="1">
        <v>44983</v>
      </c>
      <c r="C36" t="s">
        <v>37</v>
      </c>
      <c r="D36" t="s">
        <v>27</v>
      </c>
      <c r="E36" t="s">
        <v>12</v>
      </c>
      <c r="F36" t="s">
        <v>13</v>
      </c>
      <c r="G36" t="s">
        <v>21</v>
      </c>
      <c r="H36" s="2">
        <v>45410.16</v>
      </c>
      <c r="I36">
        <v>2</v>
      </c>
      <c r="J36" s="2">
        <v>6601.61</v>
      </c>
      <c r="K36" s="2"/>
    </row>
    <row r="37" spans="1:11" x14ac:dyDescent="0.3">
      <c r="A37">
        <v>36</v>
      </c>
      <c r="B37" s="1">
        <v>45083</v>
      </c>
      <c r="C37" t="s">
        <v>18</v>
      </c>
      <c r="D37" t="s">
        <v>19</v>
      </c>
      <c r="E37" t="s">
        <v>12</v>
      </c>
      <c r="F37" t="s">
        <v>31</v>
      </c>
      <c r="G37" t="s">
        <v>32</v>
      </c>
      <c r="H37" s="2">
        <v>8022.9</v>
      </c>
      <c r="I37">
        <v>9</v>
      </c>
      <c r="J37" s="2">
        <v>1118.83</v>
      </c>
      <c r="K37" s="2"/>
    </row>
    <row r="38" spans="1:11" x14ac:dyDescent="0.3">
      <c r="A38">
        <v>37</v>
      </c>
      <c r="B38" s="1">
        <v>45039</v>
      </c>
      <c r="C38" t="s">
        <v>15</v>
      </c>
      <c r="D38" t="s">
        <v>16</v>
      </c>
      <c r="E38" t="s">
        <v>12</v>
      </c>
      <c r="F38" t="s">
        <v>13</v>
      </c>
      <c r="G38" t="s">
        <v>34</v>
      </c>
      <c r="H38" s="2">
        <v>34478.959999999999</v>
      </c>
      <c r="I38">
        <v>5</v>
      </c>
      <c r="J38" s="2">
        <v>4118.41</v>
      </c>
      <c r="K38" s="2"/>
    </row>
    <row r="39" spans="1:11" x14ac:dyDescent="0.3">
      <c r="A39">
        <v>38</v>
      </c>
      <c r="B39" s="1">
        <v>45247</v>
      </c>
      <c r="C39" t="s">
        <v>18</v>
      </c>
      <c r="D39" t="s">
        <v>19</v>
      </c>
      <c r="E39" t="s">
        <v>12</v>
      </c>
      <c r="F39" t="s">
        <v>31</v>
      </c>
      <c r="G39" t="s">
        <v>33</v>
      </c>
      <c r="H39" s="2">
        <v>34640.65</v>
      </c>
      <c r="I39">
        <v>10</v>
      </c>
      <c r="J39" s="2">
        <v>9567.4500000000007</v>
      </c>
      <c r="K39" s="2"/>
    </row>
    <row r="40" spans="1:11" x14ac:dyDescent="0.3">
      <c r="A40">
        <v>39</v>
      </c>
      <c r="B40" s="1">
        <v>44941</v>
      </c>
      <c r="C40" t="s">
        <v>26</v>
      </c>
      <c r="D40" t="s">
        <v>27</v>
      </c>
      <c r="E40" t="s">
        <v>12</v>
      </c>
      <c r="F40" t="s">
        <v>13</v>
      </c>
      <c r="G40" t="s">
        <v>34</v>
      </c>
      <c r="H40" s="2">
        <v>3218.7</v>
      </c>
      <c r="I40">
        <v>3</v>
      </c>
      <c r="J40" s="2">
        <v>572.08000000000004</v>
      </c>
      <c r="K40" s="2"/>
    </row>
    <row r="41" spans="1:11" x14ac:dyDescent="0.3">
      <c r="A41">
        <v>40</v>
      </c>
      <c r="B41" s="1">
        <v>44941</v>
      </c>
      <c r="C41" t="s">
        <v>22</v>
      </c>
      <c r="D41" t="s">
        <v>22</v>
      </c>
      <c r="E41" t="s">
        <v>12</v>
      </c>
      <c r="F41" t="s">
        <v>31</v>
      </c>
      <c r="G41" t="s">
        <v>33</v>
      </c>
      <c r="H41" s="2">
        <v>28642.2</v>
      </c>
      <c r="I41">
        <v>5</v>
      </c>
      <c r="J41" s="2">
        <v>2312.54</v>
      </c>
      <c r="K41" s="2"/>
    </row>
    <row r="42" spans="1:11" x14ac:dyDescent="0.3">
      <c r="A42">
        <v>41</v>
      </c>
      <c r="B42" s="1">
        <v>45238</v>
      </c>
      <c r="C42" t="s">
        <v>15</v>
      </c>
      <c r="D42" t="s">
        <v>16</v>
      </c>
      <c r="E42" t="s">
        <v>12</v>
      </c>
      <c r="F42" t="s">
        <v>13</v>
      </c>
      <c r="G42" t="s">
        <v>14</v>
      </c>
      <c r="H42" s="2">
        <v>30927.86</v>
      </c>
      <c r="I42">
        <v>10</v>
      </c>
      <c r="J42" s="2">
        <v>8460.2199999999993</v>
      </c>
      <c r="K42" s="2"/>
    </row>
    <row r="43" spans="1:11" x14ac:dyDescent="0.3">
      <c r="A43">
        <v>42</v>
      </c>
      <c r="B43" s="1">
        <v>45143</v>
      </c>
      <c r="C43" t="s">
        <v>10</v>
      </c>
      <c r="D43" t="s">
        <v>11</v>
      </c>
      <c r="E43" t="s">
        <v>12</v>
      </c>
      <c r="F43" t="s">
        <v>31</v>
      </c>
      <c r="G43" t="s">
        <v>32</v>
      </c>
      <c r="H43" s="2">
        <v>32426.75</v>
      </c>
      <c r="I43">
        <v>7</v>
      </c>
      <c r="J43" s="2">
        <v>8518.11</v>
      </c>
      <c r="K43" s="2"/>
    </row>
    <row r="44" spans="1:11" x14ac:dyDescent="0.3">
      <c r="A44">
        <v>43</v>
      </c>
      <c r="B44" s="1">
        <v>45283</v>
      </c>
      <c r="C44" t="s">
        <v>38</v>
      </c>
      <c r="D44" t="s">
        <v>27</v>
      </c>
      <c r="E44" t="s">
        <v>20</v>
      </c>
      <c r="F44" t="s">
        <v>31</v>
      </c>
      <c r="G44" t="s">
        <v>39</v>
      </c>
      <c r="H44" s="2">
        <v>19643.03</v>
      </c>
      <c r="I44">
        <v>5</v>
      </c>
      <c r="J44" s="2">
        <v>2911.87</v>
      </c>
      <c r="K44" s="2"/>
    </row>
    <row r="45" spans="1:11" x14ac:dyDescent="0.3">
      <c r="A45">
        <v>44</v>
      </c>
      <c r="B45" s="1">
        <v>44981</v>
      </c>
      <c r="C45" t="s">
        <v>26</v>
      </c>
      <c r="D45" t="s">
        <v>27</v>
      </c>
      <c r="E45" t="s">
        <v>20</v>
      </c>
      <c r="F45" t="s">
        <v>13</v>
      </c>
      <c r="G45" t="s">
        <v>34</v>
      </c>
      <c r="H45" s="2">
        <v>46031.41</v>
      </c>
      <c r="I45">
        <v>10</v>
      </c>
      <c r="J45" s="2">
        <v>12190.44</v>
      </c>
      <c r="K45" s="2"/>
    </row>
    <row r="46" spans="1:11" x14ac:dyDescent="0.3">
      <c r="A46">
        <v>45</v>
      </c>
      <c r="B46" s="1">
        <v>44967</v>
      </c>
      <c r="C46" t="s">
        <v>22</v>
      </c>
      <c r="D46" t="s">
        <v>22</v>
      </c>
      <c r="E46" t="s">
        <v>20</v>
      </c>
      <c r="F46" t="s">
        <v>13</v>
      </c>
      <c r="G46" t="s">
        <v>21</v>
      </c>
      <c r="H46" s="2">
        <v>10312.469999999999</v>
      </c>
      <c r="I46">
        <v>3</v>
      </c>
      <c r="J46" s="2">
        <v>917.6</v>
      </c>
      <c r="K46" s="2"/>
    </row>
    <row r="47" spans="1:11" x14ac:dyDescent="0.3">
      <c r="A47">
        <v>46</v>
      </c>
      <c r="B47" s="1">
        <v>45288</v>
      </c>
      <c r="C47" t="s">
        <v>37</v>
      </c>
      <c r="D47" t="s">
        <v>27</v>
      </c>
      <c r="E47" t="s">
        <v>20</v>
      </c>
      <c r="F47" t="s">
        <v>24</v>
      </c>
      <c r="G47" t="s">
        <v>28</v>
      </c>
      <c r="H47" s="2">
        <v>6582.1</v>
      </c>
      <c r="I47">
        <v>1</v>
      </c>
      <c r="J47" s="2">
        <v>1867.37</v>
      </c>
      <c r="K47" s="2"/>
    </row>
    <row r="48" spans="1:11" x14ac:dyDescent="0.3">
      <c r="A48">
        <v>47</v>
      </c>
      <c r="B48" s="1">
        <v>45155</v>
      </c>
      <c r="C48" t="s">
        <v>15</v>
      </c>
      <c r="D48" t="s">
        <v>16</v>
      </c>
      <c r="E48" t="s">
        <v>20</v>
      </c>
      <c r="F48" t="s">
        <v>31</v>
      </c>
      <c r="G48" t="s">
        <v>39</v>
      </c>
      <c r="H48" s="2">
        <v>3134.95</v>
      </c>
      <c r="I48">
        <v>8</v>
      </c>
      <c r="J48" s="2">
        <v>371.46</v>
      </c>
      <c r="K48" s="2"/>
    </row>
    <row r="49" spans="1:11" x14ac:dyDescent="0.3">
      <c r="A49">
        <v>48</v>
      </c>
      <c r="B49" s="1">
        <v>45252</v>
      </c>
      <c r="C49" t="s">
        <v>18</v>
      </c>
      <c r="D49" t="s">
        <v>19</v>
      </c>
      <c r="E49" t="s">
        <v>20</v>
      </c>
      <c r="F49" t="s">
        <v>31</v>
      </c>
      <c r="G49" t="s">
        <v>39</v>
      </c>
      <c r="H49" s="2">
        <v>43738.86</v>
      </c>
      <c r="I49">
        <v>4</v>
      </c>
      <c r="J49" s="2">
        <v>5140.59</v>
      </c>
      <c r="K49" s="2"/>
    </row>
    <row r="50" spans="1:11" x14ac:dyDescent="0.3">
      <c r="A50">
        <v>49</v>
      </c>
      <c r="B50" s="1">
        <v>45229</v>
      </c>
      <c r="C50" t="s">
        <v>38</v>
      </c>
      <c r="D50" t="s">
        <v>27</v>
      </c>
      <c r="E50" t="s">
        <v>20</v>
      </c>
      <c r="F50" t="s">
        <v>24</v>
      </c>
      <c r="G50" t="s">
        <v>29</v>
      </c>
      <c r="H50" s="2">
        <v>17707.400000000001</v>
      </c>
      <c r="I50">
        <v>10</v>
      </c>
      <c r="J50" s="2">
        <v>2970.2</v>
      </c>
      <c r="K50" s="2"/>
    </row>
    <row r="51" spans="1:11" x14ac:dyDescent="0.3">
      <c r="A51">
        <v>50</v>
      </c>
      <c r="B51" s="1">
        <v>45222</v>
      </c>
      <c r="C51" t="s">
        <v>15</v>
      </c>
      <c r="D51" t="s">
        <v>16</v>
      </c>
      <c r="E51" t="s">
        <v>20</v>
      </c>
      <c r="F51" t="s">
        <v>31</v>
      </c>
      <c r="G51" t="s">
        <v>39</v>
      </c>
      <c r="H51" s="2">
        <v>7789.2</v>
      </c>
      <c r="I51">
        <v>1</v>
      </c>
      <c r="J51" s="2">
        <v>1011.85</v>
      </c>
      <c r="K51" s="2"/>
    </row>
    <row r="52" spans="1:11" x14ac:dyDescent="0.3">
      <c r="A52">
        <v>51</v>
      </c>
      <c r="B52" s="1">
        <v>45270</v>
      </c>
      <c r="C52" t="s">
        <v>18</v>
      </c>
      <c r="D52" t="s">
        <v>19</v>
      </c>
      <c r="E52" t="s">
        <v>20</v>
      </c>
      <c r="F52" t="s">
        <v>31</v>
      </c>
      <c r="G52" t="s">
        <v>33</v>
      </c>
      <c r="H52" s="2">
        <v>18333.759999999998</v>
      </c>
      <c r="I52">
        <v>7</v>
      </c>
      <c r="J52" s="2">
        <v>4255.3900000000003</v>
      </c>
      <c r="K52" s="2"/>
    </row>
    <row r="53" spans="1:11" x14ac:dyDescent="0.3">
      <c r="A53">
        <v>52</v>
      </c>
      <c r="B53" s="1">
        <v>45041</v>
      </c>
      <c r="C53" t="s">
        <v>15</v>
      </c>
      <c r="D53" t="s">
        <v>16</v>
      </c>
      <c r="E53" t="s">
        <v>20</v>
      </c>
      <c r="F53" t="s">
        <v>31</v>
      </c>
      <c r="G53" t="s">
        <v>39</v>
      </c>
      <c r="H53" s="2">
        <v>29916.02</v>
      </c>
      <c r="I53">
        <v>1</v>
      </c>
      <c r="J53" s="2">
        <v>6067.18</v>
      </c>
      <c r="K53" s="2"/>
    </row>
    <row r="54" spans="1:11" x14ac:dyDescent="0.3">
      <c r="A54">
        <v>53</v>
      </c>
      <c r="B54" s="1">
        <v>45143</v>
      </c>
      <c r="C54" t="s">
        <v>15</v>
      </c>
      <c r="D54" t="s">
        <v>16</v>
      </c>
      <c r="E54" t="s">
        <v>20</v>
      </c>
      <c r="F54" t="s">
        <v>13</v>
      </c>
      <c r="G54" t="s">
        <v>14</v>
      </c>
      <c r="H54" s="2">
        <v>40222.480000000003</v>
      </c>
      <c r="I54">
        <v>5</v>
      </c>
      <c r="J54" s="2">
        <v>8031.61</v>
      </c>
      <c r="K54" s="2"/>
    </row>
    <row r="55" spans="1:11" x14ac:dyDescent="0.3">
      <c r="A55">
        <v>54</v>
      </c>
      <c r="B55" s="1">
        <v>45148</v>
      </c>
      <c r="C55" t="s">
        <v>35</v>
      </c>
      <c r="D55" t="s">
        <v>36</v>
      </c>
      <c r="E55" t="s">
        <v>23</v>
      </c>
      <c r="F55" t="s">
        <v>13</v>
      </c>
      <c r="G55" t="s">
        <v>14</v>
      </c>
      <c r="H55" s="2">
        <v>28351.119999999999</v>
      </c>
      <c r="I55">
        <v>2</v>
      </c>
      <c r="J55" s="2">
        <v>7580.92</v>
      </c>
      <c r="K55" s="2"/>
    </row>
    <row r="56" spans="1:11" x14ac:dyDescent="0.3">
      <c r="A56">
        <v>55</v>
      </c>
      <c r="B56" s="1">
        <v>44980</v>
      </c>
      <c r="C56" t="s">
        <v>30</v>
      </c>
      <c r="D56" t="s">
        <v>16</v>
      </c>
      <c r="E56" t="s">
        <v>23</v>
      </c>
      <c r="F56" t="s">
        <v>31</v>
      </c>
      <c r="G56" t="s">
        <v>32</v>
      </c>
      <c r="H56" s="2">
        <v>26706.3</v>
      </c>
      <c r="I56">
        <v>5</v>
      </c>
      <c r="J56" s="2">
        <v>3028.14</v>
      </c>
      <c r="K56" s="2"/>
    </row>
    <row r="57" spans="1:11" x14ac:dyDescent="0.3">
      <c r="A57">
        <v>56</v>
      </c>
      <c r="B57" s="1">
        <v>45068</v>
      </c>
      <c r="C57" t="s">
        <v>10</v>
      </c>
      <c r="D57" t="s">
        <v>11</v>
      </c>
      <c r="E57" t="s">
        <v>23</v>
      </c>
      <c r="F57" t="s">
        <v>13</v>
      </c>
      <c r="G57" t="s">
        <v>34</v>
      </c>
      <c r="H57" s="2">
        <v>5030.05</v>
      </c>
      <c r="I57">
        <v>3</v>
      </c>
      <c r="J57" s="2">
        <v>1411.28</v>
      </c>
      <c r="K57" s="2"/>
    </row>
    <row r="58" spans="1:11" x14ac:dyDescent="0.3">
      <c r="A58">
        <v>57</v>
      </c>
      <c r="B58" s="1">
        <v>45006</v>
      </c>
      <c r="C58" t="s">
        <v>30</v>
      </c>
      <c r="D58" t="s">
        <v>16</v>
      </c>
      <c r="E58" t="s">
        <v>23</v>
      </c>
      <c r="F58" t="s">
        <v>13</v>
      </c>
      <c r="G58" t="s">
        <v>21</v>
      </c>
      <c r="H58" s="2">
        <v>36606.480000000003</v>
      </c>
      <c r="I58">
        <v>1</v>
      </c>
      <c r="J58" s="2">
        <v>5249.58</v>
      </c>
      <c r="K58" s="2"/>
    </row>
    <row r="59" spans="1:11" x14ac:dyDescent="0.3">
      <c r="A59">
        <v>58</v>
      </c>
      <c r="B59" s="1">
        <v>44946</v>
      </c>
      <c r="C59" t="s">
        <v>15</v>
      </c>
      <c r="D59" t="s">
        <v>16</v>
      </c>
      <c r="E59" t="s">
        <v>23</v>
      </c>
      <c r="F59" t="s">
        <v>13</v>
      </c>
      <c r="G59" t="s">
        <v>14</v>
      </c>
      <c r="H59" s="2">
        <v>30254.94</v>
      </c>
      <c r="I59">
        <v>3</v>
      </c>
      <c r="J59" s="2">
        <v>5950.99</v>
      </c>
      <c r="K59" s="2"/>
    </row>
    <row r="60" spans="1:11" x14ac:dyDescent="0.3">
      <c r="A60">
        <v>59</v>
      </c>
      <c r="B60" s="1">
        <v>45065</v>
      </c>
      <c r="C60" t="s">
        <v>30</v>
      </c>
      <c r="D60" t="s">
        <v>16</v>
      </c>
      <c r="E60" t="s">
        <v>23</v>
      </c>
      <c r="F60" t="s">
        <v>31</v>
      </c>
      <c r="G60" t="s">
        <v>39</v>
      </c>
      <c r="H60" s="2">
        <v>43019.7</v>
      </c>
      <c r="I60">
        <v>4</v>
      </c>
      <c r="J60" s="2">
        <v>9540.3799999999992</v>
      </c>
      <c r="K60" s="2"/>
    </row>
    <row r="61" spans="1:11" x14ac:dyDescent="0.3">
      <c r="A61">
        <v>60</v>
      </c>
      <c r="B61" s="1">
        <v>44977</v>
      </c>
      <c r="C61" t="s">
        <v>38</v>
      </c>
      <c r="D61" t="s">
        <v>27</v>
      </c>
      <c r="E61" t="s">
        <v>23</v>
      </c>
      <c r="F61" t="s">
        <v>13</v>
      </c>
      <c r="G61" t="s">
        <v>21</v>
      </c>
      <c r="H61" s="2">
        <v>3020.57</v>
      </c>
      <c r="I61">
        <v>7</v>
      </c>
      <c r="J61" s="2">
        <v>762.12</v>
      </c>
      <c r="K61" s="2"/>
    </row>
    <row r="62" spans="1:11" x14ac:dyDescent="0.3">
      <c r="A62">
        <v>61</v>
      </c>
      <c r="B62" s="1">
        <v>44992</v>
      </c>
      <c r="C62" t="s">
        <v>22</v>
      </c>
      <c r="D62" t="s">
        <v>22</v>
      </c>
      <c r="E62" t="s">
        <v>23</v>
      </c>
      <c r="F62" t="s">
        <v>13</v>
      </c>
      <c r="G62" t="s">
        <v>14</v>
      </c>
      <c r="H62" s="2">
        <v>29105.97</v>
      </c>
      <c r="I62">
        <v>7</v>
      </c>
      <c r="J62" s="2">
        <v>7986.26</v>
      </c>
      <c r="K62" s="2"/>
    </row>
    <row r="63" spans="1:11" x14ac:dyDescent="0.3">
      <c r="A63">
        <v>62</v>
      </c>
      <c r="B63" s="1">
        <v>44987</v>
      </c>
      <c r="C63" t="s">
        <v>18</v>
      </c>
      <c r="D63" t="s">
        <v>19</v>
      </c>
      <c r="E63" t="s">
        <v>23</v>
      </c>
      <c r="F63" t="s">
        <v>13</v>
      </c>
      <c r="G63" t="s">
        <v>21</v>
      </c>
      <c r="H63" s="2">
        <v>42202.76</v>
      </c>
      <c r="I63">
        <v>10</v>
      </c>
      <c r="J63" s="2">
        <v>5345.77</v>
      </c>
      <c r="K63" s="2"/>
    </row>
    <row r="64" spans="1:11" x14ac:dyDescent="0.3">
      <c r="A64">
        <v>63</v>
      </c>
      <c r="B64" s="1">
        <v>45126</v>
      </c>
      <c r="C64" t="s">
        <v>15</v>
      </c>
      <c r="D64" t="s">
        <v>16</v>
      </c>
      <c r="E64" t="s">
        <v>23</v>
      </c>
      <c r="F64" t="s">
        <v>31</v>
      </c>
      <c r="G64" t="s">
        <v>33</v>
      </c>
      <c r="H64" s="2">
        <v>16484.55</v>
      </c>
      <c r="I64">
        <v>9</v>
      </c>
      <c r="J64" s="2">
        <v>1351</v>
      </c>
      <c r="K64" s="2"/>
    </row>
    <row r="65" spans="1:11" x14ac:dyDescent="0.3">
      <c r="A65">
        <v>64</v>
      </c>
      <c r="B65" s="1">
        <v>45216</v>
      </c>
      <c r="C65" t="s">
        <v>15</v>
      </c>
      <c r="D65" t="s">
        <v>16</v>
      </c>
      <c r="E65" t="s">
        <v>23</v>
      </c>
      <c r="F65" t="s">
        <v>24</v>
      </c>
      <c r="G65" t="s">
        <v>28</v>
      </c>
      <c r="H65" s="2">
        <v>48949.84</v>
      </c>
      <c r="I65">
        <v>9</v>
      </c>
      <c r="J65" s="2">
        <v>10667.27</v>
      </c>
      <c r="K65" s="2"/>
    </row>
    <row r="66" spans="1:11" x14ac:dyDescent="0.3">
      <c r="A66">
        <v>65</v>
      </c>
      <c r="B66" s="1">
        <v>45173</v>
      </c>
      <c r="C66" t="s">
        <v>30</v>
      </c>
      <c r="D66" t="s">
        <v>16</v>
      </c>
      <c r="E66" t="s">
        <v>23</v>
      </c>
      <c r="F66" t="s">
        <v>24</v>
      </c>
      <c r="G66" t="s">
        <v>28</v>
      </c>
      <c r="H66" s="2">
        <v>19183.52</v>
      </c>
      <c r="I66">
        <v>5</v>
      </c>
      <c r="J66" s="2">
        <v>2804.51</v>
      </c>
      <c r="K66" s="2"/>
    </row>
    <row r="67" spans="1:11" x14ac:dyDescent="0.3">
      <c r="A67">
        <v>66</v>
      </c>
      <c r="B67" s="1">
        <v>45163</v>
      </c>
      <c r="C67" t="s">
        <v>22</v>
      </c>
      <c r="D67" t="s">
        <v>22</v>
      </c>
      <c r="E67" t="s">
        <v>23</v>
      </c>
      <c r="F67" t="s">
        <v>13</v>
      </c>
      <c r="G67" t="s">
        <v>34</v>
      </c>
      <c r="H67" s="2">
        <v>25834.9</v>
      </c>
      <c r="I67">
        <v>2</v>
      </c>
      <c r="J67" s="2">
        <v>6880.51</v>
      </c>
      <c r="K67" s="2"/>
    </row>
    <row r="68" spans="1:11" x14ac:dyDescent="0.3">
      <c r="A68">
        <v>67</v>
      </c>
      <c r="B68" s="1">
        <v>44930</v>
      </c>
      <c r="C68" t="s">
        <v>22</v>
      </c>
      <c r="D68" t="s">
        <v>22</v>
      </c>
      <c r="E68" t="s">
        <v>12</v>
      </c>
      <c r="F68" t="s">
        <v>13</v>
      </c>
      <c r="G68" t="s">
        <v>34</v>
      </c>
      <c r="H68" s="2">
        <v>37162.660000000003</v>
      </c>
      <c r="I68">
        <v>8</v>
      </c>
      <c r="J68" s="2">
        <v>5652.71</v>
      </c>
      <c r="K68" s="2"/>
    </row>
    <row r="69" spans="1:11" x14ac:dyDescent="0.3">
      <c r="A69">
        <v>68</v>
      </c>
      <c r="B69" s="1">
        <v>45098</v>
      </c>
      <c r="C69" t="s">
        <v>30</v>
      </c>
      <c r="D69" t="s">
        <v>16</v>
      </c>
      <c r="E69" t="s">
        <v>17</v>
      </c>
      <c r="F69" t="s">
        <v>24</v>
      </c>
      <c r="G69" t="s">
        <v>25</v>
      </c>
      <c r="H69" s="2">
        <v>28938.6</v>
      </c>
      <c r="I69">
        <v>10</v>
      </c>
      <c r="J69" s="2">
        <v>7700.06</v>
      </c>
      <c r="K69" s="2"/>
    </row>
    <row r="70" spans="1:11" x14ac:dyDescent="0.3">
      <c r="A70">
        <v>69</v>
      </c>
      <c r="B70" s="1">
        <v>45268</v>
      </c>
      <c r="C70" t="s">
        <v>38</v>
      </c>
      <c r="D70" t="s">
        <v>27</v>
      </c>
      <c r="E70" t="s">
        <v>17</v>
      </c>
      <c r="F70" t="s">
        <v>24</v>
      </c>
      <c r="G70" t="s">
        <v>25</v>
      </c>
      <c r="H70" s="2">
        <v>10690.45</v>
      </c>
      <c r="I70">
        <v>5</v>
      </c>
      <c r="J70" s="2">
        <v>2992.24</v>
      </c>
      <c r="K70" s="2"/>
    </row>
    <row r="71" spans="1:11" x14ac:dyDescent="0.3">
      <c r="A71">
        <v>70</v>
      </c>
      <c r="B71" s="1">
        <v>45137</v>
      </c>
      <c r="C71" t="s">
        <v>22</v>
      </c>
      <c r="D71" t="s">
        <v>22</v>
      </c>
      <c r="E71" t="s">
        <v>12</v>
      </c>
      <c r="F71" t="s">
        <v>31</v>
      </c>
      <c r="G71" t="s">
        <v>39</v>
      </c>
      <c r="H71" s="2">
        <v>4383.75</v>
      </c>
      <c r="I71">
        <v>1</v>
      </c>
      <c r="J71" s="2">
        <v>918.46</v>
      </c>
      <c r="K71" s="2"/>
    </row>
    <row r="72" spans="1:11" x14ac:dyDescent="0.3">
      <c r="A72">
        <v>71</v>
      </c>
      <c r="B72" s="1">
        <v>45257</v>
      </c>
      <c r="C72" t="s">
        <v>30</v>
      </c>
      <c r="D72" t="s">
        <v>16</v>
      </c>
      <c r="E72" t="s">
        <v>12</v>
      </c>
      <c r="F72" t="s">
        <v>13</v>
      </c>
      <c r="G72" t="s">
        <v>21</v>
      </c>
      <c r="H72" s="2">
        <v>23844.99</v>
      </c>
      <c r="I72">
        <v>5</v>
      </c>
      <c r="J72" s="2">
        <v>2367.61</v>
      </c>
      <c r="K72" s="2"/>
    </row>
    <row r="73" spans="1:11" x14ac:dyDescent="0.3">
      <c r="A73">
        <v>72</v>
      </c>
      <c r="B73" s="1">
        <v>45214</v>
      </c>
      <c r="C73" t="s">
        <v>15</v>
      </c>
      <c r="D73" t="s">
        <v>16</v>
      </c>
      <c r="E73" t="s">
        <v>17</v>
      </c>
      <c r="F73" t="s">
        <v>24</v>
      </c>
      <c r="G73" t="s">
        <v>29</v>
      </c>
      <c r="H73" s="2">
        <v>48504.77</v>
      </c>
      <c r="I73">
        <v>10</v>
      </c>
      <c r="J73" s="2">
        <v>8679.41</v>
      </c>
      <c r="K73" s="2"/>
    </row>
    <row r="74" spans="1:11" x14ac:dyDescent="0.3">
      <c r="A74">
        <v>73</v>
      </c>
      <c r="B74" s="1">
        <v>45053</v>
      </c>
      <c r="C74" t="s">
        <v>37</v>
      </c>
      <c r="D74" t="s">
        <v>27</v>
      </c>
      <c r="E74" t="s">
        <v>12</v>
      </c>
      <c r="F74" t="s">
        <v>31</v>
      </c>
      <c r="G74" t="s">
        <v>32</v>
      </c>
      <c r="H74" s="2">
        <v>10052.780000000001</v>
      </c>
      <c r="I74">
        <v>8</v>
      </c>
      <c r="J74" s="2">
        <v>2293.2600000000002</v>
      </c>
      <c r="K74" s="2"/>
    </row>
    <row r="75" spans="1:11" x14ac:dyDescent="0.3">
      <c r="A75">
        <v>74</v>
      </c>
      <c r="B75" s="1">
        <v>44964</v>
      </c>
      <c r="C75" t="s">
        <v>37</v>
      </c>
      <c r="D75" t="s">
        <v>27</v>
      </c>
      <c r="E75" t="s">
        <v>17</v>
      </c>
      <c r="F75" t="s">
        <v>13</v>
      </c>
      <c r="G75" t="s">
        <v>34</v>
      </c>
      <c r="H75" s="2">
        <v>47147.42</v>
      </c>
      <c r="I75">
        <v>6</v>
      </c>
      <c r="J75" s="2">
        <v>9546.64</v>
      </c>
      <c r="K75" s="2"/>
    </row>
    <row r="76" spans="1:11" x14ac:dyDescent="0.3">
      <c r="A76">
        <v>75</v>
      </c>
      <c r="B76" s="1">
        <v>45109</v>
      </c>
      <c r="C76" t="s">
        <v>37</v>
      </c>
      <c r="D76" t="s">
        <v>27</v>
      </c>
      <c r="E76" t="s">
        <v>20</v>
      </c>
      <c r="F76" t="s">
        <v>13</v>
      </c>
      <c r="G76" t="s">
        <v>14</v>
      </c>
      <c r="H76" s="2">
        <v>35496.660000000003</v>
      </c>
      <c r="I76">
        <v>8</v>
      </c>
      <c r="J76" s="2">
        <v>8170.12</v>
      </c>
      <c r="K76" s="2"/>
    </row>
    <row r="77" spans="1:11" x14ac:dyDescent="0.3">
      <c r="A77">
        <v>76</v>
      </c>
      <c r="B77" s="1">
        <v>45274</v>
      </c>
      <c r="C77" t="s">
        <v>35</v>
      </c>
      <c r="D77" t="s">
        <v>36</v>
      </c>
      <c r="E77" t="s">
        <v>20</v>
      </c>
      <c r="F77" t="s">
        <v>13</v>
      </c>
      <c r="G77" t="s">
        <v>34</v>
      </c>
      <c r="H77" s="2">
        <v>33753.199999999997</v>
      </c>
      <c r="I77">
        <v>9</v>
      </c>
      <c r="J77" s="2">
        <v>4284.71</v>
      </c>
      <c r="K77" s="2"/>
    </row>
    <row r="78" spans="1:11" x14ac:dyDescent="0.3">
      <c r="A78">
        <v>77</v>
      </c>
      <c r="B78" s="1">
        <v>45228</v>
      </c>
      <c r="C78" t="s">
        <v>35</v>
      </c>
      <c r="D78" t="s">
        <v>36</v>
      </c>
      <c r="E78" t="s">
        <v>20</v>
      </c>
      <c r="F78" t="s">
        <v>31</v>
      </c>
      <c r="G78" t="s">
        <v>39</v>
      </c>
      <c r="H78" s="2">
        <v>7488.8</v>
      </c>
      <c r="I78">
        <v>5</v>
      </c>
      <c r="J78" s="2">
        <v>2208.5100000000002</v>
      </c>
      <c r="K78" s="2"/>
    </row>
    <row r="79" spans="1:11" x14ac:dyDescent="0.3">
      <c r="A79">
        <v>78</v>
      </c>
      <c r="B79" s="1">
        <v>45135</v>
      </c>
      <c r="C79" t="s">
        <v>22</v>
      </c>
      <c r="D79" t="s">
        <v>22</v>
      </c>
      <c r="E79" t="s">
        <v>20</v>
      </c>
      <c r="F79" t="s">
        <v>13</v>
      </c>
      <c r="G79" t="s">
        <v>34</v>
      </c>
      <c r="H79" s="2">
        <v>41949.599999999999</v>
      </c>
      <c r="I79">
        <v>1</v>
      </c>
      <c r="J79" s="2">
        <v>2775.01</v>
      </c>
      <c r="K79" s="2"/>
    </row>
    <row r="80" spans="1:11" x14ac:dyDescent="0.3">
      <c r="A80">
        <v>79</v>
      </c>
      <c r="B80" s="1">
        <v>45008</v>
      </c>
      <c r="C80" t="s">
        <v>26</v>
      </c>
      <c r="D80" t="s">
        <v>27</v>
      </c>
      <c r="E80" t="s">
        <v>20</v>
      </c>
      <c r="F80" t="s">
        <v>24</v>
      </c>
      <c r="G80" t="s">
        <v>29</v>
      </c>
      <c r="H80" s="2">
        <v>34219.17</v>
      </c>
      <c r="I80">
        <v>5</v>
      </c>
      <c r="J80" s="2">
        <v>6904.79</v>
      </c>
      <c r="K80" s="2"/>
    </row>
    <row r="81" spans="1:11" x14ac:dyDescent="0.3">
      <c r="A81">
        <v>80</v>
      </c>
      <c r="B81" s="1">
        <v>45057</v>
      </c>
      <c r="C81" t="s">
        <v>30</v>
      </c>
      <c r="D81" t="s">
        <v>16</v>
      </c>
      <c r="E81" t="s">
        <v>20</v>
      </c>
      <c r="F81" t="s">
        <v>13</v>
      </c>
      <c r="G81" t="s">
        <v>21</v>
      </c>
      <c r="H81" s="2">
        <v>18981.490000000002</v>
      </c>
      <c r="I81">
        <v>2</v>
      </c>
      <c r="J81" s="2">
        <v>4601.25</v>
      </c>
      <c r="K81" s="2"/>
    </row>
    <row r="82" spans="1:11" x14ac:dyDescent="0.3">
      <c r="A82">
        <v>81</v>
      </c>
      <c r="B82" s="1">
        <v>45074</v>
      </c>
      <c r="C82" t="s">
        <v>38</v>
      </c>
      <c r="D82" t="s">
        <v>27</v>
      </c>
      <c r="E82" t="s">
        <v>20</v>
      </c>
      <c r="F82" t="s">
        <v>13</v>
      </c>
      <c r="G82" t="s">
        <v>34</v>
      </c>
      <c r="H82" s="2">
        <v>13262.03</v>
      </c>
      <c r="I82">
        <v>3</v>
      </c>
      <c r="J82" s="2">
        <v>1704.76</v>
      </c>
      <c r="K82" s="2"/>
    </row>
    <row r="83" spans="1:11" x14ac:dyDescent="0.3">
      <c r="A83">
        <v>82</v>
      </c>
      <c r="B83" s="1">
        <v>45007</v>
      </c>
      <c r="C83" t="s">
        <v>30</v>
      </c>
      <c r="D83" t="s">
        <v>16</v>
      </c>
      <c r="E83" t="s">
        <v>20</v>
      </c>
      <c r="F83" t="s">
        <v>31</v>
      </c>
      <c r="G83" t="s">
        <v>33</v>
      </c>
      <c r="H83" s="2">
        <v>28533.71</v>
      </c>
      <c r="I83">
        <v>7</v>
      </c>
      <c r="J83" s="2">
        <v>5376.75</v>
      </c>
      <c r="K83" s="2"/>
    </row>
    <row r="84" spans="1:11" x14ac:dyDescent="0.3">
      <c r="A84">
        <v>83</v>
      </c>
      <c r="B84" s="1">
        <v>45065</v>
      </c>
      <c r="C84" t="s">
        <v>38</v>
      </c>
      <c r="D84" t="s">
        <v>27</v>
      </c>
      <c r="E84" t="s">
        <v>20</v>
      </c>
      <c r="F84" t="s">
        <v>31</v>
      </c>
      <c r="G84" t="s">
        <v>32</v>
      </c>
      <c r="H84" s="2">
        <v>23050.22</v>
      </c>
      <c r="I84">
        <v>9</v>
      </c>
      <c r="J84" s="2">
        <v>3097.82</v>
      </c>
      <c r="K84" s="2"/>
    </row>
    <row r="85" spans="1:11" x14ac:dyDescent="0.3">
      <c r="A85">
        <v>84</v>
      </c>
      <c r="B85" s="1">
        <v>45083</v>
      </c>
      <c r="C85" t="s">
        <v>22</v>
      </c>
      <c r="D85" t="s">
        <v>22</v>
      </c>
      <c r="E85" t="s">
        <v>20</v>
      </c>
      <c r="F85" t="s">
        <v>13</v>
      </c>
      <c r="G85" t="s">
        <v>34</v>
      </c>
      <c r="H85" s="2">
        <v>5628.94</v>
      </c>
      <c r="I85">
        <v>10</v>
      </c>
      <c r="J85" s="2">
        <v>502.11</v>
      </c>
      <c r="K85" s="2"/>
    </row>
    <row r="86" spans="1:11" x14ac:dyDescent="0.3">
      <c r="A86">
        <v>85</v>
      </c>
      <c r="B86" s="1">
        <v>45094</v>
      </c>
      <c r="C86" t="s">
        <v>26</v>
      </c>
      <c r="D86" t="s">
        <v>27</v>
      </c>
      <c r="E86" t="s">
        <v>20</v>
      </c>
      <c r="F86" t="s">
        <v>13</v>
      </c>
      <c r="G86" t="s">
        <v>34</v>
      </c>
      <c r="H86" s="2">
        <v>24580.28</v>
      </c>
      <c r="I86">
        <v>4</v>
      </c>
      <c r="J86" s="2">
        <v>4569.32</v>
      </c>
      <c r="K86" s="2"/>
    </row>
    <row r="87" spans="1:11" x14ac:dyDescent="0.3">
      <c r="A87">
        <v>86</v>
      </c>
      <c r="B87" s="1">
        <v>45167</v>
      </c>
      <c r="C87" t="s">
        <v>15</v>
      </c>
      <c r="D87" t="s">
        <v>16</v>
      </c>
      <c r="E87" t="s">
        <v>20</v>
      </c>
      <c r="F87" t="s">
        <v>31</v>
      </c>
      <c r="G87" t="s">
        <v>33</v>
      </c>
      <c r="H87" s="2">
        <v>5581.58</v>
      </c>
      <c r="I87">
        <v>4</v>
      </c>
      <c r="J87" s="2">
        <v>1382.81</v>
      </c>
      <c r="K87" s="2"/>
    </row>
    <row r="88" spans="1:11" x14ac:dyDescent="0.3">
      <c r="A88">
        <v>87</v>
      </c>
      <c r="B88" s="1">
        <v>45180</v>
      </c>
      <c r="C88" t="s">
        <v>38</v>
      </c>
      <c r="D88" t="s">
        <v>27</v>
      </c>
      <c r="E88" t="s">
        <v>20</v>
      </c>
      <c r="F88" t="s">
        <v>24</v>
      </c>
      <c r="G88" t="s">
        <v>28</v>
      </c>
      <c r="H88" s="2">
        <v>42628.71</v>
      </c>
      <c r="I88">
        <v>2</v>
      </c>
      <c r="J88" s="2">
        <v>12647.05</v>
      </c>
      <c r="K88" s="2"/>
    </row>
    <row r="89" spans="1:11" x14ac:dyDescent="0.3">
      <c r="A89">
        <v>88</v>
      </c>
      <c r="B89" s="1">
        <v>45026</v>
      </c>
      <c r="C89" t="s">
        <v>26</v>
      </c>
      <c r="D89" t="s">
        <v>27</v>
      </c>
      <c r="E89" t="s">
        <v>20</v>
      </c>
      <c r="F89" t="s">
        <v>24</v>
      </c>
      <c r="G89" t="s">
        <v>25</v>
      </c>
      <c r="H89" s="2">
        <v>36936.449999999997</v>
      </c>
      <c r="I89">
        <v>1</v>
      </c>
      <c r="J89" s="2">
        <v>1871.1</v>
      </c>
      <c r="K89" s="2"/>
    </row>
    <row r="90" spans="1:11" x14ac:dyDescent="0.3">
      <c r="A90">
        <v>89</v>
      </c>
      <c r="B90" s="1">
        <v>45154</v>
      </c>
      <c r="C90" t="s">
        <v>10</v>
      </c>
      <c r="D90" t="s">
        <v>11</v>
      </c>
      <c r="E90" t="s">
        <v>20</v>
      </c>
      <c r="F90" t="s">
        <v>13</v>
      </c>
      <c r="G90" t="s">
        <v>34</v>
      </c>
      <c r="H90" s="2">
        <v>49161.73</v>
      </c>
      <c r="I90">
        <v>4</v>
      </c>
      <c r="J90" s="2">
        <v>11453.36</v>
      </c>
      <c r="K90" s="2"/>
    </row>
    <row r="91" spans="1:11" x14ac:dyDescent="0.3">
      <c r="A91">
        <v>90</v>
      </c>
      <c r="B91" s="1">
        <v>45256</v>
      </c>
      <c r="C91" t="s">
        <v>18</v>
      </c>
      <c r="D91" t="s">
        <v>19</v>
      </c>
      <c r="E91" t="s">
        <v>20</v>
      </c>
      <c r="F91" t="s">
        <v>24</v>
      </c>
      <c r="G91" t="s">
        <v>28</v>
      </c>
      <c r="H91" s="2">
        <v>2971.97</v>
      </c>
      <c r="I91">
        <v>4</v>
      </c>
      <c r="J91" s="2">
        <v>387.64</v>
      </c>
      <c r="K91" s="2"/>
    </row>
    <row r="92" spans="1:11" x14ac:dyDescent="0.3">
      <c r="A92">
        <v>91</v>
      </c>
      <c r="B92" s="1">
        <v>45221</v>
      </c>
      <c r="C92" t="s">
        <v>26</v>
      </c>
      <c r="D92" t="s">
        <v>27</v>
      </c>
      <c r="E92" t="s">
        <v>20</v>
      </c>
      <c r="F92" t="s">
        <v>31</v>
      </c>
      <c r="G92" t="s">
        <v>33</v>
      </c>
      <c r="H92" s="2">
        <v>45280.43</v>
      </c>
      <c r="I92">
        <v>8</v>
      </c>
      <c r="J92" s="2">
        <v>5426.84</v>
      </c>
      <c r="K92" s="2"/>
    </row>
    <row r="93" spans="1:11" x14ac:dyDescent="0.3">
      <c r="A93">
        <v>92</v>
      </c>
      <c r="B93" s="1">
        <v>44956</v>
      </c>
      <c r="C93" t="s">
        <v>22</v>
      </c>
      <c r="D93" t="s">
        <v>22</v>
      </c>
      <c r="E93" t="s">
        <v>20</v>
      </c>
      <c r="F93" t="s">
        <v>13</v>
      </c>
      <c r="G93" t="s">
        <v>14</v>
      </c>
      <c r="H93" s="2">
        <v>15117.73</v>
      </c>
      <c r="I93">
        <v>1</v>
      </c>
      <c r="J93" s="2">
        <v>3245</v>
      </c>
      <c r="K93" s="2"/>
    </row>
    <row r="94" spans="1:11" x14ac:dyDescent="0.3">
      <c r="A94">
        <v>93</v>
      </c>
      <c r="B94" s="1">
        <v>45211</v>
      </c>
      <c r="C94" t="s">
        <v>15</v>
      </c>
      <c r="D94" t="s">
        <v>16</v>
      </c>
      <c r="E94" t="s">
        <v>20</v>
      </c>
      <c r="F94" t="s">
        <v>31</v>
      </c>
      <c r="G94" t="s">
        <v>39</v>
      </c>
      <c r="H94" s="2">
        <v>17343.349999999999</v>
      </c>
      <c r="I94">
        <v>4</v>
      </c>
      <c r="J94" s="2">
        <v>3930.83</v>
      </c>
      <c r="K94" s="2"/>
    </row>
    <row r="95" spans="1:11" x14ac:dyDescent="0.3">
      <c r="A95">
        <v>94</v>
      </c>
      <c r="B95" s="1">
        <v>45080</v>
      </c>
      <c r="C95" t="s">
        <v>38</v>
      </c>
      <c r="D95" t="s">
        <v>27</v>
      </c>
      <c r="E95" t="s">
        <v>20</v>
      </c>
      <c r="F95" t="s">
        <v>13</v>
      </c>
      <c r="G95" t="s">
        <v>34</v>
      </c>
      <c r="H95" s="2">
        <v>20412.259999999998</v>
      </c>
      <c r="I95">
        <v>9</v>
      </c>
      <c r="J95" s="2">
        <v>4042.76</v>
      </c>
      <c r="K95" s="2"/>
    </row>
    <row r="96" spans="1:11" x14ac:dyDescent="0.3">
      <c r="A96">
        <v>95</v>
      </c>
      <c r="B96" s="1">
        <v>45237</v>
      </c>
      <c r="C96" t="s">
        <v>10</v>
      </c>
      <c r="D96" t="s">
        <v>11</v>
      </c>
      <c r="E96" t="s">
        <v>20</v>
      </c>
      <c r="F96" t="s">
        <v>31</v>
      </c>
      <c r="G96" t="s">
        <v>33</v>
      </c>
      <c r="H96" s="2">
        <v>43100.75</v>
      </c>
      <c r="I96">
        <v>3</v>
      </c>
      <c r="J96" s="2">
        <v>7277.93</v>
      </c>
      <c r="K96" s="2"/>
    </row>
    <row r="97" spans="1:11" x14ac:dyDescent="0.3">
      <c r="A97">
        <v>96</v>
      </c>
      <c r="B97" s="1">
        <v>45167</v>
      </c>
      <c r="C97" t="s">
        <v>22</v>
      </c>
      <c r="D97" t="s">
        <v>22</v>
      </c>
      <c r="E97" t="s">
        <v>20</v>
      </c>
      <c r="F97" t="s">
        <v>24</v>
      </c>
      <c r="G97" t="s">
        <v>25</v>
      </c>
      <c r="H97" s="2">
        <v>33221.47</v>
      </c>
      <c r="I97">
        <v>2</v>
      </c>
      <c r="J97" s="2">
        <v>8139.07</v>
      </c>
      <c r="K97" s="2"/>
    </row>
    <row r="98" spans="1:11" x14ac:dyDescent="0.3">
      <c r="A98">
        <v>97</v>
      </c>
      <c r="B98" s="1">
        <v>45145</v>
      </c>
      <c r="C98" t="s">
        <v>15</v>
      </c>
      <c r="D98" t="s">
        <v>16</v>
      </c>
      <c r="E98" t="s">
        <v>20</v>
      </c>
      <c r="F98" t="s">
        <v>31</v>
      </c>
      <c r="G98" t="s">
        <v>33</v>
      </c>
      <c r="H98" s="2">
        <v>27420.6</v>
      </c>
      <c r="I98">
        <v>1</v>
      </c>
      <c r="J98" s="2">
        <v>3380.25</v>
      </c>
      <c r="K98" s="2"/>
    </row>
    <row r="99" spans="1:11" x14ac:dyDescent="0.3">
      <c r="A99">
        <v>98</v>
      </c>
      <c r="B99" s="1">
        <v>45151</v>
      </c>
      <c r="C99" t="s">
        <v>18</v>
      </c>
      <c r="D99" t="s">
        <v>19</v>
      </c>
      <c r="E99" t="s">
        <v>20</v>
      </c>
      <c r="F99" t="s">
        <v>13</v>
      </c>
      <c r="G99" t="s">
        <v>21</v>
      </c>
      <c r="H99" s="2">
        <v>41720.79</v>
      </c>
      <c r="I99">
        <v>9</v>
      </c>
      <c r="J99" s="2">
        <v>7269.45</v>
      </c>
      <c r="K99" s="2"/>
    </row>
    <row r="100" spans="1:11" x14ac:dyDescent="0.3">
      <c r="A100">
        <v>99</v>
      </c>
      <c r="B100" s="1">
        <v>45008</v>
      </c>
      <c r="C100" t="s">
        <v>22</v>
      </c>
      <c r="D100" t="s">
        <v>22</v>
      </c>
      <c r="E100" t="s">
        <v>20</v>
      </c>
      <c r="F100" t="s">
        <v>13</v>
      </c>
      <c r="G100" t="s">
        <v>14</v>
      </c>
      <c r="H100" s="2">
        <v>43520.98</v>
      </c>
      <c r="I100">
        <v>8</v>
      </c>
      <c r="J100" s="2">
        <v>6580.87</v>
      </c>
      <c r="K100" s="2"/>
    </row>
    <row r="101" spans="1:11" x14ac:dyDescent="0.3">
      <c r="A101">
        <v>100</v>
      </c>
      <c r="B101" s="1">
        <v>45104</v>
      </c>
      <c r="C101" t="s">
        <v>18</v>
      </c>
      <c r="D101" t="s">
        <v>19</v>
      </c>
      <c r="E101" t="s">
        <v>12</v>
      </c>
      <c r="F101" t="s">
        <v>31</v>
      </c>
      <c r="G101" t="s">
        <v>39</v>
      </c>
      <c r="H101" s="2">
        <v>43256.76</v>
      </c>
      <c r="I101">
        <v>9</v>
      </c>
      <c r="J101" s="2">
        <v>12801</v>
      </c>
      <c r="K101" s="2"/>
    </row>
    <row r="102" spans="1:11" x14ac:dyDescent="0.3">
      <c r="A102">
        <v>101</v>
      </c>
      <c r="B102" s="1">
        <v>45016</v>
      </c>
      <c r="C102" t="s">
        <v>38</v>
      </c>
      <c r="D102" t="s">
        <v>27</v>
      </c>
      <c r="E102" t="s">
        <v>12</v>
      </c>
      <c r="F102" t="s">
        <v>31</v>
      </c>
      <c r="G102" t="s">
        <v>33</v>
      </c>
      <c r="H102" s="2">
        <v>28432</v>
      </c>
      <c r="I102">
        <v>1</v>
      </c>
      <c r="J102" s="2">
        <v>4326.1000000000004</v>
      </c>
      <c r="K102" s="2"/>
    </row>
    <row r="103" spans="1:11" x14ac:dyDescent="0.3">
      <c r="A103">
        <v>102</v>
      </c>
      <c r="B103" s="1">
        <v>45043</v>
      </c>
      <c r="C103" t="s">
        <v>26</v>
      </c>
      <c r="D103" t="s">
        <v>27</v>
      </c>
      <c r="E103" t="s">
        <v>12</v>
      </c>
      <c r="F103" t="s">
        <v>24</v>
      </c>
      <c r="G103" t="s">
        <v>29</v>
      </c>
      <c r="H103" s="2">
        <v>45607.68</v>
      </c>
      <c r="I103">
        <v>9</v>
      </c>
      <c r="J103" s="2">
        <v>10061.65</v>
      </c>
      <c r="K103" s="2"/>
    </row>
    <row r="104" spans="1:11" x14ac:dyDescent="0.3">
      <c r="A104">
        <v>103</v>
      </c>
      <c r="B104" s="1">
        <v>45249</v>
      </c>
      <c r="C104" t="s">
        <v>15</v>
      </c>
      <c r="D104" t="s">
        <v>16</v>
      </c>
      <c r="E104" t="s">
        <v>12</v>
      </c>
      <c r="F104" t="s">
        <v>24</v>
      </c>
      <c r="G104" t="s">
        <v>28</v>
      </c>
      <c r="H104" s="2">
        <v>45100.31</v>
      </c>
      <c r="I104">
        <v>5</v>
      </c>
      <c r="J104" s="2">
        <v>5435.3</v>
      </c>
      <c r="K104" s="2"/>
    </row>
    <row r="105" spans="1:11" x14ac:dyDescent="0.3">
      <c r="A105">
        <v>104</v>
      </c>
      <c r="B105" s="1">
        <v>45258</v>
      </c>
      <c r="C105" t="s">
        <v>35</v>
      </c>
      <c r="D105" t="s">
        <v>36</v>
      </c>
      <c r="E105" t="s">
        <v>12</v>
      </c>
      <c r="F105" t="s">
        <v>13</v>
      </c>
      <c r="G105" t="s">
        <v>21</v>
      </c>
      <c r="H105" s="2">
        <v>31680.26</v>
      </c>
      <c r="I105">
        <v>6</v>
      </c>
      <c r="J105" s="2">
        <v>7130.43</v>
      </c>
      <c r="K105" s="2"/>
    </row>
    <row r="106" spans="1:11" x14ac:dyDescent="0.3">
      <c r="A106">
        <v>105</v>
      </c>
      <c r="B106" s="1">
        <v>45178</v>
      </c>
      <c r="C106" t="s">
        <v>10</v>
      </c>
      <c r="D106" t="s">
        <v>11</v>
      </c>
      <c r="E106" t="s">
        <v>12</v>
      </c>
      <c r="F106" t="s">
        <v>24</v>
      </c>
      <c r="G106" t="s">
        <v>29</v>
      </c>
      <c r="H106" s="2">
        <v>17942.34</v>
      </c>
      <c r="I106">
        <v>4</v>
      </c>
      <c r="J106" s="2">
        <v>4800.71</v>
      </c>
      <c r="K106" s="2"/>
    </row>
    <row r="107" spans="1:11" x14ac:dyDescent="0.3">
      <c r="A107">
        <v>106</v>
      </c>
      <c r="B107" s="1">
        <v>44943</v>
      </c>
      <c r="C107" t="s">
        <v>38</v>
      </c>
      <c r="D107" t="s">
        <v>27</v>
      </c>
      <c r="E107" t="s">
        <v>12</v>
      </c>
      <c r="F107" t="s">
        <v>31</v>
      </c>
      <c r="G107" t="s">
        <v>33</v>
      </c>
      <c r="H107" s="2">
        <v>46409.88</v>
      </c>
      <c r="I107">
        <v>7</v>
      </c>
      <c r="J107" s="2">
        <v>12657.84</v>
      </c>
      <c r="K107" s="2"/>
    </row>
    <row r="108" spans="1:11" x14ac:dyDescent="0.3">
      <c r="A108">
        <v>107</v>
      </c>
      <c r="B108" s="1">
        <v>45270</v>
      </c>
      <c r="C108" t="s">
        <v>35</v>
      </c>
      <c r="D108" t="s">
        <v>36</v>
      </c>
      <c r="E108" t="s">
        <v>12</v>
      </c>
      <c r="F108" t="s">
        <v>31</v>
      </c>
      <c r="G108" t="s">
        <v>33</v>
      </c>
      <c r="H108" s="2">
        <v>20904.05</v>
      </c>
      <c r="I108">
        <v>9</v>
      </c>
      <c r="J108" s="2">
        <v>2758.95</v>
      </c>
      <c r="K108" s="2"/>
    </row>
    <row r="109" spans="1:11" x14ac:dyDescent="0.3">
      <c r="A109">
        <v>108</v>
      </c>
      <c r="B109" s="1">
        <v>45143</v>
      </c>
      <c r="C109" t="s">
        <v>18</v>
      </c>
      <c r="D109" t="s">
        <v>19</v>
      </c>
      <c r="E109" t="s">
        <v>12</v>
      </c>
      <c r="F109" t="s">
        <v>31</v>
      </c>
      <c r="G109" t="s">
        <v>39</v>
      </c>
      <c r="H109" s="2">
        <v>9106.1</v>
      </c>
      <c r="I109">
        <v>3</v>
      </c>
      <c r="J109" s="2">
        <v>519.4</v>
      </c>
      <c r="K109" s="2"/>
    </row>
    <row r="110" spans="1:11" x14ac:dyDescent="0.3">
      <c r="A110">
        <v>109</v>
      </c>
      <c r="B110" s="1">
        <v>45214</v>
      </c>
      <c r="C110" t="s">
        <v>10</v>
      </c>
      <c r="D110" t="s">
        <v>11</v>
      </c>
      <c r="E110" t="s">
        <v>12</v>
      </c>
      <c r="F110" t="s">
        <v>24</v>
      </c>
      <c r="G110" t="s">
        <v>25</v>
      </c>
      <c r="H110" s="2">
        <v>7629.97</v>
      </c>
      <c r="I110">
        <v>9</v>
      </c>
      <c r="J110" s="2">
        <v>1489.6</v>
      </c>
      <c r="K110" s="2"/>
    </row>
    <row r="111" spans="1:11" x14ac:dyDescent="0.3">
      <c r="A111">
        <v>110</v>
      </c>
      <c r="B111" s="1">
        <v>45008</v>
      </c>
      <c r="C111" t="s">
        <v>26</v>
      </c>
      <c r="D111" t="s">
        <v>27</v>
      </c>
      <c r="E111" t="s">
        <v>12</v>
      </c>
      <c r="F111" t="s">
        <v>13</v>
      </c>
      <c r="G111" t="s">
        <v>14</v>
      </c>
      <c r="H111" s="2">
        <v>23310.71</v>
      </c>
      <c r="I111">
        <v>1</v>
      </c>
      <c r="J111" s="2">
        <v>3512.57</v>
      </c>
      <c r="K111" s="2"/>
    </row>
    <row r="112" spans="1:11" x14ac:dyDescent="0.3">
      <c r="A112">
        <v>111</v>
      </c>
      <c r="B112" s="1">
        <v>45085</v>
      </c>
      <c r="C112" t="s">
        <v>30</v>
      </c>
      <c r="D112" t="s">
        <v>16</v>
      </c>
      <c r="E112" t="s">
        <v>12</v>
      </c>
      <c r="F112" t="s">
        <v>13</v>
      </c>
      <c r="G112" t="s">
        <v>34</v>
      </c>
      <c r="H112" s="2">
        <v>27994.05</v>
      </c>
      <c r="I112">
        <v>4</v>
      </c>
      <c r="J112" s="2">
        <v>5449.63</v>
      </c>
      <c r="K112" s="2"/>
    </row>
    <row r="113" spans="1:11" x14ac:dyDescent="0.3">
      <c r="A113">
        <v>112</v>
      </c>
      <c r="B113" s="1">
        <v>44963</v>
      </c>
      <c r="C113" t="s">
        <v>18</v>
      </c>
      <c r="D113" t="s">
        <v>19</v>
      </c>
      <c r="E113" t="s">
        <v>12</v>
      </c>
      <c r="F113" t="s">
        <v>13</v>
      </c>
      <c r="G113" t="s">
        <v>34</v>
      </c>
      <c r="H113" s="2">
        <v>32440.06</v>
      </c>
      <c r="I113">
        <v>3</v>
      </c>
      <c r="J113" s="2">
        <v>7193.85</v>
      </c>
      <c r="K113" s="2"/>
    </row>
    <row r="114" spans="1:11" x14ac:dyDescent="0.3">
      <c r="A114">
        <v>113</v>
      </c>
      <c r="B114" s="1">
        <v>45103</v>
      </c>
      <c r="C114" t="s">
        <v>30</v>
      </c>
      <c r="D114" t="s">
        <v>16</v>
      </c>
      <c r="E114" t="s">
        <v>12</v>
      </c>
      <c r="F114" t="s">
        <v>13</v>
      </c>
      <c r="G114" t="s">
        <v>34</v>
      </c>
      <c r="H114" s="2">
        <v>40462.19</v>
      </c>
      <c r="I114">
        <v>3</v>
      </c>
      <c r="J114" s="2">
        <v>9068.9</v>
      </c>
      <c r="K114" s="2"/>
    </row>
    <row r="115" spans="1:11" x14ac:dyDescent="0.3">
      <c r="A115">
        <v>114</v>
      </c>
      <c r="B115" s="1">
        <v>45086</v>
      </c>
      <c r="C115" t="s">
        <v>37</v>
      </c>
      <c r="D115" t="s">
        <v>27</v>
      </c>
      <c r="E115" t="s">
        <v>12</v>
      </c>
      <c r="F115" t="s">
        <v>31</v>
      </c>
      <c r="G115" t="s">
        <v>32</v>
      </c>
      <c r="H115" s="2">
        <v>4946.33</v>
      </c>
      <c r="I115">
        <v>9</v>
      </c>
      <c r="J115" s="2">
        <v>1157.56</v>
      </c>
      <c r="K115" s="2"/>
    </row>
    <row r="116" spans="1:11" x14ac:dyDescent="0.3">
      <c r="A116">
        <v>115</v>
      </c>
      <c r="B116" s="1">
        <v>45067</v>
      </c>
      <c r="C116" t="s">
        <v>18</v>
      </c>
      <c r="D116" t="s">
        <v>19</v>
      </c>
      <c r="E116" t="s">
        <v>12</v>
      </c>
      <c r="F116" t="s">
        <v>24</v>
      </c>
      <c r="G116" t="s">
        <v>25</v>
      </c>
      <c r="H116" s="2">
        <v>41523.230000000003</v>
      </c>
      <c r="I116">
        <v>7</v>
      </c>
      <c r="J116" s="2">
        <v>9474.06</v>
      </c>
      <c r="K116" s="2"/>
    </row>
    <row r="117" spans="1:11" x14ac:dyDescent="0.3">
      <c r="A117">
        <v>116</v>
      </c>
      <c r="B117" s="1">
        <v>45091</v>
      </c>
      <c r="C117" t="s">
        <v>37</v>
      </c>
      <c r="D117" t="s">
        <v>27</v>
      </c>
      <c r="E117" t="s">
        <v>12</v>
      </c>
      <c r="F117" t="s">
        <v>31</v>
      </c>
      <c r="G117" t="s">
        <v>33</v>
      </c>
      <c r="H117" s="2">
        <v>41692.239999999998</v>
      </c>
      <c r="I117">
        <v>1</v>
      </c>
      <c r="J117" s="2">
        <v>11454.59</v>
      </c>
      <c r="K117" s="2"/>
    </row>
    <row r="118" spans="1:11" x14ac:dyDescent="0.3">
      <c r="A118">
        <v>117</v>
      </c>
      <c r="B118" s="1">
        <v>45275</v>
      </c>
      <c r="C118" t="s">
        <v>18</v>
      </c>
      <c r="D118" t="s">
        <v>19</v>
      </c>
      <c r="E118" t="s">
        <v>12</v>
      </c>
      <c r="F118" t="s">
        <v>24</v>
      </c>
      <c r="G118" t="s">
        <v>25</v>
      </c>
      <c r="H118" s="2">
        <v>37435.72</v>
      </c>
      <c r="I118">
        <v>10</v>
      </c>
      <c r="J118" s="2">
        <v>7225.3</v>
      </c>
      <c r="K118" s="2"/>
    </row>
    <row r="119" spans="1:11" x14ac:dyDescent="0.3">
      <c r="A119">
        <v>118</v>
      </c>
      <c r="B119" s="1">
        <v>44993</v>
      </c>
      <c r="C119" t="s">
        <v>22</v>
      </c>
      <c r="D119" t="s">
        <v>22</v>
      </c>
      <c r="E119" t="s">
        <v>12</v>
      </c>
      <c r="F119" t="s">
        <v>31</v>
      </c>
      <c r="G119" t="s">
        <v>39</v>
      </c>
      <c r="H119" s="2">
        <v>24188.17</v>
      </c>
      <c r="I119">
        <v>4</v>
      </c>
      <c r="J119" s="2">
        <v>1398.98</v>
      </c>
      <c r="K119" s="2"/>
    </row>
    <row r="120" spans="1:11" x14ac:dyDescent="0.3">
      <c r="A120">
        <v>119</v>
      </c>
      <c r="B120" s="1">
        <v>44978</v>
      </c>
      <c r="C120" t="s">
        <v>10</v>
      </c>
      <c r="D120" t="s">
        <v>11</v>
      </c>
      <c r="E120" t="s">
        <v>12</v>
      </c>
      <c r="F120" t="s">
        <v>13</v>
      </c>
      <c r="G120" t="s">
        <v>14</v>
      </c>
      <c r="H120" s="2">
        <v>7636.41</v>
      </c>
      <c r="I120">
        <v>5</v>
      </c>
      <c r="J120" s="2">
        <v>1440.24</v>
      </c>
      <c r="K120" s="2"/>
    </row>
    <row r="121" spans="1:11" x14ac:dyDescent="0.3">
      <c r="A121">
        <v>120</v>
      </c>
      <c r="B121" s="1">
        <v>44930</v>
      </c>
      <c r="C121" t="s">
        <v>30</v>
      </c>
      <c r="D121" t="s">
        <v>16</v>
      </c>
      <c r="E121" t="s">
        <v>12</v>
      </c>
      <c r="F121" t="s">
        <v>24</v>
      </c>
      <c r="G121" t="s">
        <v>29</v>
      </c>
      <c r="H121" s="2">
        <v>46770.74</v>
      </c>
      <c r="I121">
        <v>9</v>
      </c>
      <c r="J121" s="2">
        <v>10311.32</v>
      </c>
      <c r="K121" s="2"/>
    </row>
    <row r="122" spans="1:11" x14ac:dyDescent="0.3">
      <c r="A122">
        <v>121</v>
      </c>
      <c r="B122" s="1">
        <v>45269</v>
      </c>
      <c r="C122" t="s">
        <v>30</v>
      </c>
      <c r="D122" t="s">
        <v>16</v>
      </c>
      <c r="E122" t="s">
        <v>12</v>
      </c>
      <c r="F122" t="s">
        <v>24</v>
      </c>
      <c r="G122" t="s">
        <v>29</v>
      </c>
      <c r="H122" s="2">
        <v>25666.98</v>
      </c>
      <c r="I122">
        <v>6</v>
      </c>
      <c r="J122" s="2">
        <v>5659.2</v>
      </c>
      <c r="K122" s="2"/>
    </row>
    <row r="123" spans="1:11" x14ac:dyDescent="0.3">
      <c r="A123">
        <v>122</v>
      </c>
      <c r="B123" s="1">
        <v>45281</v>
      </c>
      <c r="C123" t="s">
        <v>37</v>
      </c>
      <c r="D123" t="s">
        <v>27</v>
      </c>
      <c r="E123" t="s">
        <v>12</v>
      </c>
      <c r="F123" t="s">
        <v>13</v>
      </c>
      <c r="G123" t="s">
        <v>14</v>
      </c>
      <c r="H123" s="2">
        <v>23082.5</v>
      </c>
      <c r="I123">
        <v>5</v>
      </c>
      <c r="J123" s="2">
        <v>6692.32</v>
      </c>
      <c r="K123" s="2"/>
    </row>
    <row r="124" spans="1:11" x14ac:dyDescent="0.3">
      <c r="A124">
        <v>123</v>
      </c>
      <c r="B124" s="1">
        <v>45087</v>
      </c>
      <c r="C124" t="s">
        <v>37</v>
      </c>
      <c r="D124" t="s">
        <v>27</v>
      </c>
      <c r="E124" t="s">
        <v>12</v>
      </c>
      <c r="F124" t="s">
        <v>31</v>
      </c>
      <c r="G124" t="s">
        <v>33</v>
      </c>
      <c r="H124" s="2">
        <v>38476.03</v>
      </c>
      <c r="I124">
        <v>5</v>
      </c>
      <c r="J124" s="2">
        <v>4209.84</v>
      </c>
      <c r="K124" s="2"/>
    </row>
    <row r="125" spans="1:11" x14ac:dyDescent="0.3">
      <c r="A125">
        <v>124</v>
      </c>
      <c r="B125" s="1">
        <v>44997</v>
      </c>
      <c r="C125" t="s">
        <v>37</v>
      </c>
      <c r="D125" t="s">
        <v>27</v>
      </c>
      <c r="E125" t="s">
        <v>12</v>
      </c>
      <c r="F125" t="s">
        <v>31</v>
      </c>
      <c r="G125" t="s">
        <v>32</v>
      </c>
      <c r="H125" s="2">
        <v>18610.04</v>
      </c>
      <c r="I125">
        <v>9</v>
      </c>
      <c r="J125" s="2">
        <v>2849.41</v>
      </c>
      <c r="K125" s="2"/>
    </row>
    <row r="126" spans="1:11" x14ac:dyDescent="0.3">
      <c r="A126">
        <v>125</v>
      </c>
      <c r="B126" s="1">
        <v>44996</v>
      </c>
      <c r="C126" t="s">
        <v>30</v>
      </c>
      <c r="D126" t="s">
        <v>16</v>
      </c>
      <c r="E126" t="s">
        <v>12</v>
      </c>
      <c r="F126" t="s">
        <v>13</v>
      </c>
      <c r="G126" t="s">
        <v>14</v>
      </c>
      <c r="H126" s="2">
        <v>9386.76</v>
      </c>
      <c r="I126">
        <v>5</v>
      </c>
      <c r="J126" s="2">
        <v>1362.58</v>
      </c>
      <c r="K126" s="2"/>
    </row>
    <row r="127" spans="1:11" x14ac:dyDescent="0.3">
      <c r="A127">
        <v>126</v>
      </c>
      <c r="B127" s="1">
        <v>45288</v>
      </c>
      <c r="C127" t="s">
        <v>26</v>
      </c>
      <c r="D127" t="s">
        <v>27</v>
      </c>
      <c r="E127" t="s">
        <v>12</v>
      </c>
      <c r="F127" t="s">
        <v>13</v>
      </c>
      <c r="G127" t="s">
        <v>14</v>
      </c>
      <c r="H127" s="2">
        <v>28617.52</v>
      </c>
      <c r="I127">
        <v>6</v>
      </c>
      <c r="J127" s="2">
        <v>2807.32</v>
      </c>
      <c r="K127" s="2"/>
    </row>
    <row r="128" spans="1:11" x14ac:dyDescent="0.3">
      <c r="A128">
        <v>127</v>
      </c>
      <c r="B128" s="1">
        <v>45268</v>
      </c>
      <c r="C128" t="s">
        <v>15</v>
      </c>
      <c r="D128" t="s">
        <v>16</v>
      </c>
      <c r="E128" t="s">
        <v>12</v>
      </c>
      <c r="F128" t="s">
        <v>31</v>
      </c>
      <c r="G128" t="s">
        <v>32</v>
      </c>
      <c r="H128" s="2">
        <v>23321.11</v>
      </c>
      <c r="I128">
        <v>6</v>
      </c>
      <c r="J128" s="2">
        <v>6516.94</v>
      </c>
      <c r="K128" s="2"/>
    </row>
    <row r="129" spans="1:11" x14ac:dyDescent="0.3">
      <c r="A129">
        <v>128</v>
      </c>
      <c r="B129" s="1">
        <v>45195</v>
      </c>
      <c r="C129" t="s">
        <v>26</v>
      </c>
      <c r="D129" t="s">
        <v>27</v>
      </c>
      <c r="E129" t="s">
        <v>12</v>
      </c>
      <c r="F129" t="s">
        <v>13</v>
      </c>
      <c r="G129" t="s">
        <v>14</v>
      </c>
      <c r="H129" s="2">
        <v>30886.63</v>
      </c>
      <c r="I129">
        <v>3</v>
      </c>
      <c r="J129" s="2">
        <v>7845.04</v>
      </c>
      <c r="K129" s="2"/>
    </row>
    <row r="130" spans="1:11" x14ac:dyDescent="0.3">
      <c r="A130">
        <v>129</v>
      </c>
      <c r="B130" s="1">
        <v>45236</v>
      </c>
      <c r="C130" t="s">
        <v>10</v>
      </c>
      <c r="D130" t="s">
        <v>11</v>
      </c>
      <c r="E130" t="s">
        <v>12</v>
      </c>
      <c r="F130" t="s">
        <v>31</v>
      </c>
      <c r="G130" t="s">
        <v>39</v>
      </c>
      <c r="H130" s="2">
        <v>33355.910000000003</v>
      </c>
      <c r="I130">
        <v>5</v>
      </c>
      <c r="J130" s="2">
        <v>2731.47</v>
      </c>
      <c r="K130" s="2"/>
    </row>
    <row r="131" spans="1:11" x14ac:dyDescent="0.3">
      <c r="A131">
        <v>130</v>
      </c>
      <c r="B131" s="1">
        <v>45109</v>
      </c>
      <c r="C131" t="s">
        <v>10</v>
      </c>
      <c r="D131" t="s">
        <v>11</v>
      </c>
      <c r="E131" t="s">
        <v>12</v>
      </c>
      <c r="F131" t="s">
        <v>24</v>
      </c>
      <c r="G131" t="s">
        <v>28</v>
      </c>
      <c r="H131" s="2">
        <v>23925.26</v>
      </c>
      <c r="I131">
        <v>3</v>
      </c>
      <c r="J131" s="2">
        <v>4614.3999999999996</v>
      </c>
      <c r="K131" s="2"/>
    </row>
    <row r="132" spans="1:11" x14ac:dyDescent="0.3">
      <c r="A132">
        <v>131</v>
      </c>
      <c r="B132" s="1">
        <v>44930</v>
      </c>
      <c r="C132" t="s">
        <v>10</v>
      </c>
      <c r="D132" t="s">
        <v>11</v>
      </c>
      <c r="E132" t="s">
        <v>12</v>
      </c>
      <c r="F132" t="s">
        <v>13</v>
      </c>
      <c r="G132" t="s">
        <v>34</v>
      </c>
      <c r="H132" s="2">
        <v>46208.11</v>
      </c>
      <c r="I132">
        <v>1</v>
      </c>
      <c r="J132" s="2">
        <v>4640.21</v>
      </c>
      <c r="K132" s="2"/>
    </row>
    <row r="133" spans="1:11" x14ac:dyDescent="0.3">
      <c r="A133">
        <v>132</v>
      </c>
      <c r="B133" s="1">
        <v>44967</v>
      </c>
      <c r="C133" t="s">
        <v>10</v>
      </c>
      <c r="D133" t="s">
        <v>11</v>
      </c>
      <c r="E133" t="s">
        <v>12</v>
      </c>
      <c r="F133" t="s">
        <v>31</v>
      </c>
      <c r="G133" t="s">
        <v>39</v>
      </c>
      <c r="H133" s="2">
        <v>7965.54</v>
      </c>
      <c r="I133">
        <v>3</v>
      </c>
      <c r="J133" s="2">
        <v>2341.5300000000002</v>
      </c>
      <c r="K133" s="2"/>
    </row>
    <row r="134" spans="1:11" x14ac:dyDescent="0.3">
      <c r="A134">
        <v>133</v>
      </c>
      <c r="B134" s="1">
        <v>45265</v>
      </c>
      <c r="C134" t="s">
        <v>15</v>
      </c>
      <c r="D134" t="s">
        <v>16</v>
      </c>
      <c r="E134" t="s">
        <v>12</v>
      </c>
      <c r="F134" t="s">
        <v>13</v>
      </c>
      <c r="G134" t="s">
        <v>34</v>
      </c>
      <c r="H134" s="2">
        <v>47622.58</v>
      </c>
      <c r="I134">
        <v>8</v>
      </c>
      <c r="J134" s="2">
        <v>13847.81</v>
      </c>
      <c r="K134" s="2"/>
    </row>
    <row r="135" spans="1:11" x14ac:dyDescent="0.3">
      <c r="A135">
        <v>134</v>
      </c>
      <c r="B135" s="1">
        <v>45204</v>
      </c>
      <c r="C135" t="s">
        <v>22</v>
      </c>
      <c r="D135" t="s">
        <v>22</v>
      </c>
      <c r="E135" t="s">
        <v>12</v>
      </c>
      <c r="F135" t="s">
        <v>31</v>
      </c>
      <c r="G135" t="s">
        <v>33</v>
      </c>
      <c r="H135" s="2">
        <v>2192.81</v>
      </c>
      <c r="I135">
        <v>2</v>
      </c>
      <c r="J135" s="2">
        <v>448.06</v>
      </c>
      <c r="K135" s="2"/>
    </row>
    <row r="136" spans="1:11" x14ac:dyDescent="0.3">
      <c r="A136">
        <v>135</v>
      </c>
      <c r="B136" s="1">
        <v>45182</v>
      </c>
      <c r="C136" t="s">
        <v>35</v>
      </c>
      <c r="D136" t="s">
        <v>36</v>
      </c>
      <c r="E136" t="s">
        <v>12</v>
      </c>
      <c r="F136" t="s">
        <v>13</v>
      </c>
      <c r="G136" t="s">
        <v>34</v>
      </c>
      <c r="H136" s="2">
        <v>39455.26</v>
      </c>
      <c r="I136">
        <v>6</v>
      </c>
      <c r="J136" s="2">
        <v>7254.89</v>
      </c>
      <c r="K136" s="2"/>
    </row>
    <row r="137" spans="1:11" x14ac:dyDescent="0.3">
      <c r="A137">
        <v>136</v>
      </c>
      <c r="B137" s="1">
        <v>45066</v>
      </c>
      <c r="C137" t="s">
        <v>30</v>
      </c>
      <c r="D137" t="s">
        <v>16</v>
      </c>
      <c r="E137" t="s">
        <v>12</v>
      </c>
      <c r="F137" t="s">
        <v>31</v>
      </c>
      <c r="G137" t="s">
        <v>33</v>
      </c>
      <c r="H137" s="2">
        <v>33615.199999999997</v>
      </c>
      <c r="I137">
        <v>10</v>
      </c>
      <c r="J137" s="2">
        <v>9400.1200000000008</v>
      </c>
      <c r="K137" s="2"/>
    </row>
    <row r="138" spans="1:11" x14ac:dyDescent="0.3">
      <c r="A138">
        <v>137</v>
      </c>
      <c r="B138" s="1">
        <v>45112</v>
      </c>
      <c r="C138" t="s">
        <v>10</v>
      </c>
      <c r="D138" t="s">
        <v>11</v>
      </c>
      <c r="E138" t="s">
        <v>12</v>
      </c>
      <c r="F138" t="s">
        <v>13</v>
      </c>
      <c r="G138" t="s">
        <v>21</v>
      </c>
      <c r="H138" s="2">
        <v>43630.27</v>
      </c>
      <c r="I138">
        <v>1</v>
      </c>
      <c r="J138" s="2">
        <v>5720.89</v>
      </c>
      <c r="K138" s="2"/>
    </row>
    <row r="139" spans="1:11" x14ac:dyDescent="0.3">
      <c r="A139">
        <v>138</v>
      </c>
      <c r="B139" s="1">
        <v>45222</v>
      </c>
      <c r="C139" t="s">
        <v>30</v>
      </c>
      <c r="D139" t="s">
        <v>16</v>
      </c>
      <c r="E139" t="s">
        <v>12</v>
      </c>
      <c r="F139" t="s">
        <v>31</v>
      </c>
      <c r="G139" t="s">
        <v>39</v>
      </c>
      <c r="H139" s="2">
        <v>45089.98</v>
      </c>
      <c r="I139">
        <v>5</v>
      </c>
      <c r="J139" s="2">
        <v>4787.6899999999996</v>
      </c>
      <c r="K139" s="2"/>
    </row>
    <row r="140" spans="1:11" x14ac:dyDescent="0.3">
      <c r="A140">
        <v>139</v>
      </c>
      <c r="B140" s="1">
        <v>45193</v>
      </c>
      <c r="C140" t="s">
        <v>30</v>
      </c>
      <c r="D140" t="s">
        <v>16</v>
      </c>
      <c r="E140" t="s">
        <v>12</v>
      </c>
      <c r="F140" t="s">
        <v>24</v>
      </c>
      <c r="G140" t="s">
        <v>29</v>
      </c>
      <c r="H140" s="2">
        <v>41314.769999999997</v>
      </c>
      <c r="I140">
        <v>7</v>
      </c>
      <c r="J140" s="2">
        <v>9847.14</v>
      </c>
      <c r="K140" s="2"/>
    </row>
    <row r="141" spans="1:11" x14ac:dyDescent="0.3">
      <c r="A141">
        <v>140</v>
      </c>
      <c r="B141" s="1">
        <v>44981</v>
      </c>
      <c r="C141" t="s">
        <v>30</v>
      </c>
      <c r="D141" t="s">
        <v>16</v>
      </c>
      <c r="E141" t="s">
        <v>12</v>
      </c>
      <c r="F141" t="s">
        <v>24</v>
      </c>
      <c r="G141" t="s">
        <v>28</v>
      </c>
      <c r="H141" s="2">
        <v>33348.76</v>
      </c>
      <c r="I141">
        <v>2</v>
      </c>
      <c r="J141" s="2">
        <v>3732.78</v>
      </c>
      <c r="K141" s="2"/>
    </row>
    <row r="142" spans="1:11" x14ac:dyDescent="0.3">
      <c r="A142">
        <v>141</v>
      </c>
      <c r="B142" s="1">
        <v>44944</v>
      </c>
      <c r="C142" t="s">
        <v>18</v>
      </c>
      <c r="D142" t="s">
        <v>19</v>
      </c>
      <c r="E142" t="s">
        <v>12</v>
      </c>
      <c r="F142" t="s">
        <v>13</v>
      </c>
      <c r="G142" t="s">
        <v>14</v>
      </c>
      <c r="H142" s="2">
        <v>36059.56</v>
      </c>
      <c r="I142">
        <v>8</v>
      </c>
      <c r="J142" s="2">
        <v>6777.54</v>
      </c>
      <c r="K142" s="2"/>
    </row>
    <row r="143" spans="1:11" x14ac:dyDescent="0.3">
      <c r="A143">
        <v>142</v>
      </c>
      <c r="B143" s="1">
        <v>45063</v>
      </c>
      <c r="C143" t="s">
        <v>37</v>
      </c>
      <c r="D143" t="s">
        <v>27</v>
      </c>
      <c r="E143" t="s">
        <v>12</v>
      </c>
      <c r="F143" t="s">
        <v>24</v>
      </c>
      <c r="G143" t="s">
        <v>29</v>
      </c>
      <c r="H143" s="2">
        <v>21431.96</v>
      </c>
      <c r="I143">
        <v>6</v>
      </c>
      <c r="J143" s="2">
        <v>2214.5500000000002</v>
      </c>
      <c r="K143" s="2"/>
    </row>
    <row r="144" spans="1:11" x14ac:dyDescent="0.3">
      <c r="A144">
        <v>143</v>
      </c>
      <c r="B144" s="1">
        <v>45177</v>
      </c>
      <c r="C144" t="s">
        <v>26</v>
      </c>
      <c r="D144" t="s">
        <v>27</v>
      </c>
      <c r="E144" t="s">
        <v>12</v>
      </c>
      <c r="F144" t="s">
        <v>13</v>
      </c>
      <c r="G144" t="s">
        <v>14</v>
      </c>
      <c r="H144" s="2">
        <v>29187.79</v>
      </c>
      <c r="I144">
        <v>2</v>
      </c>
      <c r="J144" s="2">
        <v>1532.13</v>
      </c>
      <c r="K144" s="2"/>
    </row>
    <row r="145" spans="1:11" x14ac:dyDescent="0.3">
      <c r="A145">
        <v>144</v>
      </c>
      <c r="B145" s="1">
        <v>44930</v>
      </c>
      <c r="C145" t="s">
        <v>30</v>
      </c>
      <c r="D145" t="s">
        <v>16</v>
      </c>
      <c r="E145" t="s">
        <v>17</v>
      </c>
      <c r="F145" t="s">
        <v>31</v>
      </c>
      <c r="G145" t="s">
        <v>32</v>
      </c>
      <c r="H145" s="2">
        <v>45025.54</v>
      </c>
      <c r="I145">
        <v>2</v>
      </c>
      <c r="J145" s="2">
        <v>12720.22</v>
      </c>
      <c r="K145" s="2"/>
    </row>
    <row r="146" spans="1:11" x14ac:dyDescent="0.3">
      <c r="A146">
        <v>145</v>
      </c>
      <c r="B146" s="1">
        <v>45118</v>
      </c>
      <c r="C146" t="s">
        <v>15</v>
      </c>
      <c r="D146" t="s">
        <v>16</v>
      </c>
      <c r="E146" t="s">
        <v>17</v>
      </c>
      <c r="F146" t="s">
        <v>13</v>
      </c>
      <c r="G146" t="s">
        <v>14</v>
      </c>
      <c r="H146" s="2">
        <v>29484.35</v>
      </c>
      <c r="I146">
        <v>4</v>
      </c>
      <c r="J146" s="2">
        <v>2052.4299999999998</v>
      </c>
      <c r="K146" s="2"/>
    </row>
    <row r="147" spans="1:11" x14ac:dyDescent="0.3">
      <c r="A147">
        <v>146</v>
      </c>
      <c r="B147" s="1">
        <v>45067</v>
      </c>
      <c r="C147" t="s">
        <v>26</v>
      </c>
      <c r="D147" t="s">
        <v>27</v>
      </c>
      <c r="E147" t="s">
        <v>17</v>
      </c>
      <c r="F147" t="s">
        <v>13</v>
      </c>
      <c r="G147" t="s">
        <v>34</v>
      </c>
      <c r="H147" s="2">
        <v>16959.68</v>
      </c>
      <c r="I147">
        <v>4</v>
      </c>
      <c r="J147" s="2">
        <v>1943.65</v>
      </c>
      <c r="K147" s="2"/>
    </row>
    <row r="148" spans="1:11" x14ac:dyDescent="0.3">
      <c r="A148">
        <v>147</v>
      </c>
      <c r="B148" s="1">
        <v>45022</v>
      </c>
      <c r="C148" t="s">
        <v>38</v>
      </c>
      <c r="D148" t="s">
        <v>27</v>
      </c>
      <c r="E148" t="s">
        <v>17</v>
      </c>
      <c r="F148" t="s">
        <v>13</v>
      </c>
      <c r="G148" t="s">
        <v>34</v>
      </c>
      <c r="H148" s="2">
        <v>31987.86</v>
      </c>
      <c r="I148">
        <v>8</v>
      </c>
      <c r="J148" s="2">
        <v>9445.74</v>
      </c>
      <c r="K148" s="2"/>
    </row>
    <row r="149" spans="1:11" x14ac:dyDescent="0.3">
      <c r="A149">
        <v>148</v>
      </c>
      <c r="B149" s="1">
        <v>44953</v>
      </c>
      <c r="C149" t="s">
        <v>38</v>
      </c>
      <c r="D149" t="s">
        <v>27</v>
      </c>
      <c r="E149" t="s">
        <v>17</v>
      </c>
      <c r="F149" t="s">
        <v>31</v>
      </c>
      <c r="G149" t="s">
        <v>32</v>
      </c>
      <c r="H149" s="2">
        <v>24644.97</v>
      </c>
      <c r="I149">
        <v>5</v>
      </c>
      <c r="J149" s="2">
        <v>2363.06</v>
      </c>
      <c r="K149" s="2"/>
    </row>
    <row r="150" spans="1:11" x14ac:dyDescent="0.3">
      <c r="A150">
        <v>149</v>
      </c>
      <c r="B150" s="1">
        <v>45241</v>
      </c>
      <c r="C150" t="s">
        <v>37</v>
      </c>
      <c r="D150" t="s">
        <v>27</v>
      </c>
      <c r="E150" t="s">
        <v>17</v>
      </c>
      <c r="F150" t="s">
        <v>13</v>
      </c>
      <c r="G150" t="s">
        <v>14</v>
      </c>
      <c r="H150" s="2">
        <v>28554.67</v>
      </c>
      <c r="I150">
        <v>9</v>
      </c>
      <c r="J150" s="2">
        <v>7750.57</v>
      </c>
      <c r="K150" s="2"/>
    </row>
    <row r="151" spans="1:11" x14ac:dyDescent="0.3">
      <c r="A151">
        <v>150</v>
      </c>
      <c r="B151" s="1">
        <v>44960</v>
      </c>
      <c r="C151" t="s">
        <v>18</v>
      </c>
      <c r="D151" t="s">
        <v>19</v>
      </c>
      <c r="E151" t="s">
        <v>17</v>
      </c>
      <c r="F151" t="s">
        <v>13</v>
      </c>
      <c r="G151" t="s">
        <v>34</v>
      </c>
      <c r="H151" s="2">
        <v>8418.6</v>
      </c>
      <c r="I151">
        <v>7</v>
      </c>
      <c r="J151" s="2">
        <v>1523.75</v>
      </c>
      <c r="K151" s="2"/>
    </row>
    <row r="152" spans="1:11" x14ac:dyDescent="0.3">
      <c r="A152">
        <v>151</v>
      </c>
      <c r="B152" s="1">
        <v>45257</v>
      </c>
      <c r="C152" t="s">
        <v>18</v>
      </c>
      <c r="D152" t="s">
        <v>19</v>
      </c>
      <c r="E152" t="s">
        <v>17</v>
      </c>
      <c r="F152" t="s">
        <v>24</v>
      </c>
      <c r="G152" t="s">
        <v>28</v>
      </c>
      <c r="H152" s="2">
        <v>27560.07</v>
      </c>
      <c r="I152">
        <v>8</v>
      </c>
      <c r="J152" s="2">
        <v>2515.9699999999998</v>
      </c>
      <c r="K152" s="2"/>
    </row>
    <row r="153" spans="1:11" x14ac:dyDescent="0.3">
      <c r="A153">
        <v>152</v>
      </c>
      <c r="B153" s="1">
        <v>45201</v>
      </c>
      <c r="C153" t="s">
        <v>35</v>
      </c>
      <c r="D153" t="s">
        <v>36</v>
      </c>
      <c r="E153" t="s">
        <v>17</v>
      </c>
      <c r="F153" t="s">
        <v>24</v>
      </c>
      <c r="G153" t="s">
        <v>25</v>
      </c>
      <c r="H153" s="2">
        <v>13616.19</v>
      </c>
      <c r="I153">
        <v>10</v>
      </c>
      <c r="J153" s="2">
        <v>4009.3</v>
      </c>
      <c r="K153" s="2"/>
    </row>
    <row r="154" spans="1:11" x14ac:dyDescent="0.3">
      <c r="A154">
        <v>153</v>
      </c>
      <c r="B154" s="1">
        <v>45139</v>
      </c>
      <c r="C154" t="s">
        <v>35</v>
      </c>
      <c r="D154" t="s">
        <v>36</v>
      </c>
      <c r="E154" t="s">
        <v>17</v>
      </c>
      <c r="F154" t="s">
        <v>13</v>
      </c>
      <c r="G154" t="s">
        <v>21</v>
      </c>
      <c r="H154" s="2">
        <v>25212.93</v>
      </c>
      <c r="I154">
        <v>8</v>
      </c>
      <c r="J154" s="2">
        <v>3535.68</v>
      </c>
      <c r="K154" s="2"/>
    </row>
    <row r="155" spans="1:11" x14ac:dyDescent="0.3">
      <c r="A155">
        <v>154</v>
      </c>
      <c r="B155" s="1">
        <v>44977</v>
      </c>
      <c r="C155" t="s">
        <v>15</v>
      </c>
      <c r="D155" t="s">
        <v>16</v>
      </c>
      <c r="E155" t="s">
        <v>17</v>
      </c>
      <c r="F155" t="s">
        <v>31</v>
      </c>
      <c r="G155" t="s">
        <v>39</v>
      </c>
      <c r="H155" s="2">
        <v>43825.39</v>
      </c>
      <c r="I155">
        <v>6</v>
      </c>
      <c r="J155" s="2">
        <v>10611</v>
      </c>
      <c r="K155" s="2"/>
    </row>
    <row r="156" spans="1:11" x14ac:dyDescent="0.3">
      <c r="A156">
        <v>155</v>
      </c>
      <c r="B156" s="1">
        <v>45011</v>
      </c>
      <c r="C156" t="s">
        <v>22</v>
      </c>
      <c r="D156" t="s">
        <v>22</v>
      </c>
      <c r="E156" t="s">
        <v>17</v>
      </c>
      <c r="F156" t="s">
        <v>24</v>
      </c>
      <c r="G156" t="s">
        <v>29</v>
      </c>
      <c r="H156" s="2">
        <v>40738.550000000003</v>
      </c>
      <c r="I156">
        <v>10</v>
      </c>
      <c r="J156" s="2">
        <v>3969.18</v>
      </c>
      <c r="K156" s="2"/>
    </row>
    <row r="157" spans="1:11" x14ac:dyDescent="0.3">
      <c r="A157">
        <v>156</v>
      </c>
      <c r="B157" s="1">
        <v>45007</v>
      </c>
      <c r="C157" t="s">
        <v>10</v>
      </c>
      <c r="D157" t="s">
        <v>11</v>
      </c>
      <c r="E157" t="s">
        <v>17</v>
      </c>
      <c r="F157" t="s">
        <v>24</v>
      </c>
      <c r="G157" t="s">
        <v>28</v>
      </c>
      <c r="H157" s="2">
        <v>8460.74</v>
      </c>
      <c r="I157">
        <v>4</v>
      </c>
      <c r="J157" s="2">
        <v>1472.42</v>
      </c>
      <c r="K157" s="2"/>
    </row>
    <row r="158" spans="1:11" x14ac:dyDescent="0.3">
      <c r="A158">
        <v>157</v>
      </c>
      <c r="B158" s="1">
        <v>45002</v>
      </c>
      <c r="C158" t="s">
        <v>37</v>
      </c>
      <c r="D158" t="s">
        <v>27</v>
      </c>
      <c r="E158" t="s">
        <v>17</v>
      </c>
      <c r="F158" t="s">
        <v>13</v>
      </c>
      <c r="G158" t="s">
        <v>34</v>
      </c>
      <c r="H158" s="2">
        <v>41629.51</v>
      </c>
      <c r="I158">
        <v>9</v>
      </c>
      <c r="J158" s="2">
        <v>11605.29</v>
      </c>
      <c r="K158" s="2"/>
    </row>
    <row r="159" spans="1:11" x14ac:dyDescent="0.3">
      <c r="A159">
        <v>158</v>
      </c>
      <c r="B159" s="1">
        <v>45166</v>
      </c>
      <c r="C159" t="s">
        <v>15</v>
      </c>
      <c r="D159" t="s">
        <v>16</v>
      </c>
      <c r="E159" t="s">
        <v>17</v>
      </c>
      <c r="F159" t="s">
        <v>24</v>
      </c>
      <c r="G159" t="s">
        <v>28</v>
      </c>
      <c r="H159" s="2">
        <v>26680.82</v>
      </c>
      <c r="I159">
        <v>2</v>
      </c>
      <c r="J159" s="2">
        <v>5004.5</v>
      </c>
      <c r="K159" s="2"/>
    </row>
    <row r="160" spans="1:11" x14ac:dyDescent="0.3">
      <c r="A160">
        <v>159</v>
      </c>
      <c r="B160" s="1">
        <v>45085</v>
      </c>
      <c r="C160" t="s">
        <v>15</v>
      </c>
      <c r="D160" t="s">
        <v>16</v>
      </c>
      <c r="E160" t="s">
        <v>17</v>
      </c>
      <c r="F160" t="s">
        <v>24</v>
      </c>
      <c r="G160" t="s">
        <v>28</v>
      </c>
      <c r="H160" s="2">
        <v>31459.86</v>
      </c>
      <c r="I160">
        <v>7</v>
      </c>
      <c r="J160" s="2">
        <v>2921.88</v>
      </c>
      <c r="K160" s="2"/>
    </row>
    <row r="161" spans="1:11" x14ac:dyDescent="0.3">
      <c r="A161">
        <v>160</v>
      </c>
      <c r="B161" s="1">
        <v>45122</v>
      </c>
      <c r="C161" t="s">
        <v>26</v>
      </c>
      <c r="D161" t="s">
        <v>27</v>
      </c>
      <c r="E161" t="s">
        <v>17</v>
      </c>
      <c r="F161" t="s">
        <v>24</v>
      </c>
      <c r="G161" t="s">
        <v>25</v>
      </c>
      <c r="H161" s="2">
        <v>2532.71</v>
      </c>
      <c r="I161">
        <v>8</v>
      </c>
      <c r="J161" s="2">
        <v>324.74</v>
      </c>
      <c r="K161" s="2"/>
    </row>
    <row r="162" spans="1:11" x14ac:dyDescent="0.3">
      <c r="A162">
        <v>161</v>
      </c>
      <c r="B162" s="1">
        <v>45062</v>
      </c>
      <c r="C162" t="s">
        <v>38</v>
      </c>
      <c r="D162" t="s">
        <v>27</v>
      </c>
      <c r="E162" t="s">
        <v>17</v>
      </c>
      <c r="F162" t="s">
        <v>31</v>
      </c>
      <c r="G162" t="s">
        <v>33</v>
      </c>
      <c r="H162" s="2">
        <v>26794.54</v>
      </c>
      <c r="I162">
        <v>8</v>
      </c>
      <c r="J162" s="2">
        <v>5027.8900000000003</v>
      </c>
      <c r="K162" s="2"/>
    </row>
    <row r="163" spans="1:11" x14ac:dyDescent="0.3">
      <c r="A163">
        <v>162</v>
      </c>
      <c r="B163" s="1">
        <v>45069</v>
      </c>
      <c r="C163" t="s">
        <v>10</v>
      </c>
      <c r="D163" t="s">
        <v>11</v>
      </c>
      <c r="E163" t="s">
        <v>17</v>
      </c>
      <c r="F163" t="s">
        <v>31</v>
      </c>
      <c r="G163" t="s">
        <v>33</v>
      </c>
      <c r="H163" s="2">
        <v>36838.78</v>
      </c>
      <c r="I163">
        <v>6</v>
      </c>
      <c r="J163" s="2">
        <v>4092.23</v>
      </c>
      <c r="K163" s="2"/>
    </row>
    <row r="164" spans="1:11" x14ac:dyDescent="0.3">
      <c r="A164">
        <v>163</v>
      </c>
      <c r="B164" s="1">
        <v>45233</v>
      </c>
      <c r="C164" t="s">
        <v>22</v>
      </c>
      <c r="D164" t="s">
        <v>22</v>
      </c>
      <c r="E164" t="s">
        <v>17</v>
      </c>
      <c r="F164" t="s">
        <v>31</v>
      </c>
      <c r="G164" t="s">
        <v>39</v>
      </c>
      <c r="H164" s="2">
        <v>13801.62</v>
      </c>
      <c r="I164">
        <v>1</v>
      </c>
      <c r="J164" s="2">
        <v>1863.69</v>
      </c>
      <c r="K164" s="2"/>
    </row>
    <row r="165" spans="1:11" x14ac:dyDescent="0.3">
      <c r="A165">
        <v>164</v>
      </c>
      <c r="B165" s="1">
        <v>45018</v>
      </c>
      <c r="C165" t="s">
        <v>37</v>
      </c>
      <c r="D165" t="s">
        <v>27</v>
      </c>
      <c r="E165" t="s">
        <v>17</v>
      </c>
      <c r="F165" t="s">
        <v>31</v>
      </c>
      <c r="G165" t="s">
        <v>32</v>
      </c>
      <c r="H165" s="2">
        <v>26884.04</v>
      </c>
      <c r="I165">
        <v>9</v>
      </c>
      <c r="J165" s="2">
        <v>4634.18</v>
      </c>
      <c r="K165" s="2"/>
    </row>
    <row r="166" spans="1:11" x14ac:dyDescent="0.3">
      <c r="A166">
        <v>165</v>
      </c>
      <c r="B166" s="1">
        <v>45280</v>
      </c>
      <c r="C166" t="s">
        <v>22</v>
      </c>
      <c r="D166" t="s">
        <v>22</v>
      </c>
      <c r="E166" t="s">
        <v>17</v>
      </c>
      <c r="F166" t="s">
        <v>31</v>
      </c>
      <c r="G166" t="s">
        <v>39</v>
      </c>
      <c r="H166" s="2">
        <v>24536.3</v>
      </c>
      <c r="I166">
        <v>4</v>
      </c>
      <c r="J166" s="2">
        <v>4883.58</v>
      </c>
      <c r="K166" s="2"/>
    </row>
    <row r="167" spans="1:11" x14ac:dyDescent="0.3">
      <c r="A167">
        <v>166</v>
      </c>
      <c r="B167" s="1">
        <v>45092</v>
      </c>
      <c r="C167" t="s">
        <v>26</v>
      </c>
      <c r="D167" t="s">
        <v>27</v>
      </c>
      <c r="E167" t="s">
        <v>17</v>
      </c>
      <c r="F167" t="s">
        <v>13</v>
      </c>
      <c r="G167" t="s">
        <v>14</v>
      </c>
      <c r="H167" s="2">
        <v>38091.9</v>
      </c>
      <c r="I167">
        <v>3</v>
      </c>
      <c r="J167" s="2">
        <v>2162.17</v>
      </c>
      <c r="K167" s="2"/>
    </row>
    <row r="168" spans="1:11" x14ac:dyDescent="0.3">
      <c r="A168">
        <v>167</v>
      </c>
      <c r="B168" s="1">
        <v>45066</v>
      </c>
      <c r="C168" t="s">
        <v>38</v>
      </c>
      <c r="D168" t="s">
        <v>27</v>
      </c>
      <c r="E168" t="s">
        <v>17</v>
      </c>
      <c r="F168" t="s">
        <v>24</v>
      </c>
      <c r="G168" t="s">
        <v>28</v>
      </c>
      <c r="H168" s="2">
        <v>39598.29</v>
      </c>
      <c r="I168">
        <v>5</v>
      </c>
      <c r="J168" s="2">
        <v>6403.75</v>
      </c>
      <c r="K168" s="2"/>
    </row>
    <row r="169" spans="1:11" x14ac:dyDescent="0.3">
      <c r="A169">
        <v>168</v>
      </c>
      <c r="B169" s="1">
        <v>44968</v>
      </c>
      <c r="C169" t="s">
        <v>38</v>
      </c>
      <c r="D169" t="s">
        <v>27</v>
      </c>
      <c r="E169" t="s">
        <v>17</v>
      </c>
      <c r="F169" t="s">
        <v>13</v>
      </c>
      <c r="G169" t="s">
        <v>34</v>
      </c>
      <c r="H169" s="2">
        <v>4814.78</v>
      </c>
      <c r="I169">
        <v>6</v>
      </c>
      <c r="J169" s="2">
        <v>378.7</v>
      </c>
      <c r="K169" s="2"/>
    </row>
    <row r="170" spans="1:11" x14ac:dyDescent="0.3">
      <c r="A170">
        <v>169</v>
      </c>
      <c r="B170" s="1">
        <v>45237</v>
      </c>
      <c r="C170" t="s">
        <v>18</v>
      </c>
      <c r="D170" t="s">
        <v>19</v>
      </c>
      <c r="E170" t="s">
        <v>17</v>
      </c>
      <c r="F170" t="s">
        <v>31</v>
      </c>
      <c r="G170" t="s">
        <v>32</v>
      </c>
      <c r="H170" s="2">
        <v>20072.27</v>
      </c>
      <c r="I170">
        <v>1</v>
      </c>
      <c r="J170" s="2">
        <v>4794.18</v>
      </c>
      <c r="K170" s="2"/>
    </row>
    <row r="171" spans="1:11" x14ac:dyDescent="0.3">
      <c r="A171">
        <v>170</v>
      </c>
      <c r="B171" s="1">
        <v>45175</v>
      </c>
      <c r="C171" t="s">
        <v>10</v>
      </c>
      <c r="D171" t="s">
        <v>11</v>
      </c>
      <c r="E171" t="s">
        <v>17</v>
      </c>
      <c r="F171" t="s">
        <v>31</v>
      </c>
      <c r="G171" t="s">
        <v>32</v>
      </c>
      <c r="H171" s="2">
        <v>23725.51</v>
      </c>
      <c r="I171">
        <v>1</v>
      </c>
      <c r="J171" s="2">
        <v>1324.6</v>
      </c>
      <c r="K171" s="2"/>
    </row>
    <row r="172" spans="1:11" x14ac:dyDescent="0.3">
      <c r="A172">
        <v>171</v>
      </c>
      <c r="B172" s="1">
        <v>45192</v>
      </c>
      <c r="C172" t="s">
        <v>18</v>
      </c>
      <c r="D172" t="s">
        <v>19</v>
      </c>
      <c r="E172" t="s">
        <v>17</v>
      </c>
      <c r="F172" t="s">
        <v>13</v>
      </c>
      <c r="G172" t="s">
        <v>14</v>
      </c>
      <c r="H172" s="2">
        <v>6338.6</v>
      </c>
      <c r="I172">
        <v>10</v>
      </c>
      <c r="J172" s="2">
        <v>850.83</v>
      </c>
      <c r="K172" s="2"/>
    </row>
    <row r="173" spans="1:11" x14ac:dyDescent="0.3">
      <c r="A173">
        <v>172</v>
      </c>
      <c r="B173" s="1">
        <v>44934</v>
      </c>
      <c r="C173" t="s">
        <v>26</v>
      </c>
      <c r="D173" t="s">
        <v>27</v>
      </c>
      <c r="E173" t="s">
        <v>17</v>
      </c>
      <c r="F173" t="s">
        <v>31</v>
      </c>
      <c r="G173" t="s">
        <v>33</v>
      </c>
      <c r="H173" s="2">
        <v>43340.91</v>
      </c>
      <c r="I173">
        <v>3</v>
      </c>
      <c r="J173" s="2">
        <v>3409.31</v>
      </c>
      <c r="K173" s="2"/>
    </row>
    <row r="174" spans="1:11" x14ac:dyDescent="0.3">
      <c r="A174">
        <v>173</v>
      </c>
      <c r="B174" s="1">
        <v>45014</v>
      </c>
      <c r="C174" t="s">
        <v>37</v>
      </c>
      <c r="D174" t="s">
        <v>27</v>
      </c>
      <c r="E174" t="s">
        <v>17</v>
      </c>
      <c r="F174" t="s">
        <v>31</v>
      </c>
      <c r="G174" t="s">
        <v>39</v>
      </c>
      <c r="H174" s="2">
        <v>5774.71</v>
      </c>
      <c r="I174">
        <v>6</v>
      </c>
      <c r="J174" s="2">
        <v>1350.62</v>
      </c>
      <c r="K174" s="2"/>
    </row>
    <row r="175" spans="1:11" x14ac:dyDescent="0.3">
      <c r="A175">
        <v>174</v>
      </c>
      <c r="B175" s="1">
        <v>45178</v>
      </c>
      <c r="C175" t="s">
        <v>10</v>
      </c>
      <c r="D175" t="s">
        <v>11</v>
      </c>
      <c r="E175" t="s">
        <v>17</v>
      </c>
      <c r="F175" t="s">
        <v>13</v>
      </c>
      <c r="G175" t="s">
        <v>14</v>
      </c>
      <c r="H175" s="2">
        <v>31543.41</v>
      </c>
      <c r="I175">
        <v>7</v>
      </c>
      <c r="J175" s="2">
        <v>7095.9</v>
      </c>
      <c r="K175" s="2"/>
    </row>
    <row r="176" spans="1:11" x14ac:dyDescent="0.3">
      <c r="A176">
        <v>175</v>
      </c>
      <c r="B176" s="1">
        <v>45127</v>
      </c>
      <c r="C176" t="s">
        <v>37</v>
      </c>
      <c r="D176" t="s">
        <v>27</v>
      </c>
      <c r="E176" t="s">
        <v>17</v>
      </c>
      <c r="F176" t="s">
        <v>24</v>
      </c>
      <c r="G176" t="s">
        <v>28</v>
      </c>
      <c r="H176" s="2">
        <v>48726.25</v>
      </c>
      <c r="I176">
        <v>6</v>
      </c>
      <c r="J176" s="2">
        <v>9754.02</v>
      </c>
      <c r="K176" s="2"/>
    </row>
    <row r="177" spans="1:11" x14ac:dyDescent="0.3">
      <c r="A177">
        <v>176</v>
      </c>
      <c r="B177" s="1">
        <v>45082</v>
      </c>
      <c r="C177" t="s">
        <v>22</v>
      </c>
      <c r="D177" t="s">
        <v>22</v>
      </c>
      <c r="E177" t="s">
        <v>17</v>
      </c>
      <c r="F177" t="s">
        <v>13</v>
      </c>
      <c r="G177" t="s">
        <v>21</v>
      </c>
      <c r="H177" s="2">
        <v>4877.32</v>
      </c>
      <c r="I177">
        <v>2</v>
      </c>
      <c r="J177" s="2">
        <v>678.04</v>
      </c>
      <c r="K177" s="2"/>
    </row>
    <row r="178" spans="1:11" x14ac:dyDescent="0.3">
      <c r="A178">
        <v>177</v>
      </c>
      <c r="B178" s="1">
        <v>45227</v>
      </c>
      <c r="C178" t="s">
        <v>30</v>
      </c>
      <c r="D178" t="s">
        <v>16</v>
      </c>
      <c r="E178" t="s">
        <v>17</v>
      </c>
      <c r="F178" t="s">
        <v>24</v>
      </c>
      <c r="G178" t="s">
        <v>28</v>
      </c>
      <c r="H178" s="2">
        <v>36632.480000000003</v>
      </c>
      <c r="I178">
        <v>5</v>
      </c>
      <c r="J178" s="2">
        <v>4419.68</v>
      </c>
      <c r="K178" s="2"/>
    </row>
    <row r="179" spans="1:11" x14ac:dyDescent="0.3">
      <c r="A179">
        <v>178</v>
      </c>
      <c r="B179" s="1">
        <v>44978</v>
      </c>
      <c r="C179" t="s">
        <v>26</v>
      </c>
      <c r="D179" t="s">
        <v>27</v>
      </c>
      <c r="E179" t="s">
        <v>17</v>
      </c>
      <c r="F179" t="s">
        <v>31</v>
      </c>
      <c r="G179" t="s">
        <v>32</v>
      </c>
      <c r="H179" s="2">
        <v>7302.34</v>
      </c>
      <c r="I179">
        <v>10</v>
      </c>
      <c r="J179" s="2">
        <v>909.18</v>
      </c>
      <c r="K179" s="2"/>
    </row>
    <row r="180" spans="1:11" x14ac:dyDescent="0.3">
      <c r="A180">
        <v>179</v>
      </c>
      <c r="B180" s="1">
        <v>44993</v>
      </c>
      <c r="C180" t="s">
        <v>15</v>
      </c>
      <c r="D180" t="s">
        <v>16</v>
      </c>
      <c r="E180" t="s">
        <v>17</v>
      </c>
      <c r="F180" t="s">
        <v>31</v>
      </c>
      <c r="G180" t="s">
        <v>39</v>
      </c>
      <c r="H180" s="2">
        <v>17646.86</v>
      </c>
      <c r="I180">
        <v>9</v>
      </c>
      <c r="J180" s="2">
        <v>3145.05</v>
      </c>
      <c r="K180" s="2"/>
    </row>
    <row r="181" spans="1:11" x14ac:dyDescent="0.3">
      <c r="A181">
        <v>180</v>
      </c>
      <c r="B181" s="1">
        <v>45230</v>
      </c>
      <c r="C181" t="s">
        <v>37</v>
      </c>
      <c r="D181" t="s">
        <v>27</v>
      </c>
      <c r="E181" t="s">
        <v>17</v>
      </c>
      <c r="F181" t="s">
        <v>13</v>
      </c>
      <c r="G181" t="s">
        <v>14</v>
      </c>
      <c r="H181" s="2">
        <v>18272.21</v>
      </c>
      <c r="I181">
        <v>9</v>
      </c>
      <c r="J181" s="2">
        <v>4352.6099999999997</v>
      </c>
      <c r="K181" s="2"/>
    </row>
    <row r="182" spans="1:11" x14ac:dyDescent="0.3">
      <c r="A182">
        <v>181</v>
      </c>
      <c r="B182" s="1">
        <v>45151</v>
      </c>
      <c r="C182" t="s">
        <v>22</v>
      </c>
      <c r="D182" t="s">
        <v>22</v>
      </c>
      <c r="E182" t="s">
        <v>17</v>
      </c>
      <c r="F182" t="s">
        <v>24</v>
      </c>
      <c r="G182" t="s">
        <v>29</v>
      </c>
      <c r="H182" s="2">
        <v>30968.38</v>
      </c>
      <c r="I182">
        <v>7</v>
      </c>
      <c r="J182" s="2">
        <v>4688.1000000000004</v>
      </c>
      <c r="K182" s="2"/>
    </row>
    <row r="183" spans="1:11" x14ac:dyDescent="0.3">
      <c r="A183">
        <v>182</v>
      </c>
      <c r="B183" s="1">
        <v>45080</v>
      </c>
      <c r="C183" t="s">
        <v>26</v>
      </c>
      <c r="D183" t="s">
        <v>27</v>
      </c>
      <c r="E183" t="s">
        <v>17</v>
      </c>
      <c r="F183" t="s">
        <v>31</v>
      </c>
      <c r="G183" t="s">
        <v>33</v>
      </c>
      <c r="H183" s="2">
        <v>17745.36</v>
      </c>
      <c r="I183">
        <v>2</v>
      </c>
      <c r="J183" s="2">
        <v>1736.15</v>
      </c>
      <c r="K183" s="2"/>
    </row>
    <row r="184" spans="1:11" x14ac:dyDescent="0.3">
      <c r="A184">
        <v>183</v>
      </c>
      <c r="B184" s="1">
        <v>44984</v>
      </c>
      <c r="C184" t="s">
        <v>26</v>
      </c>
      <c r="D184" t="s">
        <v>27</v>
      </c>
      <c r="E184" t="s">
        <v>17</v>
      </c>
      <c r="F184" t="s">
        <v>13</v>
      </c>
      <c r="G184" t="s">
        <v>21</v>
      </c>
      <c r="H184" s="2">
        <v>30601.31</v>
      </c>
      <c r="I184">
        <v>9</v>
      </c>
      <c r="J184" s="2">
        <v>4632.5600000000004</v>
      </c>
      <c r="K184" s="2"/>
    </row>
    <row r="185" spans="1:11" x14ac:dyDescent="0.3">
      <c r="A185">
        <v>184</v>
      </c>
      <c r="B185" s="1">
        <v>45256</v>
      </c>
      <c r="C185" t="s">
        <v>22</v>
      </c>
      <c r="D185" t="s">
        <v>22</v>
      </c>
      <c r="E185" t="s">
        <v>17</v>
      </c>
      <c r="F185" t="s">
        <v>24</v>
      </c>
      <c r="G185" t="s">
        <v>25</v>
      </c>
      <c r="H185" s="2">
        <v>27508.720000000001</v>
      </c>
      <c r="I185">
        <v>4</v>
      </c>
      <c r="J185" s="2">
        <v>2649.16</v>
      </c>
      <c r="K185" s="2"/>
    </row>
    <row r="186" spans="1:11" x14ac:dyDescent="0.3">
      <c r="A186">
        <v>185</v>
      </c>
      <c r="B186" s="1">
        <v>44959</v>
      </c>
      <c r="C186" t="s">
        <v>35</v>
      </c>
      <c r="D186" t="s">
        <v>36</v>
      </c>
      <c r="E186" t="s">
        <v>17</v>
      </c>
      <c r="F186" t="s">
        <v>24</v>
      </c>
      <c r="G186" t="s">
        <v>29</v>
      </c>
      <c r="H186" s="2">
        <v>20818.54</v>
      </c>
      <c r="I186">
        <v>10</v>
      </c>
      <c r="J186" s="2">
        <v>2457.2199999999998</v>
      </c>
      <c r="K186" s="2"/>
    </row>
    <row r="187" spans="1:11" x14ac:dyDescent="0.3">
      <c r="A187">
        <v>186</v>
      </c>
      <c r="B187" s="1">
        <v>44990</v>
      </c>
      <c r="C187" t="s">
        <v>18</v>
      </c>
      <c r="D187" t="s">
        <v>19</v>
      </c>
      <c r="E187" t="s">
        <v>17</v>
      </c>
      <c r="F187" t="s">
        <v>24</v>
      </c>
      <c r="G187" t="s">
        <v>29</v>
      </c>
      <c r="H187" s="2">
        <v>49951.15</v>
      </c>
      <c r="I187">
        <v>8</v>
      </c>
      <c r="J187" s="2">
        <v>9925.48</v>
      </c>
      <c r="K187" s="2"/>
    </row>
    <row r="188" spans="1:11" x14ac:dyDescent="0.3">
      <c r="A188">
        <v>187</v>
      </c>
      <c r="B188" s="1">
        <v>45184</v>
      </c>
      <c r="C188" t="s">
        <v>26</v>
      </c>
      <c r="D188" t="s">
        <v>27</v>
      </c>
      <c r="E188" t="s">
        <v>17</v>
      </c>
      <c r="F188" t="s">
        <v>31</v>
      </c>
      <c r="G188" t="s">
        <v>33</v>
      </c>
      <c r="H188" s="2">
        <v>14099.59</v>
      </c>
      <c r="I188">
        <v>7</v>
      </c>
      <c r="J188" s="2">
        <v>1349.86</v>
      </c>
      <c r="K188" s="2"/>
    </row>
    <row r="189" spans="1:11" x14ac:dyDescent="0.3">
      <c r="A189">
        <v>188</v>
      </c>
      <c r="B189" s="1">
        <v>45210</v>
      </c>
      <c r="C189" t="s">
        <v>15</v>
      </c>
      <c r="D189" t="s">
        <v>16</v>
      </c>
      <c r="E189" t="s">
        <v>12</v>
      </c>
      <c r="F189" t="s">
        <v>31</v>
      </c>
      <c r="G189" t="s">
        <v>33</v>
      </c>
      <c r="H189" s="2">
        <v>30464.74</v>
      </c>
      <c r="I189">
        <v>6</v>
      </c>
      <c r="J189" s="2">
        <v>7362.23</v>
      </c>
      <c r="K189" s="2"/>
    </row>
    <row r="190" spans="1:11" x14ac:dyDescent="0.3">
      <c r="A190">
        <v>189</v>
      </c>
      <c r="B190" s="1">
        <v>45041</v>
      </c>
      <c r="C190" t="s">
        <v>18</v>
      </c>
      <c r="D190" t="s">
        <v>19</v>
      </c>
      <c r="E190" t="s">
        <v>17</v>
      </c>
      <c r="F190" t="s">
        <v>13</v>
      </c>
      <c r="G190" t="s">
        <v>21</v>
      </c>
      <c r="H190" s="2">
        <v>45371.4</v>
      </c>
      <c r="I190">
        <v>9</v>
      </c>
      <c r="J190" s="2">
        <v>10014.870000000001</v>
      </c>
      <c r="K190" s="2"/>
    </row>
    <row r="191" spans="1:11" x14ac:dyDescent="0.3">
      <c r="A191">
        <v>190</v>
      </c>
      <c r="B191" s="1">
        <v>45082</v>
      </c>
      <c r="C191" t="s">
        <v>38</v>
      </c>
      <c r="D191" t="s">
        <v>27</v>
      </c>
      <c r="E191" t="s">
        <v>12</v>
      </c>
      <c r="F191" t="s">
        <v>31</v>
      </c>
      <c r="G191" t="s">
        <v>32</v>
      </c>
      <c r="H191" s="2">
        <v>22118.26</v>
      </c>
      <c r="I191">
        <v>4</v>
      </c>
      <c r="J191" s="2">
        <v>2171.89</v>
      </c>
      <c r="K191" s="2"/>
    </row>
    <row r="192" spans="1:11" x14ac:dyDescent="0.3">
      <c r="A192">
        <v>191</v>
      </c>
      <c r="B192" s="1">
        <v>45248</v>
      </c>
      <c r="C192" t="s">
        <v>10</v>
      </c>
      <c r="D192" t="s">
        <v>11</v>
      </c>
      <c r="E192" t="s">
        <v>17</v>
      </c>
      <c r="F192" t="s">
        <v>13</v>
      </c>
      <c r="G192" t="s">
        <v>21</v>
      </c>
      <c r="H192" s="2">
        <v>37631.99</v>
      </c>
      <c r="I192">
        <v>10</v>
      </c>
      <c r="J192" s="2">
        <v>2815.66</v>
      </c>
      <c r="K192" s="2"/>
    </row>
    <row r="193" spans="1:11" x14ac:dyDescent="0.3">
      <c r="A193">
        <v>192</v>
      </c>
      <c r="B193" s="1">
        <v>45279</v>
      </c>
      <c r="C193" t="s">
        <v>15</v>
      </c>
      <c r="D193" t="s">
        <v>16</v>
      </c>
      <c r="E193" t="s">
        <v>20</v>
      </c>
      <c r="F193" t="s">
        <v>13</v>
      </c>
      <c r="G193" t="s">
        <v>34</v>
      </c>
      <c r="H193" s="2">
        <v>32613.74</v>
      </c>
      <c r="I193">
        <v>3</v>
      </c>
      <c r="J193" s="2">
        <v>2329.77</v>
      </c>
      <c r="K193" s="2"/>
    </row>
    <row r="194" spans="1:11" x14ac:dyDescent="0.3">
      <c r="A194">
        <v>193</v>
      </c>
      <c r="B194" s="1">
        <v>45031</v>
      </c>
      <c r="C194" t="s">
        <v>38</v>
      </c>
      <c r="D194" t="s">
        <v>27</v>
      </c>
      <c r="E194" t="s">
        <v>20</v>
      </c>
      <c r="F194" t="s">
        <v>31</v>
      </c>
      <c r="G194" t="s">
        <v>39</v>
      </c>
      <c r="H194" s="2">
        <v>19402.79</v>
      </c>
      <c r="I194">
        <v>5</v>
      </c>
      <c r="J194" s="2">
        <v>4070.53</v>
      </c>
      <c r="K194" s="2"/>
    </row>
    <row r="195" spans="1:11" x14ac:dyDescent="0.3">
      <c r="A195">
        <v>194</v>
      </c>
      <c r="B195" s="1">
        <v>45226</v>
      </c>
      <c r="C195" t="s">
        <v>37</v>
      </c>
      <c r="D195" t="s">
        <v>27</v>
      </c>
      <c r="E195" t="s">
        <v>12</v>
      </c>
      <c r="F195" t="s">
        <v>13</v>
      </c>
      <c r="G195" t="s">
        <v>21</v>
      </c>
      <c r="H195" s="2">
        <v>38828.89</v>
      </c>
      <c r="I195">
        <v>1</v>
      </c>
      <c r="J195" s="2">
        <v>3558.41</v>
      </c>
      <c r="K195" s="2"/>
    </row>
    <row r="196" spans="1:11" x14ac:dyDescent="0.3">
      <c r="A196">
        <v>195</v>
      </c>
      <c r="B196" s="1">
        <v>45285</v>
      </c>
      <c r="C196" t="s">
        <v>10</v>
      </c>
      <c r="D196" t="s">
        <v>11</v>
      </c>
      <c r="E196" t="s">
        <v>17</v>
      </c>
      <c r="F196" t="s">
        <v>13</v>
      </c>
      <c r="G196" t="s">
        <v>34</v>
      </c>
      <c r="H196" s="2">
        <v>40947.69</v>
      </c>
      <c r="I196">
        <v>10</v>
      </c>
      <c r="J196" s="2">
        <v>3402.46</v>
      </c>
      <c r="K196" s="2"/>
    </row>
    <row r="197" spans="1:11" x14ac:dyDescent="0.3">
      <c r="A197">
        <v>196</v>
      </c>
      <c r="B197" s="1">
        <v>45132</v>
      </c>
      <c r="C197" t="s">
        <v>38</v>
      </c>
      <c r="D197" t="s">
        <v>27</v>
      </c>
      <c r="E197" t="s">
        <v>12</v>
      </c>
      <c r="F197" t="s">
        <v>13</v>
      </c>
      <c r="G197" t="s">
        <v>34</v>
      </c>
      <c r="H197" s="2">
        <v>42010.67</v>
      </c>
      <c r="I197">
        <v>2</v>
      </c>
      <c r="J197" s="2">
        <v>11879.89</v>
      </c>
      <c r="K197" s="2"/>
    </row>
    <row r="198" spans="1:11" x14ac:dyDescent="0.3">
      <c r="A198">
        <v>197</v>
      </c>
      <c r="B198" s="1">
        <v>44951</v>
      </c>
      <c r="C198" t="s">
        <v>10</v>
      </c>
      <c r="D198" t="s">
        <v>11</v>
      </c>
      <c r="E198" t="s">
        <v>17</v>
      </c>
      <c r="F198" t="s">
        <v>31</v>
      </c>
      <c r="G198" t="s">
        <v>33</v>
      </c>
      <c r="H198" s="2">
        <v>15486.53</v>
      </c>
      <c r="I198">
        <v>3</v>
      </c>
      <c r="J198" s="2">
        <v>3644.96</v>
      </c>
      <c r="K198" s="2"/>
    </row>
    <row r="199" spans="1:11" x14ac:dyDescent="0.3">
      <c r="A199">
        <v>198</v>
      </c>
      <c r="B199" s="1">
        <v>44962</v>
      </c>
      <c r="C199" t="s">
        <v>35</v>
      </c>
      <c r="D199" t="s">
        <v>36</v>
      </c>
      <c r="E199" t="s">
        <v>20</v>
      </c>
      <c r="F199" t="s">
        <v>13</v>
      </c>
      <c r="G199" t="s">
        <v>34</v>
      </c>
      <c r="H199" s="2">
        <v>30608.400000000001</v>
      </c>
      <c r="I199">
        <v>1</v>
      </c>
      <c r="J199" s="2">
        <v>2635.57</v>
      </c>
      <c r="K199" s="2"/>
    </row>
    <row r="200" spans="1:11" x14ac:dyDescent="0.3">
      <c r="A200">
        <v>199</v>
      </c>
      <c r="B200" s="1">
        <v>45181</v>
      </c>
      <c r="C200" t="s">
        <v>18</v>
      </c>
      <c r="D200" t="s">
        <v>19</v>
      </c>
      <c r="E200" t="s">
        <v>20</v>
      </c>
      <c r="F200" t="s">
        <v>31</v>
      </c>
      <c r="G200" t="s">
        <v>33</v>
      </c>
      <c r="H200" s="2">
        <v>15000.25</v>
      </c>
      <c r="I200">
        <v>1</v>
      </c>
      <c r="J200" s="2">
        <v>3201.7</v>
      </c>
      <c r="K200" s="2"/>
    </row>
    <row r="201" spans="1:11" x14ac:dyDescent="0.3">
      <c r="A201">
        <v>200</v>
      </c>
      <c r="B201" s="1">
        <v>45266</v>
      </c>
      <c r="C201" t="s">
        <v>15</v>
      </c>
      <c r="D201" t="s">
        <v>16</v>
      </c>
      <c r="E201" t="s">
        <v>12</v>
      </c>
      <c r="F201" t="s">
        <v>24</v>
      </c>
      <c r="G201" t="s">
        <v>25</v>
      </c>
      <c r="H201" s="2">
        <v>30584.37</v>
      </c>
      <c r="I201">
        <v>4</v>
      </c>
      <c r="J201" s="2">
        <v>5866.07</v>
      </c>
      <c r="K201" s="2"/>
    </row>
    <row r="202" spans="1:11" x14ac:dyDescent="0.3">
      <c r="A202">
        <v>201</v>
      </c>
      <c r="B202" s="1">
        <v>44995</v>
      </c>
      <c r="C202" t="s">
        <v>30</v>
      </c>
      <c r="D202" t="s">
        <v>16</v>
      </c>
      <c r="E202" t="s">
        <v>17</v>
      </c>
      <c r="F202" t="s">
        <v>24</v>
      </c>
      <c r="G202" t="s">
        <v>29</v>
      </c>
      <c r="H202" s="2">
        <v>2307.9</v>
      </c>
      <c r="I202">
        <v>2</v>
      </c>
      <c r="J202" s="2">
        <v>185.88</v>
      </c>
      <c r="K202" s="2"/>
    </row>
    <row r="203" spans="1:11" x14ac:dyDescent="0.3">
      <c r="A203">
        <v>202</v>
      </c>
      <c r="B203" s="1">
        <v>45210</v>
      </c>
      <c r="C203" t="s">
        <v>15</v>
      </c>
      <c r="D203" t="s">
        <v>16</v>
      </c>
      <c r="E203" t="s">
        <v>12</v>
      </c>
      <c r="F203" t="s">
        <v>24</v>
      </c>
      <c r="G203" t="s">
        <v>28</v>
      </c>
      <c r="H203" s="2">
        <v>46291.49</v>
      </c>
      <c r="I203">
        <v>6</v>
      </c>
      <c r="J203" s="2">
        <v>5632.5</v>
      </c>
      <c r="K203" s="2"/>
    </row>
    <row r="204" spans="1:11" x14ac:dyDescent="0.3">
      <c r="A204">
        <v>203</v>
      </c>
      <c r="B204" s="1">
        <v>44974</v>
      </c>
      <c r="C204" t="s">
        <v>38</v>
      </c>
      <c r="D204" t="s">
        <v>27</v>
      </c>
      <c r="E204" t="s">
        <v>17</v>
      </c>
      <c r="F204" t="s">
        <v>13</v>
      </c>
      <c r="G204" t="s">
        <v>21</v>
      </c>
      <c r="H204" s="2">
        <v>14665.44</v>
      </c>
      <c r="I204">
        <v>7</v>
      </c>
      <c r="J204" s="2">
        <v>2033.06</v>
      </c>
      <c r="K204" s="2"/>
    </row>
    <row r="205" spans="1:11" x14ac:dyDescent="0.3">
      <c r="A205">
        <v>204</v>
      </c>
      <c r="B205" s="1">
        <v>44982</v>
      </c>
      <c r="C205" t="s">
        <v>18</v>
      </c>
      <c r="D205" t="s">
        <v>19</v>
      </c>
      <c r="E205" t="s">
        <v>20</v>
      </c>
      <c r="F205" t="s">
        <v>24</v>
      </c>
      <c r="G205" t="s">
        <v>25</v>
      </c>
      <c r="H205" s="2">
        <v>29742</v>
      </c>
      <c r="I205">
        <v>1</v>
      </c>
      <c r="J205" s="2">
        <v>5975.9</v>
      </c>
      <c r="K205" s="2"/>
    </row>
    <row r="206" spans="1:11" x14ac:dyDescent="0.3">
      <c r="A206">
        <v>205</v>
      </c>
      <c r="B206" s="1">
        <v>44955</v>
      </c>
      <c r="C206" t="s">
        <v>15</v>
      </c>
      <c r="D206" t="s">
        <v>16</v>
      </c>
      <c r="E206" t="s">
        <v>20</v>
      </c>
      <c r="F206" t="s">
        <v>13</v>
      </c>
      <c r="G206" t="s">
        <v>34</v>
      </c>
      <c r="H206" s="2">
        <v>35349.51</v>
      </c>
      <c r="I206">
        <v>4</v>
      </c>
      <c r="J206" s="2">
        <v>10510.77</v>
      </c>
      <c r="K206" s="2"/>
    </row>
    <row r="207" spans="1:11" x14ac:dyDescent="0.3">
      <c r="A207">
        <v>206</v>
      </c>
      <c r="B207" s="1">
        <v>45253</v>
      </c>
      <c r="C207" t="s">
        <v>26</v>
      </c>
      <c r="D207" t="s">
        <v>27</v>
      </c>
      <c r="E207" t="s">
        <v>12</v>
      </c>
      <c r="F207" t="s">
        <v>13</v>
      </c>
      <c r="G207" t="s">
        <v>14</v>
      </c>
      <c r="H207" s="2">
        <v>25985.13</v>
      </c>
      <c r="I207">
        <v>6</v>
      </c>
      <c r="J207" s="2">
        <v>2350.9299999999998</v>
      </c>
      <c r="K207" s="2"/>
    </row>
    <row r="208" spans="1:11" x14ac:dyDescent="0.3">
      <c r="A208">
        <v>207</v>
      </c>
      <c r="B208" s="1">
        <v>45156</v>
      </c>
      <c r="C208" t="s">
        <v>30</v>
      </c>
      <c r="D208" t="s">
        <v>16</v>
      </c>
      <c r="E208" t="s">
        <v>17</v>
      </c>
      <c r="F208" t="s">
        <v>24</v>
      </c>
      <c r="G208" t="s">
        <v>25</v>
      </c>
      <c r="H208" s="2">
        <v>42832.639999999999</v>
      </c>
      <c r="I208">
        <v>7</v>
      </c>
      <c r="J208" s="2">
        <v>9063.49</v>
      </c>
      <c r="K208" s="2"/>
    </row>
    <row r="209" spans="1:11" x14ac:dyDescent="0.3">
      <c r="A209">
        <v>208</v>
      </c>
      <c r="B209" s="1">
        <v>45079</v>
      </c>
      <c r="C209" t="s">
        <v>37</v>
      </c>
      <c r="D209" t="s">
        <v>27</v>
      </c>
      <c r="E209" t="s">
        <v>12</v>
      </c>
      <c r="F209" t="s">
        <v>31</v>
      </c>
      <c r="G209" t="s">
        <v>32</v>
      </c>
      <c r="H209" s="2">
        <v>22629.8</v>
      </c>
      <c r="I209">
        <v>9</v>
      </c>
      <c r="J209" s="2">
        <v>6097.6</v>
      </c>
      <c r="K209" s="2"/>
    </row>
    <row r="210" spans="1:11" x14ac:dyDescent="0.3">
      <c r="A210">
        <v>209</v>
      </c>
      <c r="B210" s="1">
        <v>45030</v>
      </c>
      <c r="C210" t="s">
        <v>22</v>
      </c>
      <c r="D210" t="s">
        <v>22</v>
      </c>
      <c r="E210" t="s">
        <v>17</v>
      </c>
      <c r="F210" t="s">
        <v>13</v>
      </c>
      <c r="G210" t="s">
        <v>34</v>
      </c>
      <c r="H210" s="2">
        <v>13679.99</v>
      </c>
      <c r="I210">
        <v>6</v>
      </c>
      <c r="J210" s="2">
        <v>3823.09</v>
      </c>
      <c r="K210" s="2"/>
    </row>
    <row r="211" spans="1:11" x14ac:dyDescent="0.3">
      <c r="A211">
        <v>210</v>
      </c>
      <c r="B211" s="1">
        <v>45183</v>
      </c>
      <c r="C211" t="s">
        <v>15</v>
      </c>
      <c r="D211" t="s">
        <v>16</v>
      </c>
      <c r="E211" t="s">
        <v>20</v>
      </c>
      <c r="F211" t="s">
        <v>24</v>
      </c>
      <c r="G211" t="s">
        <v>28</v>
      </c>
      <c r="H211" s="2">
        <v>36043.949999999997</v>
      </c>
      <c r="I211">
        <v>8</v>
      </c>
      <c r="J211" s="2">
        <v>5946.66</v>
      </c>
      <c r="K211" s="2"/>
    </row>
    <row r="212" spans="1:11" x14ac:dyDescent="0.3">
      <c r="A212">
        <v>211</v>
      </c>
      <c r="B212" s="1">
        <v>45220</v>
      </c>
      <c r="C212" t="s">
        <v>18</v>
      </c>
      <c r="D212" t="s">
        <v>19</v>
      </c>
      <c r="E212" t="s">
        <v>20</v>
      </c>
      <c r="F212" t="s">
        <v>31</v>
      </c>
      <c r="G212" t="s">
        <v>33</v>
      </c>
      <c r="H212" s="2">
        <v>8717.0400000000009</v>
      </c>
      <c r="I212">
        <v>7</v>
      </c>
      <c r="J212" s="2">
        <v>550.32000000000005</v>
      </c>
      <c r="K212" s="2"/>
    </row>
    <row r="213" spans="1:11" x14ac:dyDescent="0.3">
      <c r="A213">
        <v>212</v>
      </c>
      <c r="B213" s="1">
        <v>45238</v>
      </c>
      <c r="C213" t="s">
        <v>15</v>
      </c>
      <c r="D213" t="s">
        <v>16</v>
      </c>
      <c r="E213" t="s">
        <v>12</v>
      </c>
      <c r="F213" t="s">
        <v>24</v>
      </c>
      <c r="G213" t="s">
        <v>28</v>
      </c>
      <c r="H213" s="2">
        <v>49857.23</v>
      </c>
      <c r="I213">
        <v>1</v>
      </c>
      <c r="J213" s="2">
        <v>9642.2000000000007</v>
      </c>
      <c r="K213" s="2"/>
    </row>
    <row r="214" spans="1:11" x14ac:dyDescent="0.3">
      <c r="A214">
        <v>213</v>
      </c>
      <c r="B214" s="1">
        <v>45287</v>
      </c>
      <c r="C214" t="s">
        <v>30</v>
      </c>
      <c r="D214" t="s">
        <v>16</v>
      </c>
      <c r="E214" t="s">
        <v>17</v>
      </c>
      <c r="F214" t="s">
        <v>13</v>
      </c>
      <c r="G214" t="s">
        <v>14</v>
      </c>
      <c r="H214" s="2">
        <v>11971.17</v>
      </c>
      <c r="I214">
        <v>4</v>
      </c>
      <c r="J214" s="2">
        <v>2338.79</v>
      </c>
      <c r="K214" s="2"/>
    </row>
    <row r="215" spans="1:11" x14ac:dyDescent="0.3">
      <c r="A215">
        <v>214</v>
      </c>
      <c r="B215" s="1">
        <v>45252</v>
      </c>
      <c r="C215" t="s">
        <v>10</v>
      </c>
      <c r="D215" t="s">
        <v>11</v>
      </c>
      <c r="E215" t="s">
        <v>12</v>
      </c>
      <c r="F215" t="s">
        <v>13</v>
      </c>
      <c r="G215" t="s">
        <v>14</v>
      </c>
      <c r="H215" s="2">
        <v>35720.53</v>
      </c>
      <c r="I215">
        <v>2</v>
      </c>
      <c r="J215" s="2">
        <v>7171.98</v>
      </c>
      <c r="K215" s="2"/>
    </row>
    <row r="216" spans="1:11" x14ac:dyDescent="0.3">
      <c r="A216">
        <v>215</v>
      </c>
      <c r="B216" s="1">
        <v>45167</v>
      </c>
      <c r="C216" t="s">
        <v>10</v>
      </c>
      <c r="D216" t="s">
        <v>11</v>
      </c>
      <c r="E216" t="s">
        <v>17</v>
      </c>
      <c r="F216" t="s">
        <v>13</v>
      </c>
      <c r="G216" t="s">
        <v>21</v>
      </c>
      <c r="H216" s="2">
        <v>15091</v>
      </c>
      <c r="I216">
        <v>10</v>
      </c>
      <c r="J216" s="2">
        <v>4408.8599999999997</v>
      </c>
      <c r="K216" s="2"/>
    </row>
    <row r="217" spans="1:11" x14ac:dyDescent="0.3">
      <c r="A217">
        <v>216</v>
      </c>
      <c r="B217" s="1">
        <v>45142</v>
      </c>
      <c r="C217" t="s">
        <v>38</v>
      </c>
      <c r="D217" t="s">
        <v>27</v>
      </c>
      <c r="E217" t="s">
        <v>20</v>
      </c>
      <c r="F217" t="s">
        <v>13</v>
      </c>
      <c r="G217" t="s">
        <v>21</v>
      </c>
      <c r="H217" s="2">
        <v>1464.91</v>
      </c>
      <c r="I217">
        <v>2</v>
      </c>
      <c r="J217" s="2">
        <v>166.33</v>
      </c>
      <c r="K217" s="2"/>
    </row>
    <row r="218" spans="1:11" x14ac:dyDescent="0.3">
      <c r="A218">
        <v>217</v>
      </c>
      <c r="B218" s="1">
        <v>45057</v>
      </c>
      <c r="C218" t="s">
        <v>38</v>
      </c>
      <c r="D218" t="s">
        <v>27</v>
      </c>
      <c r="E218" t="s">
        <v>20</v>
      </c>
      <c r="F218" t="s">
        <v>13</v>
      </c>
      <c r="G218" t="s">
        <v>14</v>
      </c>
      <c r="H218" s="2">
        <v>20871</v>
      </c>
      <c r="I218">
        <v>6</v>
      </c>
      <c r="J218" s="2">
        <v>1123.25</v>
      </c>
      <c r="K218" s="2"/>
    </row>
    <row r="219" spans="1:11" x14ac:dyDescent="0.3">
      <c r="A219">
        <v>218</v>
      </c>
      <c r="B219" s="1">
        <v>45060</v>
      </c>
      <c r="C219" t="s">
        <v>10</v>
      </c>
      <c r="D219" t="s">
        <v>11</v>
      </c>
      <c r="E219" t="s">
        <v>12</v>
      </c>
      <c r="F219" t="s">
        <v>31</v>
      </c>
      <c r="G219" t="s">
        <v>39</v>
      </c>
      <c r="H219" s="2">
        <v>16475.830000000002</v>
      </c>
      <c r="I219">
        <v>3</v>
      </c>
      <c r="J219" s="2">
        <v>2544.4499999999998</v>
      </c>
      <c r="K219" s="2"/>
    </row>
    <row r="220" spans="1:11" x14ac:dyDescent="0.3">
      <c r="A220">
        <v>219</v>
      </c>
      <c r="B220" s="1">
        <v>45166</v>
      </c>
      <c r="C220" t="s">
        <v>15</v>
      </c>
      <c r="D220" t="s">
        <v>16</v>
      </c>
      <c r="E220" t="s">
        <v>17</v>
      </c>
      <c r="F220" t="s">
        <v>13</v>
      </c>
      <c r="G220" t="s">
        <v>21</v>
      </c>
      <c r="H220" s="2">
        <v>40284</v>
      </c>
      <c r="I220">
        <v>5</v>
      </c>
      <c r="J220" s="2">
        <v>10032.85</v>
      </c>
      <c r="K220" s="2"/>
    </row>
    <row r="221" spans="1:11" x14ac:dyDescent="0.3">
      <c r="A221">
        <v>220</v>
      </c>
      <c r="B221" s="1">
        <v>45188</v>
      </c>
      <c r="C221" t="s">
        <v>35</v>
      </c>
      <c r="D221" t="s">
        <v>36</v>
      </c>
      <c r="E221" t="s">
        <v>12</v>
      </c>
      <c r="F221" t="s">
        <v>13</v>
      </c>
      <c r="G221" t="s">
        <v>14</v>
      </c>
      <c r="H221" s="2">
        <v>8686.2199999999993</v>
      </c>
      <c r="I221">
        <v>2</v>
      </c>
      <c r="J221" s="2">
        <v>929.05</v>
      </c>
      <c r="K221" s="2"/>
    </row>
    <row r="222" spans="1:11" x14ac:dyDescent="0.3">
      <c r="A222">
        <v>221</v>
      </c>
      <c r="B222" s="1">
        <v>44991</v>
      </c>
      <c r="C222" t="s">
        <v>37</v>
      </c>
      <c r="D222" t="s">
        <v>27</v>
      </c>
      <c r="E222" t="s">
        <v>17</v>
      </c>
      <c r="F222" t="s">
        <v>24</v>
      </c>
      <c r="G222" t="s">
        <v>25</v>
      </c>
      <c r="H222" s="2">
        <v>6913.56</v>
      </c>
      <c r="I222">
        <v>3</v>
      </c>
      <c r="J222" s="2">
        <v>1983.12</v>
      </c>
      <c r="K222" s="2"/>
    </row>
    <row r="223" spans="1:11" x14ac:dyDescent="0.3">
      <c r="A223">
        <v>222</v>
      </c>
      <c r="B223" s="1">
        <v>45022</v>
      </c>
      <c r="C223" t="s">
        <v>22</v>
      </c>
      <c r="D223" t="s">
        <v>22</v>
      </c>
      <c r="E223" t="s">
        <v>20</v>
      </c>
      <c r="F223" t="s">
        <v>24</v>
      </c>
      <c r="G223" t="s">
        <v>28</v>
      </c>
      <c r="H223" s="2">
        <v>37149.339999999997</v>
      </c>
      <c r="I223">
        <v>10</v>
      </c>
      <c r="J223" s="2">
        <v>10843.22</v>
      </c>
      <c r="K223" s="2"/>
    </row>
    <row r="224" spans="1:11" x14ac:dyDescent="0.3">
      <c r="A224">
        <v>223</v>
      </c>
      <c r="B224" s="1">
        <v>45146</v>
      </c>
      <c r="C224" t="s">
        <v>26</v>
      </c>
      <c r="D224" t="s">
        <v>27</v>
      </c>
      <c r="E224" t="s">
        <v>20</v>
      </c>
      <c r="F224" t="s">
        <v>13</v>
      </c>
      <c r="G224" t="s">
        <v>34</v>
      </c>
      <c r="H224" s="2">
        <v>16640.29</v>
      </c>
      <c r="I224">
        <v>3</v>
      </c>
      <c r="J224" s="2">
        <v>1393.49</v>
      </c>
      <c r="K224" s="2"/>
    </row>
    <row r="225" spans="1:11" x14ac:dyDescent="0.3">
      <c r="A225">
        <v>224</v>
      </c>
      <c r="B225" s="1">
        <v>44939</v>
      </c>
      <c r="C225" t="s">
        <v>10</v>
      </c>
      <c r="D225" t="s">
        <v>11</v>
      </c>
      <c r="E225" t="s">
        <v>12</v>
      </c>
      <c r="F225" t="s">
        <v>24</v>
      </c>
      <c r="G225" t="s">
        <v>28</v>
      </c>
      <c r="H225" s="2">
        <v>21947.32</v>
      </c>
      <c r="I225">
        <v>3</v>
      </c>
      <c r="J225" s="2">
        <v>6382.79</v>
      </c>
      <c r="K225" s="2"/>
    </row>
    <row r="226" spans="1:11" x14ac:dyDescent="0.3">
      <c r="A226">
        <v>225</v>
      </c>
      <c r="B226" s="1">
        <v>44957</v>
      </c>
      <c r="C226" t="s">
        <v>10</v>
      </c>
      <c r="D226" t="s">
        <v>11</v>
      </c>
      <c r="E226" t="s">
        <v>17</v>
      </c>
      <c r="F226" t="s">
        <v>31</v>
      </c>
      <c r="G226" t="s">
        <v>39</v>
      </c>
      <c r="H226" s="2">
        <v>24075.200000000001</v>
      </c>
      <c r="I226">
        <v>10</v>
      </c>
      <c r="J226" s="2">
        <v>5340.35</v>
      </c>
      <c r="K226" s="2"/>
    </row>
    <row r="227" spans="1:11" x14ac:dyDescent="0.3">
      <c r="A227">
        <v>226</v>
      </c>
      <c r="B227" s="1">
        <v>44969</v>
      </c>
      <c r="C227" t="s">
        <v>26</v>
      </c>
      <c r="D227" t="s">
        <v>27</v>
      </c>
      <c r="E227" t="s">
        <v>12</v>
      </c>
      <c r="F227" t="s">
        <v>24</v>
      </c>
      <c r="G227" t="s">
        <v>25</v>
      </c>
      <c r="H227" s="2">
        <v>44542.65</v>
      </c>
      <c r="I227">
        <v>6</v>
      </c>
      <c r="J227" s="2">
        <v>12094.77</v>
      </c>
      <c r="K227" s="2"/>
    </row>
    <row r="228" spans="1:11" x14ac:dyDescent="0.3">
      <c r="A228">
        <v>227</v>
      </c>
      <c r="B228" s="1">
        <v>44927</v>
      </c>
      <c r="C228" t="s">
        <v>35</v>
      </c>
      <c r="D228" t="s">
        <v>36</v>
      </c>
      <c r="E228" t="s">
        <v>17</v>
      </c>
      <c r="F228" t="s">
        <v>31</v>
      </c>
      <c r="G228" t="s">
        <v>39</v>
      </c>
      <c r="H228" s="2">
        <v>42137.27</v>
      </c>
      <c r="I228">
        <v>5</v>
      </c>
      <c r="J228" s="2">
        <v>5097.54</v>
      </c>
      <c r="K228" s="2"/>
    </row>
    <row r="229" spans="1:11" x14ac:dyDescent="0.3">
      <c r="A229">
        <v>228</v>
      </c>
      <c r="B229" s="1">
        <v>45121</v>
      </c>
      <c r="C229" t="s">
        <v>30</v>
      </c>
      <c r="D229" t="s">
        <v>16</v>
      </c>
      <c r="E229" t="s">
        <v>20</v>
      </c>
      <c r="F229" t="s">
        <v>31</v>
      </c>
      <c r="G229" t="s">
        <v>33</v>
      </c>
      <c r="H229" s="2">
        <v>33630.86</v>
      </c>
      <c r="I229">
        <v>5</v>
      </c>
      <c r="J229" s="2">
        <v>2900.81</v>
      </c>
      <c r="K229" s="2"/>
    </row>
    <row r="230" spans="1:11" x14ac:dyDescent="0.3">
      <c r="A230">
        <v>229</v>
      </c>
      <c r="B230" s="1">
        <v>45263</v>
      </c>
      <c r="C230" t="s">
        <v>35</v>
      </c>
      <c r="D230" t="s">
        <v>36</v>
      </c>
      <c r="E230" t="s">
        <v>20</v>
      </c>
      <c r="F230" t="s">
        <v>24</v>
      </c>
      <c r="G230" t="s">
        <v>28</v>
      </c>
      <c r="H230" s="2">
        <v>1156.72</v>
      </c>
      <c r="I230">
        <v>2</v>
      </c>
      <c r="J230" s="2">
        <v>281.39</v>
      </c>
      <c r="K230" s="2"/>
    </row>
    <row r="231" spans="1:11" x14ac:dyDescent="0.3">
      <c r="A231">
        <v>230</v>
      </c>
      <c r="B231" s="1">
        <v>45163</v>
      </c>
      <c r="C231" t="s">
        <v>26</v>
      </c>
      <c r="D231" t="s">
        <v>27</v>
      </c>
      <c r="E231" t="s">
        <v>12</v>
      </c>
      <c r="F231" t="s">
        <v>13</v>
      </c>
      <c r="G231" t="s">
        <v>21</v>
      </c>
      <c r="H231" s="2">
        <v>28988.87</v>
      </c>
      <c r="I231">
        <v>4</v>
      </c>
      <c r="J231" s="2">
        <v>8348.4500000000007</v>
      </c>
      <c r="K231" s="2"/>
    </row>
    <row r="232" spans="1:11" x14ac:dyDescent="0.3">
      <c r="A232">
        <v>231</v>
      </c>
      <c r="B232" s="1">
        <v>45227</v>
      </c>
      <c r="C232" t="s">
        <v>10</v>
      </c>
      <c r="D232" t="s">
        <v>11</v>
      </c>
      <c r="E232" t="s">
        <v>17</v>
      </c>
      <c r="F232" t="s">
        <v>24</v>
      </c>
      <c r="G232" t="s">
        <v>28</v>
      </c>
      <c r="H232" s="2">
        <v>40961.07</v>
      </c>
      <c r="I232">
        <v>7</v>
      </c>
      <c r="J232" s="2">
        <v>11511.53</v>
      </c>
      <c r="K232" s="2"/>
    </row>
    <row r="233" spans="1:11" x14ac:dyDescent="0.3">
      <c r="A233">
        <v>232</v>
      </c>
      <c r="B233" s="1">
        <v>45215</v>
      </c>
      <c r="C233" t="s">
        <v>10</v>
      </c>
      <c r="D233" t="s">
        <v>11</v>
      </c>
      <c r="E233" t="s">
        <v>12</v>
      </c>
      <c r="F233" t="s">
        <v>31</v>
      </c>
      <c r="G233" t="s">
        <v>32</v>
      </c>
      <c r="H233" s="2">
        <v>44103.15</v>
      </c>
      <c r="I233">
        <v>8</v>
      </c>
      <c r="J233" s="2">
        <v>7622.06</v>
      </c>
      <c r="K233" s="2"/>
    </row>
    <row r="234" spans="1:11" x14ac:dyDescent="0.3">
      <c r="A234">
        <v>233</v>
      </c>
      <c r="B234" s="1">
        <v>45205</v>
      </c>
      <c r="C234" t="s">
        <v>30</v>
      </c>
      <c r="D234" t="s">
        <v>16</v>
      </c>
      <c r="E234" t="s">
        <v>17</v>
      </c>
      <c r="F234" t="s">
        <v>24</v>
      </c>
      <c r="G234" t="s">
        <v>28</v>
      </c>
      <c r="H234" s="2">
        <v>40991.879999999997</v>
      </c>
      <c r="I234">
        <v>3</v>
      </c>
      <c r="J234" s="2">
        <v>10571.44</v>
      </c>
      <c r="K234" s="2"/>
    </row>
    <row r="235" spans="1:11" x14ac:dyDescent="0.3">
      <c r="A235">
        <v>234</v>
      </c>
      <c r="B235" s="1">
        <v>45094</v>
      </c>
      <c r="C235" t="s">
        <v>37</v>
      </c>
      <c r="D235" t="s">
        <v>27</v>
      </c>
      <c r="E235" t="s">
        <v>20</v>
      </c>
      <c r="F235" t="s">
        <v>31</v>
      </c>
      <c r="G235" t="s">
        <v>32</v>
      </c>
      <c r="H235" s="2">
        <v>22770.06</v>
      </c>
      <c r="I235">
        <v>9</v>
      </c>
      <c r="J235" s="2">
        <v>3327.09</v>
      </c>
      <c r="K235" s="2"/>
    </row>
    <row r="236" spans="1:11" x14ac:dyDescent="0.3">
      <c r="A236">
        <v>235</v>
      </c>
      <c r="B236" s="1">
        <v>45133</v>
      </c>
      <c r="C236" t="s">
        <v>26</v>
      </c>
      <c r="D236" t="s">
        <v>27</v>
      </c>
      <c r="E236" t="s">
        <v>20</v>
      </c>
      <c r="F236" t="s">
        <v>31</v>
      </c>
      <c r="G236" t="s">
        <v>33</v>
      </c>
      <c r="H236" s="2">
        <v>32866.050000000003</v>
      </c>
      <c r="I236">
        <v>5</v>
      </c>
      <c r="J236" s="2">
        <v>7169.07</v>
      </c>
      <c r="K236" s="2"/>
    </row>
    <row r="237" spans="1:11" x14ac:dyDescent="0.3">
      <c r="A237">
        <v>236</v>
      </c>
      <c r="B237" s="1">
        <v>45158</v>
      </c>
      <c r="C237" t="s">
        <v>37</v>
      </c>
      <c r="D237" t="s">
        <v>27</v>
      </c>
      <c r="E237" t="s">
        <v>12</v>
      </c>
      <c r="F237" t="s">
        <v>31</v>
      </c>
      <c r="G237" t="s">
        <v>32</v>
      </c>
      <c r="H237" s="2">
        <v>10663.17</v>
      </c>
      <c r="I237">
        <v>2</v>
      </c>
      <c r="J237" s="2">
        <v>2411.1799999999998</v>
      </c>
      <c r="K237" s="2"/>
    </row>
    <row r="238" spans="1:11" x14ac:dyDescent="0.3">
      <c r="A238">
        <v>237</v>
      </c>
      <c r="B238" s="1">
        <v>45067</v>
      </c>
      <c r="C238" t="s">
        <v>35</v>
      </c>
      <c r="D238" t="s">
        <v>36</v>
      </c>
      <c r="E238" t="s">
        <v>17</v>
      </c>
      <c r="F238" t="s">
        <v>31</v>
      </c>
      <c r="G238" t="s">
        <v>39</v>
      </c>
      <c r="H238" s="2">
        <v>25820.27</v>
      </c>
      <c r="I238">
        <v>6</v>
      </c>
      <c r="J238" s="2">
        <v>1912.88</v>
      </c>
      <c r="K238" s="2"/>
    </row>
    <row r="239" spans="1:11" x14ac:dyDescent="0.3">
      <c r="A239">
        <v>238</v>
      </c>
      <c r="B239" s="1">
        <v>44941</v>
      </c>
      <c r="C239" t="s">
        <v>15</v>
      </c>
      <c r="D239" t="s">
        <v>16</v>
      </c>
      <c r="E239" t="s">
        <v>12</v>
      </c>
      <c r="F239" t="s">
        <v>31</v>
      </c>
      <c r="G239" t="s">
        <v>32</v>
      </c>
      <c r="H239" s="2">
        <v>18390.77</v>
      </c>
      <c r="I239">
        <v>10</v>
      </c>
      <c r="J239" s="2">
        <v>2737.63</v>
      </c>
      <c r="K239" s="2"/>
    </row>
    <row r="240" spans="1:11" x14ac:dyDescent="0.3">
      <c r="A240">
        <v>239</v>
      </c>
      <c r="B240" s="1">
        <v>44947</v>
      </c>
      <c r="C240" t="s">
        <v>37</v>
      </c>
      <c r="D240" t="s">
        <v>27</v>
      </c>
      <c r="E240" t="s">
        <v>17</v>
      </c>
      <c r="F240" t="s">
        <v>24</v>
      </c>
      <c r="G240" t="s">
        <v>25</v>
      </c>
      <c r="H240" s="2">
        <v>9511</v>
      </c>
      <c r="I240">
        <v>2</v>
      </c>
      <c r="J240" s="2">
        <v>1162.99</v>
      </c>
      <c r="K240" s="2"/>
    </row>
    <row r="241" spans="1:11" x14ac:dyDescent="0.3">
      <c r="A241">
        <v>240</v>
      </c>
      <c r="B241" s="1">
        <v>45001</v>
      </c>
      <c r="C241" t="s">
        <v>10</v>
      </c>
      <c r="D241" t="s">
        <v>11</v>
      </c>
      <c r="E241" t="s">
        <v>20</v>
      </c>
      <c r="F241" t="s">
        <v>13</v>
      </c>
      <c r="G241" t="s">
        <v>21</v>
      </c>
      <c r="H241" s="2">
        <v>36211.370000000003</v>
      </c>
      <c r="I241">
        <v>6</v>
      </c>
      <c r="J241" s="2">
        <v>7076.58</v>
      </c>
      <c r="K241" s="2"/>
    </row>
    <row r="242" spans="1:11" x14ac:dyDescent="0.3">
      <c r="A242">
        <v>241</v>
      </c>
      <c r="B242" s="1">
        <v>45034</v>
      </c>
      <c r="C242" t="s">
        <v>15</v>
      </c>
      <c r="D242" t="s">
        <v>16</v>
      </c>
      <c r="E242" t="s">
        <v>20</v>
      </c>
      <c r="F242" t="s">
        <v>13</v>
      </c>
      <c r="G242" t="s">
        <v>21</v>
      </c>
      <c r="H242" s="2">
        <v>38204.660000000003</v>
      </c>
      <c r="I242">
        <v>1</v>
      </c>
      <c r="J242" s="2">
        <v>10074.93</v>
      </c>
      <c r="K242" s="2"/>
    </row>
    <row r="243" spans="1:11" x14ac:dyDescent="0.3">
      <c r="A243">
        <v>242</v>
      </c>
      <c r="B243" s="1">
        <v>44930</v>
      </c>
      <c r="C243" t="s">
        <v>38</v>
      </c>
      <c r="D243" t="s">
        <v>27</v>
      </c>
      <c r="E243" t="s">
        <v>12</v>
      </c>
      <c r="F243" t="s">
        <v>24</v>
      </c>
      <c r="G243" t="s">
        <v>25</v>
      </c>
      <c r="H243" s="2">
        <v>40939.94</v>
      </c>
      <c r="I243">
        <v>7</v>
      </c>
      <c r="J243" s="2">
        <v>7280.08</v>
      </c>
      <c r="K243" s="2"/>
    </row>
    <row r="244" spans="1:11" x14ac:dyDescent="0.3">
      <c r="A244">
        <v>243</v>
      </c>
      <c r="B244" s="1">
        <v>45019</v>
      </c>
      <c r="C244" t="s">
        <v>22</v>
      </c>
      <c r="D244" t="s">
        <v>22</v>
      </c>
      <c r="E244" t="s">
        <v>17</v>
      </c>
      <c r="F244" t="s">
        <v>24</v>
      </c>
      <c r="G244" t="s">
        <v>29</v>
      </c>
      <c r="H244" s="2">
        <v>26046.11</v>
      </c>
      <c r="I244">
        <v>2</v>
      </c>
      <c r="J244" s="2">
        <v>3289.52</v>
      </c>
      <c r="K244" s="2"/>
    </row>
    <row r="245" spans="1:11" x14ac:dyDescent="0.3">
      <c r="A245">
        <v>244</v>
      </c>
      <c r="B245" s="1">
        <v>45000</v>
      </c>
      <c r="C245" t="s">
        <v>26</v>
      </c>
      <c r="D245" t="s">
        <v>27</v>
      </c>
      <c r="E245" t="s">
        <v>12</v>
      </c>
      <c r="F245" t="s">
        <v>31</v>
      </c>
      <c r="G245" t="s">
        <v>33</v>
      </c>
      <c r="H245" s="2">
        <v>40691.96</v>
      </c>
      <c r="I245">
        <v>4</v>
      </c>
      <c r="J245" s="2">
        <v>2624.84</v>
      </c>
      <c r="K245" s="2"/>
    </row>
    <row r="246" spans="1:11" x14ac:dyDescent="0.3">
      <c r="A246">
        <v>245</v>
      </c>
      <c r="B246" s="1">
        <v>45053</v>
      </c>
      <c r="C246" t="s">
        <v>22</v>
      </c>
      <c r="D246" t="s">
        <v>22</v>
      </c>
      <c r="E246" t="s">
        <v>17</v>
      </c>
      <c r="F246" t="s">
        <v>24</v>
      </c>
      <c r="G246" t="s">
        <v>29</v>
      </c>
      <c r="H246" s="2">
        <v>49598.16</v>
      </c>
      <c r="I246">
        <v>2</v>
      </c>
      <c r="J246" s="2">
        <v>8746.65</v>
      </c>
      <c r="K246" s="2"/>
    </row>
    <row r="247" spans="1:11" x14ac:dyDescent="0.3">
      <c r="A247">
        <v>246</v>
      </c>
      <c r="B247" s="1">
        <v>45088</v>
      </c>
      <c r="C247" t="s">
        <v>26</v>
      </c>
      <c r="D247" t="s">
        <v>27</v>
      </c>
      <c r="E247" t="s">
        <v>20</v>
      </c>
      <c r="F247" t="s">
        <v>24</v>
      </c>
      <c r="G247" t="s">
        <v>25</v>
      </c>
      <c r="H247" s="2">
        <v>13177.69</v>
      </c>
      <c r="I247">
        <v>2</v>
      </c>
      <c r="J247" s="2">
        <v>1536.55</v>
      </c>
      <c r="K247" s="2"/>
    </row>
    <row r="248" spans="1:11" x14ac:dyDescent="0.3">
      <c r="A248">
        <v>247</v>
      </c>
      <c r="B248" s="1">
        <v>45204</v>
      </c>
      <c r="C248" t="s">
        <v>38</v>
      </c>
      <c r="D248" t="s">
        <v>27</v>
      </c>
      <c r="E248" t="s">
        <v>20</v>
      </c>
      <c r="F248" t="s">
        <v>13</v>
      </c>
      <c r="G248" t="s">
        <v>21</v>
      </c>
      <c r="H248" s="2">
        <v>25816.6</v>
      </c>
      <c r="I248">
        <v>1</v>
      </c>
      <c r="J248" s="2">
        <v>6376.67</v>
      </c>
      <c r="K248" s="2"/>
    </row>
    <row r="249" spans="1:11" x14ac:dyDescent="0.3">
      <c r="A249">
        <v>248</v>
      </c>
      <c r="B249" s="1">
        <v>44981</v>
      </c>
      <c r="C249" t="s">
        <v>26</v>
      </c>
      <c r="D249" t="s">
        <v>27</v>
      </c>
      <c r="E249" t="s">
        <v>12</v>
      </c>
      <c r="F249" t="s">
        <v>13</v>
      </c>
      <c r="G249" t="s">
        <v>34</v>
      </c>
      <c r="H249" s="2">
        <v>4142.42</v>
      </c>
      <c r="I249">
        <v>7</v>
      </c>
      <c r="J249" s="2">
        <v>987.96</v>
      </c>
      <c r="K249" s="2"/>
    </row>
    <row r="250" spans="1:11" x14ac:dyDescent="0.3">
      <c r="A250">
        <v>249</v>
      </c>
      <c r="B250" s="1">
        <v>45149</v>
      </c>
      <c r="C250" t="s">
        <v>26</v>
      </c>
      <c r="D250" t="s">
        <v>27</v>
      </c>
      <c r="E250" t="s">
        <v>17</v>
      </c>
      <c r="F250" t="s">
        <v>13</v>
      </c>
      <c r="G250" t="s">
        <v>34</v>
      </c>
      <c r="H250" s="2">
        <v>48741.85</v>
      </c>
      <c r="I250">
        <v>2</v>
      </c>
      <c r="J250" s="2">
        <v>6991.38</v>
      </c>
      <c r="K250" s="2"/>
    </row>
    <row r="251" spans="1:11" x14ac:dyDescent="0.3">
      <c r="A251">
        <v>250</v>
      </c>
      <c r="B251" s="1">
        <v>45268</v>
      </c>
      <c r="C251" t="s">
        <v>30</v>
      </c>
      <c r="D251" t="s">
        <v>16</v>
      </c>
      <c r="E251" t="s">
        <v>12</v>
      </c>
      <c r="F251" t="s">
        <v>13</v>
      </c>
      <c r="G251" t="s">
        <v>34</v>
      </c>
      <c r="H251" s="2">
        <v>22157.78</v>
      </c>
      <c r="I251">
        <v>2</v>
      </c>
      <c r="J251" s="2">
        <v>4517.67</v>
      </c>
      <c r="K251" s="2"/>
    </row>
    <row r="252" spans="1:11" x14ac:dyDescent="0.3">
      <c r="A252">
        <v>251</v>
      </c>
      <c r="B252" s="1">
        <v>45094</v>
      </c>
      <c r="C252" t="s">
        <v>15</v>
      </c>
      <c r="D252" t="s">
        <v>16</v>
      </c>
      <c r="E252" t="s">
        <v>17</v>
      </c>
      <c r="F252" t="s">
        <v>24</v>
      </c>
      <c r="G252" t="s">
        <v>25</v>
      </c>
      <c r="H252" s="2">
        <v>17751.919999999998</v>
      </c>
      <c r="I252">
        <v>7</v>
      </c>
      <c r="J252" s="2">
        <v>4931.21</v>
      </c>
      <c r="K252" s="2"/>
    </row>
    <row r="253" spans="1:11" x14ac:dyDescent="0.3">
      <c r="A253">
        <v>252</v>
      </c>
      <c r="B253" s="1">
        <v>45011</v>
      </c>
      <c r="C253" t="s">
        <v>38</v>
      </c>
      <c r="D253" t="s">
        <v>27</v>
      </c>
      <c r="E253" t="s">
        <v>20</v>
      </c>
      <c r="F253" t="s">
        <v>31</v>
      </c>
      <c r="G253" t="s">
        <v>39</v>
      </c>
      <c r="H253" s="2">
        <v>11067.21</v>
      </c>
      <c r="I253">
        <v>3</v>
      </c>
      <c r="J253" s="2">
        <v>2057.92</v>
      </c>
      <c r="K253" s="2"/>
    </row>
    <row r="254" spans="1:11" x14ac:dyDescent="0.3">
      <c r="A254">
        <v>253</v>
      </c>
      <c r="B254" s="1">
        <v>45131</v>
      </c>
      <c r="C254" t="s">
        <v>38</v>
      </c>
      <c r="D254" t="s">
        <v>27</v>
      </c>
      <c r="E254" t="s">
        <v>20</v>
      </c>
      <c r="F254" t="s">
        <v>24</v>
      </c>
      <c r="G254" t="s">
        <v>29</v>
      </c>
      <c r="H254" s="2">
        <v>13954.05</v>
      </c>
      <c r="I254">
        <v>10</v>
      </c>
      <c r="J254" s="2">
        <v>3139.56</v>
      </c>
      <c r="K254" s="2"/>
    </row>
    <row r="255" spans="1:11" x14ac:dyDescent="0.3">
      <c r="A255">
        <v>254</v>
      </c>
      <c r="B255" s="1">
        <v>44976</v>
      </c>
      <c r="C255" t="s">
        <v>22</v>
      </c>
      <c r="D255" t="s">
        <v>22</v>
      </c>
      <c r="E255" t="s">
        <v>12</v>
      </c>
      <c r="F255" t="s">
        <v>24</v>
      </c>
      <c r="G255" t="s">
        <v>25</v>
      </c>
      <c r="H255" s="2">
        <v>10782.97</v>
      </c>
      <c r="I255">
        <v>7</v>
      </c>
      <c r="J255" s="2">
        <v>772.84</v>
      </c>
      <c r="K255" s="2"/>
    </row>
    <row r="256" spans="1:11" x14ac:dyDescent="0.3">
      <c r="A256">
        <v>255</v>
      </c>
      <c r="B256" s="1">
        <v>45247</v>
      </c>
      <c r="C256" t="s">
        <v>35</v>
      </c>
      <c r="D256" t="s">
        <v>36</v>
      </c>
      <c r="E256" t="s">
        <v>17</v>
      </c>
      <c r="F256" t="s">
        <v>31</v>
      </c>
      <c r="G256" t="s">
        <v>32</v>
      </c>
      <c r="H256" s="2">
        <v>49437.25</v>
      </c>
      <c r="I256">
        <v>8</v>
      </c>
      <c r="J256" s="2">
        <v>14199.96</v>
      </c>
      <c r="K256" s="2"/>
    </row>
    <row r="257" spans="1:11" x14ac:dyDescent="0.3">
      <c r="A257">
        <v>256</v>
      </c>
      <c r="B257" s="1">
        <v>45195</v>
      </c>
      <c r="C257" t="s">
        <v>35</v>
      </c>
      <c r="D257" t="s">
        <v>36</v>
      </c>
      <c r="E257" t="s">
        <v>12</v>
      </c>
      <c r="F257" t="s">
        <v>13</v>
      </c>
      <c r="G257" t="s">
        <v>21</v>
      </c>
      <c r="H257" s="2">
        <v>31032.49</v>
      </c>
      <c r="I257">
        <v>9</v>
      </c>
      <c r="J257" s="2">
        <v>7395</v>
      </c>
      <c r="K257" s="2"/>
    </row>
    <row r="258" spans="1:11" x14ac:dyDescent="0.3">
      <c r="A258">
        <v>257</v>
      </c>
      <c r="B258" s="1">
        <v>45158</v>
      </c>
      <c r="C258" t="s">
        <v>30</v>
      </c>
      <c r="D258" t="s">
        <v>16</v>
      </c>
      <c r="E258" t="s">
        <v>17</v>
      </c>
      <c r="F258" t="s">
        <v>24</v>
      </c>
      <c r="G258" t="s">
        <v>25</v>
      </c>
      <c r="H258" s="2">
        <v>27868.7</v>
      </c>
      <c r="I258">
        <v>2</v>
      </c>
      <c r="J258" s="2">
        <v>6973.6</v>
      </c>
      <c r="K258" s="2"/>
    </row>
    <row r="259" spans="1:11" x14ac:dyDescent="0.3">
      <c r="A259">
        <v>258</v>
      </c>
      <c r="B259" s="1">
        <v>45269</v>
      </c>
      <c r="C259" t="s">
        <v>10</v>
      </c>
      <c r="D259" t="s">
        <v>11</v>
      </c>
      <c r="E259" t="s">
        <v>20</v>
      </c>
      <c r="F259" t="s">
        <v>31</v>
      </c>
      <c r="G259" t="s">
        <v>39</v>
      </c>
      <c r="H259" s="2">
        <v>40634.300000000003</v>
      </c>
      <c r="I259">
        <v>10</v>
      </c>
      <c r="J259" s="2">
        <v>11614.53</v>
      </c>
      <c r="K259" s="2"/>
    </row>
    <row r="260" spans="1:11" x14ac:dyDescent="0.3">
      <c r="A260">
        <v>259</v>
      </c>
      <c r="B260" s="1">
        <v>45164</v>
      </c>
      <c r="C260" t="s">
        <v>26</v>
      </c>
      <c r="D260" t="s">
        <v>27</v>
      </c>
      <c r="E260" t="s">
        <v>20</v>
      </c>
      <c r="F260" t="s">
        <v>31</v>
      </c>
      <c r="G260" t="s">
        <v>32</v>
      </c>
      <c r="H260" s="2">
        <v>2252.35</v>
      </c>
      <c r="I260">
        <v>2</v>
      </c>
      <c r="J260" s="2">
        <v>469.57</v>
      </c>
      <c r="K260" s="2"/>
    </row>
    <row r="261" spans="1:11" x14ac:dyDescent="0.3">
      <c r="A261">
        <v>260</v>
      </c>
      <c r="B261" s="1">
        <v>45289</v>
      </c>
      <c r="C261" t="s">
        <v>15</v>
      </c>
      <c r="D261" t="s">
        <v>16</v>
      </c>
      <c r="E261" t="s">
        <v>12</v>
      </c>
      <c r="F261" t="s">
        <v>24</v>
      </c>
      <c r="G261" t="s">
        <v>29</v>
      </c>
      <c r="H261" s="2">
        <v>24406.17</v>
      </c>
      <c r="I261">
        <v>2</v>
      </c>
      <c r="J261" s="2">
        <v>1809.18</v>
      </c>
      <c r="K261" s="2"/>
    </row>
    <row r="262" spans="1:11" x14ac:dyDescent="0.3">
      <c r="A262">
        <v>261</v>
      </c>
      <c r="B262" s="1">
        <v>45238</v>
      </c>
      <c r="C262" t="s">
        <v>22</v>
      </c>
      <c r="D262" t="s">
        <v>22</v>
      </c>
      <c r="E262" t="s">
        <v>17</v>
      </c>
      <c r="F262" t="s">
        <v>13</v>
      </c>
      <c r="G262" t="s">
        <v>34</v>
      </c>
      <c r="H262" s="2">
        <v>14529.22</v>
      </c>
      <c r="I262">
        <v>8</v>
      </c>
      <c r="J262" s="2">
        <v>3777.18</v>
      </c>
      <c r="K262" s="2"/>
    </row>
    <row r="263" spans="1:11" x14ac:dyDescent="0.3">
      <c r="A263">
        <v>262</v>
      </c>
      <c r="B263" s="1">
        <v>45013</v>
      </c>
      <c r="C263" t="s">
        <v>37</v>
      </c>
      <c r="D263" t="s">
        <v>27</v>
      </c>
      <c r="E263" t="s">
        <v>12</v>
      </c>
      <c r="F263" t="s">
        <v>13</v>
      </c>
      <c r="G263" t="s">
        <v>14</v>
      </c>
      <c r="H263" s="2">
        <v>19364.93</v>
      </c>
      <c r="I263">
        <v>3</v>
      </c>
      <c r="J263" s="2">
        <v>5725.87</v>
      </c>
      <c r="K263" s="2"/>
    </row>
    <row r="264" spans="1:11" x14ac:dyDescent="0.3">
      <c r="A264">
        <v>263</v>
      </c>
      <c r="B264" s="1">
        <v>45214</v>
      </c>
      <c r="C264" t="s">
        <v>30</v>
      </c>
      <c r="D264" t="s">
        <v>16</v>
      </c>
      <c r="E264" t="s">
        <v>17</v>
      </c>
      <c r="F264" t="s">
        <v>31</v>
      </c>
      <c r="G264" t="s">
        <v>32</v>
      </c>
      <c r="H264" s="2">
        <v>39741.019999999997</v>
      </c>
      <c r="I264">
        <v>6</v>
      </c>
      <c r="J264" s="2">
        <v>11691.37</v>
      </c>
      <c r="K264" s="2"/>
    </row>
    <row r="265" spans="1:11" x14ac:dyDescent="0.3">
      <c r="A265">
        <v>264</v>
      </c>
      <c r="B265" s="1">
        <v>45114</v>
      </c>
      <c r="C265" t="s">
        <v>22</v>
      </c>
      <c r="D265" t="s">
        <v>22</v>
      </c>
      <c r="E265" t="s">
        <v>20</v>
      </c>
      <c r="F265" t="s">
        <v>24</v>
      </c>
      <c r="G265" t="s">
        <v>29</v>
      </c>
      <c r="H265" s="2">
        <v>28526.5</v>
      </c>
      <c r="I265">
        <v>9</v>
      </c>
      <c r="J265" s="2">
        <v>2168.42</v>
      </c>
      <c r="K265" s="2"/>
    </row>
    <row r="266" spans="1:11" x14ac:dyDescent="0.3">
      <c r="A266">
        <v>265</v>
      </c>
      <c r="B266" s="1">
        <v>45156</v>
      </c>
      <c r="C266" t="s">
        <v>26</v>
      </c>
      <c r="D266" t="s">
        <v>27</v>
      </c>
      <c r="E266" t="s">
        <v>20</v>
      </c>
      <c r="F266" t="s">
        <v>24</v>
      </c>
      <c r="G266" t="s">
        <v>28</v>
      </c>
      <c r="H266" s="2">
        <v>23711.97</v>
      </c>
      <c r="I266">
        <v>10</v>
      </c>
      <c r="J266" s="2">
        <v>3673.28</v>
      </c>
      <c r="K266" s="2"/>
    </row>
    <row r="267" spans="1:11" x14ac:dyDescent="0.3">
      <c r="A267">
        <v>266</v>
      </c>
      <c r="B267" s="1">
        <v>45127</v>
      </c>
      <c r="C267" t="s">
        <v>26</v>
      </c>
      <c r="D267" t="s">
        <v>27</v>
      </c>
      <c r="E267" t="s">
        <v>12</v>
      </c>
      <c r="F267" t="s">
        <v>31</v>
      </c>
      <c r="G267" t="s">
        <v>39</v>
      </c>
      <c r="H267" s="2">
        <v>28029.09</v>
      </c>
      <c r="I267">
        <v>2</v>
      </c>
      <c r="J267" s="2">
        <v>5086.72</v>
      </c>
      <c r="K267" s="2"/>
    </row>
    <row r="268" spans="1:11" x14ac:dyDescent="0.3">
      <c r="A268">
        <v>267</v>
      </c>
      <c r="B268" s="1">
        <v>45268</v>
      </c>
      <c r="C268" t="s">
        <v>37</v>
      </c>
      <c r="D268" t="s">
        <v>27</v>
      </c>
      <c r="E268" t="s">
        <v>17</v>
      </c>
      <c r="F268" t="s">
        <v>31</v>
      </c>
      <c r="G268" t="s">
        <v>39</v>
      </c>
      <c r="H268" s="2">
        <v>5734.42</v>
      </c>
      <c r="I268">
        <v>4</v>
      </c>
      <c r="J268" s="2">
        <v>1489.22</v>
      </c>
      <c r="K268" s="2"/>
    </row>
    <row r="269" spans="1:11" x14ac:dyDescent="0.3">
      <c r="A269">
        <v>268</v>
      </c>
      <c r="B269" s="1">
        <v>45136</v>
      </c>
      <c r="C269" t="s">
        <v>30</v>
      </c>
      <c r="D269" t="s">
        <v>16</v>
      </c>
      <c r="E269" t="s">
        <v>12</v>
      </c>
      <c r="F269" t="s">
        <v>31</v>
      </c>
      <c r="G269" t="s">
        <v>32</v>
      </c>
      <c r="H269" s="2">
        <v>39653.46</v>
      </c>
      <c r="I269">
        <v>5</v>
      </c>
      <c r="J269" s="2">
        <v>11436.72</v>
      </c>
      <c r="K269" s="2"/>
    </row>
    <row r="270" spans="1:11" x14ac:dyDescent="0.3">
      <c r="A270">
        <v>269</v>
      </c>
      <c r="B270" s="1">
        <v>45100</v>
      </c>
      <c r="C270" t="s">
        <v>30</v>
      </c>
      <c r="D270" t="s">
        <v>16</v>
      </c>
      <c r="E270" t="s">
        <v>17</v>
      </c>
      <c r="F270" t="s">
        <v>24</v>
      </c>
      <c r="G270" t="s">
        <v>28</v>
      </c>
      <c r="H270" s="2">
        <v>31139.39</v>
      </c>
      <c r="I270">
        <v>5</v>
      </c>
      <c r="J270" s="2">
        <v>5027.6499999999996</v>
      </c>
      <c r="K270" s="2"/>
    </row>
    <row r="271" spans="1:11" x14ac:dyDescent="0.3">
      <c r="A271">
        <v>270</v>
      </c>
      <c r="B271" s="1">
        <v>44981</v>
      </c>
      <c r="C271" t="s">
        <v>30</v>
      </c>
      <c r="D271" t="s">
        <v>16</v>
      </c>
      <c r="E271" t="s">
        <v>20</v>
      </c>
      <c r="F271" t="s">
        <v>24</v>
      </c>
      <c r="G271" t="s">
        <v>28</v>
      </c>
      <c r="H271" s="2">
        <v>22141.33</v>
      </c>
      <c r="I271">
        <v>7</v>
      </c>
      <c r="J271" s="2">
        <v>4473.1400000000003</v>
      </c>
      <c r="K271" s="2"/>
    </row>
    <row r="272" spans="1:11" x14ac:dyDescent="0.3">
      <c r="A272">
        <v>271</v>
      </c>
      <c r="B272" s="1">
        <v>45238</v>
      </c>
      <c r="C272" t="s">
        <v>15</v>
      </c>
      <c r="D272" t="s">
        <v>16</v>
      </c>
      <c r="E272" t="s">
        <v>20</v>
      </c>
      <c r="F272" t="s">
        <v>13</v>
      </c>
      <c r="G272" t="s">
        <v>34</v>
      </c>
      <c r="H272" s="2">
        <v>44279.01</v>
      </c>
      <c r="I272">
        <v>7</v>
      </c>
      <c r="J272" s="2">
        <v>6441.93</v>
      </c>
      <c r="K272" s="2"/>
    </row>
    <row r="273" spans="1:11" x14ac:dyDescent="0.3">
      <c r="A273">
        <v>272</v>
      </c>
      <c r="B273" s="1">
        <v>44927</v>
      </c>
      <c r="C273" t="s">
        <v>35</v>
      </c>
      <c r="D273" t="s">
        <v>36</v>
      </c>
      <c r="E273" t="s">
        <v>12</v>
      </c>
      <c r="F273" t="s">
        <v>24</v>
      </c>
      <c r="G273" t="s">
        <v>25</v>
      </c>
      <c r="H273" s="2">
        <v>34850.58</v>
      </c>
      <c r="I273">
        <v>6</v>
      </c>
      <c r="J273" s="2">
        <v>7187.87</v>
      </c>
      <c r="K273" s="2"/>
    </row>
    <row r="274" spans="1:11" x14ac:dyDescent="0.3">
      <c r="A274">
        <v>273</v>
      </c>
      <c r="B274" s="1">
        <v>45155</v>
      </c>
      <c r="C274" t="s">
        <v>22</v>
      </c>
      <c r="D274" t="s">
        <v>22</v>
      </c>
      <c r="E274" t="s">
        <v>17</v>
      </c>
      <c r="F274" t="s">
        <v>31</v>
      </c>
      <c r="G274" t="s">
        <v>33</v>
      </c>
      <c r="H274" s="2">
        <v>5858.59</v>
      </c>
      <c r="I274">
        <v>3</v>
      </c>
      <c r="J274" s="2">
        <v>796.7</v>
      </c>
      <c r="K274" s="2"/>
    </row>
    <row r="275" spans="1:11" x14ac:dyDescent="0.3">
      <c r="A275">
        <v>274</v>
      </c>
      <c r="B275" s="1">
        <v>45162</v>
      </c>
      <c r="C275" t="s">
        <v>38</v>
      </c>
      <c r="D275" t="s">
        <v>27</v>
      </c>
      <c r="E275" t="s">
        <v>12</v>
      </c>
      <c r="F275" t="s">
        <v>31</v>
      </c>
      <c r="G275" t="s">
        <v>39</v>
      </c>
      <c r="H275" s="2">
        <v>48376.78</v>
      </c>
      <c r="I275">
        <v>2</v>
      </c>
      <c r="J275" s="2">
        <v>6380.96</v>
      </c>
      <c r="K275" s="2"/>
    </row>
    <row r="276" spans="1:11" x14ac:dyDescent="0.3">
      <c r="A276">
        <v>275</v>
      </c>
      <c r="B276" s="1">
        <v>45003</v>
      </c>
      <c r="C276" t="s">
        <v>37</v>
      </c>
      <c r="D276" t="s">
        <v>27</v>
      </c>
      <c r="E276" t="s">
        <v>17</v>
      </c>
      <c r="F276" t="s">
        <v>31</v>
      </c>
      <c r="G276" t="s">
        <v>39</v>
      </c>
      <c r="H276" s="2">
        <v>45474.51</v>
      </c>
      <c r="I276">
        <v>5</v>
      </c>
      <c r="J276" s="2">
        <v>10209.879999999999</v>
      </c>
      <c r="K276" s="2"/>
    </row>
    <row r="277" spans="1:11" x14ac:dyDescent="0.3">
      <c r="A277">
        <v>276</v>
      </c>
      <c r="B277" s="1">
        <v>45184</v>
      </c>
      <c r="C277" t="s">
        <v>38</v>
      </c>
      <c r="D277" t="s">
        <v>27</v>
      </c>
      <c r="E277" t="s">
        <v>20</v>
      </c>
      <c r="F277" t="s">
        <v>31</v>
      </c>
      <c r="G277" t="s">
        <v>32</v>
      </c>
      <c r="H277" s="2">
        <v>38210.57</v>
      </c>
      <c r="I277">
        <v>1</v>
      </c>
      <c r="J277" s="2">
        <v>8172.28</v>
      </c>
      <c r="K277" s="2"/>
    </row>
    <row r="278" spans="1:11" x14ac:dyDescent="0.3">
      <c r="A278">
        <v>277</v>
      </c>
      <c r="B278" s="1">
        <v>45064</v>
      </c>
      <c r="C278" t="s">
        <v>35</v>
      </c>
      <c r="D278" t="s">
        <v>36</v>
      </c>
      <c r="E278" t="s">
        <v>20</v>
      </c>
      <c r="F278" t="s">
        <v>24</v>
      </c>
      <c r="G278" t="s">
        <v>28</v>
      </c>
      <c r="H278" s="2">
        <v>2743.4</v>
      </c>
      <c r="I278">
        <v>2</v>
      </c>
      <c r="J278" s="2">
        <v>324.44</v>
      </c>
      <c r="K278" s="2"/>
    </row>
    <row r="279" spans="1:11" x14ac:dyDescent="0.3">
      <c r="A279">
        <v>278</v>
      </c>
      <c r="B279" s="1">
        <v>45010</v>
      </c>
      <c r="C279" t="s">
        <v>15</v>
      </c>
      <c r="D279" t="s">
        <v>16</v>
      </c>
      <c r="E279" t="s">
        <v>12</v>
      </c>
      <c r="F279" t="s">
        <v>31</v>
      </c>
      <c r="G279" t="s">
        <v>32</v>
      </c>
      <c r="H279" s="2">
        <v>17723.98</v>
      </c>
      <c r="I279">
        <v>3</v>
      </c>
      <c r="J279" s="2">
        <v>3188.41</v>
      </c>
      <c r="K279" s="2"/>
    </row>
    <row r="280" spans="1:11" x14ac:dyDescent="0.3">
      <c r="A280">
        <v>279</v>
      </c>
      <c r="B280" s="1">
        <v>44973</v>
      </c>
      <c r="C280" t="s">
        <v>15</v>
      </c>
      <c r="D280" t="s">
        <v>16</v>
      </c>
      <c r="E280" t="s">
        <v>17</v>
      </c>
      <c r="F280" t="s">
        <v>13</v>
      </c>
      <c r="G280" t="s">
        <v>21</v>
      </c>
      <c r="H280" s="2">
        <v>37126.15</v>
      </c>
      <c r="I280">
        <v>7</v>
      </c>
      <c r="J280" s="2">
        <v>7778.08</v>
      </c>
      <c r="K280" s="2"/>
    </row>
    <row r="281" spans="1:11" x14ac:dyDescent="0.3">
      <c r="A281">
        <v>280</v>
      </c>
      <c r="B281" s="1">
        <v>45043</v>
      </c>
      <c r="C281" t="s">
        <v>10</v>
      </c>
      <c r="D281" t="s">
        <v>11</v>
      </c>
      <c r="E281" t="s">
        <v>12</v>
      </c>
      <c r="F281" t="s">
        <v>13</v>
      </c>
      <c r="G281" t="s">
        <v>14</v>
      </c>
      <c r="H281" s="2">
        <v>33645.160000000003</v>
      </c>
      <c r="I281">
        <v>9</v>
      </c>
      <c r="J281" s="2">
        <v>3910.56</v>
      </c>
      <c r="K281" s="2"/>
    </row>
    <row r="282" spans="1:11" x14ac:dyDescent="0.3">
      <c r="A282">
        <v>281</v>
      </c>
      <c r="B282" s="1">
        <v>44956</v>
      </c>
      <c r="C282" t="s">
        <v>35</v>
      </c>
      <c r="D282" t="s">
        <v>36</v>
      </c>
      <c r="E282" t="s">
        <v>17</v>
      </c>
      <c r="F282" t="s">
        <v>24</v>
      </c>
      <c r="G282" t="s">
        <v>25</v>
      </c>
      <c r="H282" s="2">
        <v>16719.09</v>
      </c>
      <c r="I282">
        <v>4</v>
      </c>
      <c r="J282" s="2">
        <v>1211.3699999999999</v>
      </c>
      <c r="K282" s="2"/>
    </row>
    <row r="283" spans="1:11" x14ac:dyDescent="0.3">
      <c r="A283">
        <v>282</v>
      </c>
      <c r="B283" s="1">
        <v>45046</v>
      </c>
      <c r="C283" t="s">
        <v>10</v>
      </c>
      <c r="D283" t="s">
        <v>11</v>
      </c>
      <c r="E283" t="s">
        <v>20</v>
      </c>
      <c r="F283" t="s">
        <v>31</v>
      </c>
      <c r="G283" t="s">
        <v>32</v>
      </c>
      <c r="H283" s="2">
        <v>25813.7</v>
      </c>
      <c r="I283">
        <v>4</v>
      </c>
      <c r="J283" s="2">
        <v>5481.41</v>
      </c>
      <c r="K283" s="2"/>
    </row>
    <row r="284" spans="1:11" x14ac:dyDescent="0.3">
      <c r="A284">
        <v>283</v>
      </c>
      <c r="B284" s="1">
        <v>45087</v>
      </c>
      <c r="C284" t="s">
        <v>37</v>
      </c>
      <c r="D284" t="s">
        <v>27</v>
      </c>
      <c r="E284" t="s">
        <v>20</v>
      </c>
      <c r="F284" t="s">
        <v>13</v>
      </c>
      <c r="G284" t="s">
        <v>21</v>
      </c>
      <c r="H284" s="2">
        <v>4086.81</v>
      </c>
      <c r="I284">
        <v>4</v>
      </c>
      <c r="J284" s="2">
        <v>760.68</v>
      </c>
      <c r="K284" s="2"/>
    </row>
    <row r="285" spans="1:11" x14ac:dyDescent="0.3">
      <c r="A285">
        <v>284</v>
      </c>
      <c r="B285" s="1">
        <v>45145</v>
      </c>
      <c r="C285" t="s">
        <v>38</v>
      </c>
      <c r="D285" t="s">
        <v>27</v>
      </c>
      <c r="E285" t="s">
        <v>12</v>
      </c>
      <c r="F285" t="s">
        <v>13</v>
      </c>
      <c r="G285" t="s">
        <v>21</v>
      </c>
      <c r="H285" s="2">
        <v>18521.38</v>
      </c>
      <c r="I285">
        <v>1</v>
      </c>
      <c r="J285" s="2">
        <v>1946.16</v>
      </c>
      <c r="K285" s="2"/>
    </row>
    <row r="286" spans="1:11" x14ac:dyDescent="0.3">
      <c r="A286">
        <v>285</v>
      </c>
      <c r="B286" s="1">
        <v>45165</v>
      </c>
      <c r="C286" t="s">
        <v>37</v>
      </c>
      <c r="D286" t="s">
        <v>27</v>
      </c>
      <c r="E286" t="s">
        <v>17</v>
      </c>
      <c r="F286" t="s">
        <v>24</v>
      </c>
      <c r="G286" t="s">
        <v>29</v>
      </c>
      <c r="H286" s="2">
        <v>35464.68</v>
      </c>
      <c r="I286">
        <v>3</v>
      </c>
      <c r="J286" s="2">
        <v>4946.6099999999997</v>
      </c>
      <c r="K286" s="2"/>
    </row>
    <row r="287" spans="1:11" x14ac:dyDescent="0.3">
      <c r="A287">
        <v>286</v>
      </c>
      <c r="B287" s="1">
        <v>45228</v>
      </c>
      <c r="C287" t="s">
        <v>35</v>
      </c>
      <c r="D287" t="s">
        <v>36</v>
      </c>
      <c r="E287" t="s">
        <v>12</v>
      </c>
      <c r="F287" t="s">
        <v>13</v>
      </c>
      <c r="G287" t="s">
        <v>34</v>
      </c>
      <c r="H287" s="2">
        <v>49796.639999999999</v>
      </c>
      <c r="I287">
        <v>9</v>
      </c>
      <c r="J287" s="2">
        <v>11826.36</v>
      </c>
      <c r="K287" s="2"/>
    </row>
    <row r="288" spans="1:11" x14ac:dyDescent="0.3">
      <c r="A288">
        <v>287</v>
      </c>
      <c r="B288" s="1">
        <v>45075</v>
      </c>
      <c r="C288" t="s">
        <v>26</v>
      </c>
      <c r="D288" t="s">
        <v>27</v>
      </c>
      <c r="E288" t="s">
        <v>17</v>
      </c>
      <c r="F288" t="s">
        <v>24</v>
      </c>
      <c r="G288" t="s">
        <v>25</v>
      </c>
      <c r="H288" s="2">
        <v>6484.96</v>
      </c>
      <c r="I288">
        <v>3</v>
      </c>
      <c r="J288" s="2">
        <v>1208.78</v>
      </c>
      <c r="K288" s="2"/>
    </row>
    <row r="289" spans="1:11" x14ac:dyDescent="0.3">
      <c r="A289">
        <v>288</v>
      </c>
      <c r="B289" s="1">
        <v>45197</v>
      </c>
      <c r="C289" t="s">
        <v>35</v>
      </c>
      <c r="D289" t="s">
        <v>36</v>
      </c>
      <c r="E289" t="s">
        <v>20</v>
      </c>
      <c r="F289" t="s">
        <v>13</v>
      </c>
      <c r="G289" t="s">
        <v>21</v>
      </c>
      <c r="H289" s="2">
        <v>33163.33</v>
      </c>
      <c r="I289">
        <v>10</v>
      </c>
      <c r="J289" s="2">
        <v>7488.7</v>
      </c>
      <c r="K289" s="2"/>
    </row>
    <row r="290" spans="1:11" x14ac:dyDescent="0.3">
      <c r="A290">
        <v>289</v>
      </c>
      <c r="B290" s="1">
        <v>44994</v>
      </c>
      <c r="C290" t="s">
        <v>10</v>
      </c>
      <c r="D290" t="s">
        <v>11</v>
      </c>
      <c r="E290" t="s">
        <v>20</v>
      </c>
      <c r="F290" t="s">
        <v>31</v>
      </c>
      <c r="G290" t="s">
        <v>39</v>
      </c>
      <c r="H290" s="2">
        <v>13149.05</v>
      </c>
      <c r="I290">
        <v>7</v>
      </c>
      <c r="J290" s="2">
        <v>3576.49</v>
      </c>
      <c r="K290" s="2"/>
    </row>
    <row r="291" spans="1:11" x14ac:dyDescent="0.3">
      <c r="A291">
        <v>290</v>
      </c>
      <c r="B291" s="1">
        <v>44958</v>
      </c>
      <c r="C291" t="s">
        <v>22</v>
      </c>
      <c r="D291" t="s">
        <v>22</v>
      </c>
      <c r="E291" t="s">
        <v>12</v>
      </c>
      <c r="F291" t="s">
        <v>31</v>
      </c>
      <c r="G291" t="s">
        <v>32</v>
      </c>
      <c r="H291" s="2">
        <v>34621.160000000003</v>
      </c>
      <c r="I291">
        <v>3</v>
      </c>
      <c r="J291" s="2">
        <v>7130.72</v>
      </c>
      <c r="K291" s="2"/>
    </row>
    <row r="292" spans="1:11" x14ac:dyDescent="0.3">
      <c r="A292">
        <v>291</v>
      </c>
      <c r="B292" s="1">
        <v>45221</v>
      </c>
      <c r="C292" t="s">
        <v>10</v>
      </c>
      <c r="D292" t="s">
        <v>11</v>
      </c>
      <c r="E292" t="s">
        <v>17</v>
      </c>
      <c r="F292" t="s">
        <v>24</v>
      </c>
      <c r="G292" t="s">
        <v>29</v>
      </c>
      <c r="H292" s="2">
        <v>11966.24</v>
      </c>
      <c r="I292">
        <v>5</v>
      </c>
      <c r="J292" s="2">
        <v>2420.86</v>
      </c>
      <c r="K292" s="2"/>
    </row>
    <row r="293" spans="1:11" x14ac:dyDescent="0.3">
      <c r="A293">
        <v>292</v>
      </c>
      <c r="B293" s="1">
        <v>44960</v>
      </c>
      <c r="C293" t="s">
        <v>37</v>
      </c>
      <c r="D293" t="s">
        <v>27</v>
      </c>
      <c r="E293" t="s">
        <v>12</v>
      </c>
      <c r="F293" t="s">
        <v>13</v>
      </c>
      <c r="G293" t="s">
        <v>34</v>
      </c>
      <c r="H293" s="2">
        <v>20790.45</v>
      </c>
      <c r="I293">
        <v>10</v>
      </c>
      <c r="J293" s="2">
        <v>2754</v>
      </c>
      <c r="K293" s="2"/>
    </row>
    <row r="294" spans="1:11" x14ac:dyDescent="0.3">
      <c r="A294">
        <v>293</v>
      </c>
      <c r="B294" s="1">
        <v>44982</v>
      </c>
      <c r="C294" t="s">
        <v>22</v>
      </c>
      <c r="D294" t="s">
        <v>22</v>
      </c>
      <c r="E294" t="s">
        <v>17</v>
      </c>
      <c r="F294" t="s">
        <v>13</v>
      </c>
      <c r="G294" t="s">
        <v>34</v>
      </c>
      <c r="H294" s="2">
        <v>20312.77</v>
      </c>
      <c r="I294">
        <v>5</v>
      </c>
      <c r="J294" s="2">
        <v>5618.1</v>
      </c>
      <c r="K294" s="2"/>
    </row>
    <row r="295" spans="1:11" x14ac:dyDescent="0.3">
      <c r="A295">
        <v>294</v>
      </c>
      <c r="B295" s="1">
        <v>44982</v>
      </c>
      <c r="C295" t="s">
        <v>15</v>
      </c>
      <c r="D295" t="s">
        <v>16</v>
      </c>
      <c r="E295" t="s">
        <v>20</v>
      </c>
      <c r="F295" t="s">
        <v>24</v>
      </c>
      <c r="G295" t="s">
        <v>25</v>
      </c>
      <c r="H295" s="2">
        <v>39381.9</v>
      </c>
      <c r="I295">
        <v>10</v>
      </c>
      <c r="J295" s="2">
        <v>7457.7</v>
      </c>
      <c r="K295" s="2"/>
    </row>
    <row r="296" spans="1:11" x14ac:dyDescent="0.3">
      <c r="A296">
        <v>295</v>
      </c>
      <c r="B296" s="1">
        <v>45286</v>
      </c>
      <c r="C296" t="s">
        <v>15</v>
      </c>
      <c r="D296" t="s">
        <v>16</v>
      </c>
      <c r="E296" t="s">
        <v>20</v>
      </c>
      <c r="F296" t="s">
        <v>24</v>
      </c>
      <c r="G296" t="s">
        <v>25</v>
      </c>
      <c r="H296" s="2">
        <v>32040.32</v>
      </c>
      <c r="I296">
        <v>10</v>
      </c>
      <c r="J296" s="2">
        <v>7617.08</v>
      </c>
      <c r="K296" s="2"/>
    </row>
    <row r="297" spans="1:11" x14ac:dyDescent="0.3">
      <c r="A297">
        <v>296</v>
      </c>
      <c r="B297" s="1">
        <v>45200</v>
      </c>
      <c r="C297" t="s">
        <v>30</v>
      </c>
      <c r="D297" t="s">
        <v>16</v>
      </c>
      <c r="E297" t="s">
        <v>12</v>
      </c>
      <c r="F297" t="s">
        <v>24</v>
      </c>
      <c r="G297" t="s">
        <v>25</v>
      </c>
      <c r="H297" s="2">
        <v>9943.7099999999991</v>
      </c>
      <c r="I297">
        <v>2</v>
      </c>
      <c r="J297" s="2">
        <v>1663.61</v>
      </c>
      <c r="K297" s="2"/>
    </row>
    <row r="298" spans="1:11" x14ac:dyDescent="0.3">
      <c r="A298">
        <v>297</v>
      </c>
      <c r="B298" s="1">
        <v>45141</v>
      </c>
      <c r="C298" t="s">
        <v>35</v>
      </c>
      <c r="D298" t="s">
        <v>36</v>
      </c>
      <c r="E298" t="s">
        <v>17</v>
      </c>
      <c r="F298" t="s">
        <v>24</v>
      </c>
      <c r="G298" t="s">
        <v>28</v>
      </c>
      <c r="H298" s="2">
        <v>44799.3</v>
      </c>
      <c r="I298">
        <v>10</v>
      </c>
      <c r="J298" s="2">
        <v>5560.78</v>
      </c>
      <c r="K298" s="2"/>
    </row>
    <row r="299" spans="1:11" x14ac:dyDescent="0.3">
      <c r="A299">
        <v>298</v>
      </c>
      <c r="B299" s="1">
        <v>45109</v>
      </c>
      <c r="C299" t="s">
        <v>26</v>
      </c>
      <c r="D299" t="s">
        <v>27</v>
      </c>
      <c r="E299" t="s">
        <v>12</v>
      </c>
      <c r="F299" t="s">
        <v>24</v>
      </c>
      <c r="G299" t="s">
        <v>28</v>
      </c>
      <c r="H299" s="2">
        <v>30482.42</v>
      </c>
      <c r="I299">
        <v>8</v>
      </c>
      <c r="J299" s="2">
        <v>4421.99</v>
      </c>
      <c r="K299" s="2"/>
    </row>
    <row r="300" spans="1:11" x14ac:dyDescent="0.3">
      <c r="A300">
        <v>299</v>
      </c>
      <c r="B300" s="1">
        <v>45065</v>
      </c>
      <c r="C300" t="s">
        <v>37</v>
      </c>
      <c r="D300" t="s">
        <v>27</v>
      </c>
      <c r="E300" t="s">
        <v>17</v>
      </c>
      <c r="F300" t="s">
        <v>31</v>
      </c>
      <c r="G300" t="s">
        <v>39</v>
      </c>
      <c r="H300" s="2">
        <v>46018.66</v>
      </c>
      <c r="I300">
        <v>4</v>
      </c>
      <c r="J300" s="2">
        <v>11286.35</v>
      </c>
      <c r="K300" s="2"/>
    </row>
    <row r="301" spans="1:11" x14ac:dyDescent="0.3">
      <c r="A301">
        <v>300</v>
      </c>
      <c r="B301" s="1">
        <v>44947</v>
      </c>
      <c r="C301" t="s">
        <v>30</v>
      </c>
      <c r="D301" t="s">
        <v>16</v>
      </c>
      <c r="E301" t="s">
        <v>20</v>
      </c>
      <c r="F301" t="s">
        <v>13</v>
      </c>
      <c r="G301" t="s">
        <v>21</v>
      </c>
      <c r="H301" s="2">
        <v>45604.85</v>
      </c>
      <c r="I301">
        <v>4</v>
      </c>
      <c r="J301" s="2">
        <v>10780.42</v>
      </c>
      <c r="K301" s="2"/>
    </row>
    <row r="302" spans="1:11" x14ac:dyDescent="0.3">
      <c r="A302">
        <v>301</v>
      </c>
      <c r="B302" s="1">
        <v>45205</v>
      </c>
      <c r="C302" t="s">
        <v>10</v>
      </c>
      <c r="D302" t="s">
        <v>11</v>
      </c>
      <c r="E302" t="s">
        <v>20</v>
      </c>
      <c r="F302" t="s">
        <v>24</v>
      </c>
      <c r="G302" t="s">
        <v>29</v>
      </c>
      <c r="H302" s="2">
        <v>10568</v>
      </c>
      <c r="I302">
        <v>9</v>
      </c>
      <c r="J302" s="2">
        <v>1896.29</v>
      </c>
      <c r="K302" s="2"/>
    </row>
    <row r="303" spans="1:11" x14ac:dyDescent="0.3">
      <c r="A303">
        <v>302</v>
      </c>
      <c r="B303" s="1">
        <v>45020</v>
      </c>
      <c r="C303" t="s">
        <v>30</v>
      </c>
      <c r="D303" t="s">
        <v>16</v>
      </c>
      <c r="E303" t="s">
        <v>12</v>
      </c>
      <c r="F303" t="s">
        <v>24</v>
      </c>
      <c r="G303" t="s">
        <v>29</v>
      </c>
      <c r="H303" s="2">
        <v>36013.07</v>
      </c>
      <c r="I303">
        <v>7</v>
      </c>
      <c r="J303" s="2">
        <v>2887.26</v>
      </c>
      <c r="K303" s="2"/>
    </row>
    <row r="304" spans="1:11" x14ac:dyDescent="0.3">
      <c r="A304">
        <v>303</v>
      </c>
      <c r="B304" s="1">
        <v>44950</v>
      </c>
      <c r="C304" t="s">
        <v>22</v>
      </c>
      <c r="D304" t="s">
        <v>22</v>
      </c>
      <c r="E304" t="s">
        <v>17</v>
      </c>
      <c r="F304" t="s">
        <v>24</v>
      </c>
      <c r="G304" t="s">
        <v>28</v>
      </c>
      <c r="H304" s="2">
        <v>8545.89</v>
      </c>
      <c r="I304">
        <v>8</v>
      </c>
      <c r="J304" s="2">
        <v>998.97</v>
      </c>
      <c r="K304" s="2"/>
    </row>
    <row r="305" spans="1:11" x14ac:dyDescent="0.3">
      <c r="A305">
        <v>304</v>
      </c>
      <c r="B305" s="1">
        <v>44976</v>
      </c>
      <c r="C305" t="s">
        <v>22</v>
      </c>
      <c r="D305" t="s">
        <v>22</v>
      </c>
      <c r="E305" t="s">
        <v>12</v>
      </c>
      <c r="F305" t="s">
        <v>24</v>
      </c>
      <c r="G305" t="s">
        <v>29</v>
      </c>
      <c r="H305" s="2">
        <v>46736.67</v>
      </c>
      <c r="I305">
        <v>5</v>
      </c>
      <c r="J305" s="2">
        <v>4010.98</v>
      </c>
      <c r="K305" s="2"/>
    </row>
    <row r="306" spans="1:11" x14ac:dyDescent="0.3">
      <c r="A306">
        <v>305</v>
      </c>
      <c r="B306" s="1">
        <v>45221</v>
      </c>
      <c r="C306" t="s">
        <v>38</v>
      </c>
      <c r="D306" t="s">
        <v>27</v>
      </c>
      <c r="E306" t="s">
        <v>17</v>
      </c>
      <c r="F306" t="s">
        <v>31</v>
      </c>
      <c r="G306" t="s">
        <v>39</v>
      </c>
      <c r="H306" s="2">
        <v>42026.12</v>
      </c>
      <c r="I306">
        <v>5</v>
      </c>
      <c r="J306" s="2">
        <v>7474.37</v>
      </c>
      <c r="K306" s="2"/>
    </row>
    <row r="307" spans="1:11" x14ac:dyDescent="0.3">
      <c r="A307">
        <v>306</v>
      </c>
      <c r="B307" s="1">
        <v>45115</v>
      </c>
      <c r="C307" t="s">
        <v>26</v>
      </c>
      <c r="D307" t="s">
        <v>27</v>
      </c>
      <c r="E307" t="s">
        <v>20</v>
      </c>
      <c r="F307" t="s">
        <v>31</v>
      </c>
      <c r="G307" t="s">
        <v>32</v>
      </c>
      <c r="H307" s="2">
        <v>31540.15</v>
      </c>
      <c r="I307">
        <v>8</v>
      </c>
      <c r="J307" s="2">
        <v>4128.9799999999996</v>
      </c>
      <c r="K307" s="2"/>
    </row>
    <row r="308" spans="1:11" x14ac:dyDescent="0.3">
      <c r="A308">
        <v>307</v>
      </c>
      <c r="B308" s="1">
        <v>45135</v>
      </c>
      <c r="C308" t="s">
        <v>18</v>
      </c>
      <c r="D308" t="s">
        <v>19</v>
      </c>
      <c r="E308" t="s">
        <v>20</v>
      </c>
      <c r="F308" t="s">
        <v>24</v>
      </c>
      <c r="G308" t="s">
        <v>25</v>
      </c>
      <c r="H308" s="2">
        <v>29281.72</v>
      </c>
      <c r="I308">
        <v>10</v>
      </c>
      <c r="J308" s="2">
        <v>2759</v>
      </c>
      <c r="K308" s="2"/>
    </row>
    <row r="309" spans="1:11" x14ac:dyDescent="0.3">
      <c r="A309">
        <v>308</v>
      </c>
      <c r="B309" s="1">
        <v>44974</v>
      </c>
      <c r="C309" t="s">
        <v>38</v>
      </c>
      <c r="D309" t="s">
        <v>27</v>
      </c>
      <c r="E309" t="s">
        <v>12</v>
      </c>
      <c r="F309" t="s">
        <v>31</v>
      </c>
      <c r="G309" t="s">
        <v>33</v>
      </c>
      <c r="H309" s="2">
        <v>23981.49</v>
      </c>
      <c r="I309">
        <v>2</v>
      </c>
      <c r="J309" s="2">
        <v>5193.12</v>
      </c>
      <c r="K309" s="2"/>
    </row>
    <row r="310" spans="1:11" x14ac:dyDescent="0.3">
      <c r="A310">
        <v>309</v>
      </c>
      <c r="B310" s="1">
        <v>45086</v>
      </c>
      <c r="C310" t="s">
        <v>37</v>
      </c>
      <c r="D310" t="s">
        <v>27</v>
      </c>
      <c r="E310" t="s">
        <v>17</v>
      </c>
      <c r="F310" t="s">
        <v>24</v>
      </c>
      <c r="G310" t="s">
        <v>25</v>
      </c>
      <c r="H310" s="2">
        <v>11039.74</v>
      </c>
      <c r="I310">
        <v>6</v>
      </c>
      <c r="J310" s="2">
        <v>642.16999999999996</v>
      </c>
      <c r="K310" s="2"/>
    </row>
    <row r="311" spans="1:11" x14ac:dyDescent="0.3">
      <c r="A311">
        <v>310</v>
      </c>
      <c r="B311" s="1">
        <v>44967</v>
      </c>
      <c r="C311" t="s">
        <v>35</v>
      </c>
      <c r="D311" t="s">
        <v>36</v>
      </c>
      <c r="E311" t="s">
        <v>12</v>
      </c>
      <c r="F311" t="s">
        <v>13</v>
      </c>
      <c r="G311" t="s">
        <v>21</v>
      </c>
      <c r="H311" s="2">
        <v>24072.58</v>
      </c>
      <c r="I311">
        <v>2</v>
      </c>
      <c r="J311" s="2">
        <v>4237.45</v>
      </c>
      <c r="K311" s="2"/>
    </row>
    <row r="312" spans="1:11" x14ac:dyDescent="0.3">
      <c r="A312">
        <v>311</v>
      </c>
      <c r="B312" s="1">
        <v>44969</v>
      </c>
      <c r="C312" t="s">
        <v>15</v>
      </c>
      <c r="D312" t="s">
        <v>16</v>
      </c>
      <c r="E312" t="s">
        <v>17</v>
      </c>
      <c r="F312" t="s">
        <v>31</v>
      </c>
      <c r="G312" t="s">
        <v>39</v>
      </c>
      <c r="H312" s="2">
        <v>48043.43</v>
      </c>
      <c r="I312">
        <v>6</v>
      </c>
      <c r="J312" s="2">
        <v>6191.26</v>
      </c>
      <c r="K312" s="2"/>
    </row>
    <row r="313" spans="1:11" x14ac:dyDescent="0.3">
      <c r="A313">
        <v>312</v>
      </c>
      <c r="B313" s="1">
        <v>44999</v>
      </c>
      <c r="C313" t="s">
        <v>38</v>
      </c>
      <c r="D313" t="s">
        <v>27</v>
      </c>
      <c r="E313" t="s">
        <v>20</v>
      </c>
      <c r="F313" t="s">
        <v>24</v>
      </c>
      <c r="G313" t="s">
        <v>25</v>
      </c>
      <c r="H313" s="2">
        <v>45172.53</v>
      </c>
      <c r="I313">
        <v>6</v>
      </c>
      <c r="J313" s="2">
        <v>3057.46</v>
      </c>
      <c r="K313" s="2"/>
    </row>
    <row r="314" spans="1:11" x14ac:dyDescent="0.3">
      <c r="A314">
        <v>313</v>
      </c>
      <c r="B314" s="1">
        <v>45150</v>
      </c>
      <c r="C314" t="s">
        <v>26</v>
      </c>
      <c r="D314" t="s">
        <v>27</v>
      </c>
      <c r="E314" t="s">
        <v>20</v>
      </c>
      <c r="F314" t="s">
        <v>31</v>
      </c>
      <c r="G314" t="s">
        <v>33</v>
      </c>
      <c r="H314" s="2">
        <v>36425.279999999999</v>
      </c>
      <c r="I314">
        <v>2</v>
      </c>
      <c r="J314" s="2">
        <v>2652.3</v>
      </c>
      <c r="K314" s="2"/>
    </row>
    <row r="315" spans="1:11" x14ac:dyDescent="0.3">
      <c r="A315">
        <v>314</v>
      </c>
      <c r="B315" s="1">
        <v>45204</v>
      </c>
      <c r="C315" t="s">
        <v>38</v>
      </c>
      <c r="D315" t="s">
        <v>27</v>
      </c>
      <c r="E315" t="s">
        <v>12</v>
      </c>
      <c r="F315" t="s">
        <v>24</v>
      </c>
      <c r="G315" t="s">
        <v>29</v>
      </c>
      <c r="H315" s="2">
        <v>34225.440000000002</v>
      </c>
      <c r="I315">
        <v>5</v>
      </c>
      <c r="J315" s="2">
        <v>7171.55</v>
      </c>
      <c r="K315" s="2"/>
    </row>
    <row r="316" spans="1:11" x14ac:dyDescent="0.3">
      <c r="A316">
        <v>315</v>
      </c>
      <c r="B316" s="1">
        <v>45240</v>
      </c>
      <c r="C316" t="s">
        <v>37</v>
      </c>
      <c r="D316" t="s">
        <v>27</v>
      </c>
      <c r="E316" t="s">
        <v>17</v>
      </c>
      <c r="F316" t="s">
        <v>13</v>
      </c>
      <c r="G316" t="s">
        <v>14</v>
      </c>
      <c r="H316" s="2">
        <v>47580.01</v>
      </c>
      <c r="I316">
        <v>1</v>
      </c>
      <c r="J316" s="2">
        <v>13586.56</v>
      </c>
      <c r="K316" s="2"/>
    </row>
    <row r="317" spans="1:11" x14ac:dyDescent="0.3">
      <c r="A317">
        <v>316</v>
      </c>
      <c r="B317" s="1">
        <v>44975</v>
      </c>
      <c r="C317" t="s">
        <v>38</v>
      </c>
      <c r="D317" t="s">
        <v>27</v>
      </c>
      <c r="E317" t="s">
        <v>12</v>
      </c>
      <c r="F317" t="s">
        <v>13</v>
      </c>
      <c r="G317" t="s">
        <v>14</v>
      </c>
      <c r="H317" s="2">
        <v>17212.37</v>
      </c>
      <c r="I317">
        <v>6</v>
      </c>
      <c r="J317" s="2">
        <v>4577.87</v>
      </c>
      <c r="K317" s="2"/>
    </row>
    <row r="318" spans="1:11" x14ac:dyDescent="0.3">
      <c r="A318">
        <v>317</v>
      </c>
      <c r="B318" s="1">
        <v>44949</v>
      </c>
      <c r="C318" t="s">
        <v>18</v>
      </c>
      <c r="D318" t="s">
        <v>19</v>
      </c>
      <c r="E318" t="s">
        <v>17</v>
      </c>
      <c r="F318" t="s">
        <v>13</v>
      </c>
      <c r="G318" t="s">
        <v>21</v>
      </c>
      <c r="H318" s="2">
        <v>48075.95</v>
      </c>
      <c r="I318">
        <v>7</v>
      </c>
      <c r="J318" s="2">
        <v>4672.51</v>
      </c>
      <c r="K318" s="2"/>
    </row>
    <row r="319" spans="1:11" x14ac:dyDescent="0.3">
      <c r="A319">
        <v>318</v>
      </c>
      <c r="B319" s="1">
        <v>45003</v>
      </c>
      <c r="C319" t="s">
        <v>30</v>
      </c>
      <c r="D319" t="s">
        <v>16</v>
      </c>
      <c r="E319" t="s">
        <v>20</v>
      </c>
      <c r="F319" t="s">
        <v>24</v>
      </c>
      <c r="G319" t="s">
        <v>28</v>
      </c>
      <c r="H319" s="2">
        <v>9681.73</v>
      </c>
      <c r="I319">
        <v>10</v>
      </c>
      <c r="J319" s="2">
        <v>628.19000000000005</v>
      </c>
      <c r="K319" s="2"/>
    </row>
    <row r="320" spans="1:11" x14ac:dyDescent="0.3">
      <c r="A320">
        <v>319</v>
      </c>
      <c r="B320" s="1">
        <v>45245</v>
      </c>
      <c r="C320" t="s">
        <v>30</v>
      </c>
      <c r="D320" t="s">
        <v>16</v>
      </c>
      <c r="E320" t="s">
        <v>20</v>
      </c>
      <c r="F320" t="s">
        <v>31</v>
      </c>
      <c r="G320" t="s">
        <v>32</v>
      </c>
      <c r="H320" s="2">
        <v>31708.44</v>
      </c>
      <c r="I320">
        <v>4</v>
      </c>
      <c r="J320" s="2">
        <v>1986.92</v>
      </c>
      <c r="K320" s="2"/>
    </row>
    <row r="321" spans="1:11" x14ac:dyDescent="0.3">
      <c r="A321">
        <v>320</v>
      </c>
      <c r="B321" s="1">
        <v>45008</v>
      </c>
      <c r="C321" t="s">
        <v>30</v>
      </c>
      <c r="D321" t="s">
        <v>16</v>
      </c>
      <c r="E321" t="s">
        <v>12</v>
      </c>
      <c r="F321" t="s">
        <v>24</v>
      </c>
      <c r="G321" t="s">
        <v>29</v>
      </c>
      <c r="H321" s="2">
        <v>23576.81</v>
      </c>
      <c r="I321">
        <v>5</v>
      </c>
      <c r="J321" s="2">
        <v>5469.68</v>
      </c>
      <c r="K321" s="2"/>
    </row>
    <row r="322" spans="1:11" x14ac:dyDescent="0.3">
      <c r="A322">
        <v>321</v>
      </c>
      <c r="B322" s="1">
        <v>45048</v>
      </c>
      <c r="C322" t="s">
        <v>35</v>
      </c>
      <c r="D322" t="s">
        <v>36</v>
      </c>
      <c r="E322" t="s">
        <v>17</v>
      </c>
      <c r="F322" t="s">
        <v>31</v>
      </c>
      <c r="G322" t="s">
        <v>39</v>
      </c>
      <c r="H322" s="2">
        <v>46941.22</v>
      </c>
      <c r="I322">
        <v>3</v>
      </c>
      <c r="J322" s="2">
        <v>11351.59</v>
      </c>
      <c r="K322" s="2"/>
    </row>
    <row r="323" spans="1:11" x14ac:dyDescent="0.3">
      <c r="A323">
        <v>322</v>
      </c>
      <c r="B323" s="1">
        <v>45021</v>
      </c>
      <c r="C323" t="s">
        <v>30</v>
      </c>
      <c r="D323" t="s">
        <v>16</v>
      </c>
      <c r="E323" t="s">
        <v>12</v>
      </c>
      <c r="F323" t="s">
        <v>31</v>
      </c>
      <c r="G323" t="s">
        <v>33</v>
      </c>
      <c r="H323" s="2">
        <v>30511.77</v>
      </c>
      <c r="I323">
        <v>4</v>
      </c>
      <c r="J323" s="2">
        <v>2577.4699999999998</v>
      </c>
      <c r="K323" s="2"/>
    </row>
    <row r="324" spans="1:11" x14ac:dyDescent="0.3">
      <c r="A324">
        <v>323</v>
      </c>
      <c r="B324" s="1">
        <v>45225</v>
      </c>
      <c r="C324" t="s">
        <v>38</v>
      </c>
      <c r="D324" t="s">
        <v>27</v>
      </c>
      <c r="E324" t="s">
        <v>17</v>
      </c>
      <c r="F324" t="s">
        <v>13</v>
      </c>
      <c r="G324" t="s">
        <v>21</v>
      </c>
      <c r="H324" s="2">
        <v>1705.27</v>
      </c>
      <c r="I324">
        <v>2</v>
      </c>
      <c r="J324" s="2">
        <v>258.72000000000003</v>
      </c>
      <c r="K324" s="2"/>
    </row>
    <row r="325" spans="1:11" x14ac:dyDescent="0.3">
      <c r="A325">
        <v>324</v>
      </c>
      <c r="B325" s="1">
        <v>45196</v>
      </c>
      <c r="C325" t="s">
        <v>22</v>
      </c>
      <c r="D325" t="s">
        <v>22</v>
      </c>
      <c r="E325" t="s">
        <v>20</v>
      </c>
      <c r="F325" t="s">
        <v>13</v>
      </c>
      <c r="G325" t="s">
        <v>14</v>
      </c>
      <c r="H325" s="2">
        <v>40330.29</v>
      </c>
      <c r="I325">
        <v>9</v>
      </c>
      <c r="J325" s="2">
        <v>9484.9599999999991</v>
      </c>
      <c r="K325" s="2"/>
    </row>
    <row r="326" spans="1:11" x14ac:dyDescent="0.3">
      <c r="A326">
        <v>325</v>
      </c>
      <c r="B326" s="1">
        <v>44947</v>
      </c>
      <c r="C326" t="s">
        <v>18</v>
      </c>
      <c r="D326" t="s">
        <v>19</v>
      </c>
      <c r="E326" t="s">
        <v>20</v>
      </c>
      <c r="F326" t="s">
        <v>24</v>
      </c>
      <c r="G326" t="s">
        <v>29</v>
      </c>
      <c r="H326" s="2">
        <v>22523.13</v>
      </c>
      <c r="I326">
        <v>3</v>
      </c>
      <c r="J326" s="2">
        <v>5559.51</v>
      </c>
      <c r="K326" s="2"/>
    </row>
    <row r="327" spans="1:11" x14ac:dyDescent="0.3">
      <c r="A327">
        <v>326</v>
      </c>
      <c r="B327" s="1">
        <v>45181</v>
      </c>
      <c r="C327" t="s">
        <v>30</v>
      </c>
      <c r="D327" t="s">
        <v>16</v>
      </c>
      <c r="E327" t="s">
        <v>12</v>
      </c>
      <c r="F327" t="s">
        <v>31</v>
      </c>
      <c r="G327" t="s">
        <v>32</v>
      </c>
      <c r="H327" s="2">
        <v>9721.76</v>
      </c>
      <c r="I327">
        <v>1</v>
      </c>
      <c r="J327" s="2">
        <v>2426.7199999999998</v>
      </c>
      <c r="K327" s="2"/>
    </row>
    <row r="328" spans="1:11" x14ac:dyDescent="0.3">
      <c r="A328">
        <v>327</v>
      </c>
      <c r="B328" s="1">
        <v>45158</v>
      </c>
      <c r="C328" t="s">
        <v>37</v>
      </c>
      <c r="D328" t="s">
        <v>27</v>
      </c>
      <c r="E328" t="s">
        <v>17</v>
      </c>
      <c r="F328" t="s">
        <v>31</v>
      </c>
      <c r="G328" t="s">
        <v>39</v>
      </c>
      <c r="H328" s="2">
        <v>13433.44</v>
      </c>
      <c r="I328">
        <v>10</v>
      </c>
      <c r="J328" s="2">
        <v>3809.36</v>
      </c>
      <c r="K328" s="2"/>
    </row>
    <row r="329" spans="1:11" x14ac:dyDescent="0.3">
      <c r="A329">
        <v>328</v>
      </c>
      <c r="B329" s="1">
        <v>44960</v>
      </c>
      <c r="C329" t="s">
        <v>15</v>
      </c>
      <c r="D329" t="s">
        <v>16</v>
      </c>
      <c r="E329" t="s">
        <v>12</v>
      </c>
      <c r="F329" t="s">
        <v>24</v>
      </c>
      <c r="G329" t="s">
        <v>28</v>
      </c>
      <c r="H329" s="2">
        <v>42800.72</v>
      </c>
      <c r="I329">
        <v>2</v>
      </c>
      <c r="J329" s="2">
        <v>3432.12</v>
      </c>
      <c r="K329" s="2"/>
    </row>
    <row r="330" spans="1:11" x14ac:dyDescent="0.3">
      <c r="A330">
        <v>329</v>
      </c>
      <c r="B330" s="1">
        <v>45245</v>
      </c>
      <c r="C330" t="s">
        <v>37</v>
      </c>
      <c r="D330" t="s">
        <v>27</v>
      </c>
      <c r="E330" t="s">
        <v>17</v>
      </c>
      <c r="F330" t="s">
        <v>24</v>
      </c>
      <c r="G330" t="s">
        <v>25</v>
      </c>
      <c r="H330" s="2">
        <v>11997.4</v>
      </c>
      <c r="I330">
        <v>9</v>
      </c>
      <c r="J330" s="2">
        <v>2230.12</v>
      </c>
      <c r="K330" s="2"/>
    </row>
    <row r="331" spans="1:11" x14ac:dyDescent="0.3">
      <c r="A331">
        <v>330</v>
      </c>
      <c r="B331" s="1">
        <v>45173</v>
      </c>
      <c r="C331" t="s">
        <v>15</v>
      </c>
      <c r="D331" t="s">
        <v>16</v>
      </c>
      <c r="E331" t="s">
        <v>20</v>
      </c>
      <c r="F331" t="s">
        <v>31</v>
      </c>
      <c r="G331" t="s">
        <v>33</v>
      </c>
      <c r="H331" s="2">
        <v>16524.43</v>
      </c>
      <c r="I331">
        <v>5</v>
      </c>
      <c r="J331" s="2">
        <v>3288.46</v>
      </c>
      <c r="K331" s="2"/>
    </row>
    <row r="332" spans="1:11" x14ac:dyDescent="0.3">
      <c r="A332">
        <v>331</v>
      </c>
      <c r="B332" s="1">
        <v>45270</v>
      </c>
      <c r="C332" t="s">
        <v>15</v>
      </c>
      <c r="D332" t="s">
        <v>16</v>
      </c>
      <c r="E332" t="s">
        <v>20</v>
      </c>
      <c r="F332" t="s">
        <v>31</v>
      </c>
      <c r="G332" t="s">
        <v>39</v>
      </c>
      <c r="H332" s="2">
        <v>10353.51</v>
      </c>
      <c r="I332">
        <v>9</v>
      </c>
      <c r="J332" s="2">
        <v>1656.01</v>
      </c>
      <c r="K332" s="2"/>
    </row>
    <row r="333" spans="1:11" x14ac:dyDescent="0.3">
      <c r="A333">
        <v>332</v>
      </c>
      <c r="B333" s="1">
        <v>45126</v>
      </c>
      <c r="C333" t="s">
        <v>10</v>
      </c>
      <c r="D333" t="s">
        <v>11</v>
      </c>
      <c r="E333" t="s">
        <v>12</v>
      </c>
      <c r="F333" t="s">
        <v>24</v>
      </c>
      <c r="G333" t="s">
        <v>29</v>
      </c>
      <c r="H333" s="2">
        <v>49849.49</v>
      </c>
      <c r="I333">
        <v>2</v>
      </c>
      <c r="J333" s="2">
        <v>14334.62</v>
      </c>
      <c r="K333" s="2"/>
    </row>
    <row r="334" spans="1:11" x14ac:dyDescent="0.3">
      <c r="A334">
        <v>333</v>
      </c>
      <c r="B334" s="1">
        <v>45150</v>
      </c>
      <c r="C334" t="s">
        <v>26</v>
      </c>
      <c r="D334" t="s">
        <v>27</v>
      </c>
      <c r="E334" t="s">
        <v>17</v>
      </c>
      <c r="F334" t="s">
        <v>31</v>
      </c>
      <c r="G334" t="s">
        <v>33</v>
      </c>
      <c r="H334" s="2">
        <v>40482.129999999997</v>
      </c>
      <c r="I334">
        <v>4</v>
      </c>
      <c r="J334" s="2">
        <v>9904.9599999999991</v>
      </c>
      <c r="K334" s="2"/>
    </row>
    <row r="335" spans="1:11" x14ac:dyDescent="0.3">
      <c r="A335">
        <v>334</v>
      </c>
      <c r="B335" s="1">
        <v>45062</v>
      </c>
      <c r="C335" t="s">
        <v>18</v>
      </c>
      <c r="D335" t="s">
        <v>19</v>
      </c>
      <c r="E335" t="s">
        <v>12</v>
      </c>
      <c r="F335" t="s">
        <v>24</v>
      </c>
      <c r="G335" t="s">
        <v>29</v>
      </c>
      <c r="H335" s="2">
        <v>24555.21</v>
      </c>
      <c r="I335">
        <v>7</v>
      </c>
      <c r="J335" s="2">
        <v>6048.99</v>
      </c>
      <c r="K335" s="2"/>
    </row>
    <row r="336" spans="1:11" x14ac:dyDescent="0.3">
      <c r="A336">
        <v>335</v>
      </c>
      <c r="B336" s="1">
        <v>45124</v>
      </c>
      <c r="C336" t="s">
        <v>26</v>
      </c>
      <c r="D336" t="s">
        <v>27</v>
      </c>
      <c r="E336" t="s">
        <v>17</v>
      </c>
      <c r="F336" t="s">
        <v>31</v>
      </c>
      <c r="G336" t="s">
        <v>39</v>
      </c>
      <c r="H336" s="2">
        <v>12319.01</v>
      </c>
      <c r="I336">
        <v>8</v>
      </c>
      <c r="J336" s="2">
        <v>2389.34</v>
      </c>
      <c r="K336" s="2"/>
    </row>
    <row r="337" spans="1:11" x14ac:dyDescent="0.3">
      <c r="A337">
        <v>336</v>
      </c>
      <c r="B337" s="1">
        <v>44980</v>
      </c>
      <c r="C337" t="s">
        <v>26</v>
      </c>
      <c r="D337" t="s">
        <v>27</v>
      </c>
      <c r="E337" t="s">
        <v>20</v>
      </c>
      <c r="F337" t="s">
        <v>31</v>
      </c>
      <c r="G337" t="s">
        <v>33</v>
      </c>
      <c r="H337" s="2">
        <v>13647.29</v>
      </c>
      <c r="I337">
        <v>1</v>
      </c>
      <c r="J337" s="2">
        <v>1756.26</v>
      </c>
      <c r="K337" s="2"/>
    </row>
    <row r="338" spans="1:11" x14ac:dyDescent="0.3">
      <c r="A338">
        <v>337</v>
      </c>
      <c r="B338" s="1">
        <v>44931</v>
      </c>
      <c r="C338" t="s">
        <v>26</v>
      </c>
      <c r="D338" t="s">
        <v>27</v>
      </c>
      <c r="E338" t="s">
        <v>20</v>
      </c>
      <c r="F338" t="s">
        <v>24</v>
      </c>
      <c r="G338" t="s">
        <v>29</v>
      </c>
      <c r="H338" s="2">
        <v>47809.440000000002</v>
      </c>
      <c r="I338">
        <v>8</v>
      </c>
      <c r="J338" s="2">
        <v>3486.63</v>
      </c>
      <c r="K338" s="2"/>
    </row>
    <row r="339" spans="1:11" x14ac:dyDescent="0.3">
      <c r="A339">
        <v>338</v>
      </c>
      <c r="B339" s="1">
        <v>45139</v>
      </c>
      <c r="C339" t="s">
        <v>22</v>
      </c>
      <c r="D339" t="s">
        <v>22</v>
      </c>
      <c r="E339" t="s">
        <v>12</v>
      </c>
      <c r="F339" t="s">
        <v>13</v>
      </c>
      <c r="G339" t="s">
        <v>21</v>
      </c>
      <c r="H339" s="2">
        <v>13063.77</v>
      </c>
      <c r="I339">
        <v>7</v>
      </c>
      <c r="J339" s="2">
        <v>919.67</v>
      </c>
      <c r="K339" s="2"/>
    </row>
    <row r="340" spans="1:11" x14ac:dyDescent="0.3">
      <c r="A340">
        <v>339</v>
      </c>
      <c r="B340" s="1">
        <v>45269</v>
      </c>
      <c r="C340" t="s">
        <v>37</v>
      </c>
      <c r="D340" t="s">
        <v>27</v>
      </c>
      <c r="E340" t="s">
        <v>17</v>
      </c>
      <c r="F340" t="s">
        <v>13</v>
      </c>
      <c r="G340" t="s">
        <v>34</v>
      </c>
      <c r="H340" s="2">
        <v>19511.96</v>
      </c>
      <c r="I340">
        <v>9</v>
      </c>
      <c r="J340" s="2">
        <v>3592.28</v>
      </c>
      <c r="K340" s="2"/>
    </row>
    <row r="341" spans="1:11" x14ac:dyDescent="0.3">
      <c r="A341">
        <v>340</v>
      </c>
      <c r="B341" s="1">
        <v>45197</v>
      </c>
      <c r="C341" t="s">
        <v>26</v>
      </c>
      <c r="D341" t="s">
        <v>27</v>
      </c>
      <c r="E341" t="s">
        <v>12</v>
      </c>
      <c r="F341" t="s">
        <v>13</v>
      </c>
      <c r="G341" t="s">
        <v>34</v>
      </c>
      <c r="H341" s="2">
        <v>3861.56</v>
      </c>
      <c r="I341">
        <v>3</v>
      </c>
      <c r="J341" s="2">
        <v>788.54</v>
      </c>
      <c r="K341" s="2"/>
    </row>
    <row r="342" spans="1:11" x14ac:dyDescent="0.3">
      <c r="A342">
        <v>341</v>
      </c>
      <c r="B342" s="1">
        <v>45107</v>
      </c>
      <c r="C342" t="s">
        <v>15</v>
      </c>
      <c r="D342" t="s">
        <v>16</v>
      </c>
      <c r="E342" t="s">
        <v>17</v>
      </c>
      <c r="F342" t="s">
        <v>31</v>
      </c>
      <c r="G342" t="s">
        <v>39</v>
      </c>
      <c r="H342" s="2">
        <v>5630.69</v>
      </c>
      <c r="I342">
        <v>7</v>
      </c>
      <c r="J342" s="2">
        <v>337.23</v>
      </c>
      <c r="K342" s="2"/>
    </row>
    <row r="343" spans="1:11" x14ac:dyDescent="0.3">
      <c r="A343">
        <v>342</v>
      </c>
      <c r="B343" s="1">
        <v>45286</v>
      </c>
      <c r="C343" t="s">
        <v>26</v>
      </c>
      <c r="D343" t="s">
        <v>27</v>
      </c>
      <c r="E343" t="s">
        <v>20</v>
      </c>
      <c r="F343" t="s">
        <v>31</v>
      </c>
      <c r="G343" t="s">
        <v>39</v>
      </c>
      <c r="H343" s="2">
        <v>12929.68</v>
      </c>
      <c r="I343">
        <v>1</v>
      </c>
      <c r="J343" s="2">
        <v>3699.71</v>
      </c>
      <c r="K343" s="2"/>
    </row>
    <row r="344" spans="1:11" x14ac:dyDescent="0.3">
      <c r="A344">
        <v>343</v>
      </c>
      <c r="B344" s="1">
        <v>45136</v>
      </c>
      <c r="C344" t="s">
        <v>22</v>
      </c>
      <c r="D344" t="s">
        <v>22</v>
      </c>
      <c r="E344" t="s">
        <v>20</v>
      </c>
      <c r="F344" t="s">
        <v>13</v>
      </c>
      <c r="G344" t="s">
        <v>21</v>
      </c>
      <c r="H344" s="2">
        <v>2770.4</v>
      </c>
      <c r="I344">
        <v>7</v>
      </c>
      <c r="J344" s="2">
        <v>401.13</v>
      </c>
      <c r="K344" s="2"/>
    </row>
    <row r="345" spans="1:11" x14ac:dyDescent="0.3">
      <c r="A345">
        <v>344</v>
      </c>
      <c r="B345" s="1">
        <v>45076</v>
      </c>
      <c r="C345" t="s">
        <v>38</v>
      </c>
      <c r="D345" t="s">
        <v>27</v>
      </c>
      <c r="E345" t="s">
        <v>12</v>
      </c>
      <c r="F345" t="s">
        <v>31</v>
      </c>
      <c r="G345" t="s">
        <v>32</v>
      </c>
      <c r="H345" s="2">
        <v>44238.62</v>
      </c>
      <c r="I345">
        <v>7</v>
      </c>
      <c r="J345" s="2">
        <v>10311.209999999999</v>
      </c>
      <c r="K345" s="2"/>
    </row>
    <row r="346" spans="1:11" x14ac:dyDescent="0.3">
      <c r="A346">
        <v>345</v>
      </c>
      <c r="B346" s="1">
        <v>45024</v>
      </c>
      <c r="C346" t="s">
        <v>18</v>
      </c>
      <c r="D346" t="s">
        <v>19</v>
      </c>
      <c r="E346" t="s">
        <v>17</v>
      </c>
      <c r="F346" t="s">
        <v>13</v>
      </c>
      <c r="G346" t="s">
        <v>34</v>
      </c>
      <c r="H346" s="2">
        <v>34979.96</v>
      </c>
      <c r="I346">
        <v>3</v>
      </c>
      <c r="J346" s="2">
        <v>6888.91</v>
      </c>
      <c r="K346" s="2"/>
    </row>
    <row r="347" spans="1:11" x14ac:dyDescent="0.3">
      <c r="A347">
        <v>346</v>
      </c>
      <c r="B347" s="1">
        <v>45085</v>
      </c>
      <c r="C347" t="s">
        <v>22</v>
      </c>
      <c r="D347" t="s">
        <v>22</v>
      </c>
      <c r="E347" t="s">
        <v>12</v>
      </c>
      <c r="F347" t="s">
        <v>31</v>
      </c>
      <c r="G347" t="s">
        <v>32</v>
      </c>
      <c r="H347" s="2">
        <v>48862.53</v>
      </c>
      <c r="I347">
        <v>4</v>
      </c>
      <c r="J347" s="2">
        <v>12427.15</v>
      </c>
      <c r="K347" s="2"/>
    </row>
    <row r="348" spans="1:11" x14ac:dyDescent="0.3">
      <c r="A348">
        <v>347</v>
      </c>
      <c r="B348" s="1">
        <v>45207</v>
      </c>
      <c r="C348" t="s">
        <v>37</v>
      </c>
      <c r="D348" t="s">
        <v>27</v>
      </c>
      <c r="E348" t="s">
        <v>17</v>
      </c>
      <c r="F348" t="s">
        <v>13</v>
      </c>
      <c r="G348" t="s">
        <v>21</v>
      </c>
      <c r="H348" s="2">
        <v>8542.52</v>
      </c>
      <c r="I348">
        <v>9</v>
      </c>
      <c r="J348" s="2">
        <v>1149.1300000000001</v>
      </c>
      <c r="K348" s="2"/>
    </row>
    <row r="349" spans="1:11" x14ac:dyDescent="0.3">
      <c r="A349">
        <v>348</v>
      </c>
      <c r="B349" s="1">
        <v>45256</v>
      </c>
      <c r="C349" t="s">
        <v>10</v>
      </c>
      <c r="D349" t="s">
        <v>11</v>
      </c>
      <c r="E349" t="s">
        <v>20</v>
      </c>
      <c r="F349" t="s">
        <v>13</v>
      </c>
      <c r="G349" t="s">
        <v>14</v>
      </c>
      <c r="H349" s="2">
        <v>27306.13</v>
      </c>
      <c r="I349">
        <v>6</v>
      </c>
      <c r="J349" s="2">
        <v>6925.83</v>
      </c>
      <c r="K349" s="2"/>
    </row>
    <row r="350" spans="1:11" x14ac:dyDescent="0.3">
      <c r="A350">
        <v>349</v>
      </c>
      <c r="B350" s="1">
        <v>45192</v>
      </c>
      <c r="C350" t="s">
        <v>26</v>
      </c>
      <c r="D350" t="s">
        <v>27</v>
      </c>
      <c r="E350" t="s">
        <v>20</v>
      </c>
      <c r="F350" t="s">
        <v>13</v>
      </c>
      <c r="G350" t="s">
        <v>14</v>
      </c>
      <c r="H350" s="2">
        <v>6233.07</v>
      </c>
      <c r="I350">
        <v>2</v>
      </c>
      <c r="J350" s="2">
        <v>1160.33</v>
      </c>
      <c r="K350" s="2"/>
    </row>
    <row r="351" spans="1:11" x14ac:dyDescent="0.3">
      <c r="A351">
        <v>350</v>
      </c>
      <c r="B351" s="1">
        <v>44946</v>
      </c>
      <c r="C351" t="s">
        <v>37</v>
      </c>
      <c r="D351" t="s">
        <v>27</v>
      </c>
      <c r="E351" t="s">
        <v>12</v>
      </c>
      <c r="F351" t="s">
        <v>24</v>
      </c>
      <c r="G351" t="s">
        <v>28</v>
      </c>
      <c r="H351" s="2">
        <v>16041.6</v>
      </c>
      <c r="I351">
        <v>4</v>
      </c>
      <c r="J351" s="2">
        <v>3108.36</v>
      </c>
      <c r="K351" s="2"/>
    </row>
    <row r="352" spans="1:11" x14ac:dyDescent="0.3">
      <c r="A352">
        <v>351</v>
      </c>
      <c r="B352" s="1">
        <v>44960</v>
      </c>
      <c r="C352" t="s">
        <v>37</v>
      </c>
      <c r="D352" t="s">
        <v>27</v>
      </c>
      <c r="E352" t="s">
        <v>17</v>
      </c>
      <c r="F352" t="s">
        <v>13</v>
      </c>
      <c r="G352" t="s">
        <v>14</v>
      </c>
      <c r="H352" s="2">
        <v>32906.46</v>
      </c>
      <c r="I352">
        <v>10</v>
      </c>
      <c r="J352" s="2">
        <v>2385.66</v>
      </c>
      <c r="K352" s="2"/>
    </row>
    <row r="353" spans="1:11" x14ac:dyDescent="0.3">
      <c r="A353">
        <v>352</v>
      </c>
      <c r="B353" s="1">
        <v>44988</v>
      </c>
      <c r="C353" t="s">
        <v>22</v>
      </c>
      <c r="D353" t="s">
        <v>22</v>
      </c>
      <c r="E353" t="s">
        <v>12</v>
      </c>
      <c r="F353" t="s">
        <v>31</v>
      </c>
      <c r="G353" t="s">
        <v>39</v>
      </c>
      <c r="H353" s="2">
        <v>37239.54</v>
      </c>
      <c r="I353">
        <v>7</v>
      </c>
      <c r="J353" s="2">
        <v>2504.85</v>
      </c>
      <c r="K353" s="2"/>
    </row>
    <row r="354" spans="1:11" x14ac:dyDescent="0.3">
      <c r="A354">
        <v>353</v>
      </c>
      <c r="B354" s="1">
        <v>45202</v>
      </c>
      <c r="C354" t="s">
        <v>22</v>
      </c>
      <c r="D354" t="s">
        <v>22</v>
      </c>
      <c r="E354" t="s">
        <v>17</v>
      </c>
      <c r="F354" t="s">
        <v>31</v>
      </c>
      <c r="G354" t="s">
        <v>39</v>
      </c>
      <c r="H354" s="2">
        <v>4483.34</v>
      </c>
      <c r="I354">
        <v>9</v>
      </c>
      <c r="J354" s="2">
        <v>1083.8</v>
      </c>
      <c r="K354" s="2"/>
    </row>
    <row r="355" spans="1:11" x14ac:dyDescent="0.3">
      <c r="A355">
        <v>354</v>
      </c>
      <c r="B355" s="1">
        <v>44965</v>
      </c>
      <c r="C355" t="s">
        <v>37</v>
      </c>
      <c r="D355" t="s">
        <v>27</v>
      </c>
      <c r="E355" t="s">
        <v>20</v>
      </c>
      <c r="F355" t="s">
        <v>31</v>
      </c>
      <c r="G355" t="s">
        <v>32</v>
      </c>
      <c r="H355" s="2">
        <v>48213.14</v>
      </c>
      <c r="I355">
        <v>6</v>
      </c>
      <c r="J355" s="2">
        <v>10326.15</v>
      </c>
      <c r="K355" s="2"/>
    </row>
    <row r="356" spans="1:11" x14ac:dyDescent="0.3">
      <c r="A356">
        <v>355</v>
      </c>
      <c r="B356" s="1">
        <v>45087</v>
      </c>
      <c r="C356" t="s">
        <v>22</v>
      </c>
      <c r="D356" t="s">
        <v>22</v>
      </c>
      <c r="E356" t="s">
        <v>20</v>
      </c>
      <c r="F356" t="s">
        <v>24</v>
      </c>
      <c r="G356" t="s">
        <v>29</v>
      </c>
      <c r="H356" s="2">
        <v>42851.99</v>
      </c>
      <c r="I356">
        <v>5</v>
      </c>
      <c r="J356" s="2">
        <v>9496.2099999999991</v>
      </c>
      <c r="K356" s="2"/>
    </row>
    <row r="357" spans="1:11" x14ac:dyDescent="0.3">
      <c r="A357">
        <v>356</v>
      </c>
      <c r="B357" s="1">
        <v>44987</v>
      </c>
      <c r="C357" t="s">
        <v>18</v>
      </c>
      <c r="D357" t="s">
        <v>19</v>
      </c>
      <c r="E357" t="s">
        <v>12</v>
      </c>
      <c r="F357" t="s">
        <v>24</v>
      </c>
      <c r="G357" t="s">
        <v>28</v>
      </c>
      <c r="H357" s="2">
        <v>1320.69</v>
      </c>
      <c r="I357">
        <v>2</v>
      </c>
      <c r="J357" s="2">
        <v>152.43</v>
      </c>
      <c r="K357" s="2"/>
    </row>
    <row r="358" spans="1:11" x14ac:dyDescent="0.3">
      <c r="A358">
        <v>357</v>
      </c>
      <c r="B358" s="1">
        <v>45093</v>
      </c>
      <c r="C358" t="s">
        <v>38</v>
      </c>
      <c r="D358" t="s">
        <v>27</v>
      </c>
      <c r="E358" t="s">
        <v>17</v>
      </c>
      <c r="F358" t="s">
        <v>31</v>
      </c>
      <c r="G358" t="s">
        <v>33</v>
      </c>
      <c r="H358" s="2">
        <v>27600.51</v>
      </c>
      <c r="I358">
        <v>4</v>
      </c>
      <c r="J358" s="2">
        <v>6255.76</v>
      </c>
      <c r="K358" s="2"/>
    </row>
    <row r="359" spans="1:11" x14ac:dyDescent="0.3">
      <c r="A359">
        <v>358</v>
      </c>
      <c r="B359" s="1">
        <v>44942</v>
      </c>
      <c r="C359" t="s">
        <v>15</v>
      </c>
      <c r="D359" t="s">
        <v>16</v>
      </c>
      <c r="E359" t="s">
        <v>12</v>
      </c>
      <c r="F359" t="s">
        <v>13</v>
      </c>
      <c r="G359" t="s">
        <v>21</v>
      </c>
      <c r="H359" s="2">
        <v>36776.78</v>
      </c>
      <c r="I359">
        <v>10</v>
      </c>
      <c r="J359" s="2">
        <v>9228.1200000000008</v>
      </c>
      <c r="K359" s="2"/>
    </row>
    <row r="360" spans="1:11" x14ac:dyDescent="0.3">
      <c r="A360">
        <v>359</v>
      </c>
      <c r="B360" s="1">
        <v>45214</v>
      </c>
      <c r="C360" t="s">
        <v>30</v>
      </c>
      <c r="D360" t="s">
        <v>16</v>
      </c>
      <c r="E360" t="s">
        <v>17</v>
      </c>
      <c r="F360" t="s">
        <v>31</v>
      </c>
      <c r="G360" t="s">
        <v>33</v>
      </c>
      <c r="H360" s="2">
        <v>23572.9</v>
      </c>
      <c r="I360">
        <v>9</v>
      </c>
      <c r="J360" s="2">
        <v>2990.66</v>
      </c>
      <c r="K360" s="2"/>
    </row>
    <row r="361" spans="1:11" x14ac:dyDescent="0.3">
      <c r="A361">
        <v>360</v>
      </c>
      <c r="B361" s="1">
        <v>45259</v>
      </c>
      <c r="C361" t="s">
        <v>30</v>
      </c>
      <c r="D361" t="s">
        <v>16</v>
      </c>
      <c r="E361" t="s">
        <v>20</v>
      </c>
      <c r="F361" t="s">
        <v>13</v>
      </c>
      <c r="G361" t="s">
        <v>21</v>
      </c>
      <c r="H361" s="2">
        <v>47935.1</v>
      </c>
      <c r="I361">
        <v>5</v>
      </c>
      <c r="J361" s="2">
        <v>13700.82</v>
      </c>
      <c r="K361" s="2"/>
    </row>
    <row r="362" spans="1:11" x14ac:dyDescent="0.3">
      <c r="A362">
        <v>361</v>
      </c>
      <c r="B362" s="1">
        <v>45227</v>
      </c>
      <c r="C362" t="s">
        <v>35</v>
      </c>
      <c r="D362" t="s">
        <v>36</v>
      </c>
      <c r="E362" t="s">
        <v>20</v>
      </c>
      <c r="F362" t="s">
        <v>24</v>
      </c>
      <c r="G362" t="s">
        <v>25</v>
      </c>
      <c r="H362" s="2">
        <v>48787.24</v>
      </c>
      <c r="I362">
        <v>5</v>
      </c>
      <c r="J362" s="2">
        <v>4438.05</v>
      </c>
      <c r="K362" s="2"/>
    </row>
    <row r="363" spans="1:11" x14ac:dyDescent="0.3">
      <c r="A363">
        <v>362</v>
      </c>
      <c r="B363" s="1">
        <v>45215</v>
      </c>
      <c r="C363" t="s">
        <v>38</v>
      </c>
      <c r="D363" t="s">
        <v>27</v>
      </c>
      <c r="E363" t="s">
        <v>12</v>
      </c>
      <c r="F363" t="s">
        <v>24</v>
      </c>
      <c r="G363" t="s">
        <v>29</v>
      </c>
      <c r="H363" s="2">
        <v>40509.99</v>
      </c>
      <c r="I363">
        <v>10</v>
      </c>
      <c r="J363" s="2">
        <v>9829.24</v>
      </c>
      <c r="K363" s="2"/>
    </row>
    <row r="364" spans="1:11" x14ac:dyDescent="0.3">
      <c r="A364">
        <v>363</v>
      </c>
      <c r="B364" s="1">
        <v>45006</v>
      </c>
      <c r="C364" t="s">
        <v>22</v>
      </c>
      <c r="D364" t="s">
        <v>22</v>
      </c>
      <c r="E364" t="s">
        <v>17</v>
      </c>
      <c r="F364" t="s">
        <v>13</v>
      </c>
      <c r="G364" t="s">
        <v>34</v>
      </c>
      <c r="H364" s="2">
        <v>48237.08</v>
      </c>
      <c r="I364">
        <v>4</v>
      </c>
      <c r="J364" s="2">
        <v>9886.32</v>
      </c>
      <c r="K364" s="2"/>
    </row>
    <row r="365" spans="1:11" x14ac:dyDescent="0.3">
      <c r="A365">
        <v>364</v>
      </c>
      <c r="B365" s="1">
        <v>45208</v>
      </c>
      <c r="C365" t="s">
        <v>38</v>
      </c>
      <c r="D365" t="s">
        <v>27</v>
      </c>
      <c r="E365" t="s">
        <v>12</v>
      </c>
      <c r="F365" t="s">
        <v>31</v>
      </c>
      <c r="G365" t="s">
        <v>33</v>
      </c>
      <c r="H365" s="2">
        <v>8457.08</v>
      </c>
      <c r="I365">
        <v>3</v>
      </c>
      <c r="J365" s="2">
        <v>618.28</v>
      </c>
      <c r="K365" s="2"/>
    </row>
    <row r="366" spans="1:11" x14ac:dyDescent="0.3">
      <c r="A366">
        <v>365</v>
      </c>
      <c r="B366" s="1">
        <v>45110</v>
      </c>
      <c r="C366" t="s">
        <v>30</v>
      </c>
      <c r="D366" t="s">
        <v>16</v>
      </c>
      <c r="E366" t="s">
        <v>17</v>
      </c>
      <c r="F366" t="s">
        <v>31</v>
      </c>
      <c r="G366" t="s">
        <v>33</v>
      </c>
      <c r="H366" s="2">
        <v>38741.599999999999</v>
      </c>
      <c r="I366">
        <v>2</v>
      </c>
      <c r="J366" s="2">
        <v>3876.42</v>
      </c>
      <c r="K366" s="2"/>
    </row>
    <row r="367" spans="1:11" x14ac:dyDescent="0.3">
      <c r="A367">
        <v>366</v>
      </c>
      <c r="B367" s="1">
        <v>45185</v>
      </c>
      <c r="C367" t="s">
        <v>26</v>
      </c>
      <c r="D367" t="s">
        <v>27</v>
      </c>
      <c r="E367" t="s">
        <v>20</v>
      </c>
      <c r="F367" t="s">
        <v>13</v>
      </c>
      <c r="G367" t="s">
        <v>34</v>
      </c>
      <c r="H367" s="2">
        <v>2389.33</v>
      </c>
      <c r="I367">
        <v>2</v>
      </c>
      <c r="J367" s="2">
        <v>314.41000000000003</v>
      </c>
      <c r="K367" s="2"/>
    </row>
    <row r="368" spans="1:11" x14ac:dyDescent="0.3">
      <c r="A368">
        <v>367</v>
      </c>
      <c r="B368" s="1">
        <v>45271</v>
      </c>
      <c r="C368" t="s">
        <v>18</v>
      </c>
      <c r="D368" t="s">
        <v>19</v>
      </c>
      <c r="E368" t="s">
        <v>20</v>
      </c>
      <c r="F368" t="s">
        <v>13</v>
      </c>
      <c r="G368" t="s">
        <v>21</v>
      </c>
      <c r="H368" s="2">
        <v>49373.38</v>
      </c>
      <c r="I368">
        <v>5</v>
      </c>
      <c r="J368" s="2">
        <v>3614.64</v>
      </c>
      <c r="K368" s="2"/>
    </row>
    <row r="369" spans="1:11" x14ac:dyDescent="0.3">
      <c r="A369">
        <v>368</v>
      </c>
      <c r="B369" s="1">
        <v>45039</v>
      </c>
      <c r="C369" t="s">
        <v>37</v>
      </c>
      <c r="D369" t="s">
        <v>27</v>
      </c>
      <c r="E369" t="s">
        <v>12</v>
      </c>
      <c r="F369" t="s">
        <v>24</v>
      </c>
      <c r="G369" t="s">
        <v>28</v>
      </c>
      <c r="H369" s="2">
        <v>8784.44</v>
      </c>
      <c r="I369">
        <v>3</v>
      </c>
      <c r="J369" s="2">
        <v>2460.11</v>
      </c>
      <c r="K369" s="2"/>
    </row>
    <row r="370" spans="1:11" x14ac:dyDescent="0.3">
      <c r="A370">
        <v>369</v>
      </c>
      <c r="B370" s="1">
        <v>45104</v>
      </c>
      <c r="C370" t="s">
        <v>22</v>
      </c>
      <c r="D370" t="s">
        <v>22</v>
      </c>
      <c r="E370" t="s">
        <v>17</v>
      </c>
      <c r="F370" t="s">
        <v>24</v>
      </c>
      <c r="G370" t="s">
        <v>25</v>
      </c>
      <c r="H370" s="2">
        <v>23978.25</v>
      </c>
      <c r="I370">
        <v>2</v>
      </c>
      <c r="J370" s="2">
        <v>4700.3500000000004</v>
      </c>
      <c r="K370" s="2"/>
    </row>
    <row r="371" spans="1:11" x14ac:dyDescent="0.3">
      <c r="A371">
        <v>370</v>
      </c>
      <c r="B371" s="1">
        <v>45221</v>
      </c>
      <c r="C371" t="s">
        <v>10</v>
      </c>
      <c r="D371" t="s">
        <v>11</v>
      </c>
      <c r="E371" t="s">
        <v>12</v>
      </c>
      <c r="F371" t="s">
        <v>31</v>
      </c>
      <c r="G371" t="s">
        <v>39</v>
      </c>
      <c r="H371" s="2">
        <v>45270.46</v>
      </c>
      <c r="I371">
        <v>3</v>
      </c>
      <c r="J371" s="2">
        <v>8514.58</v>
      </c>
      <c r="K371" s="2"/>
    </row>
    <row r="372" spans="1:11" x14ac:dyDescent="0.3">
      <c r="A372">
        <v>371</v>
      </c>
      <c r="B372" s="1">
        <v>45023</v>
      </c>
      <c r="C372" t="s">
        <v>35</v>
      </c>
      <c r="D372" t="s">
        <v>36</v>
      </c>
      <c r="E372" t="s">
        <v>17</v>
      </c>
      <c r="F372" t="s">
        <v>13</v>
      </c>
      <c r="G372" t="s">
        <v>21</v>
      </c>
      <c r="H372" s="2">
        <v>45850.91</v>
      </c>
      <c r="I372">
        <v>2</v>
      </c>
      <c r="J372" s="2">
        <v>6963.28</v>
      </c>
      <c r="K372" s="2"/>
    </row>
    <row r="373" spans="1:11" x14ac:dyDescent="0.3">
      <c r="A373">
        <v>372</v>
      </c>
      <c r="B373" s="1">
        <v>44927</v>
      </c>
      <c r="C373" t="s">
        <v>22</v>
      </c>
      <c r="D373" t="s">
        <v>22</v>
      </c>
      <c r="E373" t="s">
        <v>20</v>
      </c>
      <c r="F373" t="s">
        <v>13</v>
      </c>
      <c r="G373" t="s">
        <v>34</v>
      </c>
      <c r="H373" s="2">
        <v>49704.45</v>
      </c>
      <c r="I373">
        <v>1</v>
      </c>
      <c r="J373" s="2">
        <v>6338.36</v>
      </c>
      <c r="K373" s="2"/>
    </row>
    <row r="374" spans="1:11" x14ac:dyDescent="0.3">
      <c r="A374">
        <v>373</v>
      </c>
      <c r="B374" s="1">
        <v>45100</v>
      </c>
      <c r="C374" t="s">
        <v>10</v>
      </c>
      <c r="D374" t="s">
        <v>11</v>
      </c>
      <c r="E374" t="s">
        <v>20</v>
      </c>
      <c r="F374" t="s">
        <v>24</v>
      </c>
      <c r="G374" t="s">
        <v>29</v>
      </c>
      <c r="H374" s="2">
        <v>7689.17</v>
      </c>
      <c r="I374">
        <v>2</v>
      </c>
      <c r="J374" s="2">
        <v>2073.4699999999998</v>
      </c>
      <c r="K374" s="2"/>
    </row>
    <row r="375" spans="1:11" x14ac:dyDescent="0.3">
      <c r="A375">
        <v>374</v>
      </c>
      <c r="B375" s="1">
        <v>45020</v>
      </c>
      <c r="C375" t="s">
        <v>37</v>
      </c>
      <c r="D375" t="s">
        <v>27</v>
      </c>
      <c r="E375" t="s">
        <v>12</v>
      </c>
      <c r="F375" t="s">
        <v>13</v>
      </c>
      <c r="G375" t="s">
        <v>21</v>
      </c>
      <c r="H375" s="2">
        <v>11067.26</v>
      </c>
      <c r="I375">
        <v>3</v>
      </c>
      <c r="J375" s="2">
        <v>2295.61</v>
      </c>
      <c r="K375" s="2"/>
    </row>
    <row r="376" spans="1:11" x14ac:dyDescent="0.3">
      <c r="A376">
        <v>375</v>
      </c>
      <c r="B376" s="1">
        <v>45220</v>
      </c>
      <c r="C376" t="s">
        <v>18</v>
      </c>
      <c r="D376" t="s">
        <v>19</v>
      </c>
      <c r="E376" t="s">
        <v>17</v>
      </c>
      <c r="F376" t="s">
        <v>13</v>
      </c>
      <c r="G376" t="s">
        <v>21</v>
      </c>
      <c r="H376" s="2">
        <v>4039.27</v>
      </c>
      <c r="I376">
        <v>4</v>
      </c>
      <c r="J376" s="2">
        <v>706.06</v>
      </c>
      <c r="K376" s="2"/>
    </row>
    <row r="377" spans="1:11" x14ac:dyDescent="0.3">
      <c r="A377">
        <v>376</v>
      </c>
      <c r="B377" s="1">
        <v>45084</v>
      </c>
      <c r="C377" t="s">
        <v>22</v>
      </c>
      <c r="D377" t="s">
        <v>22</v>
      </c>
      <c r="E377" t="s">
        <v>12</v>
      </c>
      <c r="F377" t="s">
        <v>13</v>
      </c>
      <c r="G377" t="s">
        <v>34</v>
      </c>
      <c r="H377" s="2">
        <v>21927.99</v>
      </c>
      <c r="I377">
        <v>1</v>
      </c>
      <c r="J377" s="2">
        <v>3544.98</v>
      </c>
      <c r="K377" s="2"/>
    </row>
    <row r="378" spans="1:11" x14ac:dyDescent="0.3">
      <c r="A378">
        <v>377</v>
      </c>
      <c r="B378" s="1">
        <v>45057</v>
      </c>
      <c r="C378" t="s">
        <v>30</v>
      </c>
      <c r="D378" t="s">
        <v>16</v>
      </c>
      <c r="E378" t="s">
        <v>17</v>
      </c>
      <c r="F378" t="s">
        <v>31</v>
      </c>
      <c r="G378" t="s">
        <v>32</v>
      </c>
      <c r="H378" s="2">
        <v>5975.75</v>
      </c>
      <c r="I378">
        <v>2</v>
      </c>
      <c r="J378" s="2">
        <v>329.14</v>
      </c>
      <c r="K378" s="2"/>
    </row>
    <row r="379" spans="1:11" x14ac:dyDescent="0.3">
      <c r="A379">
        <v>378</v>
      </c>
      <c r="B379" s="1">
        <v>45191</v>
      </c>
      <c r="C379" t="s">
        <v>10</v>
      </c>
      <c r="D379" t="s">
        <v>11</v>
      </c>
      <c r="E379" t="s">
        <v>20</v>
      </c>
      <c r="F379" t="s">
        <v>31</v>
      </c>
      <c r="G379" t="s">
        <v>33</v>
      </c>
      <c r="H379" s="2">
        <v>20190.7</v>
      </c>
      <c r="I379">
        <v>3</v>
      </c>
      <c r="J379" s="2">
        <v>2927.7</v>
      </c>
      <c r="K379" s="2"/>
    </row>
    <row r="380" spans="1:11" x14ac:dyDescent="0.3">
      <c r="A380">
        <v>379</v>
      </c>
      <c r="B380" s="1">
        <v>44967</v>
      </c>
      <c r="C380" t="s">
        <v>22</v>
      </c>
      <c r="D380" t="s">
        <v>22</v>
      </c>
      <c r="E380" t="s">
        <v>20</v>
      </c>
      <c r="F380" t="s">
        <v>31</v>
      </c>
      <c r="G380" t="s">
        <v>33</v>
      </c>
      <c r="H380" s="2">
        <v>13485.54</v>
      </c>
      <c r="I380">
        <v>7</v>
      </c>
      <c r="J380" s="2">
        <v>3010.14</v>
      </c>
      <c r="K380" s="2"/>
    </row>
    <row r="381" spans="1:11" x14ac:dyDescent="0.3">
      <c r="A381">
        <v>380</v>
      </c>
      <c r="B381" s="1">
        <v>45087</v>
      </c>
      <c r="C381" t="s">
        <v>15</v>
      </c>
      <c r="D381" t="s">
        <v>16</v>
      </c>
      <c r="E381" t="s">
        <v>12</v>
      </c>
      <c r="F381" t="s">
        <v>13</v>
      </c>
      <c r="G381" t="s">
        <v>34</v>
      </c>
      <c r="H381" s="2">
        <v>21403.96</v>
      </c>
      <c r="I381">
        <v>2</v>
      </c>
      <c r="J381" s="2">
        <v>5457.97</v>
      </c>
      <c r="K381" s="2"/>
    </row>
    <row r="382" spans="1:11" x14ac:dyDescent="0.3">
      <c r="A382">
        <v>381</v>
      </c>
      <c r="B382" s="1">
        <v>45216</v>
      </c>
      <c r="C382" t="s">
        <v>22</v>
      </c>
      <c r="D382" t="s">
        <v>22</v>
      </c>
      <c r="E382" t="s">
        <v>17</v>
      </c>
      <c r="F382" t="s">
        <v>13</v>
      </c>
      <c r="G382" t="s">
        <v>14</v>
      </c>
      <c r="H382" s="2">
        <v>28745.93</v>
      </c>
      <c r="I382">
        <v>8</v>
      </c>
      <c r="J382" s="2">
        <v>6468.31</v>
      </c>
      <c r="K382" s="2"/>
    </row>
    <row r="383" spans="1:11" x14ac:dyDescent="0.3">
      <c r="A383">
        <v>382</v>
      </c>
      <c r="B383" s="1">
        <v>45116</v>
      </c>
      <c r="C383" t="s">
        <v>30</v>
      </c>
      <c r="D383" t="s">
        <v>16</v>
      </c>
      <c r="E383" t="s">
        <v>12</v>
      </c>
      <c r="F383" t="s">
        <v>24</v>
      </c>
      <c r="G383" t="s">
        <v>29</v>
      </c>
      <c r="H383" s="2">
        <v>7482.71</v>
      </c>
      <c r="I383">
        <v>5</v>
      </c>
      <c r="J383" s="2">
        <v>437.89</v>
      </c>
      <c r="K383" s="2"/>
    </row>
    <row r="384" spans="1:11" x14ac:dyDescent="0.3">
      <c r="A384">
        <v>383</v>
      </c>
      <c r="B384" s="1">
        <v>45266</v>
      </c>
      <c r="C384" t="s">
        <v>37</v>
      </c>
      <c r="D384" t="s">
        <v>27</v>
      </c>
      <c r="E384" t="s">
        <v>17</v>
      </c>
      <c r="F384" t="s">
        <v>24</v>
      </c>
      <c r="G384" t="s">
        <v>25</v>
      </c>
      <c r="H384" s="2">
        <v>46251.07</v>
      </c>
      <c r="I384">
        <v>7</v>
      </c>
      <c r="J384" s="2">
        <v>2777.42</v>
      </c>
      <c r="K384" s="2"/>
    </row>
    <row r="385" spans="1:11" x14ac:dyDescent="0.3">
      <c r="A385">
        <v>384</v>
      </c>
      <c r="B385" s="1">
        <v>45207</v>
      </c>
      <c r="C385" t="s">
        <v>22</v>
      </c>
      <c r="D385" t="s">
        <v>22</v>
      </c>
      <c r="E385" t="s">
        <v>20</v>
      </c>
      <c r="F385" t="s">
        <v>24</v>
      </c>
      <c r="G385" t="s">
        <v>28</v>
      </c>
      <c r="H385" s="2">
        <v>19948.55</v>
      </c>
      <c r="I385">
        <v>4</v>
      </c>
      <c r="J385" s="2">
        <v>1195.3</v>
      </c>
      <c r="K385" s="2"/>
    </row>
    <row r="386" spans="1:11" x14ac:dyDescent="0.3">
      <c r="A386">
        <v>385</v>
      </c>
      <c r="B386" s="1">
        <v>45085</v>
      </c>
      <c r="C386" t="s">
        <v>15</v>
      </c>
      <c r="D386" t="s">
        <v>16</v>
      </c>
      <c r="E386" t="s">
        <v>20</v>
      </c>
      <c r="F386" t="s">
        <v>24</v>
      </c>
      <c r="G386" t="s">
        <v>29</v>
      </c>
      <c r="H386" s="2">
        <v>5721.76</v>
      </c>
      <c r="I386">
        <v>7</v>
      </c>
      <c r="J386" s="2">
        <v>1413.25</v>
      </c>
      <c r="K386" s="2"/>
    </row>
    <row r="387" spans="1:11" x14ac:dyDescent="0.3">
      <c r="A387">
        <v>386</v>
      </c>
      <c r="B387" s="1">
        <v>45204</v>
      </c>
      <c r="C387" t="s">
        <v>30</v>
      </c>
      <c r="D387" t="s">
        <v>16</v>
      </c>
      <c r="E387" t="s">
        <v>12</v>
      </c>
      <c r="F387" t="s">
        <v>24</v>
      </c>
      <c r="G387" t="s">
        <v>29</v>
      </c>
      <c r="H387" s="2">
        <v>20443.47</v>
      </c>
      <c r="I387">
        <v>4</v>
      </c>
      <c r="J387" s="2">
        <v>3275.27</v>
      </c>
      <c r="K387" s="2"/>
    </row>
    <row r="388" spans="1:11" x14ac:dyDescent="0.3">
      <c r="A388">
        <v>387</v>
      </c>
      <c r="B388" s="1">
        <v>45088</v>
      </c>
      <c r="C388" t="s">
        <v>18</v>
      </c>
      <c r="D388" t="s">
        <v>19</v>
      </c>
      <c r="E388" t="s">
        <v>17</v>
      </c>
      <c r="F388" t="s">
        <v>31</v>
      </c>
      <c r="G388" t="s">
        <v>39</v>
      </c>
      <c r="H388" s="2">
        <v>33096.26</v>
      </c>
      <c r="I388">
        <v>6</v>
      </c>
      <c r="J388" s="2">
        <v>3046.86</v>
      </c>
      <c r="K388" s="2"/>
    </row>
    <row r="389" spans="1:11" x14ac:dyDescent="0.3">
      <c r="A389">
        <v>388</v>
      </c>
      <c r="B389" s="1">
        <v>45146</v>
      </c>
      <c r="C389" t="s">
        <v>26</v>
      </c>
      <c r="D389" t="s">
        <v>27</v>
      </c>
      <c r="E389" t="s">
        <v>12</v>
      </c>
      <c r="F389" t="s">
        <v>24</v>
      </c>
      <c r="G389" t="s">
        <v>25</v>
      </c>
      <c r="H389" s="2">
        <v>48615.63</v>
      </c>
      <c r="I389">
        <v>4</v>
      </c>
      <c r="J389" s="2">
        <v>12402.67</v>
      </c>
      <c r="K389" s="2"/>
    </row>
    <row r="390" spans="1:11" x14ac:dyDescent="0.3">
      <c r="A390">
        <v>389</v>
      </c>
      <c r="B390" s="1">
        <v>44976</v>
      </c>
      <c r="C390" t="s">
        <v>22</v>
      </c>
      <c r="D390" t="s">
        <v>22</v>
      </c>
      <c r="E390" t="s">
        <v>17</v>
      </c>
      <c r="F390" t="s">
        <v>13</v>
      </c>
      <c r="G390" t="s">
        <v>14</v>
      </c>
      <c r="H390" s="2">
        <v>41877.24</v>
      </c>
      <c r="I390">
        <v>6</v>
      </c>
      <c r="J390" s="2">
        <v>12432.71</v>
      </c>
      <c r="K390" s="2"/>
    </row>
    <row r="391" spans="1:11" x14ac:dyDescent="0.3">
      <c r="A391">
        <v>390</v>
      </c>
      <c r="B391" s="1">
        <v>45129</v>
      </c>
      <c r="C391" t="s">
        <v>22</v>
      </c>
      <c r="D391" t="s">
        <v>22</v>
      </c>
      <c r="E391" t="s">
        <v>20</v>
      </c>
      <c r="F391" t="s">
        <v>31</v>
      </c>
      <c r="G391" t="s">
        <v>33</v>
      </c>
      <c r="H391" s="2">
        <v>21423.18</v>
      </c>
      <c r="I391">
        <v>6</v>
      </c>
      <c r="J391" s="2">
        <v>2642.67</v>
      </c>
      <c r="K391" s="2"/>
    </row>
    <row r="392" spans="1:11" x14ac:dyDescent="0.3">
      <c r="A392">
        <v>391</v>
      </c>
      <c r="B392" s="1">
        <v>44942</v>
      </c>
      <c r="C392" t="s">
        <v>30</v>
      </c>
      <c r="D392" t="s">
        <v>16</v>
      </c>
      <c r="E392" t="s">
        <v>20</v>
      </c>
      <c r="F392" t="s">
        <v>13</v>
      </c>
      <c r="G392" t="s">
        <v>14</v>
      </c>
      <c r="H392" s="2">
        <v>12449.38</v>
      </c>
      <c r="I392">
        <v>7</v>
      </c>
      <c r="J392" s="2">
        <v>786.53</v>
      </c>
      <c r="K392" s="2"/>
    </row>
    <row r="393" spans="1:11" x14ac:dyDescent="0.3">
      <c r="A393">
        <v>392</v>
      </c>
      <c r="B393" s="1">
        <v>45211</v>
      </c>
      <c r="C393" t="s">
        <v>15</v>
      </c>
      <c r="D393" t="s">
        <v>16</v>
      </c>
      <c r="E393" t="s">
        <v>12</v>
      </c>
      <c r="F393" t="s">
        <v>24</v>
      </c>
      <c r="G393" t="s">
        <v>25</v>
      </c>
      <c r="H393" s="2">
        <v>12941.19</v>
      </c>
      <c r="I393">
        <v>4</v>
      </c>
      <c r="J393" s="2">
        <v>1257.8900000000001</v>
      </c>
      <c r="K393" s="2"/>
    </row>
    <row r="394" spans="1:11" x14ac:dyDescent="0.3">
      <c r="A394">
        <v>393</v>
      </c>
      <c r="B394" s="1">
        <v>45166</v>
      </c>
      <c r="C394" t="s">
        <v>30</v>
      </c>
      <c r="D394" t="s">
        <v>16</v>
      </c>
      <c r="E394" t="s">
        <v>17</v>
      </c>
      <c r="F394" t="s">
        <v>24</v>
      </c>
      <c r="G394" t="s">
        <v>28</v>
      </c>
      <c r="H394" s="2">
        <v>22201.1</v>
      </c>
      <c r="I394">
        <v>6</v>
      </c>
      <c r="J394" s="2">
        <v>4513.6000000000004</v>
      </c>
      <c r="K394" s="2"/>
    </row>
    <row r="395" spans="1:11" x14ac:dyDescent="0.3">
      <c r="A395">
        <v>394</v>
      </c>
      <c r="B395" s="1">
        <v>45112</v>
      </c>
      <c r="C395" t="s">
        <v>37</v>
      </c>
      <c r="D395" t="s">
        <v>27</v>
      </c>
      <c r="E395" t="s">
        <v>12</v>
      </c>
      <c r="F395" t="s">
        <v>13</v>
      </c>
      <c r="G395" t="s">
        <v>14</v>
      </c>
      <c r="H395" s="2">
        <v>32017.52</v>
      </c>
      <c r="I395">
        <v>9</v>
      </c>
      <c r="J395" s="2">
        <v>6657.95</v>
      </c>
      <c r="K395" s="2"/>
    </row>
    <row r="396" spans="1:11" x14ac:dyDescent="0.3">
      <c r="A396">
        <v>395</v>
      </c>
      <c r="B396" s="1">
        <v>45042</v>
      </c>
      <c r="C396" t="s">
        <v>30</v>
      </c>
      <c r="D396" t="s">
        <v>16</v>
      </c>
      <c r="E396" t="s">
        <v>17</v>
      </c>
      <c r="F396" t="s">
        <v>13</v>
      </c>
      <c r="G396" t="s">
        <v>34</v>
      </c>
      <c r="H396" s="2">
        <v>9140.99</v>
      </c>
      <c r="I396">
        <v>9</v>
      </c>
      <c r="J396" s="2">
        <v>1852.84</v>
      </c>
      <c r="K396" s="2"/>
    </row>
    <row r="397" spans="1:11" x14ac:dyDescent="0.3">
      <c r="A397">
        <v>396</v>
      </c>
      <c r="B397" s="1">
        <v>44996</v>
      </c>
      <c r="C397" t="s">
        <v>10</v>
      </c>
      <c r="D397" t="s">
        <v>11</v>
      </c>
      <c r="E397" t="s">
        <v>20</v>
      </c>
      <c r="F397" t="s">
        <v>24</v>
      </c>
      <c r="G397" t="s">
        <v>28</v>
      </c>
      <c r="H397" s="2">
        <v>31801.74</v>
      </c>
      <c r="I397">
        <v>5</v>
      </c>
      <c r="J397" s="2">
        <v>4975.09</v>
      </c>
      <c r="K397" s="2"/>
    </row>
    <row r="398" spans="1:11" x14ac:dyDescent="0.3">
      <c r="A398">
        <v>397</v>
      </c>
      <c r="B398" s="1">
        <v>45180</v>
      </c>
      <c r="C398" t="s">
        <v>22</v>
      </c>
      <c r="D398" t="s">
        <v>22</v>
      </c>
      <c r="E398" t="s">
        <v>20</v>
      </c>
      <c r="F398" t="s">
        <v>13</v>
      </c>
      <c r="G398" t="s">
        <v>34</v>
      </c>
      <c r="H398" s="2">
        <v>18034.93</v>
      </c>
      <c r="I398">
        <v>1</v>
      </c>
      <c r="J398" s="2">
        <v>2248.6999999999998</v>
      </c>
      <c r="K398" s="2"/>
    </row>
    <row r="399" spans="1:11" x14ac:dyDescent="0.3">
      <c r="A399">
        <v>398</v>
      </c>
      <c r="B399" s="1">
        <v>44941</v>
      </c>
      <c r="C399" t="s">
        <v>37</v>
      </c>
      <c r="D399" t="s">
        <v>27</v>
      </c>
      <c r="E399" t="s">
        <v>12</v>
      </c>
      <c r="F399" t="s">
        <v>13</v>
      </c>
      <c r="G399" t="s">
        <v>21</v>
      </c>
      <c r="H399" s="2">
        <v>29008.89</v>
      </c>
      <c r="I399">
        <v>3</v>
      </c>
      <c r="J399" s="2">
        <v>6564.12</v>
      </c>
      <c r="K399" s="2"/>
    </row>
    <row r="400" spans="1:11" x14ac:dyDescent="0.3">
      <c r="A400">
        <v>399</v>
      </c>
      <c r="B400" s="1">
        <v>45171</v>
      </c>
      <c r="C400" t="s">
        <v>22</v>
      </c>
      <c r="D400" t="s">
        <v>22</v>
      </c>
      <c r="E400" t="s">
        <v>17</v>
      </c>
      <c r="F400" t="s">
        <v>13</v>
      </c>
      <c r="G400" t="s">
        <v>34</v>
      </c>
      <c r="H400" s="2">
        <v>23170.27</v>
      </c>
      <c r="I400">
        <v>7</v>
      </c>
      <c r="J400" s="2">
        <v>3487.51</v>
      </c>
      <c r="K400" s="2"/>
    </row>
    <row r="401" spans="1:11" x14ac:dyDescent="0.3">
      <c r="A401">
        <v>400</v>
      </c>
      <c r="B401" s="1">
        <v>45225</v>
      </c>
      <c r="C401" t="s">
        <v>22</v>
      </c>
      <c r="D401" t="s">
        <v>22</v>
      </c>
      <c r="E401" t="s">
        <v>12</v>
      </c>
      <c r="F401" t="s">
        <v>13</v>
      </c>
      <c r="G401" t="s">
        <v>14</v>
      </c>
      <c r="H401" s="2">
        <v>17142.79</v>
      </c>
      <c r="I401">
        <v>5</v>
      </c>
      <c r="J401" s="2">
        <v>4739.3999999999996</v>
      </c>
      <c r="K401" s="2"/>
    </row>
    <row r="402" spans="1:11" x14ac:dyDescent="0.3">
      <c r="A402">
        <v>401</v>
      </c>
      <c r="B402" s="1">
        <v>45188</v>
      </c>
      <c r="C402" t="s">
        <v>22</v>
      </c>
      <c r="D402" t="s">
        <v>22</v>
      </c>
      <c r="E402" t="s">
        <v>17</v>
      </c>
      <c r="F402" t="s">
        <v>13</v>
      </c>
      <c r="G402" t="s">
        <v>34</v>
      </c>
      <c r="H402" s="2">
        <v>2524.96</v>
      </c>
      <c r="I402">
        <v>4</v>
      </c>
      <c r="J402" s="2">
        <v>350.09</v>
      </c>
      <c r="K402" s="2"/>
    </row>
    <row r="403" spans="1:11" x14ac:dyDescent="0.3">
      <c r="A403">
        <v>402</v>
      </c>
      <c r="B403" s="1">
        <v>45155</v>
      </c>
      <c r="C403" t="s">
        <v>18</v>
      </c>
      <c r="D403" t="s">
        <v>19</v>
      </c>
      <c r="E403" t="s">
        <v>20</v>
      </c>
      <c r="F403" t="s">
        <v>24</v>
      </c>
      <c r="G403" t="s">
        <v>28</v>
      </c>
      <c r="H403" s="2">
        <v>42834.37</v>
      </c>
      <c r="I403">
        <v>4</v>
      </c>
      <c r="J403" s="2">
        <v>4416.7700000000004</v>
      </c>
      <c r="K403" s="2"/>
    </row>
    <row r="404" spans="1:11" x14ac:dyDescent="0.3">
      <c r="A404">
        <v>403</v>
      </c>
      <c r="B404" s="1">
        <v>44974</v>
      </c>
      <c r="C404" t="s">
        <v>37</v>
      </c>
      <c r="D404" t="s">
        <v>27</v>
      </c>
      <c r="E404" t="s">
        <v>20</v>
      </c>
      <c r="F404" t="s">
        <v>24</v>
      </c>
      <c r="G404" t="s">
        <v>29</v>
      </c>
      <c r="H404" s="2">
        <v>42841.86</v>
      </c>
      <c r="I404">
        <v>5</v>
      </c>
      <c r="J404" s="2">
        <v>9517.9500000000007</v>
      </c>
      <c r="K404" s="2"/>
    </row>
    <row r="405" spans="1:11" x14ac:dyDescent="0.3">
      <c r="A405">
        <v>404</v>
      </c>
      <c r="B405" s="1">
        <v>45135</v>
      </c>
      <c r="C405" t="s">
        <v>37</v>
      </c>
      <c r="D405" t="s">
        <v>27</v>
      </c>
      <c r="E405" t="s">
        <v>12</v>
      </c>
      <c r="F405" t="s">
        <v>13</v>
      </c>
      <c r="G405" t="s">
        <v>34</v>
      </c>
      <c r="H405" s="2">
        <v>11685.69</v>
      </c>
      <c r="I405">
        <v>7</v>
      </c>
      <c r="J405" s="2">
        <v>1915.68</v>
      </c>
      <c r="K405" s="2"/>
    </row>
    <row r="406" spans="1:11" x14ac:dyDescent="0.3">
      <c r="A406">
        <v>405</v>
      </c>
      <c r="B406" s="1">
        <v>45181</v>
      </c>
      <c r="C406" t="s">
        <v>18</v>
      </c>
      <c r="D406" t="s">
        <v>19</v>
      </c>
      <c r="E406" t="s">
        <v>17</v>
      </c>
      <c r="F406" t="s">
        <v>24</v>
      </c>
      <c r="G406" t="s">
        <v>25</v>
      </c>
      <c r="H406" s="2">
        <v>19564.080000000002</v>
      </c>
      <c r="I406">
        <v>4</v>
      </c>
      <c r="J406" s="2">
        <v>5174.68</v>
      </c>
      <c r="K406" s="2"/>
    </row>
    <row r="407" spans="1:11" x14ac:dyDescent="0.3">
      <c r="A407">
        <v>406</v>
      </c>
      <c r="B407" s="1">
        <v>45190</v>
      </c>
      <c r="C407" t="s">
        <v>30</v>
      </c>
      <c r="D407" t="s">
        <v>16</v>
      </c>
      <c r="E407" t="s">
        <v>12</v>
      </c>
      <c r="F407" t="s">
        <v>13</v>
      </c>
      <c r="G407" t="s">
        <v>34</v>
      </c>
      <c r="H407" s="2">
        <v>19188.95</v>
      </c>
      <c r="I407">
        <v>8</v>
      </c>
      <c r="J407" s="2">
        <v>4252.95</v>
      </c>
      <c r="K407" s="2"/>
    </row>
    <row r="408" spans="1:11" x14ac:dyDescent="0.3">
      <c r="A408">
        <v>407</v>
      </c>
      <c r="B408" s="1">
        <v>45030</v>
      </c>
      <c r="C408" t="s">
        <v>35</v>
      </c>
      <c r="D408" t="s">
        <v>36</v>
      </c>
      <c r="E408" t="s">
        <v>17</v>
      </c>
      <c r="F408" t="s">
        <v>13</v>
      </c>
      <c r="G408" t="s">
        <v>14</v>
      </c>
      <c r="H408" s="2">
        <v>48474.84</v>
      </c>
      <c r="I408">
        <v>10</v>
      </c>
      <c r="J408" s="2">
        <v>4164.55</v>
      </c>
      <c r="K408" s="2"/>
    </row>
    <row r="409" spans="1:11" x14ac:dyDescent="0.3">
      <c r="A409">
        <v>408</v>
      </c>
      <c r="B409" s="1">
        <v>44933</v>
      </c>
      <c r="C409" t="s">
        <v>35</v>
      </c>
      <c r="D409" t="s">
        <v>36</v>
      </c>
      <c r="E409" t="s">
        <v>20</v>
      </c>
      <c r="F409" t="s">
        <v>13</v>
      </c>
      <c r="G409" t="s">
        <v>21</v>
      </c>
      <c r="H409" s="2">
        <v>36147.51</v>
      </c>
      <c r="I409">
        <v>8</v>
      </c>
      <c r="J409" s="2">
        <v>7327.76</v>
      </c>
      <c r="K409" s="2"/>
    </row>
    <row r="410" spans="1:11" x14ac:dyDescent="0.3">
      <c r="A410">
        <v>409</v>
      </c>
      <c r="B410" s="1">
        <v>45154</v>
      </c>
      <c r="C410" t="s">
        <v>15</v>
      </c>
      <c r="D410" t="s">
        <v>16</v>
      </c>
      <c r="E410" t="s">
        <v>20</v>
      </c>
      <c r="F410" t="s">
        <v>13</v>
      </c>
      <c r="G410" t="s">
        <v>21</v>
      </c>
      <c r="H410" s="2">
        <v>15852.65</v>
      </c>
      <c r="I410">
        <v>5</v>
      </c>
      <c r="J410" s="2">
        <v>1225.72</v>
      </c>
      <c r="K410" s="2"/>
    </row>
    <row r="411" spans="1:11" x14ac:dyDescent="0.3">
      <c r="A411">
        <v>410</v>
      </c>
      <c r="B411" s="1">
        <v>45231</v>
      </c>
      <c r="C411" t="s">
        <v>26</v>
      </c>
      <c r="D411" t="s">
        <v>27</v>
      </c>
      <c r="E411" t="s">
        <v>12</v>
      </c>
      <c r="F411" t="s">
        <v>31</v>
      </c>
      <c r="G411" t="s">
        <v>32</v>
      </c>
      <c r="H411" s="2">
        <v>39386.74</v>
      </c>
      <c r="I411">
        <v>8</v>
      </c>
      <c r="J411" s="2">
        <v>5212.04</v>
      </c>
      <c r="K411" s="2"/>
    </row>
    <row r="412" spans="1:11" x14ac:dyDescent="0.3">
      <c r="A412">
        <v>411</v>
      </c>
      <c r="B412" s="1">
        <v>45234</v>
      </c>
      <c r="C412" t="s">
        <v>35</v>
      </c>
      <c r="D412" t="s">
        <v>36</v>
      </c>
      <c r="E412" t="s">
        <v>17</v>
      </c>
      <c r="F412" t="s">
        <v>31</v>
      </c>
      <c r="G412" t="s">
        <v>33</v>
      </c>
      <c r="H412" s="2">
        <v>1072.04</v>
      </c>
      <c r="I412">
        <v>1</v>
      </c>
      <c r="J412" s="2">
        <v>258.16000000000003</v>
      </c>
      <c r="K412" s="2"/>
    </row>
    <row r="413" spans="1:11" x14ac:dyDescent="0.3">
      <c r="A413">
        <v>412</v>
      </c>
      <c r="B413" s="1">
        <v>45107</v>
      </c>
      <c r="C413" t="s">
        <v>30</v>
      </c>
      <c r="D413" t="s">
        <v>16</v>
      </c>
      <c r="E413" t="s">
        <v>12</v>
      </c>
      <c r="F413" t="s">
        <v>13</v>
      </c>
      <c r="G413" t="s">
        <v>21</v>
      </c>
      <c r="H413" s="2">
        <v>34096.050000000003</v>
      </c>
      <c r="I413">
        <v>5</v>
      </c>
      <c r="J413" s="2">
        <v>8352.9</v>
      </c>
      <c r="K413" s="2"/>
    </row>
    <row r="414" spans="1:11" x14ac:dyDescent="0.3">
      <c r="A414">
        <v>413</v>
      </c>
      <c r="B414" s="1">
        <v>44985</v>
      </c>
      <c r="C414" t="s">
        <v>38</v>
      </c>
      <c r="D414" t="s">
        <v>27</v>
      </c>
      <c r="E414" t="s">
        <v>17</v>
      </c>
      <c r="F414" t="s">
        <v>24</v>
      </c>
      <c r="G414" t="s">
        <v>29</v>
      </c>
      <c r="H414" s="2">
        <v>21431.4</v>
      </c>
      <c r="I414">
        <v>6</v>
      </c>
      <c r="J414" s="2">
        <v>3110.02</v>
      </c>
      <c r="K414" s="2"/>
    </row>
    <row r="415" spans="1:11" x14ac:dyDescent="0.3">
      <c r="A415">
        <v>414</v>
      </c>
      <c r="B415" s="1">
        <v>45197</v>
      </c>
      <c r="C415" t="s">
        <v>22</v>
      </c>
      <c r="D415" t="s">
        <v>22</v>
      </c>
      <c r="E415" t="s">
        <v>20</v>
      </c>
      <c r="F415" t="s">
        <v>31</v>
      </c>
      <c r="G415" t="s">
        <v>33</v>
      </c>
      <c r="H415" s="2">
        <v>49809.53</v>
      </c>
      <c r="I415">
        <v>10</v>
      </c>
      <c r="J415" s="2">
        <v>12615.9</v>
      </c>
      <c r="K415" s="2"/>
    </row>
    <row r="416" spans="1:11" x14ac:dyDescent="0.3">
      <c r="A416">
        <v>415</v>
      </c>
      <c r="B416" s="1">
        <v>45168</v>
      </c>
      <c r="C416" t="s">
        <v>10</v>
      </c>
      <c r="D416" t="s">
        <v>11</v>
      </c>
      <c r="E416" t="s">
        <v>20</v>
      </c>
      <c r="F416" t="s">
        <v>13</v>
      </c>
      <c r="G416" t="s">
        <v>21</v>
      </c>
      <c r="H416" s="2">
        <v>37457.269999999997</v>
      </c>
      <c r="I416">
        <v>2</v>
      </c>
      <c r="J416" s="2">
        <v>2038.02</v>
      </c>
      <c r="K416" s="2"/>
    </row>
    <row r="417" spans="1:11" x14ac:dyDescent="0.3">
      <c r="A417">
        <v>416</v>
      </c>
      <c r="B417" s="1">
        <v>45265</v>
      </c>
      <c r="C417" t="s">
        <v>18</v>
      </c>
      <c r="D417" t="s">
        <v>19</v>
      </c>
      <c r="E417" t="s">
        <v>12</v>
      </c>
      <c r="F417" t="s">
        <v>24</v>
      </c>
      <c r="G417" t="s">
        <v>25</v>
      </c>
      <c r="H417" s="2">
        <v>9482.2900000000009</v>
      </c>
      <c r="I417">
        <v>8</v>
      </c>
      <c r="J417" s="2">
        <v>1193.25</v>
      </c>
      <c r="K417" s="2"/>
    </row>
    <row r="418" spans="1:11" x14ac:dyDescent="0.3">
      <c r="A418">
        <v>417</v>
      </c>
      <c r="B418" s="1">
        <v>45099</v>
      </c>
      <c r="C418" t="s">
        <v>26</v>
      </c>
      <c r="D418" t="s">
        <v>27</v>
      </c>
      <c r="E418" t="s">
        <v>17</v>
      </c>
      <c r="F418" t="s">
        <v>24</v>
      </c>
      <c r="G418" t="s">
        <v>28</v>
      </c>
      <c r="H418" s="2">
        <v>35623</v>
      </c>
      <c r="I418">
        <v>7</v>
      </c>
      <c r="J418" s="2">
        <v>6475.03</v>
      </c>
      <c r="K418" s="2"/>
    </row>
    <row r="419" spans="1:11" x14ac:dyDescent="0.3">
      <c r="A419">
        <v>418</v>
      </c>
      <c r="B419" s="1">
        <v>44953</v>
      </c>
      <c r="C419" t="s">
        <v>22</v>
      </c>
      <c r="D419" t="s">
        <v>22</v>
      </c>
      <c r="E419" t="s">
        <v>12</v>
      </c>
      <c r="F419" t="s">
        <v>31</v>
      </c>
      <c r="G419" t="s">
        <v>39</v>
      </c>
      <c r="H419" s="2">
        <v>46161.55</v>
      </c>
      <c r="I419">
        <v>8</v>
      </c>
      <c r="J419" s="2">
        <v>11578.56</v>
      </c>
      <c r="K419" s="2"/>
    </row>
    <row r="420" spans="1:11" x14ac:dyDescent="0.3">
      <c r="A420">
        <v>419</v>
      </c>
      <c r="B420" s="1">
        <v>45039</v>
      </c>
      <c r="C420" t="s">
        <v>15</v>
      </c>
      <c r="D420" t="s">
        <v>16</v>
      </c>
      <c r="E420" t="s">
        <v>17</v>
      </c>
      <c r="F420" t="s">
        <v>24</v>
      </c>
      <c r="G420" t="s">
        <v>25</v>
      </c>
      <c r="H420" s="2">
        <v>14247.34</v>
      </c>
      <c r="I420">
        <v>8</v>
      </c>
      <c r="J420" s="2">
        <v>837.69</v>
      </c>
      <c r="K420" s="2"/>
    </row>
    <row r="421" spans="1:11" x14ac:dyDescent="0.3">
      <c r="A421">
        <v>420</v>
      </c>
      <c r="B421" s="1">
        <v>45292</v>
      </c>
      <c r="C421" t="s">
        <v>22</v>
      </c>
      <c r="D421" t="s">
        <v>22</v>
      </c>
      <c r="E421" t="s">
        <v>20</v>
      </c>
      <c r="F421" t="s">
        <v>31</v>
      </c>
      <c r="G421" t="s">
        <v>33</v>
      </c>
      <c r="H421" s="2">
        <v>2003.36</v>
      </c>
      <c r="I421">
        <v>5</v>
      </c>
      <c r="J421" s="2">
        <v>300.98</v>
      </c>
      <c r="K421" s="2"/>
    </row>
    <row r="422" spans="1:11" x14ac:dyDescent="0.3">
      <c r="A422">
        <v>421</v>
      </c>
      <c r="B422" s="1">
        <v>45029</v>
      </c>
      <c r="C422" t="s">
        <v>35</v>
      </c>
      <c r="D422" t="s">
        <v>36</v>
      </c>
      <c r="E422" t="s">
        <v>20</v>
      </c>
      <c r="F422" t="s">
        <v>13</v>
      </c>
      <c r="G422" t="s">
        <v>14</v>
      </c>
      <c r="H422" s="2">
        <v>25271.97</v>
      </c>
      <c r="I422">
        <v>5</v>
      </c>
      <c r="J422" s="2">
        <v>7144.62</v>
      </c>
      <c r="K422" s="2"/>
    </row>
    <row r="423" spans="1:11" x14ac:dyDescent="0.3">
      <c r="A423">
        <v>422</v>
      </c>
      <c r="B423" s="1">
        <v>44987</v>
      </c>
      <c r="C423" t="s">
        <v>35</v>
      </c>
      <c r="D423" t="s">
        <v>36</v>
      </c>
      <c r="E423" t="s">
        <v>12</v>
      </c>
      <c r="F423" t="s">
        <v>24</v>
      </c>
      <c r="G423" t="s">
        <v>25</v>
      </c>
      <c r="H423" s="2">
        <v>37101.279999999999</v>
      </c>
      <c r="I423">
        <v>10</v>
      </c>
      <c r="J423" s="2">
        <v>7469.11</v>
      </c>
      <c r="K423" s="2"/>
    </row>
    <row r="424" spans="1:11" x14ac:dyDescent="0.3">
      <c r="A424">
        <v>423</v>
      </c>
      <c r="B424" s="1">
        <v>44979</v>
      </c>
      <c r="C424" t="s">
        <v>37</v>
      </c>
      <c r="D424" t="s">
        <v>27</v>
      </c>
      <c r="E424" t="s">
        <v>17</v>
      </c>
      <c r="F424" t="s">
        <v>31</v>
      </c>
      <c r="G424" t="s">
        <v>33</v>
      </c>
      <c r="H424" s="2">
        <v>42041.48</v>
      </c>
      <c r="I424">
        <v>3</v>
      </c>
      <c r="J424" s="2">
        <v>3319.44</v>
      </c>
      <c r="K424" s="2"/>
    </row>
    <row r="425" spans="1:11" x14ac:dyDescent="0.3">
      <c r="A425">
        <v>424</v>
      </c>
      <c r="B425" s="1">
        <v>45179</v>
      </c>
      <c r="C425" t="s">
        <v>18</v>
      </c>
      <c r="D425" t="s">
        <v>19</v>
      </c>
      <c r="E425" t="s">
        <v>12</v>
      </c>
      <c r="F425" t="s">
        <v>24</v>
      </c>
      <c r="G425" t="s">
        <v>28</v>
      </c>
      <c r="H425" s="2">
        <v>20704.54</v>
      </c>
      <c r="I425">
        <v>3</v>
      </c>
      <c r="J425" s="2">
        <v>2503.7199999999998</v>
      </c>
      <c r="K425" s="2"/>
    </row>
    <row r="426" spans="1:11" x14ac:dyDescent="0.3">
      <c r="A426">
        <v>425</v>
      </c>
      <c r="B426" s="1">
        <v>45045</v>
      </c>
      <c r="C426" t="s">
        <v>30</v>
      </c>
      <c r="D426" t="s">
        <v>16</v>
      </c>
      <c r="E426" t="s">
        <v>17</v>
      </c>
      <c r="F426" t="s">
        <v>24</v>
      </c>
      <c r="G426" t="s">
        <v>25</v>
      </c>
      <c r="H426" s="2">
        <v>22455.3</v>
      </c>
      <c r="I426">
        <v>10</v>
      </c>
      <c r="J426" s="2">
        <v>3904.62</v>
      </c>
      <c r="K426" s="2"/>
    </row>
    <row r="427" spans="1:11" x14ac:dyDescent="0.3">
      <c r="A427">
        <v>426</v>
      </c>
      <c r="B427" s="1">
        <v>44991</v>
      </c>
      <c r="C427" t="s">
        <v>35</v>
      </c>
      <c r="D427" t="s">
        <v>36</v>
      </c>
      <c r="E427" t="s">
        <v>20</v>
      </c>
      <c r="F427" t="s">
        <v>31</v>
      </c>
      <c r="G427" t="s">
        <v>33</v>
      </c>
      <c r="H427" s="2">
        <v>6038.12</v>
      </c>
      <c r="I427">
        <v>3</v>
      </c>
      <c r="J427" s="2">
        <v>525.65</v>
      </c>
      <c r="K427" s="2"/>
    </row>
    <row r="428" spans="1:11" x14ac:dyDescent="0.3">
      <c r="A428">
        <v>427</v>
      </c>
      <c r="B428" s="1">
        <v>45058</v>
      </c>
      <c r="C428" t="s">
        <v>35</v>
      </c>
      <c r="D428" t="s">
        <v>36</v>
      </c>
      <c r="E428" t="s">
        <v>20</v>
      </c>
      <c r="F428" t="s">
        <v>31</v>
      </c>
      <c r="G428" t="s">
        <v>33</v>
      </c>
      <c r="H428" s="2">
        <v>48326.83</v>
      </c>
      <c r="I428">
        <v>4</v>
      </c>
      <c r="J428" s="2">
        <v>3436.06</v>
      </c>
      <c r="K428" s="2"/>
    </row>
    <row r="429" spans="1:11" x14ac:dyDescent="0.3">
      <c r="A429">
        <v>428</v>
      </c>
      <c r="B429" s="1">
        <v>45284</v>
      </c>
      <c r="C429" t="s">
        <v>30</v>
      </c>
      <c r="D429" t="s">
        <v>16</v>
      </c>
      <c r="E429" t="s">
        <v>12</v>
      </c>
      <c r="F429" t="s">
        <v>24</v>
      </c>
      <c r="G429" t="s">
        <v>25</v>
      </c>
      <c r="H429" s="2">
        <v>9672.61</v>
      </c>
      <c r="I429">
        <v>2</v>
      </c>
      <c r="J429" s="2">
        <v>984.08</v>
      </c>
      <c r="K429" s="2"/>
    </row>
    <row r="430" spans="1:11" x14ac:dyDescent="0.3">
      <c r="A430">
        <v>429</v>
      </c>
      <c r="B430" s="1">
        <v>45247</v>
      </c>
      <c r="C430" t="s">
        <v>10</v>
      </c>
      <c r="D430" t="s">
        <v>11</v>
      </c>
      <c r="E430" t="s">
        <v>17</v>
      </c>
      <c r="F430" t="s">
        <v>31</v>
      </c>
      <c r="G430" t="s">
        <v>39</v>
      </c>
      <c r="H430" s="2">
        <v>19904.45</v>
      </c>
      <c r="I430">
        <v>9</v>
      </c>
      <c r="J430" s="2">
        <v>5096.17</v>
      </c>
      <c r="K430" s="2"/>
    </row>
    <row r="431" spans="1:11" x14ac:dyDescent="0.3">
      <c r="A431">
        <v>430</v>
      </c>
      <c r="B431" s="1">
        <v>45076</v>
      </c>
      <c r="C431" t="s">
        <v>15</v>
      </c>
      <c r="D431" t="s">
        <v>16</v>
      </c>
      <c r="E431" t="s">
        <v>12</v>
      </c>
      <c r="F431" t="s">
        <v>31</v>
      </c>
      <c r="G431" t="s">
        <v>39</v>
      </c>
      <c r="H431" s="2">
        <v>16944.29</v>
      </c>
      <c r="I431">
        <v>4</v>
      </c>
      <c r="J431" s="2">
        <v>3322.86</v>
      </c>
      <c r="K431" s="2"/>
    </row>
    <row r="432" spans="1:11" x14ac:dyDescent="0.3">
      <c r="A432">
        <v>431</v>
      </c>
      <c r="B432" s="1">
        <v>44987</v>
      </c>
      <c r="C432" t="s">
        <v>26</v>
      </c>
      <c r="D432" t="s">
        <v>27</v>
      </c>
      <c r="E432" t="s">
        <v>17</v>
      </c>
      <c r="F432" t="s">
        <v>31</v>
      </c>
      <c r="G432" t="s">
        <v>33</v>
      </c>
      <c r="H432" s="2">
        <v>26079.08</v>
      </c>
      <c r="I432">
        <v>4</v>
      </c>
      <c r="J432" s="2">
        <v>4882.3900000000003</v>
      </c>
      <c r="K432" s="2"/>
    </row>
    <row r="433" spans="1:11" x14ac:dyDescent="0.3">
      <c r="A433">
        <v>432</v>
      </c>
      <c r="B433" s="1">
        <v>45119</v>
      </c>
      <c r="C433" t="s">
        <v>38</v>
      </c>
      <c r="D433" t="s">
        <v>27</v>
      </c>
      <c r="E433" t="s">
        <v>20</v>
      </c>
      <c r="F433" t="s">
        <v>13</v>
      </c>
      <c r="G433" t="s">
        <v>21</v>
      </c>
      <c r="H433" s="2">
        <v>7671.29</v>
      </c>
      <c r="I433">
        <v>2</v>
      </c>
      <c r="J433" s="2">
        <v>1004.67</v>
      </c>
      <c r="K433" s="2"/>
    </row>
    <row r="434" spans="1:11" x14ac:dyDescent="0.3">
      <c r="A434">
        <v>433</v>
      </c>
      <c r="B434" s="1">
        <v>45015</v>
      </c>
      <c r="C434" t="s">
        <v>38</v>
      </c>
      <c r="D434" t="s">
        <v>27</v>
      </c>
      <c r="E434" t="s">
        <v>20</v>
      </c>
      <c r="F434" t="s">
        <v>13</v>
      </c>
      <c r="G434" t="s">
        <v>34</v>
      </c>
      <c r="H434" s="2">
        <v>1166.95</v>
      </c>
      <c r="I434">
        <v>8</v>
      </c>
      <c r="J434" s="2">
        <v>238.76</v>
      </c>
      <c r="K434" s="2"/>
    </row>
    <row r="435" spans="1:11" x14ac:dyDescent="0.3">
      <c r="A435">
        <v>434</v>
      </c>
      <c r="B435" s="1">
        <v>45026</v>
      </c>
      <c r="C435" t="s">
        <v>10</v>
      </c>
      <c r="D435" t="s">
        <v>11</v>
      </c>
      <c r="E435" t="s">
        <v>12</v>
      </c>
      <c r="F435" t="s">
        <v>24</v>
      </c>
      <c r="G435" t="s">
        <v>29</v>
      </c>
      <c r="H435" s="2">
        <v>35047.11</v>
      </c>
      <c r="I435">
        <v>5</v>
      </c>
      <c r="J435" s="2">
        <v>8499.74</v>
      </c>
      <c r="K435" s="2"/>
    </row>
    <row r="436" spans="1:11" x14ac:dyDescent="0.3">
      <c r="A436">
        <v>435</v>
      </c>
      <c r="B436" s="1">
        <v>45076</v>
      </c>
      <c r="C436" t="s">
        <v>30</v>
      </c>
      <c r="D436" t="s">
        <v>16</v>
      </c>
      <c r="E436" t="s">
        <v>17</v>
      </c>
      <c r="F436" t="s">
        <v>24</v>
      </c>
      <c r="G436" t="s">
        <v>25</v>
      </c>
      <c r="H436" s="2">
        <v>40670.42</v>
      </c>
      <c r="I436">
        <v>2</v>
      </c>
      <c r="J436" s="2">
        <v>2326.37</v>
      </c>
      <c r="K436" s="2"/>
    </row>
    <row r="437" spans="1:11" x14ac:dyDescent="0.3">
      <c r="A437">
        <v>436</v>
      </c>
      <c r="B437" s="1">
        <v>45269</v>
      </c>
      <c r="C437" t="s">
        <v>22</v>
      </c>
      <c r="D437" t="s">
        <v>22</v>
      </c>
      <c r="E437" t="s">
        <v>12</v>
      </c>
      <c r="F437" t="s">
        <v>24</v>
      </c>
      <c r="G437" t="s">
        <v>29</v>
      </c>
      <c r="H437" s="2">
        <v>24434.99</v>
      </c>
      <c r="I437">
        <v>6</v>
      </c>
      <c r="J437" s="2">
        <v>4352.29</v>
      </c>
      <c r="K437" s="2"/>
    </row>
    <row r="438" spans="1:11" x14ac:dyDescent="0.3">
      <c r="A438">
        <v>437</v>
      </c>
      <c r="B438" s="1">
        <v>45292</v>
      </c>
      <c r="C438" t="s">
        <v>35</v>
      </c>
      <c r="D438" t="s">
        <v>36</v>
      </c>
      <c r="E438" t="s">
        <v>17</v>
      </c>
      <c r="F438" t="s">
        <v>24</v>
      </c>
      <c r="G438" t="s">
        <v>25</v>
      </c>
      <c r="H438" s="2">
        <v>46015.08</v>
      </c>
      <c r="I438">
        <v>6</v>
      </c>
      <c r="J438" s="2">
        <v>11461.24</v>
      </c>
      <c r="K438" s="2"/>
    </row>
    <row r="439" spans="1:11" x14ac:dyDescent="0.3">
      <c r="A439">
        <v>438</v>
      </c>
      <c r="B439" s="1">
        <v>45219</v>
      </c>
      <c r="C439" t="s">
        <v>35</v>
      </c>
      <c r="D439" t="s">
        <v>36</v>
      </c>
      <c r="E439" t="s">
        <v>20</v>
      </c>
      <c r="F439" t="s">
        <v>31</v>
      </c>
      <c r="G439" t="s">
        <v>33</v>
      </c>
      <c r="H439" s="2">
        <v>1292.73</v>
      </c>
      <c r="I439">
        <v>7</v>
      </c>
      <c r="J439" s="2">
        <v>383.69</v>
      </c>
      <c r="K439" s="2"/>
    </row>
    <row r="440" spans="1:11" x14ac:dyDescent="0.3">
      <c r="A440">
        <v>439</v>
      </c>
      <c r="B440" s="1">
        <v>45081</v>
      </c>
      <c r="C440" t="s">
        <v>30</v>
      </c>
      <c r="D440" t="s">
        <v>16</v>
      </c>
      <c r="E440" t="s">
        <v>20</v>
      </c>
      <c r="F440" t="s">
        <v>24</v>
      </c>
      <c r="G440" t="s">
        <v>29</v>
      </c>
      <c r="H440" s="2">
        <v>9874.76</v>
      </c>
      <c r="I440">
        <v>3</v>
      </c>
      <c r="J440" s="2">
        <v>1358.17</v>
      </c>
      <c r="K440" s="2"/>
    </row>
    <row r="441" spans="1:11" x14ac:dyDescent="0.3">
      <c r="A441">
        <v>440</v>
      </c>
      <c r="B441" s="1">
        <v>45137</v>
      </c>
      <c r="C441" t="s">
        <v>22</v>
      </c>
      <c r="D441" t="s">
        <v>22</v>
      </c>
      <c r="E441" t="s">
        <v>12</v>
      </c>
      <c r="F441" t="s">
        <v>24</v>
      </c>
      <c r="G441" t="s">
        <v>29</v>
      </c>
      <c r="H441" s="2">
        <v>15146.54</v>
      </c>
      <c r="I441">
        <v>2</v>
      </c>
      <c r="J441" s="2">
        <v>2336.02</v>
      </c>
      <c r="K441" s="2"/>
    </row>
    <row r="442" spans="1:11" x14ac:dyDescent="0.3">
      <c r="A442">
        <v>441</v>
      </c>
      <c r="B442" s="1">
        <v>44959</v>
      </c>
      <c r="C442" t="s">
        <v>38</v>
      </c>
      <c r="D442" t="s">
        <v>27</v>
      </c>
      <c r="E442" t="s">
        <v>17</v>
      </c>
      <c r="F442" t="s">
        <v>31</v>
      </c>
      <c r="G442" t="s">
        <v>32</v>
      </c>
      <c r="H442" s="2">
        <v>34618.480000000003</v>
      </c>
      <c r="I442">
        <v>3</v>
      </c>
      <c r="J442" s="2">
        <v>5814.36</v>
      </c>
      <c r="K442" s="2"/>
    </row>
    <row r="443" spans="1:11" x14ac:dyDescent="0.3">
      <c r="A443">
        <v>442</v>
      </c>
      <c r="B443" s="1">
        <v>45167</v>
      </c>
      <c r="C443" t="s">
        <v>22</v>
      </c>
      <c r="D443" t="s">
        <v>22</v>
      </c>
      <c r="E443" t="s">
        <v>12</v>
      </c>
      <c r="F443" t="s">
        <v>31</v>
      </c>
      <c r="G443" t="s">
        <v>39</v>
      </c>
      <c r="H443" s="2">
        <v>46015.64</v>
      </c>
      <c r="I443">
        <v>2</v>
      </c>
      <c r="J443" s="2">
        <v>6821.68</v>
      </c>
      <c r="K443" s="2"/>
    </row>
    <row r="444" spans="1:11" x14ac:dyDescent="0.3">
      <c r="A444">
        <v>443</v>
      </c>
      <c r="B444" s="1">
        <v>45056</v>
      </c>
      <c r="C444" t="s">
        <v>38</v>
      </c>
      <c r="D444" t="s">
        <v>27</v>
      </c>
      <c r="E444" t="s">
        <v>17</v>
      </c>
      <c r="F444" t="s">
        <v>24</v>
      </c>
      <c r="G444" t="s">
        <v>25</v>
      </c>
      <c r="H444" s="2">
        <v>43471.73</v>
      </c>
      <c r="I444">
        <v>4</v>
      </c>
      <c r="J444" s="2">
        <v>9929.52</v>
      </c>
      <c r="K444" s="2"/>
    </row>
    <row r="445" spans="1:11" x14ac:dyDescent="0.3">
      <c r="A445">
        <v>444</v>
      </c>
      <c r="B445" s="1">
        <v>45108</v>
      </c>
      <c r="C445" t="s">
        <v>10</v>
      </c>
      <c r="D445" t="s">
        <v>11</v>
      </c>
      <c r="E445" t="s">
        <v>20</v>
      </c>
      <c r="F445" t="s">
        <v>13</v>
      </c>
      <c r="G445" t="s">
        <v>14</v>
      </c>
      <c r="H445" s="2">
        <v>27516.51</v>
      </c>
      <c r="I445">
        <v>9</v>
      </c>
      <c r="J445" s="2">
        <v>3418.86</v>
      </c>
      <c r="K445" s="2"/>
    </row>
    <row r="446" spans="1:11" x14ac:dyDescent="0.3">
      <c r="A446">
        <v>445</v>
      </c>
      <c r="B446" s="1">
        <v>45260</v>
      </c>
      <c r="C446" t="s">
        <v>10</v>
      </c>
      <c r="D446" t="s">
        <v>11</v>
      </c>
      <c r="E446" t="s">
        <v>20</v>
      </c>
      <c r="F446" t="s">
        <v>13</v>
      </c>
      <c r="G446" t="s">
        <v>34</v>
      </c>
      <c r="H446" s="2">
        <v>48032.71</v>
      </c>
      <c r="I446">
        <v>4</v>
      </c>
      <c r="J446" s="2">
        <v>6135.71</v>
      </c>
      <c r="K446" s="2"/>
    </row>
    <row r="447" spans="1:11" x14ac:dyDescent="0.3">
      <c r="A447">
        <v>446</v>
      </c>
      <c r="B447" s="1">
        <v>44976</v>
      </c>
      <c r="C447" t="s">
        <v>35</v>
      </c>
      <c r="D447" t="s">
        <v>36</v>
      </c>
      <c r="E447" t="s">
        <v>12</v>
      </c>
      <c r="F447" t="s">
        <v>24</v>
      </c>
      <c r="G447" t="s">
        <v>28</v>
      </c>
      <c r="H447" s="2">
        <v>7864.34</v>
      </c>
      <c r="I447">
        <v>10</v>
      </c>
      <c r="J447" s="2">
        <v>820.53</v>
      </c>
      <c r="K447" s="2"/>
    </row>
    <row r="448" spans="1:11" x14ac:dyDescent="0.3">
      <c r="A448">
        <v>447</v>
      </c>
      <c r="B448" s="1">
        <v>44953</v>
      </c>
      <c r="C448" t="s">
        <v>26</v>
      </c>
      <c r="D448" t="s">
        <v>27</v>
      </c>
      <c r="E448" t="s">
        <v>17</v>
      </c>
      <c r="F448" t="s">
        <v>13</v>
      </c>
      <c r="G448" t="s">
        <v>21</v>
      </c>
      <c r="H448" s="2">
        <v>27123.54</v>
      </c>
      <c r="I448">
        <v>2</v>
      </c>
      <c r="J448" s="2">
        <v>2817.45</v>
      </c>
      <c r="K448" s="2"/>
    </row>
    <row r="449" spans="1:11" x14ac:dyDescent="0.3">
      <c r="A449">
        <v>448</v>
      </c>
      <c r="B449" s="1">
        <v>45062</v>
      </c>
      <c r="C449" t="s">
        <v>26</v>
      </c>
      <c r="D449" t="s">
        <v>27</v>
      </c>
      <c r="E449" t="s">
        <v>12</v>
      </c>
      <c r="F449" t="s">
        <v>13</v>
      </c>
      <c r="G449" t="s">
        <v>34</v>
      </c>
      <c r="H449" s="2">
        <v>24573.8</v>
      </c>
      <c r="I449">
        <v>6</v>
      </c>
      <c r="J449" s="2">
        <v>3674.62</v>
      </c>
      <c r="K449" s="2"/>
    </row>
    <row r="450" spans="1:11" x14ac:dyDescent="0.3">
      <c r="A450">
        <v>449</v>
      </c>
      <c r="B450" s="1">
        <v>44978</v>
      </c>
      <c r="C450" t="s">
        <v>18</v>
      </c>
      <c r="D450" t="s">
        <v>19</v>
      </c>
      <c r="E450" t="s">
        <v>17</v>
      </c>
      <c r="F450" t="s">
        <v>24</v>
      </c>
      <c r="G450" t="s">
        <v>29</v>
      </c>
      <c r="H450" s="2">
        <v>24662.23</v>
      </c>
      <c r="I450">
        <v>3</v>
      </c>
      <c r="J450" s="2">
        <v>3744.45</v>
      </c>
      <c r="K450" s="2"/>
    </row>
    <row r="451" spans="1:11" x14ac:dyDescent="0.3">
      <c r="A451">
        <v>450</v>
      </c>
      <c r="B451" s="1">
        <v>45214</v>
      </c>
      <c r="C451" t="s">
        <v>30</v>
      </c>
      <c r="D451" t="s">
        <v>16</v>
      </c>
      <c r="E451" t="s">
        <v>20</v>
      </c>
      <c r="F451" t="s">
        <v>24</v>
      </c>
      <c r="G451" t="s">
        <v>25</v>
      </c>
      <c r="H451" s="2">
        <v>22932.71</v>
      </c>
      <c r="I451">
        <v>1</v>
      </c>
      <c r="J451" s="2">
        <v>1770.13</v>
      </c>
      <c r="K451" s="2"/>
    </row>
    <row r="452" spans="1:11" x14ac:dyDescent="0.3">
      <c r="A452">
        <v>451</v>
      </c>
      <c r="B452" s="1">
        <v>45241</v>
      </c>
      <c r="C452" t="s">
        <v>10</v>
      </c>
      <c r="D452" t="s">
        <v>11</v>
      </c>
      <c r="E452" t="s">
        <v>20</v>
      </c>
      <c r="F452" t="s">
        <v>31</v>
      </c>
      <c r="G452" t="s">
        <v>33</v>
      </c>
      <c r="H452" s="2">
        <v>2101.9299999999998</v>
      </c>
      <c r="I452">
        <v>6</v>
      </c>
      <c r="J452" s="2">
        <v>507.01</v>
      </c>
      <c r="K452" s="2"/>
    </row>
    <row r="453" spans="1:11" x14ac:dyDescent="0.3">
      <c r="A453">
        <v>452</v>
      </c>
      <c r="B453" s="1">
        <v>45192</v>
      </c>
      <c r="C453" t="s">
        <v>26</v>
      </c>
      <c r="D453" t="s">
        <v>27</v>
      </c>
      <c r="E453" t="s">
        <v>12</v>
      </c>
      <c r="F453" t="s">
        <v>24</v>
      </c>
      <c r="G453" t="s">
        <v>29</v>
      </c>
      <c r="H453" s="2">
        <v>23897.96</v>
      </c>
      <c r="I453">
        <v>7</v>
      </c>
      <c r="J453" s="2">
        <v>4085.47</v>
      </c>
      <c r="K453" s="2"/>
    </row>
    <row r="454" spans="1:11" x14ac:dyDescent="0.3">
      <c r="A454">
        <v>453</v>
      </c>
      <c r="B454" s="1">
        <v>45018</v>
      </c>
      <c r="C454" t="s">
        <v>35</v>
      </c>
      <c r="D454" t="s">
        <v>36</v>
      </c>
      <c r="E454" t="s">
        <v>17</v>
      </c>
      <c r="F454" t="s">
        <v>24</v>
      </c>
      <c r="G454" t="s">
        <v>29</v>
      </c>
      <c r="H454" s="2">
        <v>32507.15</v>
      </c>
      <c r="I454">
        <v>10</v>
      </c>
      <c r="J454" s="2">
        <v>4890.71</v>
      </c>
      <c r="K454" s="2"/>
    </row>
    <row r="455" spans="1:11" x14ac:dyDescent="0.3">
      <c r="A455">
        <v>454</v>
      </c>
      <c r="B455" s="1">
        <v>45053</v>
      </c>
      <c r="C455" t="s">
        <v>30</v>
      </c>
      <c r="D455" t="s">
        <v>16</v>
      </c>
      <c r="E455" t="s">
        <v>12</v>
      </c>
      <c r="F455" t="s">
        <v>13</v>
      </c>
      <c r="G455" t="s">
        <v>14</v>
      </c>
      <c r="H455" s="2">
        <v>8584.92</v>
      </c>
      <c r="I455">
        <v>1</v>
      </c>
      <c r="J455" s="2">
        <v>2560.9699999999998</v>
      </c>
      <c r="K455" s="2"/>
    </row>
    <row r="456" spans="1:11" x14ac:dyDescent="0.3">
      <c r="A456">
        <v>455</v>
      </c>
      <c r="B456" s="1">
        <v>45069</v>
      </c>
      <c r="C456" t="s">
        <v>22</v>
      </c>
      <c r="D456" t="s">
        <v>22</v>
      </c>
      <c r="E456" t="s">
        <v>17</v>
      </c>
      <c r="F456" t="s">
        <v>24</v>
      </c>
      <c r="G456" t="s">
        <v>28</v>
      </c>
      <c r="H456" s="2">
        <v>17850.810000000001</v>
      </c>
      <c r="I456">
        <v>9</v>
      </c>
      <c r="J456" s="2">
        <v>4605.67</v>
      </c>
      <c r="K456" s="2"/>
    </row>
    <row r="457" spans="1:11" x14ac:dyDescent="0.3">
      <c r="A457">
        <v>456</v>
      </c>
      <c r="B457" s="1">
        <v>44976</v>
      </c>
      <c r="C457" t="s">
        <v>10</v>
      </c>
      <c r="D457" t="s">
        <v>11</v>
      </c>
      <c r="E457" t="s">
        <v>20</v>
      </c>
      <c r="F457" t="s">
        <v>13</v>
      </c>
      <c r="G457" t="s">
        <v>21</v>
      </c>
      <c r="H457" s="2">
        <v>33800.74</v>
      </c>
      <c r="I457">
        <v>2</v>
      </c>
      <c r="J457" s="2">
        <v>2747.6</v>
      </c>
      <c r="K457" s="2"/>
    </row>
    <row r="458" spans="1:11" x14ac:dyDescent="0.3">
      <c r="A458">
        <v>457</v>
      </c>
      <c r="B458" s="1">
        <v>45264</v>
      </c>
      <c r="C458" t="s">
        <v>15</v>
      </c>
      <c r="D458" t="s">
        <v>16</v>
      </c>
      <c r="E458" t="s">
        <v>20</v>
      </c>
      <c r="F458" t="s">
        <v>24</v>
      </c>
      <c r="G458" t="s">
        <v>25</v>
      </c>
      <c r="H458" s="2">
        <v>5414.74</v>
      </c>
      <c r="I458">
        <v>4</v>
      </c>
      <c r="J458" s="2">
        <v>976.86</v>
      </c>
      <c r="K458" s="2"/>
    </row>
    <row r="459" spans="1:11" x14ac:dyDescent="0.3">
      <c r="A459">
        <v>458</v>
      </c>
      <c r="B459" s="1">
        <v>44952</v>
      </c>
      <c r="C459" t="s">
        <v>37</v>
      </c>
      <c r="D459" t="s">
        <v>27</v>
      </c>
      <c r="E459" t="s">
        <v>12</v>
      </c>
      <c r="F459" t="s">
        <v>24</v>
      </c>
      <c r="G459" t="s">
        <v>28</v>
      </c>
      <c r="H459" s="2">
        <v>12452.06</v>
      </c>
      <c r="I459">
        <v>2</v>
      </c>
      <c r="J459" s="2">
        <v>2412.8200000000002</v>
      </c>
      <c r="K459" s="2"/>
    </row>
    <row r="460" spans="1:11" x14ac:dyDescent="0.3">
      <c r="A460">
        <v>459</v>
      </c>
      <c r="B460" s="1">
        <v>45132</v>
      </c>
      <c r="C460" t="s">
        <v>10</v>
      </c>
      <c r="D460" t="s">
        <v>11</v>
      </c>
      <c r="E460" t="s">
        <v>17</v>
      </c>
      <c r="F460" t="s">
        <v>24</v>
      </c>
      <c r="G460" t="s">
        <v>29</v>
      </c>
      <c r="H460" s="2">
        <v>15764.96</v>
      </c>
      <c r="I460">
        <v>4</v>
      </c>
      <c r="J460" s="2">
        <v>2352.7399999999998</v>
      </c>
      <c r="K460" s="2"/>
    </row>
    <row r="461" spans="1:11" x14ac:dyDescent="0.3">
      <c r="A461">
        <v>460</v>
      </c>
      <c r="B461" s="1">
        <v>45239</v>
      </c>
      <c r="C461" t="s">
        <v>37</v>
      </c>
      <c r="D461" t="s">
        <v>27</v>
      </c>
      <c r="E461" t="s">
        <v>12</v>
      </c>
      <c r="F461" t="s">
        <v>24</v>
      </c>
      <c r="G461" t="s">
        <v>25</v>
      </c>
      <c r="H461" s="2">
        <v>41835.79</v>
      </c>
      <c r="I461">
        <v>1</v>
      </c>
      <c r="J461" s="2">
        <v>2744.23</v>
      </c>
      <c r="K461" s="2"/>
    </row>
    <row r="462" spans="1:11" x14ac:dyDescent="0.3">
      <c r="A462">
        <v>461</v>
      </c>
      <c r="B462" s="1">
        <v>45075</v>
      </c>
      <c r="C462" t="s">
        <v>18</v>
      </c>
      <c r="D462" t="s">
        <v>19</v>
      </c>
      <c r="E462" t="s">
        <v>17</v>
      </c>
      <c r="F462" t="s">
        <v>31</v>
      </c>
      <c r="G462" t="s">
        <v>33</v>
      </c>
      <c r="H462" s="2">
        <v>23801.25</v>
      </c>
      <c r="I462">
        <v>2</v>
      </c>
      <c r="J462" s="2">
        <v>6445.33</v>
      </c>
      <c r="K462" s="2"/>
    </row>
    <row r="463" spans="1:11" x14ac:dyDescent="0.3">
      <c r="A463">
        <v>462</v>
      </c>
      <c r="B463" s="1">
        <v>45252</v>
      </c>
      <c r="C463" t="s">
        <v>26</v>
      </c>
      <c r="D463" t="s">
        <v>27</v>
      </c>
      <c r="E463" t="s">
        <v>20</v>
      </c>
      <c r="F463" t="s">
        <v>24</v>
      </c>
      <c r="G463" t="s">
        <v>25</v>
      </c>
      <c r="H463" s="2">
        <v>15461.71</v>
      </c>
      <c r="I463">
        <v>3</v>
      </c>
      <c r="J463" s="2">
        <v>3314.59</v>
      </c>
      <c r="K463" s="2"/>
    </row>
    <row r="464" spans="1:11" x14ac:dyDescent="0.3">
      <c r="A464">
        <v>463</v>
      </c>
      <c r="B464" s="1">
        <v>45076</v>
      </c>
      <c r="C464" t="s">
        <v>35</v>
      </c>
      <c r="D464" t="s">
        <v>36</v>
      </c>
      <c r="E464" t="s">
        <v>20</v>
      </c>
      <c r="F464" t="s">
        <v>24</v>
      </c>
      <c r="G464" t="s">
        <v>29</v>
      </c>
      <c r="H464" s="2">
        <v>45619.47</v>
      </c>
      <c r="I464">
        <v>10</v>
      </c>
      <c r="J464" s="2">
        <v>10134.75</v>
      </c>
      <c r="K464" s="2"/>
    </row>
    <row r="465" spans="1:11" x14ac:dyDescent="0.3">
      <c r="A465">
        <v>464</v>
      </c>
      <c r="B465" s="1">
        <v>45000</v>
      </c>
      <c r="C465" t="s">
        <v>10</v>
      </c>
      <c r="D465" t="s">
        <v>11</v>
      </c>
      <c r="E465" t="s">
        <v>12</v>
      </c>
      <c r="F465" t="s">
        <v>31</v>
      </c>
      <c r="G465" t="s">
        <v>33</v>
      </c>
      <c r="H465" s="2">
        <v>15028.38</v>
      </c>
      <c r="I465">
        <v>7</v>
      </c>
      <c r="J465" s="2">
        <v>2910.42</v>
      </c>
      <c r="K465" s="2"/>
    </row>
    <row r="466" spans="1:11" x14ac:dyDescent="0.3">
      <c r="A466">
        <v>465</v>
      </c>
      <c r="B466" s="1">
        <v>45205</v>
      </c>
      <c r="C466" t="s">
        <v>22</v>
      </c>
      <c r="D466" t="s">
        <v>22</v>
      </c>
      <c r="E466" t="s">
        <v>17</v>
      </c>
      <c r="F466" t="s">
        <v>13</v>
      </c>
      <c r="G466" t="s">
        <v>34</v>
      </c>
      <c r="H466" s="2">
        <v>30842.46</v>
      </c>
      <c r="I466">
        <v>1</v>
      </c>
      <c r="J466" s="2">
        <v>3773.49</v>
      </c>
      <c r="K466" s="2"/>
    </row>
    <row r="467" spans="1:11" x14ac:dyDescent="0.3">
      <c r="A467">
        <v>466</v>
      </c>
      <c r="B467" s="1">
        <v>45222</v>
      </c>
      <c r="C467" t="s">
        <v>10</v>
      </c>
      <c r="D467" t="s">
        <v>11</v>
      </c>
      <c r="E467" t="s">
        <v>12</v>
      </c>
      <c r="F467" t="s">
        <v>13</v>
      </c>
      <c r="G467" t="s">
        <v>21</v>
      </c>
      <c r="H467" s="2">
        <v>6318.79</v>
      </c>
      <c r="I467">
        <v>4</v>
      </c>
      <c r="J467" s="2">
        <v>1551.93</v>
      </c>
      <c r="K467" s="2"/>
    </row>
    <row r="468" spans="1:11" x14ac:dyDescent="0.3">
      <c r="A468">
        <v>467</v>
      </c>
      <c r="B468" s="1">
        <v>44974</v>
      </c>
      <c r="C468" t="s">
        <v>38</v>
      </c>
      <c r="D468" t="s">
        <v>27</v>
      </c>
      <c r="E468" t="s">
        <v>17</v>
      </c>
      <c r="F468" t="s">
        <v>31</v>
      </c>
      <c r="G468" t="s">
        <v>33</v>
      </c>
      <c r="H468" s="2">
        <v>14828.09</v>
      </c>
      <c r="I468">
        <v>7</v>
      </c>
      <c r="J468" s="2">
        <v>2884.42</v>
      </c>
      <c r="K468" s="2"/>
    </row>
    <row r="469" spans="1:11" x14ac:dyDescent="0.3">
      <c r="A469">
        <v>468</v>
      </c>
      <c r="B469" s="1">
        <v>45137</v>
      </c>
      <c r="C469" t="s">
        <v>37</v>
      </c>
      <c r="D469" t="s">
        <v>27</v>
      </c>
      <c r="E469" t="s">
        <v>20</v>
      </c>
      <c r="F469" t="s">
        <v>24</v>
      </c>
      <c r="G469" t="s">
        <v>28</v>
      </c>
      <c r="H469" s="2">
        <v>16069.37</v>
      </c>
      <c r="I469">
        <v>2</v>
      </c>
      <c r="J469" s="2">
        <v>3976.35</v>
      </c>
      <c r="K469" s="2"/>
    </row>
    <row r="470" spans="1:11" x14ac:dyDescent="0.3">
      <c r="A470">
        <v>469</v>
      </c>
      <c r="B470" s="1">
        <v>45213</v>
      </c>
      <c r="C470" t="s">
        <v>30</v>
      </c>
      <c r="D470" t="s">
        <v>16</v>
      </c>
      <c r="E470" t="s">
        <v>20</v>
      </c>
      <c r="F470" t="s">
        <v>13</v>
      </c>
      <c r="G470" t="s">
        <v>21</v>
      </c>
      <c r="H470" s="2">
        <v>13770.88</v>
      </c>
      <c r="I470">
        <v>9</v>
      </c>
      <c r="J470" s="2">
        <v>1110.72</v>
      </c>
      <c r="K470" s="2"/>
    </row>
    <row r="471" spans="1:11" x14ac:dyDescent="0.3">
      <c r="A471">
        <v>470</v>
      </c>
      <c r="B471" s="1">
        <v>45016</v>
      </c>
      <c r="C471" t="s">
        <v>37</v>
      </c>
      <c r="D471" t="s">
        <v>27</v>
      </c>
      <c r="E471" t="s">
        <v>12</v>
      </c>
      <c r="F471" t="s">
        <v>24</v>
      </c>
      <c r="G471" t="s">
        <v>29</v>
      </c>
      <c r="H471" s="2">
        <v>24821.75</v>
      </c>
      <c r="I471">
        <v>4</v>
      </c>
      <c r="J471" s="2">
        <v>4789.5600000000004</v>
      </c>
      <c r="K471" s="2"/>
    </row>
    <row r="472" spans="1:11" x14ac:dyDescent="0.3">
      <c r="A472">
        <v>471</v>
      </c>
      <c r="B472" s="1">
        <v>45038</v>
      </c>
      <c r="C472" t="s">
        <v>15</v>
      </c>
      <c r="D472" t="s">
        <v>16</v>
      </c>
      <c r="E472" t="s">
        <v>17</v>
      </c>
      <c r="F472" t="s">
        <v>13</v>
      </c>
      <c r="G472" t="s">
        <v>14</v>
      </c>
      <c r="H472" s="2">
        <v>19819</v>
      </c>
      <c r="I472">
        <v>9</v>
      </c>
      <c r="J472" s="2">
        <v>4493.47</v>
      </c>
      <c r="K472" s="2"/>
    </row>
    <row r="473" spans="1:11" x14ac:dyDescent="0.3">
      <c r="A473">
        <v>472</v>
      </c>
      <c r="B473" s="1">
        <v>45211</v>
      </c>
      <c r="C473" t="s">
        <v>37</v>
      </c>
      <c r="D473" t="s">
        <v>27</v>
      </c>
      <c r="E473" t="s">
        <v>12</v>
      </c>
      <c r="F473" t="s">
        <v>13</v>
      </c>
      <c r="G473" t="s">
        <v>21</v>
      </c>
      <c r="H473" s="2">
        <v>7807.18</v>
      </c>
      <c r="I473">
        <v>9</v>
      </c>
      <c r="J473" s="2">
        <v>893.09</v>
      </c>
      <c r="K473" s="2"/>
    </row>
    <row r="474" spans="1:11" x14ac:dyDescent="0.3">
      <c r="A474">
        <v>473</v>
      </c>
      <c r="B474" s="1">
        <v>45158</v>
      </c>
      <c r="C474" t="s">
        <v>35</v>
      </c>
      <c r="D474" t="s">
        <v>36</v>
      </c>
      <c r="E474" t="s">
        <v>17</v>
      </c>
      <c r="F474" t="s">
        <v>13</v>
      </c>
      <c r="G474" t="s">
        <v>14</v>
      </c>
      <c r="H474" s="2">
        <v>29187.5</v>
      </c>
      <c r="I474">
        <v>3</v>
      </c>
      <c r="J474" s="2">
        <v>2048.9699999999998</v>
      </c>
      <c r="K474" s="2"/>
    </row>
    <row r="475" spans="1:11" x14ac:dyDescent="0.3">
      <c r="A475">
        <v>474</v>
      </c>
      <c r="B475" s="1">
        <v>45287</v>
      </c>
      <c r="C475" t="s">
        <v>10</v>
      </c>
      <c r="D475" t="s">
        <v>11</v>
      </c>
      <c r="E475" t="s">
        <v>20</v>
      </c>
      <c r="F475" t="s">
        <v>24</v>
      </c>
      <c r="G475" t="s">
        <v>28</v>
      </c>
      <c r="H475" s="2">
        <v>30736.28</v>
      </c>
      <c r="I475">
        <v>6</v>
      </c>
      <c r="J475" s="2">
        <v>6419.01</v>
      </c>
      <c r="K475" s="2"/>
    </row>
    <row r="476" spans="1:11" x14ac:dyDescent="0.3">
      <c r="A476">
        <v>475</v>
      </c>
      <c r="B476" s="1">
        <v>44988</v>
      </c>
      <c r="C476" t="s">
        <v>30</v>
      </c>
      <c r="D476" t="s">
        <v>16</v>
      </c>
      <c r="E476" t="s">
        <v>20</v>
      </c>
      <c r="F476" t="s">
        <v>24</v>
      </c>
      <c r="G476" t="s">
        <v>25</v>
      </c>
      <c r="H476" s="2">
        <v>14023.91</v>
      </c>
      <c r="I476">
        <v>7</v>
      </c>
      <c r="J476" s="2">
        <v>1687.3</v>
      </c>
      <c r="K476" s="2"/>
    </row>
    <row r="477" spans="1:11" x14ac:dyDescent="0.3">
      <c r="A477">
        <v>476</v>
      </c>
      <c r="B477" s="1">
        <v>45029</v>
      </c>
      <c r="C477" t="s">
        <v>18</v>
      </c>
      <c r="D477" t="s">
        <v>19</v>
      </c>
      <c r="E477" t="s">
        <v>12</v>
      </c>
      <c r="F477" t="s">
        <v>24</v>
      </c>
      <c r="G477" t="s">
        <v>29</v>
      </c>
      <c r="H477" s="2">
        <v>16267.75</v>
      </c>
      <c r="I477">
        <v>3</v>
      </c>
      <c r="J477" s="2">
        <v>3928.17</v>
      </c>
      <c r="K477" s="2"/>
    </row>
    <row r="478" spans="1:11" x14ac:dyDescent="0.3">
      <c r="A478">
        <v>477</v>
      </c>
      <c r="B478" s="1">
        <v>45129</v>
      </c>
      <c r="C478" t="s">
        <v>38</v>
      </c>
      <c r="D478" t="s">
        <v>27</v>
      </c>
      <c r="E478" t="s">
        <v>17</v>
      </c>
      <c r="F478" t="s">
        <v>31</v>
      </c>
      <c r="G478" t="s">
        <v>39</v>
      </c>
      <c r="H478" s="2">
        <v>17638.95</v>
      </c>
      <c r="I478">
        <v>1</v>
      </c>
      <c r="J478" s="2">
        <v>5267.64</v>
      </c>
      <c r="K478" s="2"/>
    </row>
    <row r="479" spans="1:11" x14ac:dyDescent="0.3">
      <c r="A479">
        <v>478</v>
      </c>
      <c r="B479" s="1">
        <v>45019</v>
      </c>
      <c r="C479" t="s">
        <v>35</v>
      </c>
      <c r="D479" t="s">
        <v>36</v>
      </c>
      <c r="E479" t="s">
        <v>12</v>
      </c>
      <c r="F479" t="s">
        <v>31</v>
      </c>
      <c r="G479" t="s">
        <v>39</v>
      </c>
      <c r="H479" s="2">
        <v>4634.8100000000004</v>
      </c>
      <c r="I479">
        <v>5</v>
      </c>
      <c r="J479" s="2">
        <v>1129.28</v>
      </c>
      <c r="K479" s="2"/>
    </row>
    <row r="480" spans="1:11" x14ac:dyDescent="0.3">
      <c r="A480">
        <v>479</v>
      </c>
      <c r="B480" s="1">
        <v>44994</v>
      </c>
      <c r="C480" t="s">
        <v>38</v>
      </c>
      <c r="D480" t="s">
        <v>27</v>
      </c>
      <c r="E480" t="s">
        <v>17</v>
      </c>
      <c r="F480" t="s">
        <v>31</v>
      </c>
      <c r="G480" t="s">
        <v>32</v>
      </c>
      <c r="H480" s="2">
        <v>38025.67</v>
      </c>
      <c r="I480">
        <v>8</v>
      </c>
      <c r="J480" s="2">
        <v>2827.8</v>
      </c>
      <c r="K480" s="2"/>
    </row>
    <row r="481" spans="1:11" x14ac:dyDescent="0.3">
      <c r="A481">
        <v>480</v>
      </c>
      <c r="B481" s="1">
        <v>45024</v>
      </c>
      <c r="C481" t="s">
        <v>38</v>
      </c>
      <c r="D481" t="s">
        <v>27</v>
      </c>
      <c r="E481" t="s">
        <v>20</v>
      </c>
      <c r="F481" t="s">
        <v>13</v>
      </c>
      <c r="G481" t="s">
        <v>34</v>
      </c>
      <c r="H481" s="2">
        <v>2127.65</v>
      </c>
      <c r="I481">
        <v>9</v>
      </c>
      <c r="J481" s="2">
        <v>181.46</v>
      </c>
      <c r="K481" s="2"/>
    </row>
    <row r="482" spans="1:11" x14ac:dyDescent="0.3">
      <c r="A482">
        <v>481</v>
      </c>
      <c r="B482" s="1">
        <v>44936</v>
      </c>
      <c r="C482" t="s">
        <v>37</v>
      </c>
      <c r="D482" t="s">
        <v>27</v>
      </c>
      <c r="E482" t="s">
        <v>20</v>
      </c>
      <c r="F482" t="s">
        <v>31</v>
      </c>
      <c r="G482" t="s">
        <v>33</v>
      </c>
      <c r="H482" s="2">
        <v>45815.93</v>
      </c>
      <c r="I482">
        <v>8</v>
      </c>
      <c r="J482" s="2">
        <v>2496.91</v>
      </c>
      <c r="K482" s="2"/>
    </row>
    <row r="483" spans="1:11" x14ac:dyDescent="0.3">
      <c r="A483">
        <v>482</v>
      </c>
      <c r="B483" s="1">
        <v>45291</v>
      </c>
      <c r="C483" t="s">
        <v>22</v>
      </c>
      <c r="D483" t="s">
        <v>22</v>
      </c>
      <c r="E483" t="s">
        <v>12</v>
      </c>
      <c r="F483" t="s">
        <v>13</v>
      </c>
      <c r="G483" t="s">
        <v>14</v>
      </c>
      <c r="H483" s="2">
        <v>15944.17</v>
      </c>
      <c r="I483">
        <v>3</v>
      </c>
      <c r="J483" s="2">
        <v>1241.5</v>
      </c>
      <c r="K483" s="2"/>
    </row>
    <row r="484" spans="1:11" x14ac:dyDescent="0.3">
      <c r="A484">
        <v>483</v>
      </c>
      <c r="B484" s="1">
        <v>45127</v>
      </c>
      <c r="C484" t="s">
        <v>30</v>
      </c>
      <c r="D484" t="s">
        <v>16</v>
      </c>
      <c r="E484" t="s">
        <v>17</v>
      </c>
      <c r="F484" t="s">
        <v>31</v>
      </c>
      <c r="G484" t="s">
        <v>39</v>
      </c>
      <c r="H484" s="2">
        <v>13865.4</v>
      </c>
      <c r="I484">
        <v>7</v>
      </c>
      <c r="J484" s="2">
        <v>1146.8599999999999</v>
      </c>
      <c r="K484" s="2"/>
    </row>
    <row r="485" spans="1:11" x14ac:dyDescent="0.3">
      <c r="A485">
        <v>484</v>
      </c>
      <c r="B485" s="1">
        <v>45219</v>
      </c>
      <c r="C485" t="s">
        <v>10</v>
      </c>
      <c r="D485" t="s">
        <v>11</v>
      </c>
      <c r="E485" t="s">
        <v>12</v>
      </c>
      <c r="F485" t="s">
        <v>31</v>
      </c>
      <c r="G485" t="s">
        <v>33</v>
      </c>
      <c r="H485" s="2">
        <v>49401.07</v>
      </c>
      <c r="I485">
        <v>7</v>
      </c>
      <c r="J485" s="2">
        <v>13668.97</v>
      </c>
      <c r="K485" s="2"/>
    </row>
    <row r="486" spans="1:11" x14ac:dyDescent="0.3">
      <c r="A486">
        <v>485</v>
      </c>
      <c r="B486" s="1">
        <v>45222</v>
      </c>
      <c r="C486" t="s">
        <v>38</v>
      </c>
      <c r="D486" t="s">
        <v>27</v>
      </c>
      <c r="E486" t="s">
        <v>17</v>
      </c>
      <c r="F486" t="s">
        <v>24</v>
      </c>
      <c r="G486" t="s">
        <v>28</v>
      </c>
      <c r="H486" s="2">
        <v>6564.48</v>
      </c>
      <c r="I486">
        <v>1</v>
      </c>
      <c r="J486" s="2">
        <v>522.54999999999995</v>
      </c>
      <c r="K486" s="2"/>
    </row>
    <row r="487" spans="1:11" x14ac:dyDescent="0.3">
      <c r="A487">
        <v>486</v>
      </c>
      <c r="B487" s="1">
        <v>45109</v>
      </c>
      <c r="C487" t="s">
        <v>37</v>
      </c>
      <c r="D487" t="s">
        <v>27</v>
      </c>
      <c r="E487" t="s">
        <v>20</v>
      </c>
      <c r="F487" t="s">
        <v>13</v>
      </c>
      <c r="G487" t="s">
        <v>14</v>
      </c>
      <c r="H487" s="2">
        <v>5283.9</v>
      </c>
      <c r="I487">
        <v>9</v>
      </c>
      <c r="J487" s="2">
        <v>1226.3399999999999</v>
      </c>
      <c r="K487" s="2"/>
    </row>
    <row r="488" spans="1:11" x14ac:dyDescent="0.3">
      <c r="A488">
        <v>487</v>
      </c>
      <c r="B488" s="1">
        <v>45011</v>
      </c>
      <c r="C488" t="s">
        <v>15</v>
      </c>
      <c r="D488" t="s">
        <v>16</v>
      </c>
      <c r="E488" t="s">
        <v>20</v>
      </c>
      <c r="F488" t="s">
        <v>24</v>
      </c>
      <c r="G488" t="s">
        <v>29</v>
      </c>
      <c r="H488" s="2">
        <v>36607.199999999997</v>
      </c>
      <c r="I488">
        <v>7</v>
      </c>
      <c r="J488" s="2">
        <v>3454.39</v>
      </c>
      <c r="K488" s="2"/>
    </row>
    <row r="489" spans="1:11" x14ac:dyDescent="0.3">
      <c r="A489">
        <v>488</v>
      </c>
      <c r="B489" s="1">
        <v>44986</v>
      </c>
      <c r="C489" t="s">
        <v>37</v>
      </c>
      <c r="D489" t="s">
        <v>27</v>
      </c>
      <c r="E489" t="s">
        <v>12</v>
      </c>
      <c r="F489" t="s">
        <v>24</v>
      </c>
      <c r="G489" t="s">
        <v>28</v>
      </c>
      <c r="H489" s="2">
        <v>17654.32</v>
      </c>
      <c r="I489">
        <v>9</v>
      </c>
      <c r="J489" s="2">
        <v>1231.93</v>
      </c>
      <c r="K489" s="2"/>
    </row>
    <row r="490" spans="1:11" x14ac:dyDescent="0.3">
      <c r="A490">
        <v>489</v>
      </c>
      <c r="B490" s="1">
        <v>45143</v>
      </c>
      <c r="C490" t="s">
        <v>26</v>
      </c>
      <c r="D490" t="s">
        <v>27</v>
      </c>
      <c r="E490" t="s">
        <v>17</v>
      </c>
      <c r="F490" t="s">
        <v>31</v>
      </c>
      <c r="G490" t="s">
        <v>39</v>
      </c>
      <c r="H490" s="2">
        <v>9433.0400000000009</v>
      </c>
      <c r="I490">
        <v>8</v>
      </c>
      <c r="J490" s="2">
        <v>2046</v>
      </c>
      <c r="K490" s="2"/>
    </row>
    <row r="491" spans="1:11" x14ac:dyDescent="0.3">
      <c r="A491">
        <v>490</v>
      </c>
      <c r="B491" s="1">
        <v>45217</v>
      </c>
      <c r="C491" t="s">
        <v>37</v>
      </c>
      <c r="D491" t="s">
        <v>27</v>
      </c>
      <c r="E491" t="s">
        <v>12</v>
      </c>
      <c r="F491" t="s">
        <v>24</v>
      </c>
      <c r="G491" t="s">
        <v>28</v>
      </c>
      <c r="H491" s="2">
        <v>2839.73</v>
      </c>
      <c r="I491">
        <v>9</v>
      </c>
      <c r="J491" s="2">
        <v>780.48</v>
      </c>
      <c r="K491" s="2"/>
    </row>
    <row r="492" spans="1:11" x14ac:dyDescent="0.3">
      <c r="A492">
        <v>491</v>
      </c>
      <c r="B492" s="1">
        <v>45187</v>
      </c>
      <c r="C492" t="s">
        <v>26</v>
      </c>
      <c r="D492" t="s">
        <v>27</v>
      </c>
      <c r="E492" t="s">
        <v>17</v>
      </c>
      <c r="F492" t="s">
        <v>31</v>
      </c>
      <c r="G492" t="s">
        <v>39</v>
      </c>
      <c r="H492" s="2">
        <v>37729.72</v>
      </c>
      <c r="I492">
        <v>8</v>
      </c>
      <c r="J492" s="2">
        <v>7417.54</v>
      </c>
      <c r="K492" s="2"/>
    </row>
    <row r="493" spans="1:11" x14ac:dyDescent="0.3">
      <c r="A493">
        <v>492</v>
      </c>
      <c r="B493" s="1">
        <v>45082</v>
      </c>
      <c r="C493" t="s">
        <v>35</v>
      </c>
      <c r="D493" t="s">
        <v>36</v>
      </c>
      <c r="E493" t="s">
        <v>20</v>
      </c>
      <c r="F493" t="s">
        <v>13</v>
      </c>
      <c r="G493" t="s">
        <v>14</v>
      </c>
      <c r="H493" s="2">
        <v>42195.65</v>
      </c>
      <c r="I493">
        <v>8</v>
      </c>
      <c r="J493" s="2">
        <v>7879.74</v>
      </c>
      <c r="K493" s="2"/>
    </row>
    <row r="494" spans="1:11" x14ac:dyDescent="0.3">
      <c r="A494">
        <v>493</v>
      </c>
      <c r="B494" s="1">
        <v>45163</v>
      </c>
      <c r="C494" t="s">
        <v>18</v>
      </c>
      <c r="D494" t="s">
        <v>19</v>
      </c>
      <c r="E494" t="s">
        <v>20</v>
      </c>
      <c r="F494" t="s">
        <v>24</v>
      </c>
      <c r="G494" t="s">
        <v>28</v>
      </c>
      <c r="H494" s="2">
        <v>43878.42</v>
      </c>
      <c r="I494">
        <v>7</v>
      </c>
      <c r="J494" s="2">
        <v>6784.49</v>
      </c>
      <c r="K494" s="2"/>
    </row>
    <row r="495" spans="1:11" x14ac:dyDescent="0.3">
      <c r="A495">
        <v>494</v>
      </c>
      <c r="B495" s="1">
        <v>45203</v>
      </c>
      <c r="C495" t="s">
        <v>22</v>
      </c>
      <c r="D495" t="s">
        <v>22</v>
      </c>
      <c r="E495" t="s">
        <v>12</v>
      </c>
      <c r="F495" t="s">
        <v>24</v>
      </c>
      <c r="G495" t="s">
        <v>29</v>
      </c>
      <c r="H495" s="2">
        <v>38660.239999999998</v>
      </c>
      <c r="I495">
        <v>10</v>
      </c>
      <c r="J495" s="2">
        <v>4376.5</v>
      </c>
      <c r="K495" s="2"/>
    </row>
    <row r="496" spans="1:11" x14ac:dyDescent="0.3">
      <c r="A496">
        <v>495</v>
      </c>
      <c r="B496" s="1">
        <v>45086</v>
      </c>
      <c r="C496" t="s">
        <v>38</v>
      </c>
      <c r="D496" t="s">
        <v>27</v>
      </c>
      <c r="E496" t="s">
        <v>17</v>
      </c>
      <c r="F496" t="s">
        <v>31</v>
      </c>
      <c r="G496" t="s">
        <v>32</v>
      </c>
      <c r="H496" s="2">
        <v>21116.26</v>
      </c>
      <c r="I496">
        <v>4</v>
      </c>
      <c r="J496" s="2">
        <v>5256.29</v>
      </c>
      <c r="K496" s="2"/>
    </row>
    <row r="497" spans="1:11" x14ac:dyDescent="0.3">
      <c r="A497">
        <v>496</v>
      </c>
      <c r="B497" s="1">
        <v>45079</v>
      </c>
      <c r="C497" t="s">
        <v>38</v>
      </c>
      <c r="D497" t="s">
        <v>27</v>
      </c>
      <c r="E497" t="s">
        <v>12</v>
      </c>
      <c r="F497" t="s">
        <v>24</v>
      </c>
      <c r="G497" t="s">
        <v>29</v>
      </c>
      <c r="H497" s="2">
        <v>4757.99</v>
      </c>
      <c r="I497">
        <v>10</v>
      </c>
      <c r="J497" s="2">
        <v>1164.3900000000001</v>
      </c>
      <c r="K497" s="2"/>
    </row>
    <row r="498" spans="1:11" x14ac:dyDescent="0.3">
      <c r="A498">
        <v>497</v>
      </c>
      <c r="B498" s="1">
        <v>45195</v>
      </c>
      <c r="C498" t="s">
        <v>30</v>
      </c>
      <c r="D498" t="s">
        <v>16</v>
      </c>
      <c r="E498" t="s">
        <v>17</v>
      </c>
      <c r="F498" t="s">
        <v>31</v>
      </c>
      <c r="G498" t="s">
        <v>33</v>
      </c>
      <c r="H498" s="2">
        <v>8870.2800000000007</v>
      </c>
      <c r="I498">
        <v>2</v>
      </c>
      <c r="J498" s="2">
        <v>1105.6300000000001</v>
      </c>
      <c r="K498" s="2"/>
    </row>
    <row r="499" spans="1:11" x14ac:dyDescent="0.3">
      <c r="A499">
        <v>498</v>
      </c>
      <c r="B499" s="1">
        <v>45252</v>
      </c>
      <c r="C499" t="s">
        <v>30</v>
      </c>
      <c r="D499" t="s">
        <v>16</v>
      </c>
      <c r="E499" t="s">
        <v>20</v>
      </c>
      <c r="F499" t="s">
        <v>31</v>
      </c>
      <c r="G499" t="s">
        <v>33</v>
      </c>
      <c r="H499" s="2">
        <v>46482.94</v>
      </c>
      <c r="I499">
        <v>10</v>
      </c>
      <c r="J499" s="2">
        <v>7712.88</v>
      </c>
      <c r="K499" s="2"/>
    </row>
    <row r="500" spans="1:11" x14ac:dyDescent="0.3">
      <c r="A500">
        <v>499</v>
      </c>
      <c r="B500" s="1">
        <v>45042</v>
      </c>
      <c r="C500" t="s">
        <v>30</v>
      </c>
      <c r="D500" t="s">
        <v>16</v>
      </c>
      <c r="E500" t="s">
        <v>20</v>
      </c>
      <c r="F500" t="s">
        <v>13</v>
      </c>
      <c r="G500" t="s">
        <v>14</v>
      </c>
      <c r="H500" s="2">
        <v>43505.83</v>
      </c>
      <c r="I500">
        <v>7</v>
      </c>
      <c r="J500" s="2">
        <v>7809.91</v>
      </c>
      <c r="K500" s="2"/>
    </row>
    <row r="501" spans="1:11" x14ac:dyDescent="0.3">
      <c r="A501">
        <v>500</v>
      </c>
      <c r="B501" s="1">
        <v>45224</v>
      </c>
      <c r="C501" t="s">
        <v>15</v>
      </c>
      <c r="D501" t="s">
        <v>16</v>
      </c>
      <c r="E501" t="s">
        <v>12</v>
      </c>
      <c r="F501" t="s">
        <v>31</v>
      </c>
      <c r="G501" t="s">
        <v>32</v>
      </c>
      <c r="H501" s="2">
        <v>33463.57</v>
      </c>
      <c r="I501">
        <v>6</v>
      </c>
      <c r="J501" s="2">
        <v>6469.01</v>
      </c>
      <c r="K501" s="2"/>
    </row>
  </sheetData>
  <mergeCells count="2">
    <mergeCell ref="N3:Q3"/>
    <mergeCell ref="N14:Q1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AD793-006A-4DAC-AE18-5D7F705A252E}">
  <dimension ref="A2:T27"/>
  <sheetViews>
    <sheetView zoomScale="79" workbookViewId="0">
      <selection activeCell="G31" sqref="G31"/>
    </sheetView>
  </sheetViews>
  <sheetFormatPr defaultRowHeight="14.4" x14ac:dyDescent="0.3"/>
  <cols>
    <col min="7" max="7" width="19.5546875" customWidth="1"/>
    <col min="8" max="8" width="10.21875" bestFit="1" customWidth="1"/>
    <col min="9" max="9" width="11.5546875" bestFit="1" customWidth="1"/>
    <col min="10" max="10" width="14.21875" customWidth="1"/>
    <col min="11" max="11" width="19.33203125" customWidth="1"/>
    <col min="12" max="12" width="14.77734375" bestFit="1" customWidth="1"/>
    <col min="13" max="13" width="13.21875" bestFit="1" customWidth="1"/>
    <col min="14" max="14" width="14.33203125" bestFit="1" customWidth="1"/>
    <col min="15" max="15" width="13.88671875" bestFit="1" customWidth="1"/>
    <col min="16" max="17" width="15.21875" bestFit="1" customWidth="1"/>
    <col min="18" max="18" width="12.21875" customWidth="1"/>
    <col min="19" max="19" width="12.5546875" customWidth="1"/>
    <col min="20" max="20" width="11.21875" customWidth="1"/>
  </cols>
  <sheetData>
    <row r="2" spans="1:20" x14ac:dyDescent="0.3">
      <c r="A2" s="31" t="s">
        <v>123</v>
      </c>
      <c r="B2" s="31"/>
      <c r="C2" s="31"/>
      <c r="D2" s="31"/>
      <c r="E2" s="31"/>
      <c r="F2" s="31"/>
      <c r="G2" s="31"/>
    </row>
    <row r="3" spans="1:20" x14ac:dyDescent="0.3">
      <c r="A3" s="31" t="s">
        <v>79</v>
      </c>
      <c r="B3" s="31"/>
      <c r="C3" s="31"/>
      <c r="D3" s="31"/>
      <c r="E3" s="31"/>
      <c r="F3" s="31"/>
      <c r="G3" s="31"/>
      <c r="I3" s="10" t="s">
        <v>84</v>
      </c>
      <c r="J3" s="10" t="s">
        <v>85</v>
      </c>
      <c r="K3" s="10" t="s">
        <v>83</v>
      </c>
      <c r="L3" s="10" t="s">
        <v>82</v>
      </c>
      <c r="M3" s="10" t="s">
        <v>76</v>
      </c>
      <c r="N3" s="10" t="s">
        <v>77</v>
      </c>
      <c r="O3" s="10" t="s">
        <v>78</v>
      </c>
      <c r="P3" s="10" t="s">
        <v>125</v>
      </c>
      <c r="Q3" s="10" t="s">
        <v>81</v>
      </c>
    </row>
    <row r="4" spans="1:20" x14ac:dyDescent="0.3">
      <c r="A4" s="31" t="s">
        <v>80</v>
      </c>
      <c r="B4" s="31"/>
      <c r="C4" s="31"/>
      <c r="D4" s="31"/>
      <c r="E4" s="31"/>
      <c r="F4" s="31"/>
      <c r="G4" s="31"/>
      <c r="I4" s="3" t="s">
        <v>86</v>
      </c>
      <c r="J4" s="13" t="s">
        <v>87</v>
      </c>
      <c r="K4" s="3" t="str">
        <f>_xlfn.CONCAT(I4,J4)</f>
        <v>rahul24@gmail.com</v>
      </c>
      <c r="L4" s="3" t="s">
        <v>71</v>
      </c>
      <c r="M4" s="3" t="str">
        <f>TRIM(L4)</f>
        <v>RaHuL ShArMa</v>
      </c>
      <c r="N4" s="3" t="str">
        <f>TRIM(PROPER(L4))</f>
        <v>Rahul Sharma</v>
      </c>
      <c r="O4" s="3" t="str">
        <f>UPPER(M4)</f>
        <v>RAHUL SHARMA</v>
      </c>
      <c r="P4" s="3" t="str">
        <f>LEFT(N4,5)</f>
        <v>Rahul</v>
      </c>
      <c r="Q4" s="3" t="str">
        <f>RIGHT(N4,5)</f>
        <v>harma</v>
      </c>
    </row>
    <row r="5" spans="1:20" x14ac:dyDescent="0.3">
      <c r="A5" s="31" t="s">
        <v>92</v>
      </c>
      <c r="B5" s="31"/>
      <c r="C5" s="31"/>
      <c r="D5" s="31"/>
      <c r="E5" s="31"/>
      <c r="F5" s="31"/>
      <c r="G5" s="31"/>
      <c r="I5" s="3" t="s">
        <v>88</v>
      </c>
      <c r="J5" s="13" t="s">
        <v>87</v>
      </c>
      <c r="K5" s="3" t="str">
        <f t="shared" ref="K5:K8" si="0">_xlfn.CONCAT(I5,J5)</f>
        <v>preet256@gmail.com</v>
      </c>
      <c r="L5" s="3" t="s">
        <v>72</v>
      </c>
      <c r="M5" s="3" t="str">
        <f t="shared" ref="M5:M9" si="1">TRIM(L5)</f>
        <v>PrEEt pAtEl</v>
      </c>
      <c r="N5" s="3" t="str">
        <f t="shared" ref="N5:N8" si="2">TRIM(PROPER(L5))</f>
        <v>Preet Patel</v>
      </c>
      <c r="O5" s="3" t="str">
        <f t="shared" ref="O5:O8" si="3">UPPER(M5)</f>
        <v>PREET PATEL</v>
      </c>
      <c r="P5" s="3" t="str">
        <f t="shared" ref="P5:P8" si="4">LEFT(N5,5)</f>
        <v>Preet</v>
      </c>
      <c r="Q5" s="3" t="str">
        <f t="shared" ref="Q5:Q8" si="5">RIGHT(N5,5)</f>
        <v>Patel</v>
      </c>
    </row>
    <row r="6" spans="1:20" x14ac:dyDescent="0.3">
      <c r="A6" s="31" t="s">
        <v>94</v>
      </c>
      <c r="B6" s="31"/>
      <c r="C6" s="31"/>
      <c r="D6" s="31"/>
      <c r="E6" s="31"/>
      <c r="F6" s="31"/>
      <c r="G6" s="31"/>
      <c r="I6" s="3" t="s">
        <v>89</v>
      </c>
      <c r="J6" s="13" t="s">
        <v>87</v>
      </c>
      <c r="K6" s="3" t="str">
        <f t="shared" si="0"/>
        <v>lavanya01@gmail.com</v>
      </c>
      <c r="L6" s="3" t="s">
        <v>73</v>
      </c>
      <c r="M6" s="3" t="str">
        <f t="shared" si="1"/>
        <v>LavANYa PaTEl</v>
      </c>
      <c r="N6" s="3" t="str">
        <f t="shared" si="2"/>
        <v>Lavanya Patel</v>
      </c>
      <c r="O6" s="3" t="str">
        <f t="shared" si="3"/>
        <v>LAVANYA PATEL</v>
      </c>
      <c r="P6" s="3" t="str">
        <f t="shared" si="4"/>
        <v>Lavan</v>
      </c>
      <c r="Q6" s="3" t="str">
        <f t="shared" si="5"/>
        <v>Patel</v>
      </c>
    </row>
    <row r="7" spans="1:20" x14ac:dyDescent="0.3">
      <c r="A7" s="31" t="s">
        <v>93</v>
      </c>
      <c r="B7" s="31"/>
      <c r="C7" s="31"/>
      <c r="D7" s="31"/>
      <c r="E7" s="31"/>
      <c r="F7" s="31"/>
      <c r="G7" s="31"/>
      <c r="I7" s="3" t="s">
        <v>90</v>
      </c>
      <c r="J7" s="13" t="s">
        <v>87</v>
      </c>
      <c r="K7" s="3" t="str">
        <f t="shared" si="0"/>
        <v>jiya007@gmail.com</v>
      </c>
      <c r="L7" s="3" t="s">
        <v>74</v>
      </c>
      <c r="M7" s="3" t="str">
        <f t="shared" si="1"/>
        <v>jIYA PaTeL</v>
      </c>
      <c r="N7" s="3" t="str">
        <f t="shared" si="2"/>
        <v>Jiya Patel</v>
      </c>
      <c r="O7" s="3" t="str">
        <f t="shared" si="3"/>
        <v>JIYA PATEL</v>
      </c>
      <c r="P7" s="3" t="str">
        <f t="shared" si="4"/>
        <v xml:space="preserve">Jiya </v>
      </c>
      <c r="Q7" s="3" t="str">
        <f t="shared" si="5"/>
        <v>Patel</v>
      </c>
    </row>
    <row r="8" spans="1:20" x14ac:dyDescent="0.3">
      <c r="I8" s="3" t="s">
        <v>91</v>
      </c>
      <c r="J8" s="13" t="s">
        <v>87</v>
      </c>
      <c r="K8" s="3" t="str">
        <f t="shared" si="0"/>
        <v>charmi336@gmail.com</v>
      </c>
      <c r="L8" s="3" t="s">
        <v>75</v>
      </c>
      <c r="M8" s="3" t="str">
        <f t="shared" si="1"/>
        <v>cHaRMi Patel</v>
      </c>
      <c r="N8" s="3" t="str">
        <f t="shared" si="2"/>
        <v>Charmi Patel</v>
      </c>
      <c r="O8" s="3" t="str">
        <f t="shared" si="3"/>
        <v>CHARMI PATEL</v>
      </c>
      <c r="P8" s="3" t="str">
        <f t="shared" si="4"/>
        <v>Charm</v>
      </c>
      <c r="Q8" s="3" t="str">
        <f t="shared" si="5"/>
        <v>Patel</v>
      </c>
    </row>
    <row r="9" spans="1:20" x14ac:dyDescent="0.3">
      <c r="M9" s="3" t="str">
        <f t="shared" si="1"/>
        <v/>
      </c>
    </row>
    <row r="14" spans="1:20" x14ac:dyDescent="0.3">
      <c r="A14" s="31" t="s">
        <v>106</v>
      </c>
      <c r="B14" s="31"/>
      <c r="C14" s="31"/>
      <c r="D14" s="31"/>
      <c r="E14" s="31"/>
      <c r="F14" s="31"/>
      <c r="G14" s="31"/>
      <c r="H14" s="31"/>
      <c r="K14" s="10" t="s">
        <v>97</v>
      </c>
      <c r="L14" s="12" t="s">
        <v>95</v>
      </c>
      <c r="M14" s="12" t="s">
        <v>96</v>
      </c>
      <c r="N14" s="12" t="s">
        <v>98</v>
      </c>
      <c r="O14" s="12" t="s">
        <v>99</v>
      </c>
      <c r="P14" s="12" t="s">
        <v>100</v>
      </c>
      <c r="Q14" s="12" t="s">
        <v>101</v>
      </c>
      <c r="R14" s="12" t="s">
        <v>102</v>
      </c>
      <c r="S14" s="12" t="s">
        <v>103</v>
      </c>
      <c r="T14" s="12" t="s">
        <v>96</v>
      </c>
    </row>
    <row r="15" spans="1:20" x14ac:dyDescent="0.3">
      <c r="A15" s="31" t="s">
        <v>105</v>
      </c>
      <c r="B15" s="31"/>
      <c r="C15" s="31"/>
      <c r="D15" s="31"/>
      <c r="E15" s="31"/>
      <c r="F15" s="31"/>
      <c r="G15" s="31"/>
      <c r="H15" s="31"/>
      <c r="K15" s="14">
        <v>1</v>
      </c>
      <c r="L15" s="15">
        <v>44655</v>
      </c>
      <c r="M15" s="15">
        <v>45782</v>
      </c>
      <c r="N15" s="14">
        <f>NETWORKDAYS(L15,M15)</f>
        <v>806</v>
      </c>
      <c r="O15" s="3">
        <f>YEAR(L15)</f>
        <v>2022</v>
      </c>
      <c r="P15" s="3">
        <f>MONTH(L15)</f>
        <v>4</v>
      </c>
      <c r="Q15" s="3">
        <f>DAY(L15)</f>
        <v>4</v>
      </c>
      <c r="R15" s="3">
        <f>YEAR(M15)</f>
        <v>2025</v>
      </c>
      <c r="S15" s="3">
        <f>MONTH(M15)</f>
        <v>5</v>
      </c>
      <c r="T15" s="3">
        <f>DAY(M15)</f>
        <v>5</v>
      </c>
    </row>
    <row r="16" spans="1:20" x14ac:dyDescent="0.3">
      <c r="A16" s="31" t="s">
        <v>104</v>
      </c>
      <c r="B16" s="31"/>
      <c r="C16" s="31"/>
      <c r="D16" s="31"/>
      <c r="E16" s="31"/>
      <c r="F16" s="31"/>
      <c r="G16" s="31"/>
      <c r="H16" s="31"/>
      <c r="K16" s="14">
        <v>2</v>
      </c>
      <c r="L16" s="15">
        <v>45358</v>
      </c>
      <c r="M16" s="15">
        <v>45782</v>
      </c>
      <c r="N16" s="14">
        <f t="shared" ref="N16:N19" si="6">NETWORKDAYS(L16,M16)</f>
        <v>303</v>
      </c>
      <c r="O16" s="3">
        <f t="shared" ref="O16:O19" si="7">YEAR(L16)</f>
        <v>2024</v>
      </c>
      <c r="P16" s="3">
        <f t="shared" ref="P16:P19" si="8">MONTH(L16)</f>
        <v>3</v>
      </c>
      <c r="Q16" s="3">
        <f t="shared" ref="Q16:Q19" si="9">DAY(L16)</f>
        <v>7</v>
      </c>
      <c r="R16" s="3">
        <f t="shared" ref="R16:R19" si="10">YEAR(M16)</f>
        <v>2025</v>
      </c>
      <c r="S16" s="3">
        <f t="shared" ref="S16:S19" si="11">MONTH(M16)</f>
        <v>5</v>
      </c>
      <c r="T16" s="3">
        <f t="shared" ref="T16:T19" si="12">DAY(M16)</f>
        <v>5</v>
      </c>
    </row>
    <row r="17" spans="1:20" x14ac:dyDescent="0.3">
      <c r="A17" s="31" t="s">
        <v>107</v>
      </c>
      <c r="B17" s="31"/>
      <c r="C17" s="31"/>
      <c r="D17" s="31"/>
      <c r="E17" s="31"/>
      <c r="F17" s="31"/>
      <c r="G17" s="31"/>
      <c r="H17" s="31"/>
      <c r="K17" s="14">
        <v>3</v>
      </c>
      <c r="L17" s="15">
        <v>44686</v>
      </c>
      <c r="M17" s="15">
        <v>46116</v>
      </c>
      <c r="N17" s="14">
        <f t="shared" si="6"/>
        <v>1022</v>
      </c>
      <c r="O17" s="3">
        <f t="shared" si="7"/>
        <v>2022</v>
      </c>
      <c r="P17" s="3">
        <f t="shared" si="8"/>
        <v>5</v>
      </c>
      <c r="Q17" s="3">
        <f t="shared" si="9"/>
        <v>5</v>
      </c>
      <c r="R17" s="3">
        <f t="shared" si="10"/>
        <v>2026</v>
      </c>
      <c r="S17" s="3">
        <f t="shared" si="11"/>
        <v>4</v>
      </c>
      <c r="T17" s="3">
        <f t="shared" si="12"/>
        <v>4</v>
      </c>
    </row>
    <row r="18" spans="1:20" x14ac:dyDescent="0.3">
      <c r="A18" s="31" t="s">
        <v>109</v>
      </c>
      <c r="B18" s="31"/>
      <c r="C18" s="31"/>
      <c r="D18" s="31"/>
      <c r="E18" s="31"/>
      <c r="F18" s="31"/>
      <c r="G18" s="31"/>
      <c r="H18" s="31"/>
      <c r="K18" s="14">
        <v>4</v>
      </c>
      <c r="L18" s="15">
        <v>45845</v>
      </c>
      <c r="M18" s="15">
        <v>46120</v>
      </c>
      <c r="N18" s="14">
        <f t="shared" si="6"/>
        <v>198</v>
      </c>
      <c r="O18" s="3">
        <f t="shared" si="7"/>
        <v>2025</v>
      </c>
      <c r="P18" s="3">
        <f t="shared" si="8"/>
        <v>7</v>
      </c>
      <c r="Q18" s="3">
        <f t="shared" si="9"/>
        <v>7</v>
      </c>
      <c r="R18" s="3">
        <f t="shared" si="10"/>
        <v>2026</v>
      </c>
      <c r="S18" s="3">
        <f t="shared" si="11"/>
        <v>4</v>
      </c>
      <c r="T18" s="3">
        <f t="shared" si="12"/>
        <v>8</v>
      </c>
    </row>
    <row r="19" spans="1:20" x14ac:dyDescent="0.3">
      <c r="A19" s="27" t="s">
        <v>108</v>
      </c>
      <c r="B19" s="28"/>
      <c r="C19" s="28"/>
      <c r="D19" s="28"/>
      <c r="E19" s="28"/>
      <c r="F19" s="28"/>
      <c r="G19" s="28"/>
      <c r="H19" s="29"/>
      <c r="K19" s="14">
        <v>5</v>
      </c>
      <c r="L19" s="15">
        <v>44351</v>
      </c>
      <c r="M19" s="15">
        <v>45785</v>
      </c>
      <c r="N19" s="14">
        <f t="shared" si="6"/>
        <v>1025</v>
      </c>
      <c r="O19" s="3">
        <f t="shared" si="7"/>
        <v>2021</v>
      </c>
      <c r="P19" s="3">
        <f t="shared" si="8"/>
        <v>6</v>
      </c>
      <c r="Q19" s="3">
        <f t="shared" si="9"/>
        <v>4</v>
      </c>
      <c r="R19" s="3">
        <f t="shared" si="10"/>
        <v>2025</v>
      </c>
      <c r="S19" s="3">
        <f t="shared" si="11"/>
        <v>5</v>
      </c>
      <c r="T19" s="3">
        <f t="shared" si="12"/>
        <v>8</v>
      </c>
    </row>
    <row r="20" spans="1:20" x14ac:dyDescent="0.3">
      <c r="A20" s="31" t="s">
        <v>110</v>
      </c>
      <c r="B20" s="31"/>
      <c r="C20" s="31"/>
      <c r="D20" s="31"/>
      <c r="E20" s="31"/>
      <c r="F20" s="31"/>
      <c r="G20" s="31"/>
      <c r="H20" s="31"/>
    </row>
    <row r="21" spans="1:20" x14ac:dyDescent="0.3">
      <c r="A21" s="31" t="s">
        <v>113</v>
      </c>
      <c r="B21" s="31"/>
      <c r="C21" s="31"/>
      <c r="D21" s="31"/>
      <c r="E21" s="31"/>
      <c r="F21" s="31"/>
      <c r="G21" s="31"/>
      <c r="H21" s="31"/>
    </row>
    <row r="22" spans="1:20" x14ac:dyDescent="0.3">
      <c r="K22" s="12" t="s">
        <v>111</v>
      </c>
      <c r="L22" s="12" t="s">
        <v>112</v>
      </c>
      <c r="M22" s="12" t="s">
        <v>61</v>
      </c>
      <c r="N22" s="12" t="s">
        <v>62</v>
      </c>
      <c r="O22" s="12" t="s">
        <v>63</v>
      </c>
    </row>
    <row r="23" spans="1:20" x14ac:dyDescent="0.3">
      <c r="K23" s="14">
        <v>1</v>
      </c>
      <c r="L23" s="16">
        <f>TIME(9,55,20)</f>
        <v>0.41342592592592592</v>
      </c>
      <c r="M23" s="3">
        <f>HOUR(L23)</f>
        <v>9</v>
      </c>
      <c r="N23" s="3">
        <f>MINUTE(L23)</f>
        <v>55</v>
      </c>
      <c r="O23" s="3">
        <f>SECOND(L23)</f>
        <v>20</v>
      </c>
    </row>
    <row r="24" spans="1:20" x14ac:dyDescent="0.3">
      <c r="K24" s="14">
        <v>2</v>
      </c>
      <c r="L24" s="16">
        <f>TIME(10,45,25)</f>
        <v>0.44820601851851855</v>
      </c>
      <c r="M24" s="3">
        <f t="shared" ref="M24:M27" si="13">HOUR(L24)</f>
        <v>10</v>
      </c>
      <c r="N24" s="3">
        <f t="shared" ref="N24:N27" si="14">MINUTE(L24)</f>
        <v>45</v>
      </c>
      <c r="O24" s="3">
        <f t="shared" ref="O24:O27" si="15">SECOND(L24)</f>
        <v>25</v>
      </c>
    </row>
    <row r="25" spans="1:20" x14ac:dyDescent="0.3">
      <c r="K25" s="14">
        <v>3</v>
      </c>
      <c r="L25" s="16">
        <f>TIME(8,6,55)</f>
        <v>0.33813657407407405</v>
      </c>
      <c r="M25" s="3">
        <f t="shared" si="13"/>
        <v>8</v>
      </c>
      <c r="N25" s="3">
        <f t="shared" si="14"/>
        <v>6</v>
      </c>
      <c r="O25" s="3">
        <f t="shared" si="15"/>
        <v>55</v>
      </c>
    </row>
    <row r="26" spans="1:20" x14ac:dyDescent="0.3">
      <c r="K26" s="14">
        <v>4</v>
      </c>
      <c r="L26" s="16">
        <f>TIME(11,5,25)</f>
        <v>0.46209490740740738</v>
      </c>
      <c r="M26" s="3">
        <f t="shared" si="13"/>
        <v>11</v>
      </c>
      <c r="N26" s="3">
        <f t="shared" si="14"/>
        <v>5</v>
      </c>
      <c r="O26" s="3">
        <f t="shared" si="15"/>
        <v>25</v>
      </c>
    </row>
    <row r="27" spans="1:20" x14ac:dyDescent="0.3">
      <c r="K27" s="14">
        <v>5</v>
      </c>
      <c r="L27" s="16">
        <f>TIME(8,25,55)</f>
        <v>0.3513310185185185</v>
      </c>
      <c r="M27" s="3">
        <f t="shared" si="13"/>
        <v>8</v>
      </c>
      <c r="N27" s="3">
        <f t="shared" si="14"/>
        <v>25</v>
      </c>
      <c r="O27" s="3">
        <f t="shared" si="15"/>
        <v>55</v>
      </c>
    </row>
  </sheetData>
  <mergeCells count="14">
    <mergeCell ref="A21:H21"/>
    <mergeCell ref="A14:H14"/>
    <mergeCell ref="A15:H15"/>
    <mergeCell ref="A16:H16"/>
    <mergeCell ref="A17:H17"/>
    <mergeCell ref="A18:H18"/>
    <mergeCell ref="A19:H19"/>
    <mergeCell ref="A20:H20"/>
    <mergeCell ref="A2:G2"/>
    <mergeCell ref="A6:G6"/>
    <mergeCell ref="A7:G7"/>
    <mergeCell ref="A3:G3"/>
    <mergeCell ref="A4:G4"/>
    <mergeCell ref="A5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5333F-71D4-4775-B774-E4D397008E28}">
  <dimension ref="A1:AJ501"/>
  <sheetViews>
    <sheetView topLeftCell="L1" zoomScale="93" workbookViewId="0">
      <selection activeCell="AF25" sqref="AF25"/>
    </sheetView>
  </sheetViews>
  <sheetFormatPr defaultRowHeight="14.4" x14ac:dyDescent="0.3"/>
  <cols>
    <col min="1" max="1" width="11.5546875" customWidth="1"/>
    <col min="2" max="2" width="10.77734375" style="1" bestFit="1" customWidth="1"/>
    <col min="3" max="3" width="10.6640625" bestFit="1" customWidth="1"/>
    <col min="4" max="4" width="12" bestFit="1" customWidth="1"/>
    <col min="5" max="5" width="19.5546875" customWidth="1"/>
    <col min="6" max="6" width="18.77734375" customWidth="1"/>
    <col min="7" max="7" width="6.6640625" bestFit="1" customWidth="1"/>
    <col min="8" max="8" width="7.44140625" bestFit="1" customWidth="1"/>
    <col min="9" max="9" width="11" customWidth="1"/>
    <col min="10" max="10" width="9.33203125" customWidth="1"/>
    <col min="11" max="11" width="12.109375" bestFit="1" customWidth="1"/>
    <col min="12" max="14" width="12.109375" customWidth="1"/>
    <col min="15" max="15" width="15.6640625" bestFit="1" customWidth="1"/>
    <col min="16" max="17" width="12.109375" customWidth="1"/>
    <col min="18" max="18" width="22.5546875" bestFit="1" customWidth="1"/>
    <col min="21" max="21" width="8.44140625" bestFit="1" customWidth="1"/>
    <col min="22" max="22" width="12.21875" customWidth="1"/>
    <col min="23" max="23" width="11" customWidth="1"/>
  </cols>
  <sheetData>
    <row r="1" spans="1:36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s="2" t="s">
        <v>9</v>
      </c>
      <c r="K1" t="s">
        <v>114</v>
      </c>
      <c r="L1" t="s">
        <v>65</v>
      </c>
      <c r="M1" t="s">
        <v>66</v>
      </c>
      <c r="N1" t="s">
        <v>126</v>
      </c>
      <c r="O1" t="s">
        <v>129</v>
      </c>
      <c r="P1" t="s">
        <v>127</v>
      </c>
      <c r="Q1" t="s">
        <v>128</v>
      </c>
    </row>
    <row r="2" spans="1:36" x14ac:dyDescent="0.3">
      <c r="A2" s="19">
        <v>1</v>
      </c>
      <c r="B2" s="20">
        <v>45197</v>
      </c>
      <c r="C2" s="19" t="s">
        <v>10</v>
      </c>
      <c r="D2" s="19" t="s">
        <v>54</v>
      </c>
      <c r="E2" s="19" t="s">
        <v>12</v>
      </c>
      <c r="F2" s="19" t="s">
        <v>13</v>
      </c>
      <c r="G2" s="19" t="s">
        <v>14</v>
      </c>
      <c r="H2" s="21">
        <v>46482.46</v>
      </c>
      <c r="I2" s="19">
        <v>8</v>
      </c>
      <c r="J2" s="21">
        <v>12648.46</v>
      </c>
      <c r="K2" s="19" t="str" cm="1">
        <f t="array" ref="K2">_xlfn.IFS(Table1342[[#This Row],[Sales]]&gt;40000,"Best Sales",Table1342[[#This Row],[Sales]]&gt;20000,"Average Sales",Table1342[[#This Row],[Sales]]&gt;0,"Poor Sales")</f>
        <v>Best Sales</v>
      </c>
      <c r="L2" s="19">
        <f>YEAR(Table1342[[#This Row],[Date]])</f>
        <v>2023</v>
      </c>
      <c r="M2" s="19">
        <f>MONTH(Table1342[[#This Row],[Date]])</f>
        <v>9</v>
      </c>
      <c r="N2" s="19">
        <f>DAY(Table1342[[#This Row],[Date]])</f>
        <v>28</v>
      </c>
      <c r="O2" s="19"/>
      <c r="P2" s="19" t="str">
        <f>TEXT(DATE(2023,Table1342[[#This Row],[MONTH]],1),"mmm")</f>
        <v>Sep</v>
      </c>
      <c r="Q2" s="19"/>
    </row>
    <row r="3" spans="1:36" x14ac:dyDescent="0.3">
      <c r="A3" s="19">
        <v>2</v>
      </c>
      <c r="B3" s="20">
        <v>45274</v>
      </c>
      <c r="C3" s="19" t="s">
        <v>15</v>
      </c>
      <c r="D3" s="19" t="s">
        <v>16</v>
      </c>
      <c r="E3" s="19" t="s">
        <v>17</v>
      </c>
      <c r="F3" s="19" t="s">
        <v>13</v>
      </c>
      <c r="G3" s="19" t="s">
        <v>14</v>
      </c>
      <c r="H3" s="21">
        <v>47951.42</v>
      </c>
      <c r="I3" s="19">
        <v>10</v>
      </c>
      <c r="J3" s="21">
        <v>9869.94</v>
      </c>
      <c r="K3" s="19" t="str" cm="1">
        <f t="array" ref="K3">_xlfn.IFS(Table1342[[#This Row],[Sales]]&gt;40000,"Best Sales",Table1342[[#This Row],[Sales]]&gt;20000,"Average Sales",Table1342[[#This Row],[Sales]]&gt;0,"Poor Sales")</f>
        <v>Best Sales</v>
      </c>
      <c r="L3" s="19">
        <f>YEAR(Table1342[[#This Row],[Date]])</f>
        <v>2023</v>
      </c>
      <c r="M3" s="19">
        <f>MONTH(Table1342[[#This Row],[Date]])</f>
        <v>12</v>
      </c>
      <c r="N3" s="19">
        <f>DAY(Table1342[[#This Row],[Date]])</f>
        <v>14</v>
      </c>
      <c r="O3" s="19"/>
      <c r="P3" s="19" t="str">
        <f>TEXT(DATE(2023,Table1342[[#This Row],[MONTH]],1),"mmm")</f>
        <v>Dec</v>
      </c>
      <c r="Q3" s="19"/>
    </row>
    <row r="4" spans="1:36" x14ac:dyDescent="0.3">
      <c r="A4" s="19">
        <v>3</v>
      </c>
      <c r="B4" s="20">
        <v>45136</v>
      </c>
      <c r="C4" s="19" t="s">
        <v>18</v>
      </c>
      <c r="D4" s="19" t="s">
        <v>40</v>
      </c>
      <c r="E4" s="19" t="s">
        <v>20</v>
      </c>
      <c r="F4" s="19" t="s">
        <v>13</v>
      </c>
      <c r="G4" s="19" t="s">
        <v>21</v>
      </c>
      <c r="H4" s="21">
        <v>24461.75</v>
      </c>
      <c r="I4" s="19">
        <v>3</v>
      </c>
      <c r="J4" s="21">
        <v>7086.73</v>
      </c>
      <c r="K4" s="19" t="str" cm="1">
        <f t="array" ref="K4">_xlfn.IFS(Table1342[[#This Row],[Sales]]&gt;40000,"Best Sales",Table1342[[#This Row],[Sales]]&gt;20000,"Average Sales",Table1342[[#This Row],[Sales]]&gt;0,"Poor Sales")</f>
        <v>Average Sales</v>
      </c>
      <c r="L4" s="19">
        <f>YEAR(Table1342[[#This Row],[Date]])</f>
        <v>2023</v>
      </c>
      <c r="M4" s="19">
        <f>MONTH(Table1342[[#This Row],[Date]])</f>
        <v>7</v>
      </c>
      <c r="N4" s="19">
        <f>DAY(Table1342[[#This Row],[Date]])</f>
        <v>29</v>
      </c>
      <c r="O4" s="19"/>
      <c r="P4" s="19" t="str">
        <f>TEXT(DATE(2023,Table1342[[#This Row],[MONTH]],1),"mmm")</f>
        <v>Jul</v>
      </c>
      <c r="Q4" s="19"/>
    </row>
    <row r="5" spans="1:36" x14ac:dyDescent="0.3">
      <c r="A5" s="19">
        <v>4</v>
      </c>
      <c r="B5" s="20">
        <v>45044</v>
      </c>
      <c r="C5" s="19" t="s">
        <v>22</v>
      </c>
      <c r="D5" s="19" t="s">
        <v>22</v>
      </c>
      <c r="E5" s="19" t="s">
        <v>23</v>
      </c>
      <c r="F5" s="19" t="s">
        <v>24</v>
      </c>
      <c r="G5" s="19" t="s">
        <v>25</v>
      </c>
      <c r="H5" s="21">
        <v>11804.18</v>
      </c>
      <c r="I5" s="19">
        <v>5</v>
      </c>
      <c r="J5" s="21">
        <v>2281.2199999999998</v>
      </c>
      <c r="K5" s="19" t="str" cm="1">
        <f t="array" ref="K5">_xlfn.IFS(Table1342[[#This Row],[Sales]]&gt;40000,"Best Sales",Table1342[[#This Row],[Sales]]&gt;20000,"Average Sales",Table1342[[#This Row],[Sales]]&gt;0,"Poor Sales")</f>
        <v>Poor Sales</v>
      </c>
      <c r="L5" s="19">
        <f>YEAR(Table1342[[#This Row],[Date]])</f>
        <v>2023</v>
      </c>
      <c r="M5" s="19">
        <f>MONTH(Table1342[[#This Row],[Date]])</f>
        <v>4</v>
      </c>
      <c r="N5" s="19">
        <f>DAY(Table1342[[#This Row],[Date]])</f>
        <v>28</v>
      </c>
      <c r="O5" s="19"/>
      <c r="P5" s="19" t="str">
        <f>TEXT(DATE(2023,Table1342[[#This Row],[MONTH]],1),"mmm")</f>
        <v>Apr</v>
      </c>
      <c r="Q5" s="19"/>
    </row>
    <row r="6" spans="1:36" x14ac:dyDescent="0.3">
      <c r="A6" s="19">
        <v>5</v>
      </c>
      <c r="B6" s="20">
        <v>45175</v>
      </c>
      <c r="C6" s="19" t="s">
        <v>26</v>
      </c>
      <c r="D6" s="19" t="s">
        <v>27</v>
      </c>
      <c r="E6" s="19" t="s">
        <v>12</v>
      </c>
      <c r="F6" s="19" t="s">
        <v>24</v>
      </c>
      <c r="G6" s="19" t="s">
        <v>28</v>
      </c>
      <c r="H6" s="21">
        <v>32428.83</v>
      </c>
      <c r="I6" s="19">
        <v>7</v>
      </c>
      <c r="J6" s="21">
        <v>6931.45</v>
      </c>
      <c r="K6" s="19" t="str" cm="1">
        <f t="array" ref="K6">_xlfn.IFS(Table1342[[#This Row],[Sales]]&gt;40000,"Best Sales",Table1342[[#This Row],[Sales]]&gt;20000,"Average Sales",Table1342[[#This Row],[Sales]]&gt;0,"Poor Sales")</f>
        <v>Average Sales</v>
      </c>
      <c r="L6" s="19">
        <f>YEAR(Table1342[[#This Row],[Date]])</f>
        <v>2023</v>
      </c>
      <c r="M6" s="19">
        <f>MONTH(Table1342[[#This Row],[Date]])</f>
        <v>9</v>
      </c>
      <c r="N6" s="19">
        <f>DAY(Table1342[[#This Row],[Date]])</f>
        <v>6</v>
      </c>
      <c r="O6" s="19"/>
      <c r="P6" s="19" t="str">
        <f>TEXT(DATE(2023,Table1342[[#This Row],[MONTH]],1),"mmm")</f>
        <v>Sep</v>
      </c>
      <c r="Q6" s="19"/>
      <c r="R6" s="31" t="s">
        <v>122</v>
      </c>
      <c r="S6" s="31"/>
      <c r="T6" s="31"/>
      <c r="U6" s="31"/>
      <c r="V6" s="31"/>
    </row>
    <row r="7" spans="1:36" x14ac:dyDescent="0.3">
      <c r="A7" s="19">
        <v>6</v>
      </c>
      <c r="B7" s="20">
        <v>45004</v>
      </c>
      <c r="C7" s="19" t="s">
        <v>18</v>
      </c>
      <c r="D7" s="19" t="s">
        <v>19</v>
      </c>
      <c r="E7" s="19" t="s">
        <v>17</v>
      </c>
      <c r="F7" s="19" t="s">
        <v>24</v>
      </c>
      <c r="G7" s="19" t="s">
        <v>29</v>
      </c>
      <c r="H7" s="21">
        <v>25931.95</v>
      </c>
      <c r="I7" s="19">
        <v>4</v>
      </c>
      <c r="J7" s="21">
        <v>1541.8</v>
      </c>
      <c r="K7" s="19" t="str" cm="1">
        <f t="array" ref="K7">_xlfn.IFS(Table1342[[#This Row],[Sales]]&gt;40000,"Best Sales",Table1342[[#This Row],[Sales]]&gt;20000,"Average Sales",Table1342[[#This Row],[Sales]]&gt;0,"Poor Sales")</f>
        <v>Average Sales</v>
      </c>
      <c r="L7" s="19">
        <f>YEAR(Table1342[[#This Row],[Date]])</f>
        <v>2023</v>
      </c>
      <c r="M7" s="19">
        <f>MONTH(Table1342[[#This Row],[Date]])</f>
        <v>3</v>
      </c>
      <c r="N7" s="19">
        <f>DAY(Table1342[[#This Row],[Date]])</f>
        <v>19</v>
      </c>
      <c r="O7" s="19"/>
      <c r="P7" s="19" t="str">
        <f>TEXT(DATE(2023,Table1342[[#This Row],[MONTH]],1),"mmm")</f>
        <v>Mar</v>
      </c>
      <c r="Q7" s="19"/>
      <c r="R7" s="31" t="s">
        <v>115</v>
      </c>
      <c r="S7" s="31"/>
      <c r="T7" s="31"/>
      <c r="U7" s="31"/>
      <c r="V7" s="31"/>
    </row>
    <row r="8" spans="1:36" x14ac:dyDescent="0.3">
      <c r="A8" s="19">
        <v>7</v>
      </c>
      <c r="B8" s="20">
        <v>45258</v>
      </c>
      <c r="C8" s="19" t="s">
        <v>30</v>
      </c>
      <c r="D8" s="19" t="s">
        <v>16</v>
      </c>
      <c r="E8" s="19" t="s">
        <v>23</v>
      </c>
      <c r="F8" s="19" t="s">
        <v>24</v>
      </c>
      <c r="G8" s="19" t="s">
        <v>25</v>
      </c>
      <c r="H8" s="21">
        <v>15599.35</v>
      </c>
      <c r="I8" s="19">
        <v>4</v>
      </c>
      <c r="J8" s="21">
        <v>2837.29</v>
      </c>
      <c r="K8" s="19" t="str" cm="1">
        <f t="array" ref="K8">_xlfn.IFS(Table1342[[#This Row],[Sales]]&gt;40000,"Best Sales",Table1342[[#This Row],[Sales]]&gt;20000,"Average Sales",Table1342[[#This Row],[Sales]]&gt;0,"Poor Sales")</f>
        <v>Poor Sales</v>
      </c>
      <c r="L8" s="19">
        <f>YEAR(Table1342[[#This Row],[Date]])</f>
        <v>2023</v>
      </c>
      <c r="M8" s="19">
        <f>MONTH(Table1342[[#This Row],[Date]])</f>
        <v>11</v>
      </c>
      <c r="N8" s="19">
        <f>DAY(Table1342[[#This Row],[Date]])</f>
        <v>28</v>
      </c>
      <c r="O8" s="19"/>
      <c r="P8" s="19" t="str">
        <f>TEXT(DATE(2023,Table1342[[#This Row],[MONTH]],1),"mmm")</f>
        <v>Nov</v>
      </c>
      <c r="Q8" s="19"/>
      <c r="R8" s="31" t="s">
        <v>116</v>
      </c>
      <c r="S8" s="31"/>
      <c r="T8" s="31"/>
      <c r="U8" s="31"/>
      <c r="V8" s="31"/>
      <c r="AF8" s="30"/>
      <c r="AG8" s="30"/>
      <c r="AH8" s="30"/>
      <c r="AI8" s="30"/>
      <c r="AJ8" s="30"/>
    </row>
    <row r="9" spans="1:36" x14ac:dyDescent="0.3">
      <c r="A9" s="19">
        <v>8</v>
      </c>
      <c r="B9" s="20">
        <v>45165</v>
      </c>
      <c r="C9" s="19" t="s">
        <v>18</v>
      </c>
      <c r="D9" s="19" t="s">
        <v>41</v>
      </c>
      <c r="E9" s="19" t="s">
        <v>20</v>
      </c>
      <c r="F9" s="19" t="s">
        <v>31</v>
      </c>
      <c r="G9" s="19" t="s">
        <v>32</v>
      </c>
      <c r="H9" s="21">
        <v>31649</v>
      </c>
      <c r="I9" s="19">
        <v>5</v>
      </c>
      <c r="J9" s="21">
        <v>3646.09</v>
      </c>
      <c r="K9" s="19" t="str" cm="1">
        <f t="array" ref="K9">_xlfn.IFS(Table1342[[#This Row],[Sales]]&gt;40000,"Best Sales",Table1342[[#This Row],[Sales]]&gt;20000,"Average Sales",Table1342[[#This Row],[Sales]]&gt;0,"Poor Sales")</f>
        <v>Average Sales</v>
      </c>
      <c r="L9" s="19">
        <f>YEAR(Table1342[[#This Row],[Date]])</f>
        <v>2023</v>
      </c>
      <c r="M9" s="19">
        <f>MONTH(Table1342[[#This Row],[Date]])</f>
        <v>8</v>
      </c>
      <c r="N9" s="19">
        <f>DAY(Table1342[[#This Row],[Date]])</f>
        <v>27</v>
      </c>
      <c r="O9" s="19"/>
      <c r="P9" s="19" t="str">
        <f>TEXT(DATE(2023,Table1342[[#This Row],[MONTH]],1),"mmm")</f>
        <v>Aug</v>
      </c>
      <c r="Q9" s="19"/>
      <c r="R9" s="31" t="s">
        <v>117</v>
      </c>
      <c r="S9" s="31"/>
      <c r="T9" s="31"/>
      <c r="U9" s="31"/>
      <c r="V9" s="31"/>
      <c r="AF9" s="30"/>
      <c r="AG9" s="30"/>
      <c r="AH9" s="30"/>
      <c r="AI9" s="30"/>
      <c r="AJ9" s="30"/>
    </row>
    <row r="10" spans="1:36" x14ac:dyDescent="0.3">
      <c r="A10" s="19">
        <v>9</v>
      </c>
      <c r="B10" s="20">
        <v>45027</v>
      </c>
      <c r="C10" s="19" t="s">
        <v>15</v>
      </c>
      <c r="D10" s="19" t="s">
        <v>16</v>
      </c>
      <c r="E10" s="19" t="s">
        <v>12</v>
      </c>
      <c r="F10" s="19" t="s">
        <v>24</v>
      </c>
      <c r="G10" s="19" t="s">
        <v>29</v>
      </c>
      <c r="H10" s="21">
        <v>555555</v>
      </c>
      <c r="I10" s="19">
        <v>7</v>
      </c>
      <c r="J10" s="21">
        <v>2025</v>
      </c>
      <c r="K10" s="19" t="str" cm="1">
        <f t="array" ref="K10">_xlfn.IFS(Table1342[[#This Row],[Sales]]&gt;40000,"Best Sales",Table1342[[#This Row],[Sales]]&gt;20000,"Average Sales",Table1342[[#This Row],[Sales]]&gt;0,"Poor Sales")</f>
        <v>Best Sales</v>
      </c>
      <c r="L10" s="19">
        <f>YEAR(Table1342[[#This Row],[Date]])</f>
        <v>2023</v>
      </c>
      <c r="M10" s="19">
        <f>MONTH(Table1342[[#This Row],[Date]])</f>
        <v>4</v>
      </c>
      <c r="N10" s="19">
        <f>DAY(Table1342[[#This Row],[Date]])</f>
        <v>11</v>
      </c>
      <c r="O10" s="19"/>
      <c r="P10" s="19" t="str">
        <f>TEXT(DATE(2023,Table1342[[#This Row],[MONTH]],1),"mmm")</f>
        <v>Apr</v>
      </c>
      <c r="Q10" s="19"/>
      <c r="R10" s="31" t="s">
        <v>118</v>
      </c>
      <c r="S10" s="31"/>
      <c r="T10" s="31"/>
      <c r="U10" s="31"/>
      <c r="V10" s="31"/>
      <c r="AF10" s="30"/>
      <c r="AG10" s="30"/>
      <c r="AH10" s="30"/>
      <c r="AI10" s="30"/>
      <c r="AJ10" s="30"/>
    </row>
    <row r="11" spans="1:36" x14ac:dyDescent="0.3">
      <c r="A11" s="19">
        <v>10</v>
      </c>
      <c r="B11" s="20">
        <v>45097</v>
      </c>
      <c r="C11" s="19" t="s">
        <v>30</v>
      </c>
      <c r="D11" s="19" t="s">
        <v>16</v>
      </c>
      <c r="E11" s="19" t="s">
        <v>17</v>
      </c>
      <c r="F11" s="19" t="s">
        <v>31</v>
      </c>
      <c r="G11" s="19" t="s">
        <v>33</v>
      </c>
      <c r="H11" s="21">
        <v>31852.71</v>
      </c>
      <c r="I11" s="19">
        <v>5</v>
      </c>
      <c r="J11" s="21">
        <v>9113.66</v>
      </c>
      <c r="K11" s="19" t="str" cm="1">
        <f t="array" ref="K11">_xlfn.IFS(Table1342[[#This Row],[Sales]]&gt;40000,"Best Sales",Table1342[[#This Row],[Sales]]&gt;20000,"Average Sales",Table1342[[#This Row],[Sales]]&gt;0,"Poor Sales")</f>
        <v>Average Sales</v>
      </c>
      <c r="L11" s="19">
        <f>YEAR(Table1342[[#This Row],[Date]])</f>
        <v>2023</v>
      </c>
      <c r="M11" s="19">
        <f>MONTH(Table1342[[#This Row],[Date]])</f>
        <v>6</v>
      </c>
      <c r="N11" s="19">
        <f>DAY(Table1342[[#This Row],[Date]])</f>
        <v>20</v>
      </c>
      <c r="O11" s="19"/>
      <c r="P11" s="19" t="str">
        <f>TEXT(DATE(2023,Table1342[[#This Row],[MONTH]],1),"mmm")</f>
        <v>Jun</v>
      </c>
      <c r="Q11" s="19"/>
      <c r="R11" s="27" t="s">
        <v>119</v>
      </c>
      <c r="S11" s="28"/>
      <c r="T11" s="28"/>
      <c r="U11" s="28"/>
      <c r="V11" s="29"/>
      <c r="AF11" s="30"/>
      <c r="AG11" s="30"/>
      <c r="AH11" s="30"/>
      <c r="AI11" s="30"/>
      <c r="AJ11" s="30"/>
    </row>
    <row r="12" spans="1:36" x14ac:dyDescent="0.3">
      <c r="A12" s="19">
        <v>11</v>
      </c>
      <c r="B12" s="20">
        <v>45272</v>
      </c>
      <c r="C12" s="19" t="s">
        <v>22</v>
      </c>
      <c r="D12" s="19" t="s">
        <v>22</v>
      </c>
      <c r="E12" s="19" t="s">
        <v>23</v>
      </c>
      <c r="F12" s="19" t="s">
        <v>31</v>
      </c>
      <c r="G12" s="19" t="s">
        <v>32</v>
      </c>
      <c r="H12" s="21">
        <v>46127.15</v>
      </c>
      <c r="I12" s="19">
        <v>7</v>
      </c>
      <c r="J12" s="21">
        <v>12556.39</v>
      </c>
      <c r="K12" s="19" t="str" cm="1">
        <f t="array" ref="K12">_xlfn.IFS(Table1342[[#This Row],[Sales]]&gt;40000,"Best Sales",Table1342[[#This Row],[Sales]]&gt;20000,"Average Sales",Table1342[[#This Row],[Sales]]&gt;0,"Poor Sales")</f>
        <v>Best Sales</v>
      </c>
      <c r="L12" s="19">
        <f>YEAR(Table1342[[#This Row],[Date]])</f>
        <v>2023</v>
      </c>
      <c r="M12" s="19">
        <f>MONTH(Table1342[[#This Row],[Date]])</f>
        <v>12</v>
      </c>
      <c r="N12" s="19">
        <f>DAY(Table1342[[#This Row],[Date]])</f>
        <v>12</v>
      </c>
      <c r="O12" s="19"/>
      <c r="P12" s="19" t="str">
        <f>TEXT(DATE(2023,Table1342[[#This Row],[MONTH]],1),"mmm")</f>
        <v>Dec</v>
      </c>
      <c r="Q12" s="19"/>
      <c r="R12" s="18"/>
      <c r="T12" s="18"/>
      <c r="U12" s="18"/>
      <c r="V12" s="18"/>
      <c r="AF12" s="30"/>
      <c r="AG12" s="30"/>
      <c r="AH12" s="30"/>
      <c r="AI12" s="30"/>
      <c r="AJ12" s="30"/>
    </row>
    <row r="13" spans="1:36" x14ac:dyDescent="0.3">
      <c r="A13" s="19">
        <v>12</v>
      </c>
      <c r="B13" s="20">
        <v>45123</v>
      </c>
      <c r="C13" s="19" t="s">
        <v>18</v>
      </c>
      <c r="D13" s="19" t="s">
        <v>19</v>
      </c>
      <c r="E13" s="19" t="s">
        <v>20</v>
      </c>
      <c r="F13" s="19" t="s">
        <v>13</v>
      </c>
      <c r="G13" s="19" t="s">
        <v>34</v>
      </c>
      <c r="H13" s="21">
        <v>16045.71</v>
      </c>
      <c r="I13" s="19">
        <v>10</v>
      </c>
      <c r="J13" s="21">
        <v>921.15</v>
      </c>
      <c r="K13" s="19" t="str" cm="1">
        <f t="array" ref="K13">_xlfn.IFS(Table1342[[#This Row],[Sales]]&gt;40000,"Best Sales",Table1342[[#This Row],[Sales]]&gt;20000,"Average Sales",Table1342[[#This Row],[Sales]]&gt;0,"Poor Sales")</f>
        <v>Poor Sales</v>
      </c>
      <c r="L13" s="19">
        <f>YEAR(Table1342[[#This Row],[Date]])</f>
        <v>2023</v>
      </c>
      <c r="M13" s="19">
        <f>MONTH(Table1342[[#This Row],[Date]])</f>
        <v>7</v>
      </c>
      <c r="N13" s="19">
        <f>DAY(Table1342[[#This Row],[Date]])</f>
        <v>16</v>
      </c>
      <c r="O13" s="19"/>
      <c r="P13" s="19" t="str">
        <f>TEXT(DATE(2023,Table1342[[#This Row],[MONTH]],1),"mmm")</f>
        <v>Jul</v>
      </c>
      <c r="Q13" s="19"/>
      <c r="AF13" s="30"/>
      <c r="AG13" s="30"/>
      <c r="AH13" s="30"/>
      <c r="AI13" s="30"/>
      <c r="AJ13" s="30"/>
    </row>
    <row r="14" spans="1:36" x14ac:dyDescent="0.3">
      <c r="A14" s="19">
        <v>13</v>
      </c>
      <c r="B14" s="20">
        <v>45004</v>
      </c>
      <c r="C14" s="19" t="s">
        <v>35</v>
      </c>
      <c r="D14" s="19" t="s">
        <v>36</v>
      </c>
      <c r="E14" s="19" t="s">
        <v>20</v>
      </c>
      <c r="F14" s="19" t="s">
        <v>31</v>
      </c>
      <c r="G14" s="19" t="s">
        <v>32</v>
      </c>
      <c r="H14" s="21">
        <v>17293.28</v>
      </c>
      <c r="I14" s="19">
        <v>3</v>
      </c>
      <c r="J14" s="21">
        <v>3755.05</v>
      </c>
      <c r="K14" s="19" t="str" cm="1">
        <f t="array" ref="K14">_xlfn.IFS(Table1342[[#This Row],[Sales]]&gt;40000,"Best Sales",Table1342[[#This Row],[Sales]]&gt;20000,"Average Sales",Table1342[[#This Row],[Sales]]&gt;0,"Poor Sales")</f>
        <v>Poor Sales</v>
      </c>
      <c r="L14" s="19">
        <f>YEAR(Table1342[[#This Row],[Date]])</f>
        <v>2023</v>
      </c>
      <c r="M14" s="19">
        <f>MONTH(Table1342[[#This Row],[Date]])</f>
        <v>3</v>
      </c>
      <c r="N14" s="19">
        <f>DAY(Table1342[[#This Row],[Date]])</f>
        <v>19</v>
      </c>
      <c r="O14" s="19"/>
      <c r="P14" s="19" t="str">
        <f>TEXT(DATE(2023,Table1342[[#This Row],[MONTH]],1),"mmm")</f>
        <v>Mar</v>
      </c>
      <c r="Q14" s="19"/>
      <c r="R14" s="32" t="s">
        <v>121</v>
      </c>
      <c r="S14" s="32"/>
      <c r="T14" s="32"/>
      <c r="U14" s="32"/>
      <c r="V14" s="32"/>
      <c r="W14" s="32"/>
      <c r="X14" s="32"/>
      <c r="Y14" s="32"/>
      <c r="Z14" s="32"/>
      <c r="AA14" s="32"/>
      <c r="AF14" s="30"/>
      <c r="AG14" s="30"/>
      <c r="AH14" s="30"/>
      <c r="AI14" s="30"/>
      <c r="AJ14" s="30"/>
    </row>
    <row r="15" spans="1:36" x14ac:dyDescent="0.3">
      <c r="A15" s="19">
        <v>14</v>
      </c>
      <c r="B15" s="20">
        <v>45278</v>
      </c>
      <c r="C15" s="19" t="s">
        <v>37</v>
      </c>
      <c r="D15" s="19" t="s">
        <v>27</v>
      </c>
      <c r="E15" s="19" t="s">
        <v>12</v>
      </c>
      <c r="F15" s="19" t="s">
        <v>13</v>
      </c>
      <c r="G15" s="19" t="s">
        <v>34</v>
      </c>
      <c r="H15" s="21">
        <v>34137.550000000003</v>
      </c>
      <c r="I15" s="19">
        <v>4</v>
      </c>
      <c r="J15" s="21">
        <v>1912.63</v>
      </c>
      <c r="K15" s="19" t="str" cm="1">
        <f t="array" ref="K15">_xlfn.IFS(Table1342[[#This Row],[Sales]]&gt;40000,"Best Sales",Table1342[[#This Row],[Sales]]&gt;20000,"Average Sales",Table1342[[#This Row],[Sales]]&gt;0,"Poor Sales")</f>
        <v>Average Sales</v>
      </c>
      <c r="L15" s="19">
        <f>YEAR(Table1342[[#This Row],[Date]])</f>
        <v>2023</v>
      </c>
      <c r="M15" s="19">
        <f>MONTH(Table1342[[#This Row],[Date]])</f>
        <v>12</v>
      </c>
      <c r="N15" s="19">
        <f>DAY(Table1342[[#This Row],[Date]])</f>
        <v>18</v>
      </c>
      <c r="O15" s="19"/>
      <c r="P15" s="19" t="str">
        <f>TEXT(DATE(2023,Table1342[[#This Row],[MONTH]],1),"mmm")</f>
        <v>Dec</v>
      </c>
      <c r="Q15" s="19"/>
    </row>
    <row r="16" spans="1:36" x14ac:dyDescent="0.3">
      <c r="A16" s="19">
        <v>15</v>
      </c>
      <c r="B16" s="20">
        <v>44966</v>
      </c>
      <c r="C16" s="19" t="s">
        <v>38</v>
      </c>
      <c r="D16" s="19" t="s">
        <v>27</v>
      </c>
      <c r="E16" s="19" t="s">
        <v>17</v>
      </c>
      <c r="F16" s="19" t="s">
        <v>24</v>
      </c>
      <c r="G16" s="19" t="s">
        <v>29</v>
      </c>
      <c r="H16" s="21">
        <v>37166.230000000003</v>
      </c>
      <c r="I16" s="19">
        <v>9</v>
      </c>
      <c r="J16" s="21">
        <v>4660.25</v>
      </c>
      <c r="K16" s="19" t="str" cm="1">
        <f t="array" ref="K16">_xlfn.IFS(Table1342[[#This Row],[Sales]]&gt;40000,"Best Sales",Table1342[[#This Row],[Sales]]&gt;20000,"Average Sales",Table1342[[#This Row],[Sales]]&gt;0,"Poor Sales")</f>
        <v>Average Sales</v>
      </c>
      <c r="L16" s="19">
        <f>YEAR(Table1342[[#This Row],[Date]])</f>
        <v>2023</v>
      </c>
      <c r="M16" s="19">
        <f>MONTH(Table1342[[#This Row],[Date]])</f>
        <v>2</v>
      </c>
      <c r="N16" s="19">
        <f>DAY(Table1342[[#This Row],[Date]])</f>
        <v>9</v>
      </c>
      <c r="O16" s="19"/>
      <c r="P16" s="19" t="str">
        <f>TEXT(DATE(2023,Table1342[[#This Row],[MONTH]],1),"mmm")</f>
        <v>Feb</v>
      </c>
      <c r="Q16" s="19"/>
      <c r="S16" s="24" t="s">
        <v>120</v>
      </c>
      <c r="T16" s="25"/>
      <c r="U16" s="25"/>
      <c r="V16" s="26"/>
      <c r="AF16" s="30"/>
      <c r="AG16" s="30"/>
      <c r="AH16" s="30"/>
      <c r="AI16" s="30"/>
      <c r="AJ16" s="30"/>
    </row>
    <row r="17" spans="1:36" x14ac:dyDescent="0.3">
      <c r="A17" s="19">
        <v>16</v>
      </c>
      <c r="B17" s="20">
        <v>45001</v>
      </c>
      <c r="C17" s="19" t="s">
        <v>38</v>
      </c>
      <c r="D17" s="19" t="s">
        <v>27</v>
      </c>
      <c r="E17" s="19" t="s">
        <v>17</v>
      </c>
      <c r="F17" s="19" t="s">
        <v>13</v>
      </c>
      <c r="G17" s="19" t="s">
        <v>21</v>
      </c>
      <c r="H17" s="21">
        <v>7067.15</v>
      </c>
      <c r="I17" s="19">
        <v>10</v>
      </c>
      <c r="J17" s="21">
        <v>959.24</v>
      </c>
      <c r="K17" s="19" t="str" cm="1">
        <f t="array" ref="K17">_xlfn.IFS(Table1342[[#This Row],[Sales]]&gt;40000,"Best Sales",Table1342[[#This Row],[Sales]]&gt;20000,"Average Sales",Table1342[[#This Row],[Sales]]&gt;0,"Poor Sales")</f>
        <v>Poor Sales</v>
      </c>
      <c r="L17" s="19">
        <f>YEAR(Table1342[[#This Row],[Date]])</f>
        <v>2023</v>
      </c>
      <c r="M17" s="19">
        <f>MONTH(Table1342[[#This Row],[Date]])</f>
        <v>3</v>
      </c>
      <c r="N17" s="19">
        <f>DAY(Table1342[[#This Row],[Date]])</f>
        <v>16</v>
      </c>
      <c r="O17" s="19"/>
      <c r="P17" s="19" t="str">
        <f>TEXT(DATE(2023,Table1342[[#This Row],[MONTH]],1),"mmm")</f>
        <v>Mar</v>
      </c>
      <c r="Q17" s="19"/>
      <c r="S17" s="22">
        <v>12650.58</v>
      </c>
      <c r="AF17" s="30"/>
      <c r="AG17" s="30"/>
      <c r="AH17" s="30"/>
      <c r="AI17" s="30"/>
      <c r="AJ17" s="30"/>
    </row>
    <row r="18" spans="1:36" x14ac:dyDescent="0.3">
      <c r="A18" s="19">
        <v>17</v>
      </c>
      <c r="B18" s="20">
        <v>45119</v>
      </c>
      <c r="C18" s="19" t="s">
        <v>15</v>
      </c>
      <c r="D18" s="19" t="s">
        <v>16</v>
      </c>
      <c r="E18" s="19" t="s">
        <v>17</v>
      </c>
      <c r="F18" s="19" t="s">
        <v>31</v>
      </c>
      <c r="G18" s="19" t="s">
        <v>33</v>
      </c>
      <c r="H18" s="21">
        <v>28440.25</v>
      </c>
      <c r="I18" s="19">
        <v>7</v>
      </c>
      <c r="J18" s="21">
        <v>8317.2999999999993</v>
      </c>
      <c r="K18" s="19" t="str" cm="1">
        <f t="array" ref="K18">_xlfn.IFS(Table1342[[#This Row],[Sales]]&gt;40000,"Best Sales",Table1342[[#This Row],[Sales]]&gt;20000,"Average Sales",Table1342[[#This Row],[Sales]]&gt;0,"Poor Sales")</f>
        <v>Average Sales</v>
      </c>
      <c r="L18" s="19">
        <f>YEAR(Table1342[[#This Row],[Date]])</f>
        <v>2023</v>
      </c>
      <c r="M18" s="19">
        <f>MONTH(Table1342[[#This Row],[Date]])</f>
        <v>7</v>
      </c>
      <c r="N18" s="19">
        <f>DAY(Table1342[[#This Row],[Date]])</f>
        <v>12</v>
      </c>
      <c r="O18" s="19"/>
      <c r="P18" s="19" t="str">
        <f>TEXT(DATE(2023,Table1342[[#This Row],[MONTH]],1),"mmm")</f>
        <v>Jul</v>
      </c>
      <c r="Q18" s="19"/>
      <c r="S18" s="22">
        <v>12801</v>
      </c>
      <c r="AF18" s="30"/>
      <c r="AG18" s="30"/>
      <c r="AH18" s="30"/>
      <c r="AI18" s="30"/>
      <c r="AJ18" s="30"/>
    </row>
    <row r="19" spans="1:36" x14ac:dyDescent="0.3">
      <c r="A19" s="19">
        <v>18</v>
      </c>
      <c r="B19" s="20">
        <v>45259</v>
      </c>
      <c r="C19" s="19" t="s">
        <v>22</v>
      </c>
      <c r="D19" s="19" t="s">
        <v>22</v>
      </c>
      <c r="E19" s="19" t="s">
        <v>17</v>
      </c>
      <c r="F19" s="19" t="s">
        <v>13</v>
      </c>
      <c r="G19" s="19" t="s">
        <v>34</v>
      </c>
      <c r="H19" s="21">
        <v>4336.55</v>
      </c>
      <c r="I19" s="19">
        <v>10</v>
      </c>
      <c r="J19" s="21">
        <v>883.82</v>
      </c>
      <c r="K19" s="19" t="str" cm="1">
        <f t="array" ref="K19">_xlfn.IFS(Table1342[[#This Row],[Sales]]&gt;40000,"Best Sales",Table1342[[#This Row],[Sales]]&gt;20000,"Average Sales",Table1342[[#This Row],[Sales]]&gt;0,"Poor Sales")</f>
        <v>Poor Sales</v>
      </c>
      <c r="L19" s="19">
        <f>YEAR(Table1342[[#This Row],[Date]])</f>
        <v>2023</v>
      </c>
      <c r="M19" s="19">
        <f>MONTH(Table1342[[#This Row],[Date]])</f>
        <v>11</v>
      </c>
      <c r="N19" s="19">
        <f>DAY(Table1342[[#This Row],[Date]])</f>
        <v>29</v>
      </c>
      <c r="O19" s="19"/>
      <c r="P19" s="19" t="str">
        <f>TEXT(DATE(2023,Table1342[[#This Row],[MONTH]],1),"mmm")</f>
        <v>Nov</v>
      </c>
      <c r="Q19" s="19"/>
      <c r="S19" s="22">
        <v>12657.84</v>
      </c>
      <c r="AF19" s="30"/>
      <c r="AG19" s="30"/>
      <c r="AH19" s="30"/>
      <c r="AI19" s="30"/>
      <c r="AJ19" s="30"/>
    </row>
    <row r="20" spans="1:36" x14ac:dyDescent="0.3">
      <c r="A20" s="19">
        <v>19</v>
      </c>
      <c r="B20" s="20">
        <v>45282</v>
      </c>
      <c r="C20" s="19" t="s">
        <v>22</v>
      </c>
      <c r="D20" s="19" t="s">
        <v>22</v>
      </c>
      <c r="E20" s="19" t="s">
        <v>17</v>
      </c>
      <c r="F20" s="19" t="s">
        <v>13</v>
      </c>
      <c r="G20" s="19" t="s">
        <v>14</v>
      </c>
      <c r="H20" s="21">
        <v>1239.49</v>
      </c>
      <c r="I20" s="19">
        <v>4</v>
      </c>
      <c r="J20" s="21">
        <v>278.37</v>
      </c>
      <c r="K20" s="19" t="str" cm="1">
        <f t="array" ref="K20">_xlfn.IFS(Table1342[[#This Row],[Sales]]&gt;40000,"Best Sales",Table1342[[#This Row],[Sales]]&gt;20000,"Average Sales",Table1342[[#This Row],[Sales]]&gt;0,"Poor Sales")</f>
        <v>Poor Sales</v>
      </c>
      <c r="L20" s="19">
        <f>YEAR(Table1342[[#This Row],[Date]])</f>
        <v>2023</v>
      </c>
      <c r="M20" s="19">
        <f>MONTH(Table1342[[#This Row],[Date]])</f>
        <v>12</v>
      </c>
      <c r="N20" s="19">
        <f>DAY(Table1342[[#This Row],[Date]])</f>
        <v>22</v>
      </c>
      <c r="O20" s="19"/>
      <c r="P20" s="19" t="str">
        <f>TEXT(DATE(2023,Table1342[[#This Row],[MONTH]],1),"mmm")</f>
        <v>Dec</v>
      </c>
      <c r="Q20" s="19"/>
      <c r="S20" s="23">
        <v>13847.81</v>
      </c>
      <c r="AF20" s="30"/>
      <c r="AG20" s="30"/>
      <c r="AH20" s="30"/>
      <c r="AI20" s="30"/>
      <c r="AJ20" s="30"/>
    </row>
    <row r="21" spans="1:36" x14ac:dyDescent="0.3">
      <c r="A21" s="19">
        <v>20</v>
      </c>
      <c r="B21" s="20">
        <v>45003</v>
      </c>
      <c r="C21" s="19" t="s">
        <v>26</v>
      </c>
      <c r="D21" s="19" t="s">
        <v>27</v>
      </c>
      <c r="E21" s="19" t="s">
        <v>17</v>
      </c>
      <c r="F21" s="19" t="s">
        <v>24</v>
      </c>
      <c r="G21" s="19" t="s">
        <v>25</v>
      </c>
      <c r="H21" s="21">
        <v>12013.15</v>
      </c>
      <c r="I21" s="19">
        <v>7</v>
      </c>
      <c r="J21" s="21">
        <v>968.92</v>
      </c>
      <c r="K21" s="19" t="str" cm="1">
        <f t="array" ref="K21">_xlfn.IFS(Table1342[[#This Row],[Sales]]&gt;40000,"Best Sales",Table1342[[#This Row],[Sales]]&gt;20000,"Average Sales",Table1342[[#This Row],[Sales]]&gt;0,"Poor Sales")</f>
        <v>Poor Sales</v>
      </c>
      <c r="L21" s="19">
        <f>YEAR(Table1342[[#This Row],[Date]])</f>
        <v>2023</v>
      </c>
      <c r="M21" s="19">
        <f>MONTH(Table1342[[#This Row],[Date]])</f>
        <v>3</v>
      </c>
      <c r="N21" s="19">
        <f>DAY(Table1342[[#This Row],[Date]])</f>
        <v>18</v>
      </c>
      <c r="O21" s="19"/>
      <c r="P21" s="19" t="str">
        <f>TEXT(DATE(2023,Table1342[[#This Row],[MONTH]],1),"mmm")</f>
        <v>Mar</v>
      </c>
      <c r="Q21" s="19"/>
      <c r="S21" s="22">
        <v>12720.22</v>
      </c>
      <c r="AF21" s="30"/>
      <c r="AG21" s="30"/>
      <c r="AH21" s="30"/>
      <c r="AI21" s="30"/>
      <c r="AJ21" s="30"/>
    </row>
    <row r="22" spans="1:36" x14ac:dyDescent="0.3">
      <c r="A22" s="19">
        <v>21</v>
      </c>
      <c r="B22" s="20">
        <v>44972</v>
      </c>
      <c r="C22" s="19" t="s">
        <v>10</v>
      </c>
      <c r="D22" s="19" t="s">
        <v>11</v>
      </c>
      <c r="E22" s="19" t="s">
        <v>17</v>
      </c>
      <c r="F22" s="19" t="s">
        <v>31</v>
      </c>
      <c r="G22" s="19" t="s">
        <v>39</v>
      </c>
      <c r="H22" s="21">
        <v>43252.06</v>
      </c>
      <c r="I22" s="19">
        <v>10</v>
      </c>
      <c r="J22" s="21">
        <v>8949.06</v>
      </c>
      <c r="K22" s="19" t="str" cm="1">
        <f t="array" ref="K22">_xlfn.IFS(Table1342[[#This Row],[Sales]]&gt;40000,"Best Sales",Table1342[[#This Row],[Sales]]&gt;20000,"Average Sales",Table1342[[#This Row],[Sales]]&gt;0,"Poor Sales")</f>
        <v>Best Sales</v>
      </c>
      <c r="L22" s="19">
        <f>YEAR(Table1342[[#This Row],[Date]])</f>
        <v>2023</v>
      </c>
      <c r="M22" s="19">
        <f>MONTH(Table1342[[#This Row],[Date]])</f>
        <v>2</v>
      </c>
      <c r="N22" s="19">
        <f>DAY(Table1342[[#This Row],[Date]])</f>
        <v>15</v>
      </c>
      <c r="O22" s="19"/>
      <c r="P22" s="19" t="str">
        <f>TEXT(DATE(2023,Table1342[[#This Row],[MONTH]],1),"mmm")</f>
        <v>Feb</v>
      </c>
      <c r="Q22" s="19"/>
      <c r="S22" s="23">
        <v>14199.96</v>
      </c>
      <c r="AF22" s="30"/>
      <c r="AG22" s="30"/>
      <c r="AH22" s="30"/>
      <c r="AI22" s="30"/>
      <c r="AJ22" s="30"/>
    </row>
    <row r="23" spans="1:36" x14ac:dyDescent="0.3">
      <c r="A23" s="19">
        <v>22</v>
      </c>
      <c r="B23" s="20">
        <v>45175</v>
      </c>
      <c r="C23" s="19" t="s">
        <v>26</v>
      </c>
      <c r="D23" s="19" t="s">
        <v>27</v>
      </c>
      <c r="E23" s="19" t="s">
        <v>17</v>
      </c>
      <c r="F23" s="19" t="s">
        <v>24</v>
      </c>
      <c r="G23" s="19" t="s">
        <v>29</v>
      </c>
      <c r="H23" s="21">
        <v>13136.74</v>
      </c>
      <c r="I23" s="19">
        <v>10</v>
      </c>
      <c r="J23" s="21">
        <v>2907.53</v>
      </c>
      <c r="K23" s="19" t="str" cm="1">
        <f t="array" ref="K23">_xlfn.IFS(Table1342[[#This Row],[Sales]]&gt;40000,"Best Sales",Table1342[[#This Row],[Sales]]&gt;20000,"Average Sales",Table1342[[#This Row],[Sales]]&gt;0,"Poor Sales")</f>
        <v>Poor Sales</v>
      </c>
      <c r="L23" s="19">
        <f>YEAR(Table1342[[#This Row],[Date]])</f>
        <v>2023</v>
      </c>
      <c r="M23" s="19">
        <f>MONTH(Table1342[[#This Row],[Date]])</f>
        <v>9</v>
      </c>
      <c r="N23" s="19">
        <f>DAY(Table1342[[#This Row],[Date]])</f>
        <v>6</v>
      </c>
      <c r="O23" s="19"/>
      <c r="P23" s="19" t="str">
        <f>TEXT(DATE(2023,Table1342[[#This Row],[MONTH]],1),"mmm")</f>
        <v>Sep</v>
      </c>
      <c r="Q23" s="19"/>
      <c r="S23" s="23">
        <v>13586.56</v>
      </c>
    </row>
    <row r="24" spans="1:36" x14ac:dyDescent="0.3">
      <c r="A24" s="19">
        <v>23</v>
      </c>
      <c r="B24" s="20">
        <v>45260</v>
      </c>
      <c r="C24" s="19" t="s">
        <v>26</v>
      </c>
      <c r="D24" s="19" t="s">
        <v>27</v>
      </c>
      <c r="E24" s="19" t="s">
        <v>20</v>
      </c>
      <c r="F24" s="19" t="s">
        <v>31</v>
      </c>
      <c r="G24" s="19" t="s">
        <v>39</v>
      </c>
      <c r="H24" s="21">
        <v>35956.54</v>
      </c>
      <c r="I24" s="19">
        <v>1</v>
      </c>
      <c r="J24" s="21">
        <v>6308.41</v>
      </c>
      <c r="K24" s="19" t="str" cm="1">
        <f t="array" ref="K24">_xlfn.IFS(Table1342[[#This Row],[Sales]]&gt;40000,"Best Sales",Table1342[[#This Row],[Sales]]&gt;20000,"Average Sales",Table1342[[#This Row],[Sales]]&gt;0,"Poor Sales")</f>
        <v>Average Sales</v>
      </c>
      <c r="L24" s="19">
        <f>YEAR(Table1342[[#This Row],[Date]])</f>
        <v>2023</v>
      </c>
      <c r="M24" s="19">
        <f>MONTH(Table1342[[#This Row],[Date]])</f>
        <v>11</v>
      </c>
      <c r="N24" s="19">
        <f>DAY(Table1342[[#This Row],[Date]])</f>
        <v>30</v>
      </c>
      <c r="O24" s="19"/>
      <c r="P24" s="19" t="str">
        <f>TEXT(DATE(2023,Table1342[[#This Row],[MONTH]],1),"mmm")</f>
        <v>Nov</v>
      </c>
      <c r="Q24" s="19"/>
      <c r="S24" s="22">
        <v>14334.62</v>
      </c>
    </row>
    <row r="25" spans="1:36" x14ac:dyDescent="0.3">
      <c r="A25" s="19">
        <v>24</v>
      </c>
      <c r="B25" s="20">
        <v>45103</v>
      </c>
      <c r="C25" s="19" t="s">
        <v>18</v>
      </c>
      <c r="D25" s="19" t="s">
        <v>19</v>
      </c>
      <c r="E25" s="19" t="s">
        <v>20</v>
      </c>
      <c r="F25" s="19" t="s">
        <v>31</v>
      </c>
      <c r="G25" s="19" t="s">
        <v>33</v>
      </c>
      <c r="H25" s="21">
        <v>36894.9</v>
      </c>
      <c r="I25" s="19">
        <v>5</v>
      </c>
      <c r="J25" s="21">
        <v>10265.879999999999</v>
      </c>
      <c r="K25" s="19" t="str" cm="1">
        <f t="array" ref="K25">_xlfn.IFS(Table1342[[#This Row],[Sales]]&gt;40000,"Best Sales",Table1342[[#This Row],[Sales]]&gt;20000,"Average Sales",Table1342[[#This Row],[Sales]]&gt;0,"Poor Sales")</f>
        <v>Average Sales</v>
      </c>
      <c r="L25" s="19">
        <f>YEAR(Table1342[[#This Row],[Date]])</f>
        <v>2023</v>
      </c>
      <c r="M25" s="19">
        <f>MONTH(Table1342[[#This Row],[Date]])</f>
        <v>6</v>
      </c>
      <c r="N25" s="19">
        <f>DAY(Table1342[[#This Row],[Date]])</f>
        <v>26</v>
      </c>
      <c r="O25" s="19"/>
      <c r="P25" s="19" t="str">
        <f>TEXT(DATE(2023,Table1342[[#This Row],[MONTH]],1),"mmm")</f>
        <v>Jun</v>
      </c>
      <c r="Q25" s="19"/>
      <c r="S25" s="22">
        <v>13700.82</v>
      </c>
    </row>
    <row r="26" spans="1:36" x14ac:dyDescent="0.3">
      <c r="A26" s="19">
        <v>25</v>
      </c>
      <c r="B26" s="20">
        <v>45176</v>
      </c>
      <c r="C26" s="19" t="s">
        <v>35</v>
      </c>
      <c r="D26" s="19" t="s">
        <v>36</v>
      </c>
      <c r="E26" s="19" t="s">
        <v>12</v>
      </c>
      <c r="F26" s="19" t="s">
        <v>13</v>
      </c>
      <c r="G26" s="19" t="s">
        <v>34</v>
      </c>
      <c r="H26" s="21">
        <v>36393.839999999997</v>
      </c>
      <c r="I26" s="19">
        <v>2</v>
      </c>
      <c r="J26" s="21">
        <v>4029.33</v>
      </c>
      <c r="K26" s="19" t="str" cm="1">
        <f t="array" ref="K26">_xlfn.IFS(Table1342[[#This Row],[Sales]]&gt;40000,"Best Sales",Table1342[[#This Row],[Sales]]&gt;20000,"Average Sales",Table1342[[#This Row],[Sales]]&gt;0,"Poor Sales")</f>
        <v>Average Sales</v>
      </c>
      <c r="L26" s="19">
        <f>YEAR(Table1342[[#This Row],[Date]])</f>
        <v>2023</v>
      </c>
      <c r="M26" s="19">
        <f>MONTH(Table1342[[#This Row],[Date]])</f>
        <v>9</v>
      </c>
      <c r="N26" s="19">
        <f>DAY(Table1342[[#This Row],[Date]])</f>
        <v>7</v>
      </c>
      <c r="O26" s="19"/>
      <c r="P26" s="19" t="str">
        <f>TEXT(DATE(2023,Table1342[[#This Row],[MONTH]],1),"mmm")</f>
        <v>Sep</v>
      </c>
      <c r="Q26" s="19"/>
      <c r="S26" s="22">
        <v>13668.97</v>
      </c>
    </row>
    <row r="27" spans="1:36" x14ac:dyDescent="0.3">
      <c r="A27" s="19">
        <v>26</v>
      </c>
      <c r="B27" s="20">
        <v>45153</v>
      </c>
      <c r="C27" s="19" t="s">
        <v>26</v>
      </c>
      <c r="D27" s="19" t="s">
        <v>27</v>
      </c>
      <c r="E27" s="19" t="s">
        <v>12</v>
      </c>
      <c r="F27" s="19" t="s">
        <v>24</v>
      </c>
      <c r="G27" s="19" t="s">
        <v>29</v>
      </c>
      <c r="H27" s="21">
        <v>18244.080000000002</v>
      </c>
      <c r="I27" s="19">
        <v>10</v>
      </c>
      <c r="J27" s="21">
        <v>1308.29</v>
      </c>
      <c r="K27" s="19" t="str" cm="1">
        <f t="array" ref="K27">_xlfn.IFS(Table1342[[#This Row],[Sales]]&gt;40000,"Best Sales",Table1342[[#This Row],[Sales]]&gt;20000,"Average Sales",Table1342[[#This Row],[Sales]]&gt;0,"Poor Sales")</f>
        <v>Poor Sales</v>
      </c>
      <c r="L27" s="19">
        <f>YEAR(Table1342[[#This Row],[Date]])</f>
        <v>2023</v>
      </c>
      <c r="M27" s="19">
        <f>MONTH(Table1342[[#This Row],[Date]])</f>
        <v>8</v>
      </c>
      <c r="N27" s="19">
        <f>DAY(Table1342[[#This Row],[Date]])</f>
        <v>15</v>
      </c>
      <c r="O27" s="19"/>
      <c r="P27" s="19" t="str">
        <f>TEXT(DATE(2023,Table1342[[#This Row],[MONTH]],1),"mmm")</f>
        <v>Aug</v>
      </c>
      <c r="Q27" s="19"/>
    </row>
    <row r="28" spans="1:36" x14ac:dyDescent="0.3">
      <c r="A28" s="19">
        <v>27</v>
      </c>
      <c r="B28" s="20">
        <v>45050</v>
      </c>
      <c r="C28" s="19" t="s">
        <v>18</v>
      </c>
      <c r="D28" s="19" t="s">
        <v>19</v>
      </c>
      <c r="E28" s="19" t="s">
        <v>12</v>
      </c>
      <c r="F28" s="19" t="s">
        <v>24</v>
      </c>
      <c r="G28" s="19" t="s">
        <v>25</v>
      </c>
      <c r="H28" s="21">
        <v>39573.279999999999</v>
      </c>
      <c r="I28" s="19">
        <v>7</v>
      </c>
      <c r="J28" s="21">
        <v>6877.16</v>
      </c>
      <c r="K28" s="19" t="str" cm="1">
        <f t="array" ref="K28">_xlfn.IFS(Table1342[[#This Row],[Sales]]&gt;40000,"Best Sales",Table1342[[#This Row],[Sales]]&gt;20000,"Average Sales",Table1342[[#This Row],[Sales]]&gt;0,"Poor Sales")</f>
        <v>Average Sales</v>
      </c>
      <c r="L28" s="19">
        <f>YEAR(Table1342[[#This Row],[Date]])</f>
        <v>2023</v>
      </c>
      <c r="M28" s="19">
        <f>MONTH(Table1342[[#This Row],[Date]])</f>
        <v>5</v>
      </c>
      <c r="N28" s="19">
        <f>DAY(Table1342[[#This Row],[Date]])</f>
        <v>4</v>
      </c>
      <c r="O28" s="19"/>
      <c r="P28" s="19" t="str">
        <f>TEXT(DATE(2023,Table1342[[#This Row],[MONTH]],1),"mmm")</f>
        <v>May</v>
      </c>
      <c r="Q28" s="19"/>
    </row>
    <row r="29" spans="1:36" x14ac:dyDescent="0.3">
      <c r="A29" s="19">
        <v>28</v>
      </c>
      <c r="B29" s="20">
        <v>44968</v>
      </c>
      <c r="C29" s="19" t="s">
        <v>37</v>
      </c>
      <c r="D29" s="19" t="s">
        <v>27</v>
      </c>
      <c r="E29" s="19" t="s">
        <v>12</v>
      </c>
      <c r="F29" s="19" t="s">
        <v>24</v>
      </c>
      <c r="G29" s="19" t="s">
        <v>25</v>
      </c>
      <c r="H29" s="21">
        <v>16112.12</v>
      </c>
      <c r="I29" s="19">
        <v>2</v>
      </c>
      <c r="J29" s="21">
        <v>2614.2399999999998</v>
      </c>
      <c r="K29" s="19" t="str" cm="1">
        <f t="array" ref="K29">_xlfn.IFS(Table1342[[#This Row],[Sales]]&gt;40000,"Best Sales",Table1342[[#This Row],[Sales]]&gt;20000,"Average Sales",Table1342[[#This Row],[Sales]]&gt;0,"Poor Sales")</f>
        <v>Poor Sales</v>
      </c>
      <c r="L29" s="19">
        <f>YEAR(Table1342[[#This Row],[Date]])</f>
        <v>2023</v>
      </c>
      <c r="M29" s="19">
        <f>MONTH(Table1342[[#This Row],[Date]])</f>
        <v>2</v>
      </c>
      <c r="N29" s="19">
        <f>DAY(Table1342[[#This Row],[Date]])</f>
        <v>11</v>
      </c>
      <c r="O29" s="19"/>
      <c r="P29" s="19" t="str">
        <f>TEXT(DATE(2023,Table1342[[#This Row],[MONTH]],1),"mmm")</f>
        <v>Feb</v>
      </c>
      <c r="Q29" s="19"/>
    </row>
    <row r="30" spans="1:36" x14ac:dyDescent="0.3">
      <c r="A30" s="19">
        <v>29</v>
      </c>
      <c r="B30" s="20">
        <v>45166</v>
      </c>
      <c r="C30" s="19" t="s">
        <v>18</v>
      </c>
      <c r="D30" s="19" t="s">
        <v>19</v>
      </c>
      <c r="E30" s="19" t="s">
        <v>12</v>
      </c>
      <c r="F30" s="19" t="s">
        <v>13</v>
      </c>
      <c r="G30" s="19" t="s">
        <v>14</v>
      </c>
      <c r="H30" s="21">
        <v>17197.509999999998</v>
      </c>
      <c r="I30" s="19">
        <v>3</v>
      </c>
      <c r="J30" s="21">
        <v>1675.41</v>
      </c>
      <c r="K30" s="19" t="str" cm="1">
        <f t="array" ref="K30">_xlfn.IFS(Table1342[[#This Row],[Sales]]&gt;40000,"Best Sales",Table1342[[#This Row],[Sales]]&gt;20000,"Average Sales",Table1342[[#This Row],[Sales]]&gt;0,"Poor Sales")</f>
        <v>Poor Sales</v>
      </c>
      <c r="L30" s="19">
        <f>YEAR(Table1342[[#This Row],[Date]])</f>
        <v>2023</v>
      </c>
      <c r="M30" s="19">
        <f>MONTH(Table1342[[#This Row],[Date]])</f>
        <v>8</v>
      </c>
      <c r="N30" s="19">
        <f>DAY(Table1342[[#This Row],[Date]])</f>
        <v>28</v>
      </c>
      <c r="O30" s="19"/>
      <c r="P30" s="19" t="str">
        <f>TEXT(DATE(2023,Table1342[[#This Row],[MONTH]],1),"mmm")</f>
        <v>Aug</v>
      </c>
      <c r="Q30" s="19"/>
    </row>
    <row r="31" spans="1:36" x14ac:dyDescent="0.3">
      <c r="A31" s="19">
        <v>30</v>
      </c>
      <c r="B31" s="20">
        <v>44995</v>
      </c>
      <c r="C31" s="19" t="s">
        <v>30</v>
      </c>
      <c r="D31" s="19" t="s">
        <v>16</v>
      </c>
      <c r="E31" s="19" t="s">
        <v>12</v>
      </c>
      <c r="F31" s="19" t="s">
        <v>31</v>
      </c>
      <c r="G31" s="19" t="s">
        <v>39</v>
      </c>
      <c r="H31" s="21">
        <v>40062.949999999997</v>
      </c>
      <c r="I31" s="19">
        <v>5</v>
      </c>
      <c r="J31" s="21">
        <v>11536.21</v>
      </c>
      <c r="K31" s="19" t="str" cm="1">
        <f t="array" ref="K31">_xlfn.IFS(Table1342[[#This Row],[Sales]]&gt;40000,"Best Sales",Table1342[[#This Row],[Sales]]&gt;20000,"Average Sales",Table1342[[#This Row],[Sales]]&gt;0,"Poor Sales")</f>
        <v>Best Sales</v>
      </c>
      <c r="L31" s="19">
        <f>YEAR(Table1342[[#This Row],[Date]])</f>
        <v>2023</v>
      </c>
      <c r="M31" s="19">
        <f>MONTH(Table1342[[#This Row],[Date]])</f>
        <v>3</v>
      </c>
      <c r="N31" s="19">
        <f>DAY(Table1342[[#This Row],[Date]])</f>
        <v>10</v>
      </c>
      <c r="O31" s="19"/>
      <c r="P31" s="19" t="str">
        <f>TEXT(DATE(2023,Table1342[[#This Row],[MONTH]],1),"mmm")</f>
        <v>Mar</v>
      </c>
      <c r="Q31" s="19"/>
    </row>
    <row r="32" spans="1:36" x14ac:dyDescent="0.3">
      <c r="A32" s="19">
        <v>31</v>
      </c>
      <c r="B32" s="20">
        <v>45217</v>
      </c>
      <c r="C32" s="19" t="s">
        <v>15</v>
      </c>
      <c r="D32" s="19" t="s">
        <v>16</v>
      </c>
      <c r="E32" s="19" t="s">
        <v>12</v>
      </c>
      <c r="F32" s="19" t="s">
        <v>24</v>
      </c>
      <c r="G32" s="19" t="s">
        <v>25</v>
      </c>
      <c r="H32" s="21">
        <v>30699.4</v>
      </c>
      <c r="I32" s="19">
        <v>2</v>
      </c>
      <c r="J32" s="21">
        <v>5821.81</v>
      </c>
      <c r="K32" s="19" t="str" cm="1">
        <f t="array" ref="K32">_xlfn.IFS(Table1342[[#This Row],[Sales]]&gt;40000,"Best Sales",Table1342[[#This Row],[Sales]]&gt;20000,"Average Sales",Table1342[[#This Row],[Sales]]&gt;0,"Poor Sales")</f>
        <v>Average Sales</v>
      </c>
      <c r="L32" s="19">
        <f>YEAR(Table1342[[#This Row],[Date]])</f>
        <v>2023</v>
      </c>
      <c r="M32" s="19">
        <f>MONTH(Table1342[[#This Row],[Date]])</f>
        <v>10</v>
      </c>
      <c r="N32" s="19">
        <f>DAY(Table1342[[#This Row],[Date]])</f>
        <v>18</v>
      </c>
      <c r="O32" s="19"/>
      <c r="P32" s="19" t="str">
        <f>TEXT(DATE(2023,Table1342[[#This Row],[MONTH]],1),"mmm")</f>
        <v>Oct</v>
      </c>
      <c r="Q32" s="19"/>
    </row>
    <row r="33" spans="1:17" x14ac:dyDescent="0.3">
      <c r="A33" s="19">
        <v>32</v>
      </c>
      <c r="B33" s="20">
        <v>45127</v>
      </c>
      <c r="C33" s="19" t="s">
        <v>22</v>
      </c>
      <c r="D33" s="19" t="s">
        <v>22</v>
      </c>
      <c r="E33" s="19" t="s">
        <v>12</v>
      </c>
      <c r="F33" s="19" t="s">
        <v>31</v>
      </c>
      <c r="G33" s="19" t="s">
        <v>32</v>
      </c>
      <c r="H33" s="21">
        <v>46798.46</v>
      </c>
      <c r="I33" s="19">
        <v>8</v>
      </c>
      <c r="J33" s="21">
        <v>12650.58</v>
      </c>
      <c r="K33" s="19" t="str" cm="1">
        <f t="array" ref="K33">_xlfn.IFS(Table1342[[#This Row],[Sales]]&gt;40000,"Best Sales",Table1342[[#This Row],[Sales]]&gt;20000,"Average Sales",Table1342[[#This Row],[Sales]]&gt;0,"Poor Sales")</f>
        <v>Best Sales</v>
      </c>
      <c r="L33" s="19">
        <f>YEAR(Table1342[[#This Row],[Date]])</f>
        <v>2023</v>
      </c>
      <c r="M33" s="19">
        <f>MONTH(Table1342[[#This Row],[Date]])</f>
        <v>7</v>
      </c>
      <c r="N33" s="19">
        <f>DAY(Table1342[[#This Row],[Date]])</f>
        <v>20</v>
      </c>
      <c r="O33" s="19"/>
      <c r="P33" s="19" t="str">
        <f>TEXT(DATE(2023,Table1342[[#This Row],[MONTH]],1),"mmm")</f>
        <v>Jul</v>
      </c>
      <c r="Q33" s="19"/>
    </row>
    <row r="34" spans="1:17" x14ac:dyDescent="0.3">
      <c r="A34" s="19">
        <v>33</v>
      </c>
      <c r="B34" s="20">
        <v>45005</v>
      </c>
      <c r="C34" s="19" t="s">
        <v>30</v>
      </c>
      <c r="D34" s="19" t="s">
        <v>16</v>
      </c>
      <c r="E34" s="19" t="s">
        <v>12</v>
      </c>
      <c r="F34" s="19" t="s">
        <v>24</v>
      </c>
      <c r="G34" s="19" t="s">
        <v>28</v>
      </c>
      <c r="H34" s="21">
        <v>18545.72</v>
      </c>
      <c r="I34" s="19">
        <v>9</v>
      </c>
      <c r="J34" s="21">
        <v>3893.71</v>
      </c>
      <c r="K34" s="19" t="str" cm="1">
        <f t="array" ref="K34">_xlfn.IFS(Table1342[[#This Row],[Sales]]&gt;40000,"Best Sales",Table1342[[#This Row],[Sales]]&gt;20000,"Average Sales",Table1342[[#This Row],[Sales]]&gt;0,"Poor Sales")</f>
        <v>Poor Sales</v>
      </c>
      <c r="L34" s="19">
        <f>YEAR(Table1342[[#This Row],[Date]])</f>
        <v>2023</v>
      </c>
      <c r="M34" s="19">
        <f>MONTH(Table1342[[#This Row],[Date]])</f>
        <v>3</v>
      </c>
      <c r="N34" s="19">
        <f>DAY(Table1342[[#This Row],[Date]])</f>
        <v>20</v>
      </c>
      <c r="O34" s="19"/>
      <c r="P34" s="19" t="str">
        <f>TEXT(DATE(2023,Table1342[[#This Row],[MONTH]],1),"mmm")</f>
        <v>Mar</v>
      </c>
      <c r="Q34" s="19"/>
    </row>
    <row r="35" spans="1:17" x14ac:dyDescent="0.3">
      <c r="A35" s="19">
        <v>34</v>
      </c>
      <c r="B35" s="20">
        <v>45097</v>
      </c>
      <c r="C35" s="19" t="s">
        <v>15</v>
      </c>
      <c r="D35" s="19" t="s">
        <v>16</v>
      </c>
      <c r="E35" s="19" t="s">
        <v>12</v>
      </c>
      <c r="F35" s="19" t="s">
        <v>24</v>
      </c>
      <c r="G35" s="19" t="s">
        <v>25</v>
      </c>
      <c r="H35" s="21">
        <v>47078.67</v>
      </c>
      <c r="I35" s="19">
        <v>4</v>
      </c>
      <c r="J35" s="21">
        <v>5416.29</v>
      </c>
      <c r="K35" s="19" t="str" cm="1">
        <f t="array" ref="K35">_xlfn.IFS(Table1342[[#This Row],[Sales]]&gt;40000,"Best Sales",Table1342[[#This Row],[Sales]]&gt;20000,"Average Sales",Table1342[[#This Row],[Sales]]&gt;0,"Poor Sales")</f>
        <v>Best Sales</v>
      </c>
      <c r="L35" s="19">
        <f>YEAR(Table1342[[#This Row],[Date]])</f>
        <v>2023</v>
      </c>
      <c r="M35" s="19">
        <f>MONTH(Table1342[[#This Row],[Date]])</f>
        <v>6</v>
      </c>
      <c r="N35" s="19">
        <f>DAY(Table1342[[#This Row],[Date]])</f>
        <v>20</v>
      </c>
      <c r="O35" s="19"/>
      <c r="P35" s="19" t="str">
        <f>TEXT(DATE(2023,Table1342[[#This Row],[MONTH]],1),"mmm")</f>
        <v>Jun</v>
      </c>
      <c r="Q35" s="19"/>
    </row>
    <row r="36" spans="1:17" x14ac:dyDescent="0.3">
      <c r="A36" s="19">
        <v>35</v>
      </c>
      <c r="B36" s="20">
        <v>44983</v>
      </c>
      <c r="C36" s="19" t="s">
        <v>37</v>
      </c>
      <c r="D36" s="19" t="s">
        <v>27</v>
      </c>
      <c r="E36" s="19" t="s">
        <v>12</v>
      </c>
      <c r="F36" s="19" t="s">
        <v>13</v>
      </c>
      <c r="G36" s="19" t="s">
        <v>21</v>
      </c>
      <c r="H36" s="21">
        <v>45410.16</v>
      </c>
      <c r="I36" s="19">
        <v>2</v>
      </c>
      <c r="J36" s="21">
        <v>6601.61</v>
      </c>
      <c r="K36" s="19" t="str" cm="1">
        <f t="array" ref="K36">_xlfn.IFS(Table1342[[#This Row],[Sales]]&gt;40000,"Best Sales",Table1342[[#This Row],[Sales]]&gt;20000,"Average Sales",Table1342[[#This Row],[Sales]]&gt;0,"Poor Sales")</f>
        <v>Best Sales</v>
      </c>
      <c r="L36" s="19">
        <f>YEAR(Table1342[[#This Row],[Date]])</f>
        <v>2023</v>
      </c>
      <c r="M36" s="19">
        <f>MONTH(Table1342[[#This Row],[Date]])</f>
        <v>2</v>
      </c>
      <c r="N36" s="19">
        <f>DAY(Table1342[[#This Row],[Date]])</f>
        <v>26</v>
      </c>
      <c r="O36" s="19"/>
      <c r="P36" s="19" t="str">
        <f>TEXT(DATE(2023,Table1342[[#This Row],[MONTH]],1),"mmm")</f>
        <v>Feb</v>
      </c>
      <c r="Q36" s="19"/>
    </row>
    <row r="37" spans="1:17" x14ac:dyDescent="0.3">
      <c r="A37" s="19">
        <v>36</v>
      </c>
      <c r="B37" s="20">
        <v>45083</v>
      </c>
      <c r="C37" s="19" t="s">
        <v>18</v>
      </c>
      <c r="D37" s="19" t="s">
        <v>19</v>
      </c>
      <c r="E37" s="19" t="s">
        <v>12</v>
      </c>
      <c r="F37" s="19" t="s">
        <v>31</v>
      </c>
      <c r="G37" s="19" t="s">
        <v>32</v>
      </c>
      <c r="H37" s="21">
        <v>8022.9</v>
      </c>
      <c r="I37" s="19">
        <v>9</v>
      </c>
      <c r="J37" s="21">
        <v>1118.83</v>
      </c>
      <c r="K37" s="19" t="str" cm="1">
        <f t="array" ref="K37">_xlfn.IFS(Table1342[[#This Row],[Sales]]&gt;40000,"Best Sales",Table1342[[#This Row],[Sales]]&gt;20000,"Average Sales",Table1342[[#This Row],[Sales]]&gt;0,"Poor Sales")</f>
        <v>Poor Sales</v>
      </c>
      <c r="L37" s="19">
        <f>YEAR(Table1342[[#This Row],[Date]])</f>
        <v>2023</v>
      </c>
      <c r="M37" s="19">
        <f>MONTH(Table1342[[#This Row],[Date]])</f>
        <v>6</v>
      </c>
      <c r="N37" s="19">
        <f>DAY(Table1342[[#This Row],[Date]])</f>
        <v>6</v>
      </c>
      <c r="O37" s="19"/>
      <c r="P37" s="19" t="str">
        <f>TEXT(DATE(2023,Table1342[[#This Row],[MONTH]],1),"mmm")</f>
        <v>Jun</v>
      </c>
      <c r="Q37" s="19"/>
    </row>
    <row r="38" spans="1:17" x14ac:dyDescent="0.3">
      <c r="A38" s="19">
        <v>37</v>
      </c>
      <c r="B38" s="20">
        <v>45039</v>
      </c>
      <c r="C38" s="19" t="s">
        <v>15</v>
      </c>
      <c r="D38" s="19" t="s">
        <v>16</v>
      </c>
      <c r="E38" s="19" t="s">
        <v>12</v>
      </c>
      <c r="F38" s="19" t="s">
        <v>13</v>
      </c>
      <c r="G38" s="19" t="s">
        <v>34</v>
      </c>
      <c r="H38" s="21">
        <v>34478.959999999999</v>
      </c>
      <c r="I38" s="19">
        <v>5</v>
      </c>
      <c r="J38" s="21">
        <v>4118.41</v>
      </c>
      <c r="K38" s="19" t="str" cm="1">
        <f t="array" ref="K38">_xlfn.IFS(Table1342[[#This Row],[Sales]]&gt;40000,"Best Sales",Table1342[[#This Row],[Sales]]&gt;20000,"Average Sales",Table1342[[#This Row],[Sales]]&gt;0,"Poor Sales")</f>
        <v>Average Sales</v>
      </c>
      <c r="L38" s="19">
        <f>YEAR(Table1342[[#This Row],[Date]])</f>
        <v>2023</v>
      </c>
      <c r="M38" s="19">
        <f>MONTH(Table1342[[#This Row],[Date]])</f>
        <v>4</v>
      </c>
      <c r="N38" s="19">
        <f>DAY(Table1342[[#This Row],[Date]])</f>
        <v>23</v>
      </c>
      <c r="O38" s="19"/>
      <c r="P38" s="19" t="str">
        <f>TEXT(DATE(2023,Table1342[[#This Row],[MONTH]],1),"mmm")</f>
        <v>Apr</v>
      </c>
      <c r="Q38" s="19"/>
    </row>
    <row r="39" spans="1:17" x14ac:dyDescent="0.3">
      <c r="A39" s="19">
        <v>38</v>
      </c>
      <c r="B39" s="20">
        <v>45247</v>
      </c>
      <c r="C39" s="19" t="s">
        <v>18</v>
      </c>
      <c r="D39" s="19" t="s">
        <v>19</v>
      </c>
      <c r="E39" s="19" t="s">
        <v>12</v>
      </c>
      <c r="F39" s="19" t="s">
        <v>31</v>
      </c>
      <c r="G39" s="19" t="s">
        <v>33</v>
      </c>
      <c r="H39" s="21">
        <v>34640.65</v>
      </c>
      <c r="I39" s="19">
        <v>10</v>
      </c>
      <c r="J39" s="21">
        <v>9567.4500000000007</v>
      </c>
      <c r="K39" s="19" t="str" cm="1">
        <f t="array" ref="K39">_xlfn.IFS(Table1342[[#This Row],[Sales]]&gt;40000,"Best Sales",Table1342[[#This Row],[Sales]]&gt;20000,"Average Sales",Table1342[[#This Row],[Sales]]&gt;0,"Poor Sales")</f>
        <v>Average Sales</v>
      </c>
      <c r="L39" s="19">
        <f>YEAR(Table1342[[#This Row],[Date]])</f>
        <v>2023</v>
      </c>
      <c r="M39" s="19">
        <f>MONTH(Table1342[[#This Row],[Date]])</f>
        <v>11</v>
      </c>
      <c r="N39" s="19">
        <f>DAY(Table1342[[#This Row],[Date]])</f>
        <v>17</v>
      </c>
      <c r="O39" s="19"/>
      <c r="P39" s="19" t="str">
        <f>TEXT(DATE(2023,Table1342[[#This Row],[MONTH]],1),"mmm")</f>
        <v>Nov</v>
      </c>
      <c r="Q39" s="19"/>
    </row>
    <row r="40" spans="1:17" x14ac:dyDescent="0.3">
      <c r="A40" s="19">
        <v>39</v>
      </c>
      <c r="B40" s="20">
        <v>44941</v>
      </c>
      <c r="C40" s="19" t="s">
        <v>26</v>
      </c>
      <c r="D40" s="19" t="s">
        <v>27</v>
      </c>
      <c r="E40" s="19" t="s">
        <v>12</v>
      </c>
      <c r="F40" s="19" t="s">
        <v>13</v>
      </c>
      <c r="G40" s="19" t="s">
        <v>34</v>
      </c>
      <c r="H40" s="21">
        <v>3218.7</v>
      </c>
      <c r="I40" s="19">
        <v>3</v>
      </c>
      <c r="J40" s="21">
        <v>572.08000000000004</v>
      </c>
      <c r="K40" s="19" t="str" cm="1">
        <f t="array" ref="K40">_xlfn.IFS(Table1342[[#This Row],[Sales]]&gt;40000,"Best Sales",Table1342[[#This Row],[Sales]]&gt;20000,"Average Sales",Table1342[[#This Row],[Sales]]&gt;0,"Poor Sales")</f>
        <v>Poor Sales</v>
      </c>
      <c r="L40" s="19">
        <f>YEAR(Table1342[[#This Row],[Date]])</f>
        <v>2023</v>
      </c>
      <c r="M40" s="19">
        <f>MONTH(Table1342[[#This Row],[Date]])</f>
        <v>1</v>
      </c>
      <c r="N40" s="19">
        <f>DAY(Table1342[[#This Row],[Date]])</f>
        <v>15</v>
      </c>
      <c r="O40" s="19"/>
      <c r="P40" s="19" t="str">
        <f>TEXT(DATE(2023,Table1342[[#This Row],[MONTH]],1),"mmm")</f>
        <v>Jan</v>
      </c>
      <c r="Q40" s="19"/>
    </row>
    <row r="41" spans="1:17" x14ac:dyDescent="0.3">
      <c r="A41" s="19">
        <v>40</v>
      </c>
      <c r="B41" s="20">
        <v>44941</v>
      </c>
      <c r="C41" s="19" t="s">
        <v>22</v>
      </c>
      <c r="D41" s="19" t="s">
        <v>22</v>
      </c>
      <c r="E41" s="19" t="s">
        <v>12</v>
      </c>
      <c r="F41" s="19" t="s">
        <v>31</v>
      </c>
      <c r="G41" s="19" t="s">
        <v>33</v>
      </c>
      <c r="H41" s="21">
        <v>28642.2</v>
      </c>
      <c r="I41" s="19">
        <v>5</v>
      </c>
      <c r="J41" s="21">
        <v>2312.54</v>
      </c>
      <c r="K41" s="19" t="str" cm="1">
        <f t="array" ref="K41">_xlfn.IFS(Table1342[[#This Row],[Sales]]&gt;40000,"Best Sales",Table1342[[#This Row],[Sales]]&gt;20000,"Average Sales",Table1342[[#This Row],[Sales]]&gt;0,"Poor Sales")</f>
        <v>Average Sales</v>
      </c>
      <c r="L41" s="19">
        <f>YEAR(Table1342[[#This Row],[Date]])</f>
        <v>2023</v>
      </c>
      <c r="M41" s="19">
        <f>MONTH(Table1342[[#This Row],[Date]])</f>
        <v>1</v>
      </c>
      <c r="N41" s="19">
        <f>DAY(Table1342[[#This Row],[Date]])</f>
        <v>15</v>
      </c>
      <c r="O41" s="19"/>
      <c r="P41" s="19" t="str">
        <f>TEXT(DATE(2023,Table1342[[#This Row],[MONTH]],1),"mmm")</f>
        <v>Jan</v>
      </c>
      <c r="Q41" s="19"/>
    </row>
    <row r="42" spans="1:17" x14ac:dyDescent="0.3">
      <c r="A42" s="19">
        <v>41</v>
      </c>
      <c r="B42" s="20">
        <v>45238</v>
      </c>
      <c r="C42" s="19" t="s">
        <v>15</v>
      </c>
      <c r="D42" s="19" t="s">
        <v>16</v>
      </c>
      <c r="E42" s="19" t="s">
        <v>12</v>
      </c>
      <c r="F42" s="19" t="s">
        <v>13</v>
      </c>
      <c r="G42" s="19" t="s">
        <v>14</v>
      </c>
      <c r="H42" s="21">
        <v>30927.86</v>
      </c>
      <c r="I42" s="19">
        <v>10</v>
      </c>
      <c r="J42" s="21">
        <v>8460.2199999999993</v>
      </c>
      <c r="K42" s="19" t="str" cm="1">
        <f t="array" ref="K42">_xlfn.IFS(Table1342[[#This Row],[Sales]]&gt;40000,"Best Sales",Table1342[[#This Row],[Sales]]&gt;20000,"Average Sales",Table1342[[#This Row],[Sales]]&gt;0,"Poor Sales")</f>
        <v>Average Sales</v>
      </c>
      <c r="L42" s="19">
        <f>YEAR(Table1342[[#This Row],[Date]])</f>
        <v>2023</v>
      </c>
      <c r="M42" s="19">
        <f>MONTH(Table1342[[#This Row],[Date]])</f>
        <v>11</v>
      </c>
      <c r="N42" s="19">
        <f>DAY(Table1342[[#This Row],[Date]])</f>
        <v>8</v>
      </c>
      <c r="O42" s="19"/>
      <c r="P42" s="19" t="str">
        <f>TEXT(DATE(2023,Table1342[[#This Row],[MONTH]],1),"mmm")</f>
        <v>Nov</v>
      </c>
      <c r="Q42" s="19"/>
    </row>
    <row r="43" spans="1:17" x14ac:dyDescent="0.3">
      <c r="A43" s="19">
        <v>42</v>
      </c>
      <c r="B43" s="20">
        <v>45143</v>
      </c>
      <c r="C43" s="19" t="s">
        <v>10</v>
      </c>
      <c r="D43" s="19" t="s">
        <v>11</v>
      </c>
      <c r="E43" s="19" t="s">
        <v>12</v>
      </c>
      <c r="F43" s="19" t="s">
        <v>31</v>
      </c>
      <c r="G43" s="19" t="s">
        <v>32</v>
      </c>
      <c r="H43" s="21">
        <v>32426.75</v>
      </c>
      <c r="I43" s="19">
        <v>7</v>
      </c>
      <c r="J43" s="21">
        <v>8518.11</v>
      </c>
      <c r="K43" s="19" t="str" cm="1">
        <f t="array" ref="K43">_xlfn.IFS(Table1342[[#This Row],[Sales]]&gt;40000,"Best Sales",Table1342[[#This Row],[Sales]]&gt;20000,"Average Sales",Table1342[[#This Row],[Sales]]&gt;0,"Poor Sales")</f>
        <v>Average Sales</v>
      </c>
      <c r="L43" s="19">
        <f>YEAR(Table1342[[#This Row],[Date]])</f>
        <v>2023</v>
      </c>
      <c r="M43" s="19">
        <f>MONTH(Table1342[[#This Row],[Date]])</f>
        <v>8</v>
      </c>
      <c r="N43" s="19">
        <f>DAY(Table1342[[#This Row],[Date]])</f>
        <v>5</v>
      </c>
      <c r="O43" s="19"/>
      <c r="P43" s="19" t="str">
        <f>TEXT(DATE(2023,Table1342[[#This Row],[MONTH]],1),"mmm")</f>
        <v>Aug</v>
      </c>
      <c r="Q43" s="19"/>
    </row>
    <row r="44" spans="1:17" x14ac:dyDescent="0.3">
      <c r="A44" s="19">
        <v>43</v>
      </c>
      <c r="B44" s="20">
        <v>45283</v>
      </c>
      <c r="C44" s="19" t="s">
        <v>38</v>
      </c>
      <c r="D44" s="19" t="s">
        <v>27</v>
      </c>
      <c r="E44" s="19" t="s">
        <v>20</v>
      </c>
      <c r="F44" s="19" t="s">
        <v>31</v>
      </c>
      <c r="G44" s="19" t="s">
        <v>39</v>
      </c>
      <c r="H44" s="21">
        <v>19643.03</v>
      </c>
      <c r="I44" s="19">
        <v>5</v>
      </c>
      <c r="J44" s="21">
        <v>2911.87</v>
      </c>
      <c r="K44" s="19" t="str" cm="1">
        <f t="array" ref="K44">_xlfn.IFS(Table1342[[#This Row],[Sales]]&gt;40000,"Best Sales",Table1342[[#This Row],[Sales]]&gt;20000,"Average Sales",Table1342[[#This Row],[Sales]]&gt;0,"Poor Sales")</f>
        <v>Poor Sales</v>
      </c>
      <c r="L44" s="19">
        <f>YEAR(Table1342[[#This Row],[Date]])</f>
        <v>2023</v>
      </c>
      <c r="M44" s="19">
        <f>MONTH(Table1342[[#This Row],[Date]])</f>
        <v>12</v>
      </c>
      <c r="N44" s="19">
        <f>DAY(Table1342[[#This Row],[Date]])</f>
        <v>23</v>
      </c>
      <c r="O44" s="19"/>
      <c r="P44" s="19" t="str">
        <f>TEXT(DATE(2023,Table1342[[#This Row],[MONTH]],1),"mmm")</f>
        <v>Dec</v>
      </c>
      <c r="Q44" s="19"/>
    </row>
    <row r="45" spans="1:17" x14ac:dyDescent="0.3">
      <c r="A45" s="19">
        <v>44</v>
      </c>
      <c r="B45" s="20">
        <v>44981</v>
      </c>
      <c r="C45" s="19" t="s">
        <v>26</v>
      </c>
      <c r="D45" s="19" t="s">
        <v>27</v>
      </c>
      <c r="E45" s="19" t="s">
        <v>20</v>
      </c>
      <c r="F45" s="19" t="s">
        <v>13</v>
      </c>
      <c r="G45" s="19" t="s">
        <v>34</v>
      </c>
      <c r="H45" s="21">
        <v>46031.41</v>
      </c>
      <c r="I45" s="19">
        <v>10</v>
      </c>
      <c r="J45" s="21">
        <v>12190.44</v>
      </c>
      <c r="K45" s="19" t="str" cm="1">
        <f t="array" ref="K45">_xlfn.IFS(Table1342[[#This Row],[Sales]]&gt;40000,"Best Sales",Table1342[[#This Row],[Sales]]&gt;20000,"Average Sales",Table1342[[#This Row],[Sales]]&gt;0,"Poor Sales")</f>
        <v>Best Sales</v>
      </c>
      <c r="L45" s="19">
        <f>YEAR(Table1342[[#This Row],[Date]])</f>
        <v>2023</v>
      </c>
      <c r="M45" s="19">
        <f>MONTH(Table1342[[#This Row],[Date]])</f>
        <v>2</v>
      </c>
      <c r="N45" s="19">
        <f>DAY(Table1342[[#This Row],[Date]])</f>
        <v>24</v>
      </c>
      <c r="O45" s="19"/>
      <c r="P45" s="19" t="str">
        <f>TEXT(DATE(2023,Table1342[[#This Row],[MONTH]],1),"mmm")</f>
        <v>Feb</v>
      </c>
      <c r="Q45" s="19"/>
    </row>
    <row r="46" spans="1:17" x14ac:dyDescent="0.3">
      <c r="A46" s="19">
        <v>45</v>
      </c>
      <c r="B46" s="20">
        <v>44967</v>
      </c>
      <c r="C46" s="19" t="s">
        <v>22</v>
      </c>
      <c r="D46" s="19" t="s">
        <v>22</v>
      </c>
      <c r="E46" s="19" t="s">
        <v>20</v>
      </c>
      <c r="F46" s="19" t="s">
        <v>13</v>
      </c>
      <c r="G46" s="19" t="s">
        <v>21</v>
      </c>
      <c r="H46" s="21">
        <v>10312.469999999999</v>
      </c>
      <c r="I46" s="19">
        <v>3</v>
      </c>
      <c r="J46" s="21">
        <v>917.6</v>
      </c>
      <c r="K46" s="19" t="str" cm="1">
        <f t="array" ref="K46">_xlfn.IFS(Table1342[[#This Row],[Sales]]&gt;40000,"Best Sales",Table1342[[#This Row],[Sales]]&gt;20000,"Average Sales",Table1342[[#This Row],[Sales]]&gt;0,"Poor Sales")</f>
        <v>Poor Sales</v>
      </c>
      <c r="L46" s="19">
        <f>YEAR(Table1342[[#This Row],[Date]])</f>
        <v>2023</v>
      </c>
      <c r="M46" s="19">
        <f>MONTH(Table1342[[#This Row],[Date]])</f>
        <v>2</v>
      </c>
      <c r="N46" s="19">
        <f>DAY(Table1342[[#This Row],[Date]])</f>
        <v>10</v>
      </c>
      <c r="O46" s="19"/>
      <c r="P46" s="19" t="str">
        <f>TEXT(DATE(2023,Table1342[[#This Row],[MONTH]],1),"mmm")</f>
        <v>Feb</v>
      </c>
      <c r="Q46" s="19"/>
    </row>
    <row r="47" spans="1:17" x14ac:dyDescent="0.3">
      <c r="A47" s="19">
        <v>46</v>
      </c>
      <c r="B47" s="20">
        <v>45288</v>
      </c>
      <c r="C47" s="19" t="s">
        <v>37</v>
      </c>
      <c r="D47" s="19" t="s">
        <v>27</v>
      </c>
      <c r="E47" s="19" t="s">
        <v>20</v>
      </c>
      <c r="F47" s="19" t="s">
        <v>24</v>
      </c>
      <c r="G47" s="19" t="s">
        <v>28</v>
      </c>
      <c r="H47" s="21">
        <v>6582.1</v>
      </c>
      <c r="I47" s="19">
        <v>1</v>
      </c>
      <c r="J47" s="21">
        <v>1867.37</v>
      </c>
      <c r="K47" s="19" t="str" cm="1">
        <f t="array" ref="K47">_xlfn.IFS(Table1342[[#This Row],[Sales]]&gt;40000,"Best Sales",Table1342[[#This Row],[Sales]]&gt;20000,"Average Sales",Table1342[[#This Row],[Sales]]&gt;0,"Poor Sales")</f>
        <v>Poor Sales</v>
      </c>
      <c r="L47" s="19">
        <f>YEAR(Table1342[[#This Row],[Date]])</f>
        <v>2023</v>
      </c>
      <c r="M47" s="19">
        <f>MONTH(Table1342[[#This Row],[Date]])</f>
        <v>12</v>
      </c>
      <c r="N47" s="19">
        <f>DAY(Table1342[[#This Row],[Date]])</f>
        <v>28</v>
      </c>
      <c r="O47" s="19"/>
      <c r="P47" s="19" t="str">
        <f>TEXT(DATE(2023,Table1342[[#This Row],[MONTH]],1),"mmm")</f>
        <v>Dec</v>
      </c>
      <c r="Q47" s="19"/>
    </row>
    <row r="48" spans="1:17" x14ac:dyDescent="0.3">
      <c r="A48" s="19">
        <v>47</v>
      </c>
      <c r="B48" s="20">
        <v>45155</v>
      </c>
      <c r="C48" s="19" t="s">
        <v>15</v>
      </c>
      <c r="D48" s="19" t="s">
        <v>16</v>
      </c>
      <c r="E48" s="19" t="s">
        <v>20</v>
      </c>
      <c r="F48" s="19" t="s">
        <v>31</v>
      </c>
      <c r="G48" s="19" t="s">
        <v>39</v>
      </c>
      <c r="H48" s="21">
        <v>3134.95</v>
      </c>
      <c r="I48" s="19">
        <v>8</v>
      </c>
      <c r="J48" s="21">
        <v>371.46</v>
      </c>
      <c r="K48" s="19" t="str" cm="1">
        <f t="array" ref="K48">_xlfn.IFS(Table1342[[#This Row],[Sales]]&gt;40000,"Best Sales",Table1342[[#This Row],[Sales]]&gt;20000,"Average Sales",Table1342[[#This Row],[Sales]]&gt;0,"Poor Sales")</f>
        <v>Poor Sales</v>
      </c>
      <c r="L48" s="19">
        <f>YEAR(Table1342[[#This Row],[Date]])</f>
        <v>2023</v>
      </c>
      <c r="M48" s="19">
        <f>MONTH(Table1342[[#This Row],[Date]])</f>
        <v>8</v>
      </c>
      <c r="N48" s="19">
        <f>DAY(Table1342[[#This Row],[Date]])</f>
        <v>17</v>
      </c>
      <c r="O48" s="19"/>
      <c r="P48" s="19" t="str">
        <f>TEXT(DATE(2023,Table1342[[#This Row],[MONTH]],1),"mmm")</f>
        <v>Aug</v>
      </c>
      <c r="Q48" s="19"/>
    </row>
    <row r="49" spans="1:17" x14ac:dyDescent="0.3">
      <c r="A49" s="19">
        <v>48</v>
      </c>
      <c r="B49" s="20">
        <v>45252</v>
      </c>
      <c r="C49" s="19" t="s">
        <v>18</v>
      </c>
      <c r="D49" s="19" t="s">
        <v>19</v>
      </c>
      <c r="E49" s="19" t="s">
        <v>20</v>
      </c>
      <c r="F49" s="19" t="s">
        <v>31</v>
      </c>
      <c r="G49" s="19" t="s">
        <v>39</v>
      </c>
      <c r="H49" s="21">
        <v>43738.86</v>
      </c>
      <c r="I49" s="19">
        <v>4</v>
      </c>
      <c r="J49" s="21">
        <v>5140.59</v>
      </c>
      <c r="K49" s="19" t="str" cm="1">
        <f t="array" ref="K49">_xlfn.IFS(Table1342[[#This Row],[Sales]]&gt;40000,"Best Sales",Table1342[[#This Row],[Sales]]&gt;20000,"Average Sales",Table1342[[#This Row],[Sales]]&gt;0,"Poor Sales")</f>
        <v>Best Sales</v>
      </c>
      <c r="L49" s="19">
        <f>YEAR(Table1342[[#This Row],[Date]])</f>
        <v>2023</v>
      </c>
      <c r="M49" s="19">
        <f>MONTH(Table1342[[#This Row],[Date]])</f>
        <v>11</v>
      </c>
      <c r="N49" s="19">
        <f>DAY(Table1342[[#This Row],[Date]])</f>
        <v>22</v>
      </c>
      <c r="O49" s="19"/>
      <c r="P49" s="19" t="str">
        <f>TEXT(DATE(2023,Table1342[[#This Row],[MONTH]],1),"mmm")</f>
        <v>Nov</v>
      </c>
      <c r="Q49" s="19"/>
    </row>
    <row r="50" spans="1:17" x14ac:dyDescent="0.3">
      <c r="A50" s="19">
        <v>49</v>
      </c>
      <c r="B50" s="20">
        <v>45229</v>
      </c>
      <c r="C50" s="19" t="s">
        <v>38</v>
      </c>
      <c r="D50" s="19" t="s">
        <v>27</v>
      </c>
      <c r="E50" s="19" t="s">
        <v>20</v>
      </c>
      <c r="F50" s="19" t="s">
        <v>24</v>
      </c>
      <c r="G50" s="19" t="s">
        <v>29</v>
      </c>
      <c r="H50" s="21">
        <v>17707.400000000001</v>
      </c>
      <c r="I50" s="19">
        <v>10</v>
      </c>
      <c r="J50" s="21">
        <v>2970.2</v>
      </c>
      <c r="K50" s="19" t="str" cm="1">
        <f t="array" ref="K50">_xlfn.IFS(Table1342[[#This Row],[Sales]]&gt;40000,"Best Sales",Table1342[[#This Row],[Sales]]&gt;20000,"Average Sales",Table1342[[#This Row],[Sales]]&gt;0,"Poor Sales")</f>
        <v>Poor Sales</v>
      </c>
      <c r="L50" s="19">
        <f>YEAR(Table1342[[#This Row],[Date]])</f>
        <v>2023</v>
      </c>
      <c r="M50" s="19">
        <f>MONTH(Table1342[[#This Row],[Date]])</f>
        <v>10</v>
      </c>
      <c r="N50" s="19">
        <f>DAY(Table1342[[#This Row],[Date]])</f>
        <v>30</v>
      </c>
      <c r="O50" s="19"/>
      <c r="P50" s="19" t="str">
        <f>TEXT(DATE(2023,Table1342[[#This Row],[MONTH]],1),"mmm")</f>
        <v>Oct</v>
      </c>
      <c r="Q50" s="19"/>
    </row>
    <row r="51" spans="1:17" x14ac:dyDescent="0.3">
      <c r="A51" s="19">
        <v>50</v>
      </c>
      <c r="B51" s="20">
        <v>45222</v>
      </c>
      <c r="C51" s="19" t="s">
        <v>15</v>
      </c>
      <c r="D51" s="19" t="s">
        <v>16</v>
      </c>
      <c r="E51" s="19" t="s">
        <v>20</v>
      </c>
      <c r="F51" s="19" t="s">
        <v>31</v>
      </c>
      <c r="G51" s="19" t="s">
        <v>39</v>
      </c>
      <c r="H51" s="21">
        <v>7789.2</v>
      </c>
      <c r="I51" s="19">
        <v>1</v>
      </c>
      <c r="J51" s="21">
        <v>1011.85</v>
      </c>
      <c r="K51" s="19" t="str" cm="1">
        <f t="array" ref="K51">_xlfn.IFS(Table1342[[#This Row],[Sales]]&gt;40000,"Best Sales",Table1342[[#This Row],[Sales]]&gt;20000,"Average Sales",Table1342[[#This Row],[Sales]]&gt;0,"Poor Sales")</f>
        <v>Poor Sales</v>
      </c>
      <c r="L51" s="19">
        <f>YEAR(Table1342[[#This Row],[Date]])</f>
        <v>2023</v>
      </c>
      <c r="M51" s="19">
        <f>MONTH(Table1342[[#This Row],[Date]])</f>
        <v>10</v>
      </c>
      <c r="N51" s="19">
        <f>DAY(Table1342[[#This Row],[Date]])</f>
        <v>23</v>
      </c>
      <c r="O51" s="19"/>
      <c r="P51" s="19" t="str">
        <f>TEXT(DATE(2023,Table1342[[#This Row],[MONTH]],1),"mmm")</f>
        <v>Oct</v>
      </c>
      <c r="Q51" s="19"/>
    </row>
    <row r="52" spans="1:17" x14ac:dyDescent="0.3">
      <c r="A52" s="19">
        <v>51</v>
      </c>
      <c r="B52" s="20">
        <v>45270</v>
      </c>
      <c r="C52" s="19" t="s">
        <v>18</v>
      </c>
      <c r="D52" s="19" t="s">
        <v>19</v>
      </c>
      <c r="E52" s="19" t="s">
        <v>20</v>
      </c>
      <c r="F52" s="19" t="s">
        <v>31</v>
      </c>
      <c r="G52" s="19" t="s">
        <v>33</v>
      </c>
      <c r="H52" s="21">
        <v>18333.759999999998</v>
      </c>
      <c r="I52" s="19">
        <v>7</v>
      </c>
      <c r="J52" s="21">
        <v>4255.3900000000003</v>
      </c>
      <c r="K52" s="19" t="str" cm="1">
        <f t="array" ref="K52">_xlfn.IFS(Table1342[[#This Row],[Sales]]&gt;40000,"Best Sales",Table1342[[#This Row],[Sales]]&gt;20000,"Average Sales",Table1342[[#This Row],[Sales]]&gt;0,"Poor Sales")</f>
        <v>Poor Sales</v>
      </c>
      <c r="L52" s="19">
        <f>YEAR(Table1342[[#This Row],[Date]])</f>
        <v>2023</v>
      </c>
      <c r="M52" s="19">
        <f>MONTH(Table1342[[#This Row],[Date]])</f>
        <v>12</v>
      </c>
      <c r="N52" s="19">
        <f>DAY(Table1342[[#This Row],[Date]])</f>
        <v>10</v>
      </c>
      <c r="O52" s="19"/>
      <c r="P52" s="19" t="str">
        <f>TEXT(DATE(2023,Table1342[[#This Row],[MONTH]],1),"mmm")</f>
        <v>Dec</v>
      </c>
      <c r="Q52" s="19"/>
    </row>
    <row r="53" spans="1:17" x14ac:dyDescent="0.3">
      <c r="A53" s="19">
        <v>52</v>
      </c>
      <c r="B53" s="20">
        <v>45041</v>
      </c>
      <c r="C53" s="19" t="s">
        <v>15</v>
      </c>
      <c r="D53" s="19" t="s">
        <v>16</v>
      </c>
      <c r="E53" s="19" t="s">
        <v>20</v>
      </c>
      <c r="F53" s="19" t="s">
        <v>31</v>
      </c>
      <c r="G53" s="19" t="s">
        <v>39</v>
      </c>
      <c r="H53" s="21">
        <v>29916.02</v>
      </c>
      <c r="I53" s="19">
        <v>1</v>
      </c>
      <c r="J53" s="21">
        <v>6067.18</v>
      </c>
      <c r="K53" s="19" t="str" cm="1">
        <f t="array" ref="K53">_xlfn.IFS(Table1342[[#This Row],[Sales]]&gt;40000,"Best Sales",Table1342[[#This Row],[Sales]]&gt;20000,"Average Sales",Table1342[[#This Row],[Sales]]&gt;0,"Poor Sales")</f>
        <v>Average Sales</v>
      </c>
      <c r="L53" s="19">
        <f>YEAR(Table1342[[#This Row],[Date]])</f>
        <v>2023</v>
      </c>
      <c r="M53" s="19">
        <f>MONTH(Table1342[[#This Row],[Date]])</f>
        <v>4</v>
      </c>
      <c r="N53" s="19">
        <f>DAY(Table1342[[#This Row],[Date]])</f>
        <v>25</v>
      </c>
      <c r="O53" s="19"/>
      <c r="P53" s="19" t="str">
        <f>TEXT(DATE(2023,Table1342[[#This Row],[MONTH]],1),"mmm")</f>
        <v>Apr</v>
      </c>
      <c r="Q53" s="19"/>
    </row>
    <row r="54" spans="1:17" x14ac:dyDescent="0.3">
      <c r="A54" s="19">
        <v>53</v>
      </c>
      <c r="B54" s="20">
        <v>45143</v>
      </c>
      <c r="C54" s="19" t="s">
        <v>15</v>
      </c>
      <c r="D54" s="19" t="s">
        <v>16</v>
      </c>
      <c r="E54" s="19" t="s">
        <v>20</v>
      </c>
      <c r="F54" s="19" t="s">
        <v>13</v>
      </c>
      <c r="G54" s="19" t="s">
        <v>14</v>
      </c>
      <c r="H54" s="21">
        <v>40222.480000000003</v>
      </c>
      <c r="I54" s="19">
        <v>5</v>
      </c>
      <c r="J54" s="21">
        <v>8031.61</v>
      </c>
      <c r="K54" s="19" t="str" cm="1">
        <f t="array" ref="K54">_xlfn.IFS(Table1342[[#This Row],[Sales]]&gt;40000,"Best Sales",Table1342[[#This Row],[Sales]]&gt;20000,"Average Sales",Table1342[[#This Row],[Sales]]&gt;0,"Poor Sales")</f>
        <v>Best Sales</v>
      </c>
      <c r="L54" s="19">
        <f>YEAR(Table1342[[#This Row],[Date]])</f>
        <v>2023</v>
      </c>
      <c r="M54" s="19">
        <f>MONTH(Table1342[[#This Row],[Date]])</f>
        <v>8</v>
      </c>
      <c r="N54" s="19">
        <f>DAY(Table1342[[#This Row],[Date]])</f>
        <v>5</v>
      </c>
      <c r="O54" s="19"/>
      <c r="P54" s="19" t="str">
        <f>TEXT(DATE(2023,Table1342[[#This Row],[MONTH]],1),"mmm")</f>
        <v>Aug</v>
      </c>
      <c r="Q54" s="19"/>
    </row>
    <row r="55" spans="1:17" x14ac:dyDescent="0.3">
      <c r="A55" s="19">
        <v>54</v>
      </c>
      <c r="B55" s="20">
        <v>45148</v>
      </c>
      <c r="C55" s="19" t="s">
        <v>35</v>
      </c>
      <c r="D55" s="19" t="s">
        <v>36</v>
      </c>
      <c r="E55" s="19" t="s">
        <v>23</v>
      </c>
      <c r="F55" s="19" t="s">
        <v>13</v>
      </c>
      <c r="G55" s="19" t="s">
        <v>14</v>
      </c>
      <c r="H55" s="21">
        <v>28351.119999999999</v>
      </c>
      <c r="I55" s="19">
        <v>2</v>
      </c>
      <c r="J55" s="21">
        <v>7580.92</v>
      </c>
      <c r="K55" s="19" t="str" cm="1">
        <f t="array" ref="K55">_xlfn.IFS(Table1342[[#This Row],[Sales]]&gt;40000,"Best Sales",Table1342[[#This Row],[Sales]]&gt;20000,"Average Sales",Table1342[[#This Row],[Sales]]&gt;0,"Poor Sales")</f>
        <v>Average Sales</v>
      </c>
      <c r="L55" s="19">
        <f>YEAR(Table1342[[#This Row],[Date]])</f>
        <v>2023</v>
      </c>
      <c r="M55" s="19">
        <f>MONTH(Table1342[[#This Row],[Date]])</f>
        <v>8</v>
      </c>
      <c r="N55" s="19">
        <f>DAY(Table1342[[#This Row],[Date]])</f>
        <v>10</v>
      </c>
      <c r="O55" s="19"/>
      <c r="P55" s="19" t="str">
        <f>TEXT(DATE(2023,Table1342[[#This Row],[MONTH]],1),"mmm")</f>
        <v>Aug</v>
      </c>
      <c r="Q55" s="19"/>
    </row>
    <row r="56" spans="1:17" x14ac:dyDescent="0.3">
      <c r="A56" s="19">
        <v>55</v>
      </c>
      <c r="B56" s="20">
        <v>44980</v>
      </c>
      <c r="C56" s="19" t="s">
        <v>30</v>
      </c>
      <c r="D56" s="19" t="s">
        <v>16</v>
      </c>
      <c r="E56" s="19" t="s">
        <v>23</v>
      </c>
      <c r="F56" s="19" t="s">
        <v>31</v>
      </c>
      <c r="G56" s="19" t="s">
        <v>32</v>
      </c>
      <c r="H56" s="21">
        <v>26706.3</v>
      </c>
      <c r="I56" s="19">
        <v>5</v>
      </c>
      <c r="J56" s="21">
        <v>3028.14</v>
      </c>
      <c r="K56" s="19" t="str" cm="1">
        <f t="array" ref="K56">_xlfn.IFS(Table1342[[#This Row],[Sales]]&gt;40000,"Best Sales",Table1342[[#This Row],[Sales]]&gt;20000,"Average Sales",Table1342[[#This Row],[Sales]]&gt;0,"Poor Sales")</f>
        <v>Average Sales</v>
      </c>
      <c r="L56" s="19">
        <f>YEAR(Table1342[[#This Row],[Date]])</f>
        <v>2023</v>
      </c>
      <c r="M56" s="19">
        <f>MONTH(Table1342[[#This Row],[Date]])</f>
        <v>2</v>
      </c>
      <c r="N56" s="19">
        <f>DAY(Table1342[[#This Row],[Date]])</f>
        <v>23</v>
      </c>
      <c r="O56" s="19"/>
      <c r="P56" s="19" t="str">
        <f>TEXT(DATE(2023,Table1342[[#This Row],[MONTH]],1),"mmm")</f>
        <v>Feb</v>
      </c>
      <c r="Q56" s="19"/>
    </row>
    <row r="57" spans="1:17" x14ac:dyDescent="0.3">
      <c r="A57" s="19">
        <v>56</v>
      </c>
      <c r="B57" s="20">
        <v>45068</v>
      </c>
      <c r="C57" s="19" t="s">
        <v>10</v>
      </c>
      <c r="D57" s="19" t="s">
        <v>11</v>
      </c>
      <c r="E57" s="19" t="s">
        <v>23</v>
      </c>
      <c r="F57" s="19" t="s">
        <v>13</v>
      </c>
      <c r="G57" s="19" t="s">
        <v>34</v>
      </c>
      <c r="H57" s="21">
        <v>5030.05</v>
      </c>
      <c r="I57" s="19">
        <v>3</v>
      </c>
      <c r="J57" s="21">
        <v>1411.28</v>
      </c>
      <c r="K57" s="19" t="str" cm="1">
        <f t="array" ref="K57">_xlfn.IFS(Table1342[[#This Row],[Sales]]&gt;40000,"Best Sales",Table1342[[#This Row],[Sales]]&gt;20000,"Average Sales",Table1342[[#This Row],[Sales]]&gt;0,"Poor Sales")</f>
        <v>Poor Sales</v>
      </c>
      <c r="L57" s="19">
        <f>YEAR(Table1342[[#This Row],[Date]])</f>
        <v>2023</v>
      </c>
      <c r="M57" s="19">
        <f>MONTH(Table1342[[#This Row],[Date]])</f>
        <v>5</v>
      </c>
      <c r="N57" s="19">
        <f>DAY(Table1342[[#This Row],[Date]])</f>
        <v>22</v>
      </c>
      <c r="O57" s="19"/>
      <c r="P57" s="19" t="str">
        <f>TEXT(DATE(2023,Table1342[[#This Row],[MONTH]],1),"mmm")</f>
        <v>May</v>
      </c>
      <c r="Q57" s="19"/>
    </row>
    <row r="58" spans="1:17" x14ac:dyDescent="0.3">
      <c r="A58" s="19">
        <v>57</v>
      </c>
      <c r="B58" s="20">
        <v>45006</v>
      </c>
      <c r="C58" s="19" t="s">
        <v>30</v>
      </c>
      <c r="D58" s="19" t="s">
        <v>16</v>
      </c>
      <c r="E58" s="19" t="s">
        <v>23</v>
      </c>
      <c r="F58" s="19" t="s">
        <v>13</v>
      </c>
      <c r="G58" s="19" t="s">
        <v>21</v>
      </c>
      <c r="H58" s="21">
        <v>36606.480000000003</v>
      </c>
      <c r="I58" s="19">
        <v>1</v>
      </c>
      <c r="J58" s="21">
        <v>5249.58</v>
      </c>
      <c r="K58" s="19" t="str" cm="1">
        <f t="array" ref="K58">_xlfn.IFS(Table1342[[#This Row],[Sales]]&gt;40000,"Best Sales",Table1342[[#This Row],[Sales]]&gt;20000,"Average Sales",Table1342[[#This Row],[Sales]]&gt;0,"Poor Sales")</f>
        <v>Average Sales</v>
      </c>
      <c r="L58" s="19">
        <f>YEAR(Table1342[[#This Row],[Date]])</f>
        <v>2023</v>
      </c>
      <c r="M58" s="19">
        <f>MONTH(Table1342[[#This Row],[Date]])</f>
        <v>3</v>
      </c>
      <c r="N58" s="19">
        <f>DAY(Table1342[[#This Row],[Date]])</f>
        <v>21</v>
      </c>
      <c r="O58" s="19"/>
      <c r="P58" s="19" t="str">
        <f>TEXT(DATE(2023,Table1342[[#This Row],[MONTH]],1),"mmm")</f>
        <v>Mar</v>
      </c>
      <c r="Q58" s="19"/>
    </row>
    <row r="59" spans="1:17" x14ac:dyDescent="0.3">
      <c r="A59" s="19">
        <v>58</v>
      </c>
      <c r="B59" s="20">
        <v>44946</v>
      </c>
      <c r="C59" s="19" t="s">
        <v>15</v>
      </c>
      <c r="D59" s="19" t="s">
        <v>16</v>
      </c>
      <c r="E59" s="19" t="s">
        <v>23</v>
      </c>
      <c r="F59" s="19" t="s">
        <v>13</v>
      </c>
      <c r="G59" s="19" t="s">
        <v>14</v>
      </c>
      <c r="H59" s="21">
        <v>30254.94</v>
      </c>
      <c r="I59" s="19">
        <v>3</v>
      </c>
      <c r="J59" s="21">
        <v>5950.99</v>
      </c>
      <c r="K59" s="19" t="str" cm="1">
        <f t="array" ref="K59">_xlfn.IFS(Table1342[[#This Row],[Sales]]&gt;40000,"Best Sales",Table1342[[#This Row],[Sales]]&gt;20000,"Average Sales",Table1342[[#This Row],[Sales]]&gt;0,"Poor Sales")</f>
        <v>Average Sales</v>
      </c>
      <c r="L59" s="19">
        <f>YEAR(Table1342[[#This Row],[Date]])</f>
        <v>2023</v>
      </c>
      <c r="M59" s="19">
        <f>MONTH(Table1342[[#This Row],[Date]])</f>
        <v>1</v>
      </c>
      <c r="N59" s="19">
        <f>DAY(Table1342[[#This Row],[Date]])</f>
        <v>20</v>
      </c>
      <c r="O59" s="19"/>
      <c r="P59" s="19" t="str">
        <f>TEXT(DATE(2023,Table1342[[#This Row],[MONTH]],1),"mmm")</f>
        <v>Jan</v>
      </c>
      <c r="Q59" s="19"/>
    </row>
    <row r="60" spans="1:17" x14ac:dyDescent="0.3">
      <c r="A60" s="19">
        <v>59</v>
      </c>
      <c r="B60" s="20">
        <v>45065</v>
      </c>
      <c r="C60" s="19" t="s">
        <v>30</v>
      </c>
      <c r="D60" s="19" t="s">
        <v>16</v>
      </c>
      <c r="E60" s="19" t="s">
        <v>23</v>
      </c>
      <c r="F60" s="19" t="s">
        <v>31</v>
      </c>
      <c r="G60" s="19" t="s">
        <v>39</v>
      </c>
      <c r="H60" s="21">
        <v>43019.7</v>
      </c>
      <c r="I60" s="19">
        <v>4</v>
      </c>
      <c r="J60" s="21">
        <v>9540.3799999999992</v>
      </c>
      <c r="K60" s="19" t="str" cm="1">
        <f t="array" ref="K60">_xlfn.IFS(Table1342[[#This Row],[Sales]]&gt;40000,"Best Sales",Table1342[[#This Row],[Sales]]&gt;20000,"Average Sales",Table1342[[#This Row],[Sales]]&gt;0,"Poor Sales")</f>
        <v>Best Sales</v>
      </c>
      <c r="L60" s="19">
        <f>YEAR(Table1342[[#This Row],[Date]])</f>
        <v>2023</v>
      </c>
      <c r="M60" s="19">
        <f>MONTH(Table1342[[#This Row],[Date]])</f>
        <v>5</v>
      </c>
      <c r="N60" s="19">
        <f>DAY(Table1342[[#This Row],[Date]])</f>
        <v>19</v>
      </c>
      <c r="O60" s="19"/>
      <c r="P60" s="19" t="str">
        <f>TEXT(DATE(2023,Table1342[[#This Row],[MONTH]],1),"mmm")</f>
        <v>May</v>
      </c>
      <c r="Q60" s="19"/>
    </row>
    <row r="61" spans="1:17" x14ac:dyDescent="0.3">
      <c r="A61" s="19">
        <v>60</v>
      </c>
      <c r="B61" s="20">
        <v>44977</v>
      </c>
      <c r="C61" s="19" t="s">
        <v>38</v>
      </c>
      <c r="D61" s="19" t="s">
        <v>27</v>
      </c>
      <c r="E61" s="19" t="s">
        <v>23</v>
      </c>
      <c r="F61" s="19" t="s">
        <v>13</v>
      </c>
      <c r="G61" s="19" t="s">
        <v>21</v>
      </c>
      <c r="H61" s="21">
        <v>3020.57</v>
      </c>
      <c r="I61" s="19">
        <v>7</v>
      </c>
      <c r="J61" s="21">
        <v>762.12</v>
      </c>
      <c r="K61" s="19" t="str" cm="1">
        <f t="array" ref="K61">_xlfn.IFS(Table1342[[#This Row],[Sales]]&gt;40000,"Best Sales",Table1342[[#This Row],[Sales]]&gt;20000,"Average Sales",Table1342[[#This Row],[Sales]]&gt;0,"Poor Sales")</f>
        <v>Poor Sales</v>
      </c>
      <c r="L61" s="19">
        <f>YEAR(Table1342[[#This Row],[Date]])</f>
        <v>2023</v>
      </c>
      <c r="M61" s="19">
        <f>MONTH(Table1342[[#This Row],[Date]])</f>
        <v>2</v>
      </c>
      <c r="N61" s="19">
        <f>DAY(Table1342[[#This Row],[Date]])</f>
        <v>20</v>
      </c>
      <c r="O61" s="19"/>
      <c r="P61" s="19" t="str">
        <f>TEXT(DATE(2023,Table1342[[#This Row],[MONTH]],1),"mmm")</f>
        <v>Feb</v>
      </c>
      <c r="Q61" s="19"/>
    </row>
    <row r="62" spans="1:17" x14ac:dyDescent="0.3">
      <c r="A62" s="19">
        <v>61</v>
      </c>
      <c r="B62" s="20">
        <v>44992</v>
      </c>
      <c r="C62" s="19" t="s">
        <v>22</v>
      </c>
      <c r="D62" s="19" t="s">
        <v>22</v>
      </c>
      <c r="E62" s="19" t="s">
        <v>23</v>
      </c>
      <c r="F62" s="19" t="s">
        <v>13</v>
      </c>
      <c r="G62" s="19" t="s">
        <v>14</v>
      </c>
      <c r="H62" s="21">
        <v>29105.97</v>
      </c>
      <c r="I62" s="19">
        <v>7</v>
      </c>
      <c r="J62" s="21">
        <v>7986.26</v>
      </c>
      <c r="K62" s="19" t="str" cm="1">
        <f t="array" ref="K62">_xlfn.IFS(Table1342[[#This Row],[Sales]]&gt;40000,"Best Sales",Table1342[[#This Row],[Sales]]&gt;20000,"Average Sales",Table1342[[#This Row],[Sales]]&gt;0,"Poor Sales")</f>
        <v>Average Sales</v>
      </c>
      <c r="L62" s="19">
        <f>YEAR(Table1342[[#This Row],[Date]])</f>
        <v>2023</v>
      </c>
      <c r="M62" s="19">
        <f>MONTH(Table1342[[#This Row],[Date]])</f>
        <v>3</v>
      </c>
      <c r="N62" s="19">
        <f>DAY(Table1342[[#This Row],[Date]])</f>
        <v>7</v>
      </c>
      <c r="O62" s="19"/>
      <c r="P62" s="19" t="str">
        <f>TEXT(DATE(2023,Table1342[[#This Row],[MONTH]],1),"mmm")</f>
        <v>Mar</v>
      </c>
      <c r="Q62" s="19"/>
    </row>
    <row r="63" spans="1:17" x14ac:dyDescent="0.3">
      <c r="A63" s="19">
        <v>62</v>
      </c>
      <c r="B63" s="20">
        <v>44987</v>
      </c>
      <c r="C63" s="19" t="s">
        <v>18</v>
      </c>
      <c r="D63" s="19" t="s">
        <v>19</v>
      </c>
      <c r="E63" s="19" t="s">
        <v>23</v>
      </c>
      <c r="F63" s="19" t="s">
        <v>13</v>
      </c>
      <c r="G63" s="19" t="s">
        <v>21</v>
      </c>
      <c r="H63" s="21">
        <v>42202.76</v>
      </c>
      <c r="I63" s="19">
        <v>10</v>
      </c>
      <c r="J63" s="21">
        <v>5345.77</v>
      </c>
      <c r="K63" s="19" t="str" cm="1">
        <f t="array" ref="K63">_xlfn.IFS(Table1342[[#This Row],[Sales]]&gt;40000,"Best Sales",Table1342[[#This Row],[Sales]]&gt;20000,"Average Sales",Table1342[[#This Row],[Sales]]&gt;0,"Poor Sales")</f>
        <v>Best Sales</v>
      </c>
      <c r="L63" s="19">
        <f>YEAR(Table1342[[#This Row],[Date]])</f>
        <v>2023</v>
      </c>
      <c r="M63" s="19">
        <f>MONTH(Table1342[[#This Row],[Date]])</f>
        <v>3</v>
      </c>
      <c r="N63" s="19">
        <f>DAY(Table1342[[#This Row],[Date]])</f>
        <v>2</v>
      </c>
      <c r="O63" s="19"/>
      <c r="P63" s="19" t="str">
        <f>TEXT(DATE(2023,Table1342[[#This Row],[MONTH]],1),"mmm")</f>
        <v>Mar</v>
      </c>
      <c r="Q63" s="19"/>
    </row>
    <row r="64" spans="1:17" x14ac:dyDescent="0.3">
      <c r="A64" s="19">
        <v>63</v>
      </c>
      <c r="B64" s="20">
        <v>45126</v>
      </c>
      <c r="C64" s="19" t="s">
        <v>15</v>
      </c>
      <c r="D64" s="19" t="s">
        <v>16</v>
      </c>
      <c r="E64" s="19" t="s">
        <v>23</v>
      </c>
      <c r="F64" s="19" t="s">
        <v>31</v>
      </c>
      <c r="G64" s="19" t="s">
        <v>33</v>
      </c>
      <c r="H64" s="21">
        <v>16484.55</v>
      </c>
      <c r="I64" s="19">
        <v>9</v>
      </c>
      <c r="J64" s="21">
        <v>1351</v>
      </c>
      <c r="K64" s="19" t="str" cm="1">
        <f t="array" ref="K64">_xlfn.IFS(Table1342[[#This Row],[Sales]]&gt;40000,"Best Sales",Table1342[[#This Row],[Sales]]&gt;20000,"Average Sales",Table1342[[#This Row],[Sales]]&gt;0,"Poor Sales")</f>
        <v>Poor Sales</v>
      </c>
      <c r="L64" s="19">
        <f>YEAR(Table1342[[#This Row],[Date]])</f>
        <v>2023</v>
      </c>
      <c r="M64" s="19">
        <f>MONTH(Table1342[[#This Row],[Date]])</f>
        <v>7</v>
      </c>
      <c r="N64" s="19">
        <f>DAY(Table1342[[#This Row],[Date]])</f>
        <v>19</v>
      </c>
      <c r="O64" s="19"/>
      <c r="P64" s="19" t="str">
        <f>TEXT(DATE(2023,Table1342[[#This Row],[MONTH]],1),"mmm")</f>
        <v>Jul</v>
      </c>
      <c r="Q64" s="19"/>
    </row>
    <row r="65" spans="1:17" x14ac:dyDescent="0.3">
      <c r="A65" s="19">
        <v>64</v>
      </c>
      <c r="B65" s="20">
        <v>45216</v>
      </c>
      <c r="C65" s="19" t="s">
        <v>15</v>
      </c>
      <c r="D65" s="19" t="s">
        <v>16</v>
      </c>
      <c r="E65" s="19" t="s">
        <v>23</v>
      </c>
      <c r="F65" s="19" t="s">
        <v>24</v>
      </c>
      <c r="G65" s="19" t="s">
        <v>28</v>
      </c>
      <c r="H65" s="21">
        <v>48949.84</v>
      </c>
      <c r="I65" s="19">
        <v>9</v>
      </c>
      <c r="J65" s="21">
        <v>10667.27</v>
      </c>
      <c r="K65" s="19" t="str" cm="1">
        <f t="array" ref="K65">_xlfn.IFS(Table1342[[#This Row],[Sales]]&gt;40000,"Best Sales",Table1342[[#This Row],[Sales]]&gt;20000,"Average Sales",Table1342[[#This Row],[Sales]]&gt;0,"Poor Sales")</f>
        <v>Best Sales</v>
      </c>
      <c r="L65" s="19">
        <f>YEAR(Table1342[[#This Row],[Date]])</f>
        <v>2023</v>
      </c>
      <c r="M65" s="19">
        <f>MONTH(Table1342[[#This Row],[Date]])</f>
        <v>10</v>
      </c>
      <c r="N65" s="19">
        <f>DAY(Table1342[[#This Row],[Date]])</f>
        <v>17</v>
      </c>
      <c r="O65" s="19"/>
      <c r="P65" s="19" t="str">
        <f>TEXT(DATE(2023,Table1342[[#This Row],[MONTH]],1),"mmm")</f>
        <v>Oct</v>
      </c>
      <c r="Q65" s="19"/>
    </row>
    <row r="66" spans="1:17" x14ac:dyDescent="0.3">
      <c r="A66" s="19">
        <v>65</v>
      </c>
      <c r="B66" s="20">
        <v>45173</v>
      </c>
      <c r="C66" s="19" t="s">
        <v>30</v>
      </c>
      <c r="D66" s="19" t="s">
        <v>16</v>
      </c>
      <c r="E66" s="19" t="s">
        <v>23</v>
      </c>
      <c r="F66" s="19" t="s">
        <v>24</v>
      </c>
      <c r="G66" s="19" t="s">
        <v>28</v>
      </c>
      <c r="H66" s="21">
        <v>19183.52</v>
      </c>
      <c r="I66" s="19">
        <v>5</v>
      </c>
      <c r="J66" s="21">
        <v>2804.51</v>
      </c>
      <c r="K66" s="19" t="str" cm="1">
        <f t="array" ref="K66">_xlfn.IFS(Table1342[[#This Row],[Sales]]&gt;40000,"Best Sales",Table1342[[#This Row],[Sales]]&gt;20000,"Average Sales",Table1342[[#This Row],[Sales]]&gt;0,"Poor Sales")</f>
        <v>Poor Sales</v>
      </c>
      <c r="L66" s="19">
        <f>YEAR(Table1342[[#This Row],[Date]])</f>
        <v>2023</v>
      </c>
      <c r="M66" s="19">
        <f>MONTH(Table1342[[#This Row],[Date]])</f>
        <v>9</v>
      </c>
      <c r="N66" s="19">
        <f>DAY(Table1342[[#This Row],[Date]])</f>
        <v>4</v>
      </c>
      <c r="O66" s="19"/>
      <c r="P66" s="19" t="str">
        <f>TEXT(DATE(2023,Table1342[[#This Row],[MONTH]],1),"mmm")</f>
        <v>Sep</v>
      </c>
      <c r="Q66" s="19"/>
    </row>
    <row r="67" spans="1:17" x14ac:dyDescent="0.3">
      <c r="A67" s="19">
        <v>66</v>
      </c>
      <c r="B67" s="20">
        <v>45163</v>
      </c>
      <c r="C67" s="19" t="s">
        <v>22</v>
      </c>
      <c r="D67" s="19" t="s">
        <v>22</v>
      </c>
      <c r="E67" s="19" t="s">
        <v>23</v>
      </c>
      <c r="F67" s="19" t="s">
        <v>13</v>
      </c>
      <c r="G67" s="19" t="s">
        <v>34</v>
      </c>
      <c r="H67" s="21">
        <v>25834.9</v>
      </c>
      <c r="I67" s="19">
        <v>2</v>
      </c>
      <c r="J67" s="21">
        <v>6880.51</v>
      </c>
      <c r="K67" s="19" t="str" cm="1">
        <f t="array" ref="K67">_xlfn.IFS(Table1342[[#This Row],[Sales]]&gt;40000,"Best Sales",Table1342[[#This Row],[Sales]]&gt;20000,"Average Sales",Table1342[[#This Row],[Sales]]&gt;0,"Poor Sales")</f>
        <v>Average Sales</v>
      </c>
      <c r="L67" s="19">
        <f>YEAR(Table1342[[#This Row],[Date]])</f>
        <v>2023</v>
      </c>
      <c r="M67" s="19">
        <f>MONTH(Table1342[[#This Row],[Date]])</f>
        <v>8</v>
      </c>
      <c r="N67" s="19">
        <f>DAY(Table1342[[#This Row],[Date]])</f>
        <v>25</v>
      </c>
      <c r="O67" s="19"/>
      <c r="P67" s="19" t="str">
        <f>TEXT(DATE(2023,Table1342[[#This Row],[MONTH]],1),"mmm")</f>
        <v>Aug</v>
      </c>
      <c r="Q67" s="19"/>
    </row>
    <row r="68" spans="1:17" x14ac:dyDescent="0.3">
      <c r="A68" s="19">
        <v>67</v>
      </c>
      <c r="B68" s="20">
        <v>44930</v>
      </c>
      <c r="C68" s="19" t="s">
        <v>22</v>
      </c>
      <c r="D68" s="19" t="s">
        <v>22</v>
      </c>
      <c r="E68" s="19" t="s">
        <v>12</v>
      </c>
      <c r="F68" s="19" t="s">
        <v>13</v>
      </c>
      <c r="G68" s="19" t="s">
        <v>34</v>
      </c>
      <c r="H68" s="21">
        <v>37162.660000000003</v>
      </c>
      <c r="I68" s="19">
        <v>8</v>
      </c>
      <c r="J68" s="21">
        <v>5652.71</v>
      </c>
      <c r="K68" s="19" t="str" cm="1">
        <f t="array" ref="K68">_xlfn.IFS(Table1342[[#This Row],[Sales]]&gt;40000,"Best Sales",Table1342[[#This Row],[Sales]]&gt;20000,"Average Sales",Table1342[[#This Row],[Sales]]&gt;0,"Poor Sales")</f>
        <v>Average Sales</v>
      </c>
      <c r="L68" s="19">
        <f>YEAR(Table1342[[#This Row],[Date]])</f>
        <v>2023</v>
      </c>
      <c r="M68" s="19">
        <f>MONTH(Table1342[[#This Row],[Date]])</f>
        <v>1</v>
      </c>
      <c r="N68" s="19">
        <f>DAY(Table1342[[#This Row],[Date]])</f>
        <v>4</v>
      </c>
      <c r="O68" s="19"/>
      <c r="P68" s="19" t="str">
        <f>TEXT(DATE(2023,Table1342[[#This Row],[MONTH]],1),"mmm")</f>
        <v>Jan</v>
      </c>
      <c r="Q68" s="19"/>
    </row>
    <row r="69" spans="1:17" x14ac:dyDescent="0.3">
      <c r="A69" s="19">
        <v>68</v>
      </c>
      <c r="B69" s="20">
        <v>45098</v>
      </c>
      <c r="C69" s="19" t="s">
        <v>30</v>
      </c>
      <c r="D69" s="19" t="s">
        <v>16</v>
      </c>
      <c r="E69" s="19" t="s">
        <v>17</v>
      </c>
      <c r="F69" s="19" t="s">
        <v>24</v>
      </c>
      <c r="G69" s="19" t="s">
        <v>25</v>
      </c>
      <c r="H69" s="21">
        <v>28938.6</v>
      </c>
      <c r="I69" s="19">
        <v>10</v>
      </c>
      <c r="J69" s="21">
        <v>7700.06</v>
      </c>
      <c r="K69" s="19" t="str" cm="1">
        <f t="array" ref="K69">_xlfn.IFS(Table1342[[#This Row],[Sales]]&gt;40000,"Best Sales",Table1342[[#This Row],[Sales]]&gt;20000,"Average Sales",Table1342[[#This Row],[Sales]]&gt;0,"Poor Sales")</f>
        <v>Average Sales</v>
      </c>
      <c r="L69" s="19">
        <f>YEAR(Table1342[[#This Row],[Date]])</f>
        <v>2023</v>
      </c>
      <c r="M69" s="19">
        <f>MONTH(Table1342[[#This Row],[Date]])</f>
        <v>6</v>
      </c>
      <c r="N69" s="19">
        <f>DAY(Table1342[[#This Row],[Date]])</f>
        <v>21</v>
      </c>
      <c r="O69" s="19"/>
      <c r="P69" s="19" t="str">
        <f>TEXT(DATE(2023,Table1342[[#This Row],[MONTH]],1),"mmm")</f>
        <v>Jun</v>
      </c>
      <c r="Q69" s="19"/>
    </row>
    <row r="70" spans="1:17" x14ac:dyDescent="0.3">
      <c r="A70" s="19">
        <v>69</v>
      </c>
      <c r="B70" s="20">
        <v>45268</v>
      </c>
      <c r="C70" s="19" t="s">
        <v>38</v>
      </c>
      <c r="D70" s="19" t="s">
        <v>27</v>
      </c>
      <c r="E70" s="19" t="s">
        <v>17</v>
      </c>
      <c r="F70" s="19" t="s">
        <v>24</v>
      </c>
      <c r="G70" s="19" t="s">
        <v>25</v>
      </c>
      <c r="H70" s="21">
        <v>10690.45</v>
      </c>
      <c r="I70" s="19">
        <v>5</v>
      </c>
      <c r="J70" s="21">
        <v>2992.24</v>
      </c>
      <c r="K70" s="19" t="str" cm="1">
        <f t="array" ref="K70">_xlfn.IFS(Table1342[[#This Row],[Sales]]&gt;40000,"Best Sales",Table1342[[#This Row],[Sales]]&gt;20000,"Average Sales",Table1342[[#This Row],[Sales]]&gt;0,"Poor Sales")</f>
        <v>Poor Sales</v>
      </c>
      <c r="L70" s="19">
        <f>YEAR(Table1342[[#This Row],[Date]])</f>
        <v>2023</v>
      </c>
      <c r="M70" s="19">
        <f>MONTH(Table1342[[#This Row],[Date]])</f>
        <v>12</v>
      </c>
      <c r="N70" s="19">
        <f>DAY(Table1342[[#This Row],[Date]])</f>
        <v>8</v>
      </c>
      <c r="O70" s="19"/>
      <c r="P70" s="19" t="str">
        <f>TEXT(DATE(2023,Table1342[[#This Row],[MONTH]],1),"mmm")</f>
        <v>Dec</v>
      </c>
      <c r="Q70" s="19"/>
    </row>
    <row r="71" spans="1:17" x14ac:dyDescent="0.3">
      <c r="A71" s="19">
        <v>70</v>
      </c>
      <c r="B71" s="20">
        <v>45137</v>
      </c>
      <c r="C71" s="19" t="s">
        <v>22</v>
      </c>
      <c r="D71" s="19" t="s">
        <v>22</v>
      </c>
      <c r="E71" s="19" t="s">
        <v>12</v>
      </c>
      <c r="F71" s="19" t="s">
        <v>31</v>
      </c>
      <c r="G71" s="19" t="s">
        <v>39</v>
      </c>
      <c r="H71" s="21">
        <v>4383.75</v>
      </c>
      <c r="I71" s="19">
        <v>1</v>
      </c>
      <c r="J71" s="21">
        <v>918.46</v>
      </c>
      <c r="K71" s="19" t="str" cm="1">
        <f t="array" ref="K71">_xlfn.IFS(Table1342[[#This Row],[Sales]]&gt;40000,"Best Sales",Table1342[[#This Row],[Sales]]&gt;20000,"Average Sales",Table1342[[#This Row],[Sales]]&gt;0,"Poor Sales")</f>
        <v>Poor Sales</v>
      </c>
      <c r="L71" s="19">
        <f>YEAR(Table1342[[#This Row],[Date]])</f>
        <v>2023</v>
      </c>
      <c r="M71" s="19">
        <f>MONTH(Table1342[[#This Row],[Date]])</f>
        <v>7</v>
      </c>
      <c r="N71" s="19">
        <f>DAY(Table1342[[#This Row],[Date]])</f>
        <v>30</v>
      </c>
      <c r="O71" s="19"/>
      <c r="P71" s="19" t="str">
        <f>TEXT(DATE(2023,Table1342[[#This Row],[MONTH]],1),"mmm")</f>
        <v>Jul</v>
      </c>
      <c r="Q71" s="19"/>
    </row>
    <row r="72" spans="1:17" x14ac:dyDescent="0.3">
      <c r="A72" s="19">
        <v>71</v>
      </c>
      <c r="B72" s="20">
        <v>45257</v>
      </c>
      <c r="C72" s="19" t="s">
        <v>30</v>
      </c>
      <c r="D72" s="19" t="s">
        <v>16</v>
      </c>
      <c r="E72" s="19" t="s">
        <v>12</v>
      </c>
      <c r="F72" s="19" t="s">
        <v>13</v>
      </c>
      <c r="G72" s="19" t="s">
        <v>21</v>
      </c>
      <c r="H72" s="21">
        <v>23844.99</v>
      </c>
      <c r="I72" s="19">
        <v>5</v>
      </c>
      <c r="J72" s="21">
        <v>2367.61</v>
      </c>
      <c r="K72" s="19" t="str" cm="1">
        <f t="array" ref="K72">_xlfn.IFS(Table1342[[#This Row],[Sales]]&gt;40000,"Best Sales",Table1342[[#This Row],[Sales]]&gt;20000,"Average Sales",Table1342[[#This Row],[Sales]]&gt;0,"Poor Sales")</f>
        <v>Average Sales</v>
      </c>
      <c r="L72" s="19">
        <f>YEAR(Table1342[[#This Row],[Date]])</f>
        <v>2023</v>
      </c>
      <c r="M72" s="19">
        <f>MONTH(Table1342[[#This Row],[Date]])</f>
        <v>11</v>
      </c>
      <c r="N72" s="19">
        <f>DAY(Table1342[[#This Row],[Date]])</f>
        <v>27</v>
      </c>
      <c r="O72" s="19"/>
      <c r="P72" s="19" t="str">
        <f>TEXT(DATE(2023,Table1342[[#This Row],[MONTH]],1),"mmm")</f>
        <v>Nov</v>
      </c>
      <c r="Q72" s="19"/>
    </row>
    <row r="73" spans="1:17" x14ac:dyDescent="0.3">
      <c r="A73" s="19">
        <v>72</v>
      </c>
      <c r="B73" s="20">
        <v>45214</v>
      </c>
      <c r="C73" s="19" t="s">
        <v>15</v>
      </c>
      <c r="D73" s="19" t="s">
        <v>16</v>
      </c>
      <c r="E73" s="19" t="s">
        <v>17</v>
      </c>
      <c r="F73" s="19" t="s">
        <v>24</v>
      </c>
      <c r="G73" s="19" t="s">
        <v>29</v>
      </c>
      <c r="H73" s="21">
        <v>48504.77</v>
      </c>
      <c r="I73" s="19">
        <v>10</v>
      </c>
      <c r="J73" s="21">
        <v>8679.41</v>
      </c>
      <c r="K73" s="19" t="str" cm="1">
        <f t="array" ref="K73">_xlfn.IFS(Table1342[[#This Row],[Sales]]&gt;40000,"Best Sales",Table1342[[#This Row],[Sales]]&gt;20000,"Average Sales",Table1342[[#This Row],[Sales]]&gt;0,"Poor Sales")</f>
        <v>Best Sales</v>
      </c>
      <c r="L73" s="19">
        <f>YEAR(Table1342[[#This Row],[Date]])</f>
        <v>2023</v>
      </c>
      <c r="M73" s="19">
        <f>MONTH(Table1342[[#This Row],[Date]])</f>
        <v>10</v>
      </c>
      <c r="N73" s="19">
        <f>DAY(Table1342[[#This Row],[Date]])</f>
        <v>15</v>
      </c>
      <c r="O73" s="19"/>
      <c r="P73" s="19" t="str">
        <f>TEXT(DATE(2023,Table1342[[#This Row],[MONTH]],1),"mmm")</f>
        <v>Oct</v>
      </c>
      <c r="Q73" s="19"/>
    </row>
    <row r="74" spans="1:17" x14ac:dyDescent="0.3">
      <c r="A74" s="19">
        <v>73</v>
      </c>
      <c r="B74" s="20">
        <v>45053</v>
      </c>
      <c r="C74" s="19" t="s">
        <v>37</v>
      </c>
      <c r="D74" s="19" t="s">
        <v>27</v>
      </c>
      <c r="E74" s="19" t="s">
        <v>12</v>
      </c>
      <c r="F74" s="19" t="s">
        <v>31</v>
      </c>
      <c r="G74" s="19" t="s">
        <v>32</v>
      </c>
      <c r="H74" s="21">
        <v>10052.780000000001</v>
      </c>
      <c r="I74" s="19">
        <v>8</v>
      </c>
      <c r="J74" s="21">
        <v>2293.2600000000002</v>
      </c>
      <c r="K74" s="19" t="str" cm="1">
        <f t="array" ref="K74">_xlfn.IFS(Table1342[[#This Row],[Sales]]&gt;40000,"Best Sales",Table1342[[#This Row],[Sales]]&gt;20000,"Average Sales",Table1342[[#This Row],[Sales]]&gt;0,"Poor Sales")</f>
        <v>Poor Sales</v>
      </c>
      <c r="L74" s="19">
        <f>YEAR(Table1342[[#This Row],[Date]])</f>
        <v>2023</v>
      </c>
      <c r="M74" s="19">
        <f>MONTH(Table1342[[#This Row],[Date]])</f>
        <v>5</v>
      </c>
      <c r="N74" s="19">
        <f>DAY(Table1342[[#This Row],[Date]])</f>
        <v>7</v>
      </c>
      <c r="O74" s="19"/>
      <c r="P74" s="19" t="str">
        <f>TEXT(DATE(2023,Table1342[[#This Row],[MONTH]],1),"mmm")</f>
        <v>May</v>
      </c>
      <c r="Q74" s="19"/>
    </row>
    <row r="75" spans="1:17" x14ac:dyDescent="0.3">
      <c r="A75" s="19">
        <v>74</v>
      </c>
      <c r="B75" s="20">
        <v>44964</v>
      </c>
      <c r="C75" s="19" t="s">
        <v>37</v>
      </c>
      <c r="D75" s="19" t="s">
        <v>27</v>
      </c>
      <c r="E75" s="19" t="s">
        <v>17</v>
      </c>
      <c r="F75" s="19" t="s">
        <v>13</v>
      </c>
      <c r="G75" s="19" t="s">
        <v>34</v>
      </c>
      <c r="H75" s="21">
        <v>47147.42</v>
      </c>
      <c r="I75" s="19">
        <v>6</v>
      </c>
      <c r="J75" s="21">
        <v>9546.64</v>
      </c>
      <c r="K75" s="19" t="str" cm="1">
        <f t="array" ref="K75">_xlfn.IFS(Table1342[[#This Row],[Sales]]&gt;40000,"Best Sales",Table1342[[#This Row],[Sales]]&gt;20000,"Average Sales",Table1342[[#This Row],[Sales]]&gt;0,"Poor Sales")</f>
        <v>Best Sales</v>
      </c>
      <c r="L75" s="19">
        <f>YEAR(Table1342[[#This Row],[Date]])</f>
        <v>2023</v>
      </c>
      <c r="M75" s="19">
        <f>MONTH(Table1342[[#This Row],[Date]])</f>
        <v>2</v>
      </c>
      <c r="N75" s="19">
        <f>DAY(Table1342[[#This Row],[Date]])</f>
        <v>7</v>
      </c>
      <c r="O75" s="19"/>
      <c r="P75" s="19" t="str">
        <f>TEXT(DATE(2023,Table1342[[#This Row],[MONTH]],1),"mmm")</f>
        <v>Feb</v>
      </c>
      <c r="Q75" s="19"/>
    </row>
    <row r="76" spans="1:17" x14ac:dyDescent="0.3">
      <c r="A76" s="19">
        <v>75</v>
      </c>
      <c r="B76" s="20">
        <v>45109</v>
      </c>
      <c r="C76" s="19" t="s">
        <v>37</v>
      </c>
      <c r="D76" s="19" t="s">
        <v>27</v>
      </c>
      <c r="E76" s="19" t="s">
        <v>20</v>
      </c>
      <c r="F76" s="19" t="s">
        <v>13</v>
      </c>
      <c r="G76" s="19" t="s">
        <v>14</v>
      </c>
      <c r="H76" s="21">
        <v>35496.660000000003</v>
      </c>
      <c r="I76" s="19">
        <v>8</v>
      </c>
      <c r="J76" s="21">
        <v>8170.12</v>
      </c>
      <c r="K76" s="19" t="str" cm="1">
        <f t="array" ref="K76">_xlfn.IFS(Table1342[[#This Row],[Sales]]&gt;40000,"Best Sales",Table1342[[#This Row],[Sales]]&gt;20000,"Average Sales",Table1342[[#This Row],[Sales]]&gt;0,"Poor Sales")</f>
        <v>Average Sales</v>
      </c>
      <c r="L76" s="19">
        <f>YEAR(Table1342[[#This Row],[Date]])</f>
        <v>2023</v>
      </c>
      <c r="M76" s="19">
        <f>MONTH(Table1342[[#This Row],[Date]])</f>
        <v>7</v>
      </c>
      <c r="N76" s="19">
        <f>DAY(Table1342[[#This Row],[Date]])</f>
        <v>2</v>
      </c>
      <c r="O76" s="19"/>
      <c r="P76" s="19" t="str">
        <f>TEXT(DATE(2023,Table1342[[#This Row],[MONTH]],1),"mmm")</f>
        <v>Jul</v>
      </c>
      <c r="Q76" s="19"/>
    </row>
    <row r="77" spans="1:17" x14ac:dyDescent="0.3">
      <c r="A77" s="19">
        <v>76</v>
      </c>
      <c r="B77" s="20">
        <v>45274</v>
      </c>
      <c r="C77" s="19" t="s">
        <v>35</v>
      </c>
      <c r="D77" s="19" t="s">
        <v>36</v>
      </c>
      <c r="E77" s="19" t="s">
        <v>20</v>
      </c>
      <c r="F77" s="19" t="s">
        <v>13</v>
      </c>
      <c r="G77" s="19" t="s">
        <v>34</v>
      </c>
      <c r="H77" s="21">
        <v>33753.199999999997</v>
      </c>
      <c r="I77" s="19">
        <v>9</v>
      </c>
      <c r="J77" s="21">
        <v>4284.71</v>
      </c>
      <c r="K77" s="19" t="str" cm="1">
        <f t="array" ref="K77">_xlfn.IFS(Table1342[[#This Row],[Sales]]&gt;40000,"Best Sales",Table1342[[#This Row],[Sales]]&gt;20000,"Average Sales",Table1342[[#This Row],[Sales]]&gt;0,"Poor Sales")</f>
        <v>Average Sales</v>
      </c>
      <c r="L77" s="19">
        <f>YEAR(Table1342[[#This Row],[Date]])</f>
        <v>2023</v>
      </c>
      <c r="M77" s="19">
        <f>MONTH(Table1342[[#This Row],[Date]])</f>
        <v>12</v>
      </c>
      <c r="N77" s="19">
        <f>DAY(Table1342[[#This Row],[Date]])</f>
        <v>14</v>
      </c>
      <c r="O77" s="19"/>
      <c r="P77" s="19" t="str">
        <f>TEXT(DATE(2023,Table1342[[#This Row],[MONTH]],1),"mmm")</f>
        <v>Dec</v>
      </c>
      <c r="Q77" s="19"/>
    </row>
    <row r="78" spans="1:17" x14ac:dyDescent="0.3">
      <c r="A78" s="19">
        <v>77</v>
      </c>
      <c r="B78" s="20">
        <v>45228</v>
      </c>
      <c r="C78" s="19" t="s">
        <v>35</v>
      </c>
      <c r="D78" s="19" t="s">
        <v>36</v>
      </c>
      <c r="E78" s="19" t="s">
        <v>20</v>
      </c>
      <c r="F78" s="19" t="s">
        <v>31</v>
      </c>
      <c r="G78" s="19" t="s">
        <v>39</v>
      </c>
      <c r="H78" s="21">
        <v>7488.8</v>
      </c>
      <c r="I78" s="19">
        <v>5</v>
      </c>
      <c r="J78" s="21">
        <v>2208.5100000000002</v>
      </c>
      <c r="K78" s="19" t="str" cm="1">
        <f t="array" ref="K78">_xlfn.IFS(Table1342[[#This Row],[Sales]]&gt;40000,"Best Sales",Table1342[[#This Row],[Sales]]&gt;20000,"Average Sales",Table1342[[#This Row],[Sales]]&gt;0,"Poor Sales")</f>
        <v>Poor Sales</v>
      </c>
      <c r="L78" s="19">
        <f>YEAR(Table1342[[#This Row],[Date]])</f>
        <v>2023</v>
      </c>
      <c r="M78" s="19">
        <f>MONTH(Table1342[[#This Row],[Date]])</f>
        <v>10</v>
      </c>
      <c r="N78" s="19">
        <f>DAY(Table1342[[#This Row],[Date]])</f>
        <v>29</v>
      </c>
      <c r="O78" s="19"/>
      <c r="P78" s="19" t="str">
        <f>TEXT(DATE(2023,Table1342[[#This Row],[MONTH]],1),"mmm")</f>
        <v>Oct</v>
      </c>
      <c r="Q78" s="19"/>
    </row>
    <row r="79" spans="1:17" x14ac:dyDescent="0.3">
      <c r="A79" s="19">
        <v>78</v>
      </c>
      <c r="B79" s="20">
        <v>45135</v>
      </c>
      <c r="C79" s="19" t="s">
        <v>22</v>
      </c>
      <c r="D79" s="19" t="s">
        <v>22</v>
      </c>
      <c r="E79" s="19" t="s">
        <v>20</v>
      </c>
      <c r="F79" s="19" t="s">
        <v>13</v>
      </c>
      <c r="G79" s="19" t="s">
        <v>34</v>
      </c>
      <c r="H79" s="21">
        <v>41949.599999999999</v>
      </c>
      <c r="I79" s="19">
        <v>1</v>
      </c>
      <c r="J79" s="21">
        <v>2775.01</v>
      </c>
      <c r="K79" s="19" t="str" cm="1">
        <f t="array" ref="K79">_xlfn.IFS(Table1342[[#This Row],[Sales]]&gt;40000,"Best Sales",Table1342[[#This Row],[Sales]]&gt;20000,"Average Sales",Table1342[[#This Row],[Sales]]&gt;0,"Poor Sales")</f>
        <v>Best Sales</v>
      </c>
      <c r="L79" s="19">
        <f>YEAR(Table1342[[#This Row],[Date]])</f>
        <v>2023</v>
      </c>
      <c r="M79" s="19">
        <f>MONTH(Table1342[[#This Row],[Date]])</f>
        <v>7</v>
      </c>
      <c r="N79" s="19">
        <f>DAY(Table1342[[#This Row],[Date]])</f>
        <v>28</v>
      </c>
      <c r="O79" s="19"/>
      <c r="P79" s="19" t="str">
        <f>TEXT(DATE(2023,Table1342[[#This Row],[MONTH]],1),"mmm")</f>
        <v>Jul</v>
      </c>
      <c r="Q79" s="19"/>
    </row>
    <row r="80" spans="1:17" x14ac:dyDescent="0.3">
      <c r="A80" s="19">
        <v>79</v>
      </c>
      <c r="B80" s="20">
        <v>45008</v>
      </c>
      <c r="C80" s="19" t="s">
        <v>26</v>
      </c>
      <c r="D80" s="19" t="s">
        <v>27</v>
      </c>
      <c r="E80" s="19" t="s">
        <v>20</v>
      </c>
      <c r="F80" s="19" t="s">
        <v>24</v>
      </c>
      <c r="G80" s="19" t="s">
        <v>29</v>
      </c>
      <c r="H80" s="21">
        <v>34219.17</v>
      </c>
      <c r="I80" s="19">
        <v>5</v>
      </c>
      <c r="J80" s="21">
        <v>6904.79</v>
      </c>
      <c r="K80" s="19" t="str" cm="1">
        <f t="array" ref="K80">_xlfn.IFS(Table1342[[#This Row],[Sales]]&gt;40000,"Best Sales",Table1342[[#This Row],[Sales]]&gt;20000,"Average Sales",Table1342[[#This Row],[Sales]]&gt;0,"Poor Sales")</f>
        <v>Average Sales</v>
      </c>
      <c r="L80" s="19">
        <f>YEAR(Table1342[[#This Row],[Date]])</f>
        <v>2023</v>
      </c>
      <c r="M80" s="19">
        <f>MONTH(Table1342[[#This Row],[Date]])</f>
        <v>3</v>
      </c>
      <c r="N80" s="19">
        <f>DAY(Table1342[[#This Row],[Date]])</f>
        <v>23</v>
      </c>
      <c r="O80" s="19"/>
      <c r="P80" s="19" t="str">
        <f>TEXT(DATE(2023,Table1342[[#This Row],[MONTH]],1),"mmm")</f>
        <v>Mar</v>
      </c>
      <c r="Q80" s="19"/>
    </row>
    <row r="81" spans="1:17" x14ac:dyDescent="0.3">
      <c r="A81" s="19">
        <v>80</v>
      </c>
      <c r="B81" s="20">
        <v>45057</v>
      </c>
      <c r="C81" s="19" t="s">
        <v>30</v>
      </c>
      <c r="D81" s="19" t="s">
        <v>16</v>
      </c>
      <c r="E81" s="19" t="s">
        <v>20</v>
      </c>
      <c r="F81" s="19" t="s">
        <v>13</v>
      </c>
      <c r="G81" s="19" t="s">
        <v>21</v>
      </c>
      <c r="H81" s="21">
        <v>18981.490000000002</v>
      </c>
      <c r="I81" s="19">
        <v>2</v>
      </c>
      <c r="J81" s="21">
        <v>4601.25</v>
      </c>
      <c r="K81" s="19" t="str" cm="1">
        <f t="array" ref="K81">_xlfn.IFS(Table1342[[#This Row],[Sales]]&gt;40000,"Best Sales",Table1342[[#This Row],[Sales]]&gt;20000,"Average Sales",Table1342[[#This Row],[Sales]]&gt;0,"Poor Sales")</f>
        <v>Poor Sales</v>
      </c>
      <c r="L81" s="19">
        <f>YEAR(Table1342[[#This Row],[Date]])</f>
        <v>2023</v>
      </c>
      <c r="M81" s="19">
        <f>MONTH(Table1342[[#This Row],[Date]])</f>
        <v>5</v>
      </c>
      <c r="N81" s="19">
        <f>DAY(Table1342[[#This Row],[Date]])</f>
        <v>11</v>
      </c>
      <c r="O81" s="19"/>
      <c r="P81" s="19" t="str">
        <f>TEXT(DATE(2023,Table1342[[#This Row],[MONTH]],1),"mmm")</f>
        <v>May</v>
      </c>
      <c r="Q81" s="19"/>
    </row>
    <row r="82" spans="1:17" x14ac:dyDescent="0.3">
      <c r="A82" s="19">
        <v>81</v>
      </c>
      <c r="B82" s="20">
        <v>45074</v>
      </c>
      <c r="C82" s="19" t="s">
        <v>38</v>
      </c>
      <c r="D82" s="19" t="s">
        <v>27</v>
      </c>
      <c r="E82" s="19" t="s">
        <v>20</v>
      </c>
      <c r="F82" s="19" t="s">
        <v>13</v>
      </c>
      <c r="G82" s="19" t="s">
        <v>34</v>
      </c>
      <c r="H82" s="21">
        <v>13262.03</v>
      </c>
      <c r="I82" s="19">
        <v>3</v>
      </c>
      <c r="J82" s="21">
        <v>1704.76</v>
      </c>
      <c r="K82" s="19" t="str" cm="1">
        <f t="array" ref="K82">_xlfn.IFS(Table1342[[#This Row],[Sales]]&gt;40000,"Best Sales",Table1342[[#This Row],[Sales]]&gt;20000,"Average Sales",Table1342[[#This Row],[Sales]]&gt;0,"Poor Sales")</f>
        <v>Poor Sales</v>
      </c>
      <c r="L82" s="19">
        <f>YEAR(Table1342[[#This Row],[Date]])</f>
        <v>2023</v>
      </c>
      <c r="M82" s="19">
        <f>MONTH(Table1342[[#This Row],[Date]])</f>
        <v>5</v>
      </c>
      <c r="N82" s="19">
        <f>DAY(Table1342[[#This Row],[Date]])</f>
        <v>28</v>
      </c>
      <c r="O82" s="19"/>
      <c r="P82" s="19" t="str">
        <f>TEXT(DATE(2023,Table1342[[#This Row],[MONTH]],1),"mmm")</f>
        <v>May</v>
      </c>
      <c r="Q82" s="19"/>
    </row>
    <row r="83" spans="1:17" x14ac:dyDescent="0.3">
      <c r="A83" s="19">
        <v>82</v>
      </c>
      <c r="B83" s="20">
        <v>45007</v>
      </c>
      <c r="C83" s="19" t="s">
        <v>30</v>
      </c>
      <c r="D83" s="19" t="s">
        <v>16</v>
      </c>
      <c r="E83" s="19" t="s">
        <v>20</v>
      </c>
      <c r="F83" s="19" t="s">
        <v>31</v>
      </c>
      <c r="G83" s="19" t="s">
        <v>33</v>
      </c>
      <c r="H83" s="21">
        <v>28533.71</v>
      </c>
      <c r="I83" s="19">
        <v>7</v>
      </c>
      <c r="J83" s="21">
        <v>5376.75</v>
      </c>
      <c r="K83" s="19" t="str" cm="1">
        <f t="array" ref="K83">_xlfn.IFS(Table1342[[#This Row],[Sales]]&gt;40000,"Best Sales",Table1342[[#This Row],[Sales]]&gt;20000,"Average Sales",Table1342[[#This Row],[Sales]]&gt;0,"Poor Sales")</f>
        <v>Average Sales</v>
      </c>
      <c r="L83" s="19">
        <f>YEAR(Table1342[[#This Row],[Date]])</f>
        <v>2023</v>
      </c>
      <c r="M83" s="19">
        <f>MONTH(Table1342[[#This Row],[Date]])</f>
        <v>3</v>
      </c>
      <c r="N83" s="19">
        <f>DAY(Table1342[[#This Row],[Date]])</f>
        <v>22</v>
      </c>
      <c r="O83" s="19"/>
      <c r="P83" s="19" t="str">
        <f>TEXT(DATE(2023,Table1342[[#This Row],[MONTH]],1),"mmm")</f>
        <v>Mar</v>
      </c>
      <c r="Q83" s="19"/>
    </row>
    <row r="84" spans="1:17" x14ac:dyDescent="0.3">
      <c r="A84" s="19">
        <v>83</v>
      </c>
      <c r="B84" s="20">
        <v>45065</v>
      </c>
      <c r="C84" s="19" t="s">
        <v>38</v>
      </c>
      <c r="D84" s="19" t="s">
        <v>27</v>
      </c>
      <c r="E84" s="19" t="s">
        <v>20</v>
      </c>
      <c r="F84" s="19" t="s">
        <v>31</v>
      </c>
      <c r="G84" s="19" t="s">
        <v>32</v>
      </c>
      <c r="H84" s="21">
        <v>23050.22</v>
      </c>
      <c r="I84" s="19">
        <v>9</v>
      </c>
      <c r="J84" s="21">
        <v>3097.82</v>
      </c>
      <c r="K84" s="19" t="str" cm="1">
        <f t="array" ref="K84">_xlfn.IFS(Table1342[[#This Row],[Sales]]&gt;40000,"Best Sales",Table1342[[#This Row],[Sales]]&gt;20000,"Average Sales",Table1342[[#This Row],[Sales]]&gt;0,"Poor Sales")</f>
        <v>Average Sales</v>
      </c>
      <c r="L84" s="19">
        <f>YEAR(Table1342[[#This Row],[Date]])</f>
        <v>2023</v>
      </c>
      <c r="M84" s="19">
        <f>MONTH(Table1342[[#This Row],[Date]])</f>
        <v>5</v>
      </c>
      <c r="N84" s="19">
        <f>DAY(Table1342[[#This Row],[Date]])</f>
        <v>19</v>
      </c>
      <c r="O84" s="19"/>
      <c r="P84" s="19" t="str">
        <f>TEXT(DATE(2023,Table1342[[#This Row],[MONTH]],1),"mmm")</f>
        <v>May</v>
      </c>
      <c r="Q84" s="19"/>
    </row>
    <row r="85" spans="1:17" x14ac:dyDescent="0.3">
      <c r="A85" s="19">
        <v>84</v>
      </c>
      <c r="B85" s="20">
        <v>45083</v>
      </c>
      <c r="C85" s="19" t="s">
        <v>22</v>
      </c>
      <c r="D85" s="19" t="s">
        <v>22</v>
      </c>
      <c r="E85" s="19" t="s">
        <v>20</v>
      </c>
      <c r="F85" s="19" t="s">
        <v>13</v>
      </c>
      <c r="G85" s="19" t="s">
        <v>34</v>
      </c>
      <c r="H85" s="21">
        <v>5628.94</v>
      </c>
      <c r="I85" s="19">
        <v>10</v>
      </c>
      <c r="J85" s="21">
        <v>502.11</v>
      </c>
      <c r="K85" s="19" t="str" cm="1">
        <f t="array" ref="K85">_xlfn.IFS(Table1342[[#This Row],[Sales]]&gt;40000,"Best Sales",Table1342[[#This Row],[Sales]]&gt;20000,"Average Sales",Table1342[[#This Row],[Sales]]&gt;0,"Poor Sales")</f>
        <v>Poor Sales</v>
      </c>
      <c r="L85" s="19">
        <f>YEAR(Table1342[[#This Row],[Date]])</f>
        <v>2023</v>
      </c>
      <c r="M85" s="19">
        <f>MONTH(Table1342[[#This Row],[Date]])</f>
        <v>6</v>
      </c>
      <c r="N85" s="19">
        <f>DAY(Table1342[[#This Row],[Date]])</f>
        <v>6</v>
      </c>
      <c r="O85" s="19"/>
      <c r="P85" s="19" t="str">
        <f>TEXT(DATE(2023,Table1342[[#This Row],[MONTH]],1),"mmm")</f>
        <v>Jun</v>
      </c>
      <c r="Q85" s="19"/>
    </row>
    <row r="86" spans="1:17" x14ac:dyDescent="0.3">
      <c r="A86" s="19">
        <v>85</v>
      </c>
      <c r="B86" s="20">
        <v>45094</v>
      </c>
      <c r="C86" s="19" t="s">
        <v>26</v>
      </c>
      <c r="D86" s="19" t="s">
        <v>27</v>
      </c>
      <c r="E86" s="19" t="s">
        <v>20</v>
      </c>
      <c r="F86" s="19" t="s">
        <v>13</v>
      </c>
      <c r="G86" s="19" t="s">
        <v>34</v>
      </c>
      <c r="H86" s="21">
        <v>24580.28</v>
      </c>
      <c r="I86" s="19">
        <v>4</v>
      </c>
      <c r="J86" s="21">
        <v>4569.32</v>
      </c>
      <c r="K86" s="19" t="str" cm="1">
        <f t="array" ref="K86">_xlfn.IFS(Table1342[[#This Row],[Sales]]&gt;40000,"Best Sales",Table1342[[#This Row],[Sales]]&gt;20000,"Average Sales",Table1342[[#This Row],[Sales]]&gt;0,"Poor Sales")</f>
        <v>Average Sales</v>
      </c>
      <c r="L86" s="19">
        <f>YEAR(Table1342[[#This Row],[Date]])</f>
        <v>2023</v>
      </c>
      <c r="M86" s="19">
        <f>MONTH(Table1342[[#This Row],[Date]])</f>
        <v>6</v>
      </c>
      <c r="N86" s="19">
        <f>DAY(Table1342[[#This Row],[Date]])</f>
        <v>17</v>
      </c>
      <c r="O86" s="19"/>
      <c r="P86" s="19" t="str">
        <f>TEXT(DATE(2023,Table1342[[#This Row],[MONTH]],1),"mmm")</f>
        <v>Jun</v>
      </c>
      <c r="Q86" s="19"/>
    </row>
    <row r="87" spans="1:17" x14ac:dyDescent="0.3">
      <c r="A87" s="19">
        <v>86</v>
      </c>
      <c r="B87" s="20">
        <v>45167</v>
      </c>
      <c r="C87" s="19" t="s">
        <v>15</v>
      </c>
      <c r="D87" s="19" t="s">
        <v>16</v>
      </c>
      <c r="E87" s="19" t="s">
        <v>20</v>
      </c>
      <c r="F87" s="19" t="s">
        <v>31</v>
      </c>
      <c r="G87" s="19" t="s">
        <v>33</v>
      </c>
      <c r="H87" s="21">
        <v>5581.58</v>
      </c>
      <c r="I87" s="19">
        <v>4</v>
      </c>
      <c r="J87" s="21">
        <v>1382.81</v>
      </c>
      <c r="K87" s="19" t="str" cm="1">
        <f t="array" ref="K87">_xlfn.IFS(Table1342[[#This Row],[Sales]]&gt;40000,"Best Sales",Table1342[[#This Row],[Sales]]&gt;20000,"Average Sales",Table1342[[#This Row],[Sales]]&gt;0,"Poor Sales")</f>
        <v>Poor Sales</v>
      </c>
      <c r="L87" s="19">
        <f>YEAR(Table1342[[#This Row],[Date]])</f>
        <v>2023</v>
      </c>
      <c r="M87" s="19">
        <f>MONTH(Table1342[[#This Row],[Date]])</f>
        <v>8</v>
      </c>
      <c r="N87" s="19">
        <f>DAY(Table1342[[#This Row],[Date]])</f>
        <v>29</v>
      </c>
      <c r="O87" s="19"/>
      <c r="P87" s="19" t="str">
        <f>TEXT(DATE(2023,Table1342[[#This Row],[MONTH]],1),"mmm")</f>
        <v>Aug</v>
      </c>
      <c r="Q87" s="19"/>
    </row>
    <row r="88" spans="1:17" x14ac:dyDescent="0.3">
      <c r="A88" s="19">
        <v>87</v>
      </c>
      <c r="B88" s="20">
        <v>45180</v>
      </c>
      <c r="C88" s="19" t="s">
        <v>38</v>
      </c>
      <c r="D88" s="19" t="s">
        <v>27</v>
      </c>
      <c r="E88" s="19" t="s">
        <v>20</v>
      </c>
      <c r="F88" s="19" t="s">
        <v>24</v>
      </c>
      <c r="G88" s="19" t="s">
        <v>28</v>
      </c>
      <c r="H88" s="21">
        <v>42628.71</v>
      </c>
      <c r="I88" s="19">
        <v>2</v>
      </c>
      <c r="J88" s="21">
        <v>12647.05</v>
      </c>
      <c r="K88" s="19" t="str" cm="1">
        <f t="array" ref="K88">_xlfn.IFS(Table1342[[#This Row],[Sales]]&gt;40000,"Best Sales",Table1342[[#This Row],[Sales]]&gt;20000,"Average Sales",Table1342[[#This Row],[Sales]]&gt;0,"Poor Sales")</f>
        <v>Best Sales</v>
      </c>
      <c r="L88" s="19">
        <f>YEAR(Table1342[[#This Row],[Date]])</f>
        <v>2023</v>
      </c>
      <c r="M88" s="19">
        <f>MONTH(Table1342[[#This Row],[Date]])</f>
        <v>9</v>
      </c>
      <c r="N88" s="19">
        <f>DAY(Table1342[[#This Row],[Date]])</f>
        <v>11</v>
      </c>
      <c r="O88" s="19"/>
      <c r="P88" s="19" t="str">
        <f>TEXT(DATE(2023,Table1342[[#This Row],[MONTH]],1),"mmm")</f>
        <v>Sep</v>
      </c>
      <c r="Q88" s="19"/>
    </row>
    <row r="89" spans="1:17" x14ac:dyDescent="0.3">
      <c r="A89" s="19">
        <v>88</v>
      </c>
      <c r="B89" s="20">
        <v>45026</v>
      </c>
      <c r="C89" s="19" t="s">
        <v>26</v>
      </c>
      <c r="D89" s="19" t="s">
        <v>27</v>
      </c>
      <c r="E89" s="19" t="s">
        <v>20</v>
      </c>
      <c r="F89" s="19" t="s">
        <v>24</v>
      </c>
      <c r="G89" s="19" t="s">
        <v>25</v>
      </c>
      <c r="H89" s="21">
        <v>36936.449999999997</v>
      </c>
      <c r="I89" s="19">
        <v>1</v>
      </c>
      <c r="J89" s="21">
        <v>1871.1</v>
      </c>
      <c r="K89" s="19" t="str" cm="1">
        <f t="array" ref="K89">_xlfn.IFS(Table1342[[#This Row],[Sales]]&gt;40000,"Best Sales",Table1342[[#This Row],[Sales]]&gt;20000,"Average Sales",Table1342[[#This Row],[Sales]]&gt;0,"Poor Sales")</f>
        <v>Average Sales</v>
      </c>
      <c r="L89" s="19">
        <f>YEAR(Table1342[[#This Row],[Date]])</f>
        <v>2023</v>
      </c>
      <c r="M89" s="19">
        <f>MONTH(Table1342[[#This Row],[Date]])</f>
        <v>4</v>
      </c>
      <c r="N89" s="19">
        <f>DAY(Table1342[[#This Row],[Date]])</f>
        <v>10</v>
      </c>
      <c r="O89" s="19"/>
      <c r="P89" s="19" t="str">
        <f>TEXT(DATE(2023,Table1342[[#This Row],[MONTH]],1),"mmm")</f>
        <v>Apr</v>
      </c>
      <c r="Q89" s="19"/>
    </row>
    <row r="90" spans="1:17" x14ac:dyDescent="0.3">
      <c r="A90" s="19">
        <v>89</v>
      </c>
      <c r="B90" s="20">
        <v>45154</v>
      </c>
      <c r="C90" s="19" t="s">
        <v>10</v>
      </c>
      <c r="D90" s="19" t="s">
        <v>11</v>
      </c>
      <c r="E90" s="19" t="s">
        <v>20</v>
      </c>
      <c r="F90" s="19" t="s">
        <v>13</v>
      </c>
      <c r="G90" s="19" t="s">
        <v>34</v>
      </c>
      <c r="H90" s="21">
        <v>49161.73</v>
      </c>
      <c r="I90" s="19">
        <v>4</v>
      </c>
      <c r="J90" s="21">
        <v>11453.36</v>
      </c>
      <c r="K90" s="19" t="str" cm="1">
        <f t="array" ref="K90">_xlfn.IFS(Table1342[[#This Row],[Sales]]&gt;40000,"Best Sales",Table1342[[#This Row],[Sales]]&gt;20000,"Average Sales",Table1342[[#This Row],[Sales]]&gt;0,"Poor Sales")</f>
        <v>Best Sales</v>
      </c>
      <c r="L90" s="19">
        <f>YEAR(Table1342[[#This Row],[Date]])</f>
        <v>2023</v>
      </c>
      <c r="M90" s="19">
        <f>MONTH(Table1342[[#This Row],[Date]])</f>
        <v>8</v>
      </c>
      <c r="N90" s="19">
        <f>DAY(Table1342[[#This Row],[Date]])</f>
        <v>16</v>
      </c>
      <c r="O90" s="19"/>
      <c r="P90" s="19" t="str">
        <f>TEXT(DATE(2023,Table1342[[#This Row],[MONTH]],1),"mmm")</f>
        <v>Aug</v>
      </c>
      <c r="Q90" s="19"/>
    </row>
    <row r="91" spans="1:17" x14ac:dyDescent="0.3">
      <c r="A91" s="19">
        <v>90</v>
      </c>
      <c r="B91" s="20">
        <v>45256</v>
      </c>
      <c r="C91" s="19" t="s">
        <v>18</v>
      </c>
      <c r="D91" s="19" t="s">
        <v>19</v>
      </c>
      <c r="E91" s="19" t="s">
        <v>20</v>
      </c>
      <c r="F91" s="19" t="s">
        <v>24</v>
      </c>
      <c r="G91" s="19" t="s">
        <v>28</v>
      </c>
      <c r="H91" s="21">
        <v>2971.97</v>
      </c>
      <c r="I91" s="19">
        <v>4</v>
      </c>
      <c r="J91" s="21">
        <v>387.64</v>
      </c>
      <c r="K91" s="19" t="str" cm="1">
        <f t="array" ref="K91">_xlfn.IFS(Table1342[[#This Row],[Sales]]&gt;40000,"Best Sales",Table1342[[#This Row],[Sales]]&gt;20000,"Average Sales",Table1342[[#This Row],[Sales]]&gt;0,"Poor Sales")</f>
        <v>Poor Sales</v>
      </c>
      <c r="L91" s="19">
        <f>YEAR(Table1342[[#This Row],[Date]])</f>
        <v>2023</v>
      </c>
      <c r="M91" s="19">
        <f>MONTH(Table1342[[#This Row],[Date]])</f>
        <v>11</v>
      </c>
      <c r="N91" s="19">
        <f>DAY(Table1342[[#This Row],[Date]])</f>
        <v>26</v>
      </c>
      <c r="O91" s="19"/>
      <c r="P91" s="19" t="str">
        <f>TEXT(DATE(2023,Table1342[[#This Row],[MONTH]],1),"mmm")</f>
        <v>Nov</v>
      </c>
      <c r="Q91" s="19"/>
    </row>
    <row r="92" spans="1:17" x14ac:dyDescent="0.3">
      <c r="A92" s="19">
        <v>91</v>
      </c>
      <c r="B92" s="20">
        <v>45221</v>
      </c>
      <c r="C92" s="19" t="s">
        <v>26</v>
      </c>
      <c r="D92" s="19" t="s">
        <v>27</v>
      </c>
      <c r="E92" s="19" t="s">
        <v>20</v>
      </c>
      <c r="F92" s="19" t="s">
        <v>31</v>
      </c>
      <c r="G92" s="19" t="s">
        <v>33</v>
      </c>
      <c r="H92" s="21">
        <v>45280.43</v>
      </c>
      <c r="I92" s="19">
        <v>8</v>
      </c>
      <c r="J92" s="21">
        <v>5426.84</v>
      </c>
      <c r="K92" s="19" t="str" cm="1">
        <f t="array" ref="K92">_xlfn.IFS(Table1342[[#This Row],[Sales]]&gt;40000,"Best Sales",Table1342[[#This Row],[Sales]]&gt;20000,"Average Sales",Table1342[[#This Row],[Sales]]&gt;0,"Poor Sales")</f>
        <v>Best Sales</v>
      </c>
      <c r="L92" s="19">
        <f>YEAR(Table1342[[#This Row],[Date]])</f>
        <v>2023</v>
      </c>
      <c r="M92" s="19">
        <f>MONTH(Table1342[[#This Row],[Date]])</f>
        <v>10</v>
      </c>
      <c r="N92" s="19">
        <f>DAY(Table1342[[#This Row],[Date]])</f>
        <v>22</v>
      </c>
      <c r="O92" s="19"/>
      <c r="P92" s="19" t="str">
        <f>TEXT(DATE(2023,Table1342[[#This Row],[MONTH]],1),"mmm")</f>
        <v>Oct</v>
      </c>
      <c r="Q92" s="19"/>
    </row>
    <row r="93" spans="1:17" x14ac:dyDescent="0.3">
      <c r="A93" s="19">
        <v>92</v>
      </c>
      <c r="B93" s="20">
        <v>44956</v>
      </c>
      <c r="C93" s="19" t="s">
        <v>22</v>
      </c>
      <c r="D93" s="19" t="s">
        <v>22</v>
      </c>
      <c r="E93" s="19" t="s">
        <v>20</v>
      </c>
      <c r="F93" s="19" t="s">
        <v>13</v>
      </c>
      <c r="G93" s="19" t="s">
        <v>14</v>
      </c>
      <c r="H93" s="21">
        <v>15117.73</v>
      </c>
      <c r="I93" s="19">
        <v>1</v>
      </c>
      <c r="J93" s="21">
        <v>3245</v>
      </c>
      <c r="K93" s="19" t="str" cm="1">
        <f t="array" ref="K93">_xlfn.IFS(Table1342[[#This Row],[Sales]]&gt;40000,"Best Sales",Table1342[[#This Row],[Sales]]&gt;20000,"Average Sales",Table1342[[#This Row],[Sales]]&gt;0,"Poor Sales")</f>
        <v>Poor Sales</v>
      </c>
      <c r="L93" s="19">
        <f>YEAR(Table1342[[#This Row],[Date]])</f>
        <v>2023</v>
      </c>
      <c r="M93" s="19">
        <f>MONTH(Table1342[[#This Row],[Date]])</f>
        <v>1</v>
      </c>
      <c r="N93" s="19">
        <f>DAY(Table1342[[#This Row],[Date]])</f>
        <v>30</v>
      </c>
      <c r="O93" s="19"/>
      <c r="P93" s="19" t="str">
        <f>TEXT(DATE(2023,Table1342[[#This Row],[MONTH]],1),"mmm")</f>
        <v>Jan</v>
      </c>
      <c r="Q93" s="19"/>
    </row>
    <row r="94" spans="1:17" x14ac:dyDescent="0.3">
      <c r="A94" s="19">
        <v>93</v>
      </c>
      <c r="B94" s="20">
        <v>45211</v>
      </c>
      <c r="C94" s="19" t="s">
        <v>15</v>
      </c>
      <c r="D94" s="19" t="s">
        <v>16</v>
      </c>
      <c r="E94" s="19" t="s">
        <v>20</v>
      </c>
      <c r="F94" s="19" t="s">
        <v>31</v>
      </c>
      <c r="G94" s="19" t="s">
        <v>39</v>
      </c>
      <c r="H94" s="21">
        <v>17343.349999999999</v>
      </c>
      <c r="I94" s="19">
        <v>4</v>
      </c>
      <c r="J94" s="21">
        <v>3930.83</v>
      </c>
      <c r="K94" s="19" t="str" cm="1">
        <f t="array" ref="K94">_xlfn.IFS(Table1342[[#This Row],[Sales]]&gt;40000,"Best Sales",Table1342[[#This Row],[Sales]]&gt;20000,"Average Sales",Table1342[[#This Row],[Sales]]&gt;0,"Poor Sales")</f>
        <v>Poor Sales</v>
      </c>
      <c r="L94" s="19">
        <f>YEAR(Table1342[[#This Row],[Date]])</f>
        <v>2023</v>
      </c>
      <c r="M94" s="19">
        <f>MONTH(Table1342[[#This Row],[Date]])</f>
        <v>10</v>
      </c>
      <c r="N94" s="19">
        <f>DAY(Table1342[[#This Row],[Date]])</f>
        <v>12</v>
      </c>
      <c r="O94" s="19"/>
      <c r="P94" s="19" t="str">
        <f>TEXT(DATE(2023,Table1342[[#This Row],[MONTH]],1),"mmm")</f>
        <v>Oct</v>
      </c>
      <c r="Q94" s="19"/>
    </row>
    <row r="95" spans="1:17" x14ac:dyDescent="0.3">
      <c r="A95" s="19">
        <v>94</v>
      </c>
      <c r="B95" s="20">
        <v>45080</v>
      </c>
      <c r="C95" s="19" t="s">
        <v>38</v>
      </c>
      <c r="D95" s="19" t="s">
        <v>27</v>
      </c>
      <c r="E95" s="19" t="s">
        <v>20</v>
      </c>
      <c r="F95" s="19" t="s">
        <v>13</v>
      </c>
      <c r="G95" s="19" t="s">
        <v>34</v>
      </c>
      <c r="H95" s="21">
        <v>20412.259999999998</v>
      </c>
      <c r="I95" s="19">
        <v>9</v>
      </c>
      <c r="J95" s="21">
        <v>4042.76</v>
      </c>
      <c r="K95" s="19" t="str" cm="1">
        <f t="array" ref="K95">_xlfn.IFS(Table1342[[#This Row],[Sales]]&gt;40000,"Best Sales",Table1342[[#This Row],[Sales]]&gt;20000,"Average Sales",Table1342[[#This Row],[Sales]]&gt;0,"Poor Sales")</f>
        <v>Average Sales</v>
      </c>
      <c r="L95" s="19">
        <f>YEAR(Table1342[[#This Row],[Date]])</f>
        <v>2023</v>
      </c>
      <c r="M95" s="19">
        <f>MONTH(Table1342[[#This Row],[Date]])</f>
        <v>6</v>
      </c>
      <c r="N95" s="19">
        <f>DAY(Table1342[[#This Row],[Date]])</f>
        <v>3</v>
      </c>
      <c r="O95" s="19"/>
      <c r="P95" s="19" t="str">
        <f>TEXT(DATE(2023,Table1342[[#This Row],[MONTH]],1),"mmm")</f>
        <v>Jun</v>
      </c>
      <c r="Q95" s="19"/>
    </row>
    <row r="96" spans="1:17" x14ac:dyDescent="0.3">
      <c r="A96" s="19">
        <v>95</v>
      </c>
      <c r="B96" s="20">
        <v>45237</v>
      </c>
      <c r="C96" s="19" t="s">
        <v>10</v>
      </c>
      <c r="D96" s="19" t="s">
        <v>11</v>
      </c>
      <c r="E96" s="19" t="s">
        <v>20</v>
      </c>
      <c r="F96" s="19" t="s">
        <v>31</v>
      </c>
      <c r="G96" s="19" t="s">
        <v>33</v>
      </c>
      <c r="H96" s="21">
        <v>43100.75</v>
      </c>
      <c r="I96" s="19">
        <v>3</v>
      </c>
      <c r="J96" s="21">
        <v>7277.93</v>
      </c>
      <c r="K96" s="19" t="str" cm="1">
        <f t="array" ref="K96">_xlfn.IFS(Table1342[[#This Row],[Sales]]&gt;40000,"Best Sales",Table1342[[#This Row],[Sales]]&gt;20000,"Average Sales",Table1342[[#This Row],[Sales]]&gt;0,"Poor Sales")</f>
        <v>Best Sales</v>
      </c>
      <c r="L96" s="19">
        <f>YEAR(Table1342[[#This Row],[Date]])</f>
        <v>2023</v>
      </c>
      <c r="M96" s="19">
        <f>MONTH(Table1342[[#This Row],[Date]])</f>
        <v>11</v>
      </c>
      <c r="N96" s="19">
        <f>DAY(Table1342[[#This Row],[Date]])</f>
        <v>7</v>
      </c>
      <c r="O96" s="19"/>
      <c r="P96" s="19" t="str">
        <f>TEXT(DATE(2023,Table1342[[#This Row],[MONTH]],1),"mmm")</f>
        <v>Nov</v>
      </c>
      <c r="Q96" s="19"/>
    </row>
    <row r="97" spans="1:17" x14ac:dyDescent="0.3">
      <c r="A97" s="19">
        <v>96</v>
      </c>
      <c r="B97" s="20">
        <v>45167</v>
      </c>
      <c r="C97" s="19" t="s">
        <v>22</v>
      </c>
      <c r="D97" s="19" t="s">
        <v>22</v>
      </c>
      <c r="E97" s="19" t="s">
        <v>20</v>
      </c>
      <c r="F97" s="19" t="s">
        <v>24</v>
      </c>
      <c r="G97" s="19" t="s">
        <v>25</v>
      </c>
      <c r="H97" s="21">
        <v>33221.47</v>
      </c>
      <c r="I97" s="19">
        <v>2</v>
      </c>
      <c r="J97" s="21">
        <v>8139.07</v>
      </c>
      <c r="K97" s="19" t="str" cm="1">
        <f t="array" ref="K97">_xlfn.IFS(Table1342[[#This Row],[Sales]]&gt;40000,"Best Sales",Table1342[[#This Row],[Sales]]&gt;20000,"Average Sales",Table1342[[#This Row],[Sales]]&gt;0,"Poor Sales")</f>
        <v>Average Sales</v>
      </c>
      <c r="L97" s="19">
        <f>YEAR(Table1342[[#This Row],[Date]])</f>
        <v>2023</v>
      </c>
      <c r="M97" s="19">
        <f>MONTH(Table1342[[#This Row],[Date]])</f>
        <v>8</v>
      </c>
      <c r="N97" s="19">
        <f>DAY(Table1342[[#This Row],[Date]])</f>
        <v>29</v>
      </c>
      <c r="O97" s="19"/>
      <c r="P97" s="19" t="str">
        <f>TEXT(DATE(2023,Table1342[[#This Row],[MONTH]],1),"mmm")</f>
        <v>Aug</v>
      </c>
      <c r="Q97" s="19"/>
    </row>
    <row r="98" spans="1:17" x14ac:dyDescent="0.3">
      <c r="A98" s="19">
        <v>97</v>
      </c>
      <c r="B98" s="20">
        <v>45145</v>
      </c>
      <c r="C98" s="19" t="s">
        <v>15</v>
      </c>
      <c r="D98" s="19" t="s">
        <v>16</v>
      </c>
      <c r="E98" s="19" t="s">
        <v>20</v>
      </c>
      <c r="F98" s="19" t="s">
        <v>31</v>
      </c>
      <c r="G98" s="19" t="s">
        <v>33</v>
      </c>
      <c r="H98" s="21">
        <v>27420.6</v>
      </c>
      <c r="I98" s="19">
        <v>1</v>
      </c>
      <c r="J98" s="21">
        <v>3380.25</v>
      </c>
      <c r="K98" s="19" t="str" cm="1">
        <f t="array" ref="K98">_xlfn.IFS(Table1342[[#This Row],[Sales]]&gt;40000,"Best Sales",Table1342[[#This Row],[Sales]]&gt;20000,"Average Sales",Table1342[[#This Row],[Sales]]&gt;0,"Poor Sales")</f>
        <v>Average Sales</v>
      </c>
      <c r="L98" s="19">
        <f>YEAR(Table1342[[#This Row],[Date]])</f>
        <v>2023</v>
      </c>
      <c r="M98" s="19">
        <f>MONTH(Table1342[[#This Row],[Date]])</f>
        <v>8</v>
      </c>
      <c r="N98" s="19">
        <f>DAY(Table1342[[#This Row],[Date]])</f>
        <v>7</v>
      </c>
      <c r="O98" s="19"/>
      <c r="P98" s="19" t="str">
        <f>TEXT(DATE(2023,Table1342[[#This Row],[MONTH]],1),"mmm")</f>
        <v>Aug</v>
      </c>
      <c r="Q98" s="19"/>
    </row>
    <row r="99" spans="1:17" x14ac:dyDescent="0.3">
      <c r="A99" s="19">
        <v>98</v>
      </c>
      <c r="B99" s="20">
        <v>45151</v>
      </c>
      <c r="C99" s="19" t="s">
        <v>18</v>
      </c>
      <c r="D99" s="19" t="s">
        <v>19</v>
      </c>
      <c r="E99" s="19" t="s">
        <v>20</v>
      </c>
      <c r="F99" s="19" t="s">
        <v>13</v>
      </c>
      <c r="G99" s="19" t="s">
        <v>21</v>
      </c>
      <c r="H99" s="21">
        <v>41720.79</v>
      </c>
      <c r="I99" s="19">
        <v>9</v>
      </c>
      <c r="J99" s="21">
        <v>7269.45</v>
      </c>
      <c r="K99" s="19" t="str" cm="1">
        <f t="array" ref="K99">_xlfn.IFS(Table1342[[#This Row],[Sales]]&gt;40000,"Best Sales",Table1342[[#This Row],[Sales]]&gt;20000,"Average Sales",Table1342[[#This Row],[Sales]]&gt;0,"Poor Sales")</f>
        <v>Best Sales</v>
      </c>
      <c r="L99" s="19">
        <f>YEAR(Table1342[[#This Row],[Date]])</f>
        <v>2023</v>
      </c>
      <c r="M99" s="19">
        <f>MONTH(Table1342[[#This Row],[Date]])</f>
        <v>8</v>
      </c>
      <c r="N99" s="19">
        <f>DAY(Table1342[[#This Row],[Date]])</f>
        <v>13</v>
      </c>
      <c r="O99" s="19"/>
      <c r="P99" s="19" t="str">
        <f>TEXT(DATE(2023,Table1342[[#This Row],[MONTH]],1),"mmm")</f>
        <v>Aug</v>
      </c>
      <c r="Q99" s="19"/>
    </row>
    <row r="100" spans="1:17" x14ac:dyDescent="0.3">
      <c r="A100" s="19">
        <v>99</v>
      </c>
      <c r="B100" s="20">
        <v>45008</v>
      </c>
      <c r="C100" s="19" t="s">
        <v>22</v>
      </c>
      <c r="D100" s="19" t="s">
        <v>22</v>
      </c>
      <c r="E100" s="19" t="s">
        <v>20</v>
      </c>
      <c r="F100" s="19" t="s">
        <v>13</v>
      </c>
      <c r="G100" s="19" t="s">
        <v>14</v>
      </c>
      <c r="H100" s="21">
        <v>43520.98</v>
      </c>
      <c r="I100" s="19">
        <v>8</v>
      </c>
      <c r="J100" s="21">
        <v>6580.87</v>
      </c>
      <c r="K100" s="19" t="str" cm="1">
        <f t="array" ref="K100">_xlfn.IFS(Table1342[[#This Row],[Sales]]&gt;40000,"Best Sales",Table1342[[#This Row],[Sales]]&gt;20000,"Average Sales",Table1342[[#This Row],[Sales]]&gt;0,"Poor Sales")</f>
        <v>Best Sales</v>
      </c>
      <c r="L100" s="19">
        <f>YEAR(Table1342[[#This Row],[Date]])</f>
        <v>2023</v>
      </c>
      <c r="M100" s="19">
        <f>MONTH(Table1342[[#This Row],[Date]])</f>
        <v>3</v>
      </c>
      <c r="N100" s="19">
        <f>DAY(Table1342[[#This Row],[Date]])</f>
        <v>23</v>
      </c>
      <c r="O100" s="19"/>
      <c r="P100" s="19" t="str">
        <f>TEXT(DATE(2023,Table1342[[#This Row],[MONTH]],1),"mmm")</f>
        <v>Mar</v>
      </c>
      <c r="Q100" s="19"/>
    </row>
    <row r="101" spans="1:17" x14ac:dyDescent="0.3">
      <c r="A101" s="19">
        <v>100</v>
      </c>
      <c r="B101" s="20">
        <v>45104</v>
      </c>
      <c r="C101" s="19" t="s">
        <v>18</v>
      </c>
      <c r="D101" s="19" t="s">
        <v>19</v>
      </c>
      <c r="E101" s="19" t="s">
        <v>12</v>
      </c>
      <c r="F101" s="19" t="s">
        <v>31</v>
      </c>
      <c r="G101" s="19" t="s">
        <v>39</v>
      </c>
      <c r="H101" s="21">
        <v>43256.76</v>
      </c>
      <c r="I101" s="19">
        <v>9</v>
      </c>
      <c r="J101" s="21">
        <v>12801</v>
      </c>
      <c r="K101" s="19" t="str" cm="1">
        <f t="array" ref="K101">_xlfn.IFS(Table1342[[#This Row],[Sales]]&gt;40000,"Best Sales",Table1342[[#This Row],[Sales]]&gt;20000,"Average Sales",Table1342[[#This Row],[Sales]]&gt;0,"Poor Sales")</f>
        <v>Best Sales</v>
      </c>
      <c r="L101" s="19">
        <f>YEAR(Table1342[[#This Row],[Date]])</f>
        <v>2023</v>
      </c>
      <c r="M101" s="19">
        <f>MONTH(Table1342[[#This Row],[Date]])</f>
        <v>6</v>
      </c>
      <c r="N101" s="19">
        <f>DAY(Table1342[[#This Row],[Date]])</f>
        <v>27</v>
      </c>
      <c r="O101" s="19"/>
      <c r="P101" s="19" t="str">
        <f>TEXT(DATE(2023,Table1342[[#This Row],[MONTH]],1),"mmm")</f>
        <v>Jun</v>
      </c>
      <c r="Q101" s="19"/>
    </row>
    <row r="102" spans="1:17" x14ac:dyDescent="0.3">
      <c r="A102" s="19">
        <v>101</v>
      </c>
      <c r="B102" s="20">
        <v>45016</v>
      </c>
      <c r="C102" s="19" t="s">
        <v>38</v>
      </c>
      <c r="D102" s="19" t="s">
        <v>27</v>
      </c>
      <c r="E102" s="19" t="s">
        <v>12</v>
      </c>
      <c r="F102" s="19" t="s">
        <v>31</v>
      </c>
      <c r="G102" s="19" t="s">
        <v>33</v>
      </c>
      <c r="H102" s="21">
        <v>28432</v>
      </c>
      <c r="I102" s="19">
        <v>1</v>
      </c>
      <c r="J102" s="21">
        <v>4326.1000000000004</v>
      </c>
      <c r="K102" s="19" t="str" cm="1">
        <f t="array" ref="K102">_xlfn.IFS(Table1342[[#This Row],[Sales]]&gt;40000,"Best Sales",Table1342[[#This Row],[Sales]]&gt;20000,"Average Sales",Table1342[[#This Row],[Sales]]&gt;0,"Poor Sales")</f>
        <v>Average Sales</v>
      </c>
      <c r="L102" s="19">
        <f>YEAR(Table1342[[#This Row],[Date]])</f>
        <v>2023</v>
      </c>
      <c r="M102" s="19">
        <f>MONTH(Table1342[[#This Row],[Date]])</f>
        <v>3</v>
      </c>
      <c r="N102" s="19">
        <f>DAY(Table1342[[#This Row],[Date]])</f>
        <v>31</v>
      </c>
      <c r="O102" s="19"/>
      <c r="P102" s="19" t="str">
        <f>TEXT(DATE(2023,Table1342[[#This Row],[MONTH]],1),"mmm")</f>
        <v>Mar</v>
      </c>
      <c r="Q102" s="19"/>
    </row>
    <row r="103" spans="1:17" x14ac:dyDescent="0.3">
      <c r="A103" s="19">
        <v>102</v>
      </c>
      <c r="B103" s="20">
        <v>45043</v>
      </c>
      <c r="C103" s="19" t="s">
        <v>26</v>
      </c>
      <c r="D103" s="19" t="s">
        <v>27</v>
      </c>
      <c r="E103" s="19" t="s">
        <v>12</v>
      </c>
      <c r="F103" s="19" t="s">
        <v>24</v>
      </c>
      <c r="G103" s="19" t="s">
        <v>29</v>
      </c>
      <c r="H103" s="21">
        <v>45607.68</v>
      </c>
      <c r="I103" s="19">
        <v>9</v>
      </c>
      <c r="J103" s="21">
        <v>10061.65</v>
      </c>
      <c r="K103" s="19" t="str" cm="1">
        <f t="array" ref="K103">_xlfn.IFS(Table1342[[#This Row],[Sales]]&gt;40000,"Best Sales",Table1342[[#This Row],[Sales]]&gt;20000,"Average Sales",Table1342[[#This Row],[Sales]]&gt;0,"Poor Sales")</f>
        <v>Best Sales</v>
      </c>
      <c r="L103" s="19">
        <f>YEAR(Table1342[[#This Row],[Date]])</f>
        <v>2023</v>
      </c>
      <c r="M103" s="19">
        <f>MONTH(Table1342[[#This Row],[Date]])</f>
        <v>4</v>
      </c>
      <c r="N103" s="19">
        <f>DAY(Table1342[[#This Row],[Date]])</f>
        <v>27</v>
      </c>
      <c r="O103" s="19"/>
      <c r="P103" s="19" t="str">
        <f>TEXT(DATE(2023,Table1342[[#This Row],[MONTH]],1),"mmm")</f>
        <v>Apr</v>
      </c>
      <c r="Q103" s="19"/>
    </row>
    <row r="104" spans="1:17" x14ac:dyDescent="0.3">
      <c r="A104" s="19">
        <v>103</v>
      </c>
      <c r="B104" s="20">
        <v>45249</v>
      </c>
      <c r="C104" s="19" t="s">
        <v>15</v>
      </c>
      <c r="D104" s="19" t="s">
        <v>16</v>
      </c>
      <c r="E104" s="19" t="s">
        <v>12</v>
      </c>
      <c r="F104" s="19" t="s">
        <v>24</v>
      </c>
      <c r="G104" s="19" t="s">
        <v>28</v>
      </c>
      <c r="H104" s="21">
        <v>45100.31</v>
      </c>
      <c r="I104" s="19">
        <v>5</v>
      </c>
      <c r="J104" s="21">
        <v>5435.3</v>
      </c>
      <c r="K104" s="19" t="str" cm="1">
        <f t="array" ref="K104">_xlfn.IFS(Table1342[[#This Row],[Sales]]&gt;40000,"Best Sales",Table1342[[#This Row],[Sales]]&gt;20000,"Average Sales",Table1342[[#This Row],[Sales]]&gt;0,"Poor Sales")</f>
        <v>Best Sales</v>
      </c>
      <c r="L104" s="19">
        <f>YEAR(Table1342[[#This Row],[Date]])</f>
        <v>2023</v>
      </c>
      <c r="M104" s="19">
        <f>MONTH(Table1342[[#This Row],[Date]])</f>
        <v>11</v>
      </c>
      <c r="N104" s="19">
        <f>DAY(Table1342[[#This Row],[Date]])</f>
        <v>19</v>
      </c>
      <c r="O104" s="19"/>
      <c r="P104" s="19" t="str">
        <f>TEXT(DATE(2023,Table1342[[#This Row],[MONTH]],1),"mmm")</f>
        <v>Nov</v>
      </c>
      <c r="Q104" s="19"/>
    </row>
    <row r="105" spans="1:17" x14ac:dyDescent="0.3">
      <c r="A105" s="19">
        <v>104</v>
      </c>
      <c r="B105" s="20">
        <v>45258</v>
      </c>
      <c r="C105" s="19" t="s">
        <v>35</v>
      </c>
      <c r="D105" s="19" t="s">
        <v>36</v>
      </c>
      <c r="E105" s="19" t="s">
        <v>12</v>
      </c>
      <c r="F105" s="19" t="s">
        <v>13</v>
      </c>
      <c r="G105" s="19" t="s">
        <v>21</v>
      </c>
      <c r="H105" s="21">
        <v>31680.26</v>
      </c>
      <c r="I105" s="19">
        <v>6</v>
      </c>
      <c r="J105" s="21">
        <v>7130.43</v>
      </c>
      <c r="K105" s="19" t="str" cm="1">
        <f t="array" ref="K105">_xlfn.IFS(Table1342[[#This Row],[Sales]]&gt;40000,"Best Sales",Table1342[[#This Row],[Sales]]&gt;20000,"Average Sales",Table1342[[#This Row],[Sales]]&gt;0,"Poor Sales")</f>
        <v>Average Sales</v>
      </c>
      <c r="L105" s="19">
        <f>YEAR(Table1342[[#This Row],[Date]])</f>
        <v>2023</v>
      </c>
      <c r="M105" s="19">
        <f>MONTH(Table1342[[#This Row],[Date]])</f>
        <v>11</v>
      </c>
      <c r="N105" s="19">
        <f>DAY(Table1342[[#This Row],[Date]])</f>
        <v>28</v>
      </c>
      <c r="O105" s="19"/>
      <c r="P105" s="19" t="str">
        <f>TEXT(DATE(2023,Table1342[[#This Row],[MONTH]],1),"mmm")</f>
        <v>Nov</v>
      </c>
      <c r="Q105" s="19"/>
    </row>
    <row r="106" spans="1:17" x14ac:dyDescent="0.3">
      <c r="A106" s="19">
        <v>105</v>
      </c>
      <c r="B106" s="20">
        <v>45178</v>
      </c>
      <c r="C106" s="19" t="s">
        <v>10</v>
      </c>
      <c r="D106" s="19" t="s">
        <v>11</v>
      </c>
      <c r="E106" s="19" t="s">
        <v>12</v>
      </c>
      <c r="F106" s="19" t="s">
        <v>24</v>
      </c>
      <c r="G106" s="19" t="s">
        <v>29</v>
      </c>
      <c r="H106" s="21">
        <v>17942.34</v>
      </c>
      <c r="I106" s="19">
        <v>4</v>
      </c>
      <c r="J106" s="21">
        <v>4800.71</v>
      </c>
      <c r="K106" s="19" t="str" cm="1">
        <f t="array" ref="K106">_xlfn.IFS(Table1342[[#This Row],[Sales]]&gt;40000,"Best Sales",Table1342[[#This Row],[Sales]]&gt;20000,"Average Sales",Table1342[[#This Row],[Sales]]&gt;0,"Poor Sales")</f>
        <v>Poor Sales</v>
      </c>
      <c r="L106" s="19">
        <f>YEAR(Table1342[[#This Row],[Date]])</f>
        <v>2023</v>
      </c>
      <c r="M106" s="19">
        <f>MONTH(Table1342[[#This Row],[Date]])</f>
        <v>9</v>
      </c>
      <c r="N106" s="19">
        <f>DAY(Table1342[[#This Row],[Date]])</f>
        <v>9</v>
      </c>
      <c r="O106" s="19"/>
      <c r="P106" s="19" t="str">
        <f>TEXT(DATE(2023,Table1342[[#This Row],[MONTH]],1),"mmm")</f>
        <v>Sep</v>
      </c>
      <c r="Q106" s="19"/>
    </row>
    <row r="107" spans="1:17" x14ac:dyDescent="0.3">
      <c r="A107" s="19">
        <v>106</v>
      </c>
      <c r="B107" s="20">
        <v>44943</v>
      </c>
      <c r="C107" s="19" t="s">
        <v>38</v>
      </c>
      <c r="D107" s="19" t="s">
        <v>27</v>
      </c>
      <c r="E107" s="19" t="s">
        <v>12</v>
      </c>
      <c r="F107" s="19" t="s">
        <v>31</v>
      </c>
      <c r="G107" s="19" t="s">
        <v>33</v>
      </c>
      <c r="H107" s="21">
        <v>46409.88</v>
      </c>
      <c r="I107" s="19">
        <v>7</v>
      </c>
      <c r="J107" s="21">
        <v>12657.84</v>
      </c>
      <c r="K107" s="19" t="str" cm="1">
        <f t="array" ref="K107">_xlfn.IFS(Table1342[[#This Row],[Sales]]&gt;40000,"Best Sales",Table1342[[#This Row],[Sales]]&gt;20000,"Average Sales",Table1342[[#This Row],[Sales]]&gt;0,"Poor Sales")</f>
        <v>Best Sales</v>
      </c>
      <c r="L107" s="19">
        <f>YEAR(Table1342[[#This Row],[Date]])</f>
        <v>2023</v>
      </c>
      <c r="M107" s="19">
        <f>MONTH(Table1342[[#This Row],[Date]])</f>
        <v>1</v>
      </c>
      <c r="N107" s="19">
        <f>DAY(Table1342[[#This Row],[Date]])</f>
        <v>17</v>
      </c>
      <c r="O107" s="19"/>
      <c r="P107" s="19" t="str">
        <f>TEXT(DATE(2023,Table1342[[#This Row],[MONTH]],1),"mmm")</f>
        <v>Jan</v>
      </c>
      <c r="Q107" s="19"/>
    </row>
    <row r="108" spans="1:17" x14ac:dyDescent="0.3">
      <c r="A108" s="19">
        <v>107</v>
      </c>
      <c r="B108" s="20">
        <v>45270</v>
      </c>
      <c r="C108" s="19" t="s">
        <v>35</v>
      </c>
      <c r="D108" s="19" t="s">
        <v>36</v>
      </c>
      <c r="E108" s="19" t="s">
        <v>12</v>
      </c>
      <c r="F108" s="19" t="s">
        <v>31</v>
      </c>
      <c r="G108" s="19" t="s">
        <v>33</v>
      </c>
      <c r="H108" s="21">
        <v>20904.05</v>
      </c>
      <c r="I108" s="19">
        <v>9</v>
      </c>
      <c r="J108" s="21">
        <v>2758.95</v>
      </c>
      <c r="K108" s="19" t="str" cm="1">
        <f t="array" ref="K108">_xlfn.IFS(Table1342[[#This Row],[Sales]]&gt;40000,"Best Sales",Table1342[[#This Row],[Sales]]&gt;20000,"Average Sales",Table1342[[#This Row],[Sales]]&gt;0,"Poor Sales")</f>
        <v>Average Sales</v>
      </c>
      <c r="L108" s="19">
        <f>YEAR(Table1342[[#This Row],[Date]])</f>
        <v>2023</v>
      </c>
      <c r="M108" s="19">
        <f>MONTH(Table1342[[#This Row],[Date]])</f>
        <v>12</v>
      </c>
      <c r="N108" s="19">
        <f>DAY(Table1342[[#This Row],[Date]])</f>
        <v>10</v>
      </c>
      <c r="O108" s="19"/>
      <c r="P108" s="19" t="str">
        <f>TEXT(DATE(2023,Table1342[[#This Row],[MONTH]],1),"mmm")</f>
        <v>Dec</v>
      </c>
      <c r="Q108" s="19"/>
    </row>
    <row r="109" spans="1:17" x14ac:dyDescent="0.3">
      <c r="A109" s="19">
        <v>108</v>
      </c>
      <c r="B109" s="20">
        <v>45143</v>
      </c>
      <c r="C109" s="19" t="s">
        <v>18</v>
      </c>
      <c r="D109" s="19" t="s">
        <v>19</v>
      </c>
      <c r="E109" s="19" t="s">
        <v>12</v>
      </c>
      <c r="F109" s="19" t="s">
        <v>31</v>
      </c>
      <c r="G109" s="19" t="s">
        <v>39</v>
      </c>
      <c r="H109" s="21">
        <v>9106.1</v>
      </c>
      <c r="I109" s="19">
        <v>3</v>
      </c>
      <c r="J109" s="21">
        <v>519.4</v>
      </c>
      <c r="K109" s="19" t="str" cm="1">
        <f t="array" ref="K109">_xlfn.IFS(Table1342[[#This Row],[Sales]]&gt;40000,"Best Sales",Table1342[[#This Row],[Sales]]&gt;20000,"Average Sales",Table1342[[#This Row],[Sales]]&gt;0,"Poor Sales")</f>
        <v>Poor Sales</v>
      </c>
      <c r="L109" s="19">
        <f>YEAR(Table1342[[#This Row],[Date]])</f>
        <v>2023</v>
      </c>
      <c r="M109" s="19">
        <f>MONTH(Table1342[[#This Row],[Date]])</f>
        <v>8</v>
      </c>
      <c r="N109" s="19">
        <f>DAY(Table1342[[#This Row],[Date]])</f>
        <v>5</v>
      </c>
      <c r="O109" s="19"/>
      <c r="P109" s="19" t="str">
        <f>TEXT(DATE(2023,Table1342[[#This Row],[MONTH]],1),"mmm")</f>
        <v>Aug</v>
      </c>
      <c r="Q109" s="19"/>
    </row>
    <row r="110" spans="1:17" x14ac:dyDescent="0.3">
      <c r="A110" s="19">
        <v>109</v>
      </c>
      <c r="B110" s="20">
        <v>45214</v>
      </c>
      <c r="C110" s="19" t="s">
        <v>10</v>
      </c>
      <c r="D110" s="19" t="s">
        <v>11</v>
      </c>
      <c r="E110" s="19" t="s">
        <v>12</v>
      </c>
      <c r="F110" s="19" t="s">
        <v>24</v>
      </c>
      <c r="G110" s="19" t="s">
        <v>25</v>
      </c>
      <c r="H110" s="21">
        <v>7629.97</v>
      </c>
      <c r="I110" s="19">
        <v>9</v>
      </c>
      <c r="J110" s="21">
        <v>1489.6</v>
      </c>
      <c r="K110" s="19" t="str" cm="1">
        <f t="array" ref="K110">_xlfn.IFS(Table1342[[#This Row],[Sales]]&gt;40000,"Best Sales",Table1342[[#This Row],[Sales]]&gt;20000,"Average Sales",Table1342[[#This Row],[Sales]]&gt;0,"Poor Sales")</f>
        <v>Poor Sales</v>
      </c>
      <c r="L110" s="19">
        <f>YEAR(Table1342[[#This Row],[Date]])</f>
        <v>2023</v>
      </c>
      <c r="M110" s="19">
        <f>MONTH(Table1342[[#This Row],[Date]])</f>
        <v>10</v>
      </c>
      <c r="N110" s="19">
        <f>DAY(Table1342[[#This Row],[Date]])</f>
        <v>15</v>
      </c>
      <c r="O110" s="19"/>
      <c r="P110" s="19" t="str">
        <f>TEXT(DATE(2023,Table1342[[#This Row],[MONTH]],1),"mmm")</f>
        <v>Oct</v>
      </c>
      <c r="Q110" s="19"/>
    </row>
    <row r="111" spans="1:17" x14ac:dyDescent="0.3">
      <c r="A111" s="19">
        <v>110</v>
      </c>
      <c r="B111" s="20">
        <v>45008</v>
      </c>
      <c r="C111" s="19" t="s">
        <v>26</v>
      </c>
      <c r="D111" s="19" t="s">
        <v>27</v>
      </c>
      <c r="E111" s="19" t="s">
        <v>12</v>
      </c>
      <c r="F111" s="19" t="s">
        <v>13</v>
      </c>
      <c r="G111" s="19" t="s">
        <v>14</v>
      </c>
      <c r="H111" s="21">
        <v>23310.71</v>
      </c>
      <c r="I111" s="19">
        <v>1</v>
      </c>
      <c r="J111" s="21">
        <v>3512.57</v>
      </c>
      <c r="K111" s="19" t="str" cm="1">
        <f t="array" ref="K111">_xlfn.IFS(Table1342[[#This Row],[Sales]]&gt;40000,"Best Sales",Table1342[[#This Row],[Sales]]&gt;20000,"Average Sales",Table1342[[#This Row],[Sales]]&gt;0,"Poor Sales")</f>
        <v>Average Sales</v>
      </c>
      <c r="L111" s="19">
        <f>YEAR(Table1342[[#This Row],[Date]])</f>
        <v>2023</v>
      </c>
      <c r="M111" s="19">
        <f>MONTH(Table1342[[#This Row],[Date]])</f>
        <v>3</v>
      </c>
      <c r="N111" s="19">
        <f>DAY(Table1342[[#This Row],[Date]])</f>
        <v>23</v>
      </c>
      <c r="O111" s="19"/>
      <c r="P111" s="19" t="str">
        <f>TEXT(DATE(2023,Table1342[[#This Row],[MONTH]],1),"mmm")</f>
        <v>Mar</v>
      </c>
      <c r="Q111" s="19"/>
    </row>
    <row r="112" spans="1:17" x14ac:dyDescent="0.3">
      <c r="A112" s="19">
        <v>111</v>
      </c>
      <c r="B112" s="20">
        <v>45085</v>
      </c>
      <c r="C112" s="19" t="s">
        <v>30</v>
      </c>
      <c r="D112" s="19" t="s">
        <v>16</v>
      </c>
      <c r="E112" s="19" t="s">
        <v>12</v>
      </c>
      <c r="F112" s="19" t="s">
        <v>13</v>
      </c>
      <c r="G112" s="19" t="s">
        <v>34</v>
      </c>
      <c r="H112" s="21">
        <v>27994.05</v>
      </c>
      <c r="I112" s="19">
        <v>4</v>
      </c>
      <c r="J112" s="21">
        <v>5449.63</v>
      </c>
      <c r="K112" s="19" t="str" cm="1">
        <f t="array" ref="K112">_xlfn.IFS(Table1342[[#This Row],[Sales]]&gt;40000,"Best Sales",Table1342[[#This Row],[Sales]]&gt;20000,"Average Sales",Table1342[[#This Row],[Sales]]&gt;0,"Poor Sales")</f>
        <v>Average Sales</v>
      </c>
      <c r="L112" s="19">
        <f>YEAR(Table1342[[#This Row],[Date]])</f>
        <v>2023</v>
      </c>
      <c r="M112" s="19">
        <f>MONTH(Table1342[[#This Row],[Date]])</f>
        <v>6</v>
      </c>
      <c r="N112" s="19">
        <f>DAY(Table1342[[#This Row],[Date]])</f>
        <v>8</v>
      </c>
      <c r="O112" s="19"/>
      <c r="P112" s="19" t="str">
        <f>TEXT(DATE(2023,Table1342[[#This Row],[MONTH]],1),"mmm")</f>
        <v>Jun</v>
      </c>
      <c r="Q112" s="19"/>
    </row>
    <row r="113" spans="1:17" x14ac:dyDescent="0.3">
      <c r="A113" s="19">
        <v>112</v>
      </c>
      <c r="B113" s="20">
        <v>44963</v>
      </c>
      <c r="C113" s="19" t="s">
        <v>18</v>
      </c>
      <c r="D113" s="19" t="s">
        <v>19</v>
      </c>
      <c r="E113" s="19" t="s">
        <v>12</v>
      </c>
      <c r="F113" s="19" t="s">
        <v>13</v>
      </c>
      <c r="G113" s="19" t="s">
        <v>34</v>
      </c>
      <c r="H113" s="21">
        <v>32440.06</v>
      </c>
      <c r="I113" s="19">
        <v>3</v>
      </c>
      <c r="J113" s="21">
        <v>7193.85</v>
      </c>
      <c r="K113" s="19" t="str" cm="1">
        <f t="array" ref="K113">_xlfn.IFS(Table1342[[#This Row],[Sales]]&gt;40000,"Best Sales",Table1342[[#This Row],[Sales]]&gt;20000,"Average Sales",Table1342[[#This Row],[Sales]]&gt;0,"Poor Sales")</f>
        <v>Average Sales</v>
      </c>
      <c r="L113" s="19">
        <f>YEAR(Table1342[[#This Row],[Date]])</f>
        <v>2023</v>
      </c>
      <c r="M113" s="19">
        <f>MONTH(Table1342[[#This Row],[Date]])</f>
        <v>2</v>
      </c>
      <c r="N113" s="19">
        <f>DAY(Table1342[[#This Row],[Date]])</f>
        <v>6</v>
      </c>
      <c r="O113" s="19"/>
      <c r="P113" s="19" t="str">
        <f>TEXT(DATE(2023,Table1342[[#This Row],[MONTH]],1),"mmm")</f>
        <v>Feb</v>
      </c>
      <c r="Q113" s="19"/>
    </row>
    <row r="114" spans="1:17" x14ac:dyDescent="0.3">
      <c r="A114" s="19">
        <v>113</v>
      </c>
      <c r="B114" s="20">
        <v>45103</v>
      </c>
      <c r="C114" s="19" t="s">
        <v>30</v>
      </c>
      <c r="D114" s="19" t="s">
        <v>16</v>
      </c>
      <c r="E114" s="19" t="s">
        <v>12</v>
      </c>
      <c r="F114" s="19" t="s">
        <v>13</v>
      </c>
      <c r="G114" s="19" t="s">
        <v>34</v>
      </c>
      <c r="H114" s="21">
        <v>40462.19</v>
      </c>
      <c r="I114" s="19">
        <v>3</v>
      </c>
      <c r="J114" s="21">
        <v>9068.9</v>
      </c>
      <c r="K114" s="19" t="str" cm="1">
        <f t="array" ref="K114">_xlfn.IFS(Table1342[[#This Row],[Sales]]&gt;40000,"Best Sales",Table1342[[#This Row],[Sales]]&gt;20000,"Average Sales",Table1342[[#This Row],[Sales]]&gt;0,"Poor Sales")</f>
        <v>Best Sales</v>
      </c>
      <c r="L114" s="19">
        <f>YEAR(Table1342[[#This Row],[Date]])</f>
        <v>2023</v>
      </c>
      <c r="M114" s="19">
        <f>MONTH(Table1342[[#This Row],[Date]])</f>
        <v>6</v>
      </c>
      <c r="N114" s="19">
        <f>DAY(Table1342[[#This Row],[Date]])</f>
        <v>26</v>
      </c>
      <c r="O114" s="19"/>
      <c r="P114" s="19" t="str">
        <f>TEXT(DATE(2023,Table1342[[#This Row],[MONTH]],1),"mmm")</f>
        <v>Jun</v>
      </c>
      <c r="Q114" s="19"/>
    </row>
    <row r="115" spans="1:17" x14ac:dyDescent="0.3">
      <c r="A115" s="19">
        <v>114</v>
      </c>
      <c r="B115" s="20">
        <v>45086</v>
      </c>
      <c r="C115" s="19" t="s">
        <v>37</v>
      </c>
      <c r="D115" s="19" t="s">
        <v>27</v>
      </c>
      <c r="E115" s="19" t="s">
        <v>12</v>
      </c>
      <c r="F115" s="19" t="s">
        <v>31</v>
      </c>
      <c r="G115" s="19" t="s">
        <v>32</v>
      </c>
      <c r="H115" s="21">
        <v>4946.33</v>
      </c>
      <c r="I115" s="19">
        <v>9</v>
      </c>
      <c r="J115" s="21">
        <v>1157.56</v>
      </c>
      <c r="K115" s="19" t="str" cm="1">
        <f t="array" ref="K115">_xlfn.IFS(Table1342[[#This Row],[Sales]]&gt;40000,"Best Sales",Table1342[[#This Row],[Sales]]&gt;20000,"Average Sales",Table1342[[#This Row],[Sales]]&gt;0,"Poor Sales")</f>
        <v>Poor Sales</v>
      </c>
      <c r="L115" s="19">
        <f>YEAR(Table1342[[#This Row],[Date]])</f>
        <v>2023</v>
      </c>
      <c r="M115" s="19">
        <f>MONTH(Table1342[[#This Row],[Date]])</f>
        <v>6</v>
      </c>
      <c r="N115" s="19">
        <f>DAY(Table1342[[#This Row],[Date]])</f>
        <v>9</v>
      </c>
      <c r="O115" s="19"/>
      <c r="P115" s="19" t="str">
        <f>TEXT(DATE(2023,Table1342[[#This Row],[MONTH]],1),"mmm")</f>
        <v>Jun</v>
      </c>
      <c r="Q115" s="19"/>
    </row>
    <row r="116" spans="1:17" x14ac:dyDescent="0.3">
      <c r="A116" s="19">
        <v>115</v>
      </c>
      <c r="B116" s="20">
        <v>45067</v>
      </c>
      <c r="C116" s="19" t="s">
        <v>18</v>
      </c>
      <c r="D116" s="19" t="s">
        <v>19</v>
      </c>
      <c r="E116" s="19" t="s">
        <v>12</v>
      </c>
      <c r="F116" s="19" t="s">
        <v>24</v>
      </c>
      <c r="G116" s="19" t="s">
        <v>25</v>
      </c>
      <c r="H116" s="21">
        <v>41523.230000000003</v>
      </c>
      <c r="I116" s="19">
        <v>7</v>
      </c>
      <c r="J116" s="21">
        <v>9474.06</v>
      </c>
      <c r="K116" s="19" t="str" cm="1">
        <f t="array" ref="K116">_xlfn.IFS(Table1342[[#This Row],[Sales]]&gt;40000,"Best Sales",Table1342[[#This Row],[Sales]]&gt;20000,"Average Sales",Table1342[[#This Row],[Sales]]&gt;0,"Poor Sales")</f>
        <v>Best Sales</v>
      </c>
      <c r="L116" s="19">
        <f>YEAR(Table1342[[#This Row],[Date]])</f>
        <v>2023</v>
      </c>
      <c r="M116" s="19">
        <f>MONTH(Table1342[[#This Row],[Date]])</f>
        <v>5</v>
      </c>
      <c r="N116" s="19">
        <f>DAY(Table1342[[#This Row],[Date]])</f>
        <v>21</v>
      </c>
      <c r="O116" s="19"/>
      <c r="P116" s="19" t="str">
        <f>TEXT(DATE(2023,Table1342[[#This Row],[MONTH]],1),"mmm")</f>
        <v>May</v>
      </c>
      <c r="Q116" s="19"/>
    </row>
    <row r="117" spans="1:17" x14ac:dyDescent="0.3">
      <c r="A117" s="19">
        <v>116</v>
      </c>
      <c r="B117" s="20">
        <v>45091</v>
      </c>
      <c r="C117" s="19" t="s">
        <v>37</v>
      </c>
      <c r="D117" s="19" t="s">
        <v>27</v>
      </c>
      <c r="E117" s="19" t="s">
        <v>12</v>
      </c>
      <c r="F117" s="19" t="s">
        <v>31</v>
      </c>
      <c r="G117" s="19" t="s">
        <v>33</v>
      </c>
      <c r="H117" s="21">
        <v>41692.239999999998</v>
      </c>
      <c r="I117" s="19">
        <v>1</v>
      </c>
      <c r="J117" s="21">
        <v>11454.59</v>
      </c>
      <c r="K117" s="19" t="str" cm="1">
        <f t="array" ref="K117">_xlfn.IFS(Table1342[[#This Row],[Sales]]&gt;40000,"Best Sales",Table1342[[#This Row],[Sales]]&gt;20000,"Average Sales",Table1342[[#This Row],[Sales]]&gt;0,"Poor Sales")</f>
        <v>Best Sales</v>
      </c>
      <c r="L117" s="19">
        <f>YEAR(Table1342[[#This Row],[Date]])</f>
        <v>2023</v>
      </c>
      <c r="M117" s="19">
        <f>MONTH(Table1342[[#This Row],[Date]])</f>
        <v>6</v>
      </c>
      <c r="N117" s="19">
        <f>DAY(Table1342[[#This Row],[Date]])</f>
        <v>14</v>
      </c>
      <c r="O117" s="19"/>
      <c r="P117" s="19" t="str">
        <f>TEXT(DATE(2023,Table1342[[#This Row],[MONTH]],1),"mmm")</f>
        <v>Jun</v>
      </c>
      <c r="Q117" s="19"/>
    </row>
    <row r="118" spans="1:17" x14ac:dyDescent="0.3">
      <c r="A118" s="19">
        <v>117</v>
      </c>
      <c r="B118" s="20">
        <v>45275</v>
      </c>
      <c r="C118" s="19" t="s">
        <v>18</v>
      </c>
      <c r="D118" s="19" t="s">
        <v>19</v>
      </c>
      <c r="E118" s="19" t="s">
        <v>12</v>
      </c>
      <c r="F118" s="19" t="s">
        <v>24</v>
      </c>
      <c r="G118" s="19" t="s">
        <v>25</v>
      </c>
      <c r="H118" s="21">
        <v>37435.72</v>
      </c>
      <c r="I118" s="19">
        <v>10</v>
      </c>
      <c r="J118" s="21">
        <v>7225.3</v>
      </c>
      <c r="K118" s="19" t="str" cm="1">
        <f t="array" ref="K118">_xlfn.IFS(Table1342[[#This Row],[Sales]]&gt;40000,"Best Sales",Table1342[[#This Row],[Sales]]&gt;20000,"Average Sales",Table1342[[#This Row],[Sales]]&gt;0,"Poor Sales")</f>
        <v>Average Sales</v>
      </c>
      <c r="L118" s="19">
        <f>YEAR(Table1342[[#This Row],[Date]])</f>
        <v>2023</v>
      </c>
      <c r="M118" s="19">
        <f>MONTH(Table1342[[#This Row],[Date]])</f>
        <v>12</v>
      </c>
      <c r="N118" s="19">
        <f>DAY(Table1342[[#This Row],[Date]])</f>
        <v>15</v>
      </c>
      <c r="O118" s="19"/>
      <c r="P118" s="19" t="str">
        <f>TEXT(DATE(2023,Table1342[[#This Row],[MONTH]],1),"mmm")</f>
        <v>Dec</v>
      </c>
      <c r="Q118" s="19"/>
    </row>
    <row r="119" spans="1:17" x14ac:dyDescent="0.3">
      <c r="A119" s="19">
        <v>118</v>
      </c>
      <c r="B119" s="20">
        <v>44993</v>
      </c>
      <c r="C119" s="19" t="s">
        <v>22</v>
      </c>
      <c r="D119" s="19" t="s">
        <v>22</v>
      </c>
      <c r="E119" s="19" t="s">
        <v>12</v>
      </c>
      <c r="F119" s="19" t="s">
        <v>31</v>
      </c>
      <c r="G119" s="19" t="s">
        <v>39</v>
      </c>
      <c r="H119" s="21">
        <v>24188.17</v>
      </c>
      <c r="I119" s="19">
        <v>4</v>
      </c>
      <c r="J119" s="21">
        <v>1398.98</v>
      </c>
      <c r="K119" s="19" t="str" cm="1">
        <f t="array" ref="K119">_xlfn.IFS(Table1342[[#This Row],[Sales]]&gt;40000,"Best Sales",Table1342[[#This Row],[Sales]]&gt;20000,"Average Sales",Table1342[[#This Row],[Sales]]&gt;0,"Poor Sales")</f>
        <v>Average Sales</v>
      </c>
      <c r="L119" s="19">
        <f>YEAR(Table1342[[#This Row],[Date]])</f>
        <v>2023</v>
      </c>
      <c r="M119" s="19">
        <f>MONTH(Table1342[[#This Row],[Date]])</f>
        <v>3</v>
      </c>
      <c r="N119" s="19">
        <f>DAY(Table1342[[#This Row],[Date]])</f>
        <v>8</v>
      </c>
      <c r="O119" s="19"/>
      <c r="P119" s="19" t="str">
        <f>TEXT(DATE(2023,Table1342[[#This Row],[MONTH]],1),"mmm")</f>
        <v>Mar</v>
      </c>
      <c r="Q119" s="19"/>
    </row>
    <row r="120" spans="1:17" x14ac:dyDescent="0.3">
      <c r="A120" s="19">
        <v>119</v>
      </c>
      <c r="B120" s="20">
        <v>44978</v>
      </c>
      <c r="C120" s="19" t="s">
        <v>10</v>
      </c>
      <c r="D120" s="19" t="s">
        <v>11</v>
      </c>
      <c r="E120" s="19" t="s">
        <v>12</v>
      </c>
      <c r="F120" s="19" t="s">
        <v>13</v>
      </c>
      <c r="G120" s="19" t="s">
        <v>14</v>
      </c>
      <c r="H120" s="21">
        <v>7636.41</v>
      </c>
      <c r="I120" s="19">
        <v>5</v>
      </c>
      <c r="J120" s="21">
        <v>1440.24</v>
      </c>
      <c r="K120" s="19" t="str" cm="1">
        <f t="array" ref="K120">_xlfn.IFS(Table1342[[#This Row],[Sales]]&gt;40000,"Best Sales",Table1342[[#This Row],[Sales]]&gt;20000,"Average Sales",Table1342[[#This Row],[Sales]]&gt;0,"Poor Sales")</f>
        <v>Poor Sales</v>
      </c>
      <c r="L120" s="19">
        <f>YEAR(Table1342[[#This Row],[Date]])</f>
        <v>2023</v>
      </c>
      <c r="M120" s="19">
        <f>MONTH(Table1342[[#This Row],[Date]])</f>
        <v>2</v>
      </c>
      <c r="N120" s="19">
        <f>DAY(Table1342[[#This Row],[Date]])</f>
        <v>21</v>
      </c>
      <c r="O120" s="19"/>
      <c r="P120" s="19" t="str">
        <f>TEXT(DATE(2023,Table1342[[#This Row],[MONTH]],1),"mmm")</f>
        <v>Feb</v>
      </c>
      <c r="Q120" s="19"/>
    </row>
    <row r="121" spans="1:17" x14ac:dyDescent="0.3">
      <c r="A121" s="19">
        <v>120</v>
      </c>
      <c r="B121" s="20">
        <v>44930</v>
      </c>
      <c r="C121" s="19" t="s">
        <v>30</v>
      </c>
      <c r="D121" s="19" t="s">
        <v>16</v>
      </c>
      <c r="E121" s="19" t="s">
        <v>12</v>
      </c>
      <c r="F121" s="19" t="s">
        <v>24</v>
      </c>
      <c r="G121" s="19" t="s">
        <v>29</v>
      </c>
      <c r="H121" s="21">
        <v>46770.74</v>
      </c>
      <c r="I121" s="19">
        <v>9</v>
      </c>
      <c r="J121" s="21">
        <v>10311.32</v>
      </c>
      <c r="K121" s="19" t="str" cm="1">
        <f t="array" ref="K121">_xlfn.IFS(Table1342[[#This Row],[Sales]]&gt;40000,"Best Sales",Table1342[[#This Row],[Sales]]&gt;20000,"Average Sales",Table1342[[#This Row],[Sales]]&gt;0,"Poor Sales")</f>
        <v>Best Sales</v>
      </c>
      <c r="L121" s="19">
        <f>YEAR(Table1342[[#This Row],[Date]])</f>
        <v>2023</v>
      </c>
      <c r="M121" s="19">
        <f>MONTH(Table1342[[#This Row],[Date]])</f>
        <v>1</v>
      </c>
      <c r="N121" s="19">
        <f>DAY(Table1342[[#This Row],[Date]])</f>
        <v>4</v>
      </c>
      <c r="O121" s="19"/>
      <c r="P121" s="19" t="str">
        <f>TEXT(DATE(2023,Table1342[[#This Row],[MONTH]],1),"mmm")</f>
        <v>Jan</v>
      </c>
      <c r="Q121" s="19"/>
    </row>
    <row r="122" spans="1:17" x14ac:dyDescent="0.3">
      <c r="A122" s="19">
        <v>121</v>
      </c>
      <c r="B122" s="20">
        <v>45269</v>
      </c>
      <c r="C122" s="19" t="s">
        <v>30</v>
      </c>
      <c r="D122" s="19" t="s">
        <v>16</v>
      </c>
      <c r="E122" s="19" t="s">
        <v>12</v>
      </c>
      <c r="F122" s="19" t="s">
        <v>24</v>
      </c>
      <c r="G122" s="19" t="s">
        <v>29</v>
      </c>
      <c r="H122" s="21">
        <v>25666.98</v>
      </c>
      <c r="I122" s="19">
        <v>6</v>
      </c>
      <c r="J122" s="21">
        <v>5659.2</v>
      </c>
      <c r="K122" s="19" t="str" cm="1">
        <f t="array" ref="K122">_xlfn.IFS(Table1342[[#This Row],[Sales]]&gt;40000,"Best Sales",Table1342[[#This Row],[Sales]]&gt;20000,"Average Sales",Table1342[[#This Row],[Sales]]&gt;0,"Poor Sales")</f>
        <v>Average Sales</v>
      </c>
      <c r="L122" s="19">
        <f>YEAR(Table1342[[#This Row],[Date]])</f>
        <v>2023</v>
      </c>
      <c r="M122" s="19">
        <f>MONTH(Table1342[[#This Row],[Date]])</f>
        <v>12</v>
      </c>
      <c r="N122" s="19">
        <f>DAY(Table1342[[#This Row],[Date]])</f>
        <v>9</v>
      </c>
      <c r="O122" s="19"/>
      <c r="P122" s="19" t="str">
        <f>TEXT(DATE(2023,Table1342[[#This Row],[MONTH]],1),"mmm")</f>
        <v>Dec</v>
      </c>
      <c r="Q122" s="19"/>
    </row>
    <row r="123" spans="1:17" x14ac:dyDescent="0.3">
      <c r="A123" s="19">
        <v>122</v>
      </c>
      <c r="B123" s="20">
        <v>45281</v>
      </c>
      <c r="C123" s="19" t="s">
        <v>37</v>
      </c>
      <c r="D123" s="19" t="s">
        <v>27</v>
      </c>
      <c r="E123" s="19" t="s">
        <v>12</v>
      </c>
      <c r="F123" s="19" t="s">
        <v>13</v>
      </c>
      <c r="G123" s="19" t="s">
        <v>14</v>
      </c>
      <c r="H123" s="21">
        <v>23082.5</v>
      </c>
      <c r="I123" s="19">
        <v>5</v>
      </c>
      <c r="J123" s="21">
        <v>6692.32</v>
      </c>
      <c r="K123" s="19" t="str" cm="1">
        <f t="array" ref="K123">_xlfn.IFS(Table1342[[#This Row],[Sales]]&gt;40000,"Best Sales",Table1342[[#This Row],[Sales]]&gt;20000,"Average Sales",Table1342[[#This Row],[Sales]]&gt;0,"Poor Sales")</f>
        <v>Average Sales</v>
      </c>
      <c r="L123" s="19">
        <f>YEAR(Table1342[[#This Row],[Date]])</f>
        <v>2023</v>
      </c>
      <c r="M123" s="19">
        <f>MONTH(Table1342[[#This Row],[Date]])</f>
        <v>12</v>
      </c>
      <c r="N123" s="19">
        <f>DAY(Table1342[[#This Row],[Date]])</f>
        <v>21</v>
      </c>
      <c r="O123" s="19"/>
      <c r="P123" s="19" t="str">
        <f>TEXT(DATE(2023,Table1342[[#This Row],[MONTH]],1),"mmm")</f>
        <v>Dec</v>
      </c>
      <c r="Q123" s="19"/>
    </row>
    <row r="124" spans="1:17" x14ac:dyDescent="0.3">
      <c r="A124" s="19">
        <v>123</v>
      </c>
      <c r="B124" s="20">
        <v>45087</v>
      </c>
      <c r="C124" s="19" t="s">
        <v>37</v>
      </c>
      <c r="D124" s="19" t="s">
        <v>27</v>
      </c>
      <c r="E124" s="19" t="s">
        <v>12</v>
      </c>
      <c r="F124" s="19" t="s">
        <v>31</v>
      </c>
      <c r="G124" s="19" t="s">
        <v>33</v>
      </c>
      <c r="H124" s="21">
        <v>38476.03</v>
      </c>
      <c r="I124" s="19">
        <v>5</v>
      </c>
      <c r="J124" s="21">
        <v>4209.84</v>
      </c>
      <c r="K124" s="19" t="str" cm="1">
        <f t="array" ref="K124">_xlfn.IFS(Table1342[[#This Row],[Sales]]&gt;40000,"Best Sales",Table1342[[#This Row],[Sales]]&gt;20000,"Average Sales",Table1342[[#This Row],[Sales]]&gt;0,"Poor Sales")</f>
        <v>Average Sales</v>
      </c>
      <c r="L124" s="19">
        <f>YEAR(Table1342[[#This Row],[Date]])</f>
        <v>2023</v>
      </c>
      <c r="M124" s="19">
        <f>MONTH(Table1342[[#This Row],[Date]])</f>
        <v>6</v>
      </c>
      <c r="N124" s="19">
        <f>DAY(Table1342[[#This Row],[Date]])</f>
        <v>10</v>
      </c>
      <c r="O124" s="19"/>
      <c r="P124" s="19" t="str">
        <f>TEXT(DATE(2023,Table1342[[#This Row],[MONTH]],1),"mmm")</f>
        <v>Jun</v>
      </c>
      <c r="Q124" s="19"/>
    </row>
    <row r="125" spans="1:17" x14ac:dyDescent="0.3">
      <c r="A125" s="19">
        <v>124</v>
      </c>
      <c r="B125" s="20">
        <v>44997</v>
      </c>
      <c r="C125" s="19" t="s">
        <v>37</v>
      </c>
      <c r="D125" s="19" t="s">
        <v>27</v>
      </c>
      <c r="E125" s="19" t="s">
        <v>12</v>
      </c>
      <c r="F125" s="19" t="s">
        <v>31</v>
      </c>
      <c r="G125" s="19" t="s">
        <v>32</v>
      </c>
      <c r="H125" s="21">
        <v>18610.04</v>
      </c>
      <c r="I125" s="19">
        <v>9</v>
      </c>
      <c r="J125" s="21">
        <v>2849.41</v>
      </c>
      <c r="K125" s="19" t="str" cm="1">
        <f t="array" ref="K125">_xlfn.IFS(Table1342[[#This Row],[Sales]]&gt;40000,"Best Sales",Table1342[[#This Row],[Sales]]&gt;20000,"Average Sales",Table1342[[#This Row],[Sales]]&gt;0,"Poor Sales")</f>
        <v>Poor Sales</v>
      </c>
      <c r="L125" s="19">
        <f>YEAR(Table1342[[#This Row],[Date]])</f>
        <v>2023</v>
      </c>
      <c r="M125" s="19">
        <f>MONTH(Table1342[[#This Row],[Date]])</f>
        <v>3</v>
      </c>
      <c r="N125" s="19">
        <f>DAY(Table1342[[#This Row],[Date]])</f>
        <v>12</v>
      </c>
      <c r="O125" s="19"/>
      <c r="P125" s="19" t="str">
        <f>TEXT(DATE(2023,Table1342[[#This Row],[MONTH]],1),"mmm")</f>
        <v>Mar</v>
      </c>
      <c r="Q125" s="19"/>
    </row>
    <row r="126" spans="1:17" x14ac:dyDescent="0.3">
      <c r="A126" s="19">
        <v>125</v>
      </c>
      <c r="B126" s="20">
        <v>44996</v>
      </c>
      <c r="C126" s="19" t="s">
        <v>30</v>
      </c>
      <c r="D126" s="19" t="s">
        <v>16</v>
      </c>
      <c r="E126" s="19" t="s">
        <v>12</v>
      </c>
      <c r="F126" s="19" t="s">
        <v>13</v>
      </c>
      <c r="G126" s="19" t="s">
        <v>14</v>
      </c>
      <c r="H126" s="21">
        <v>9386.76</v>
      </c>
      <c r="I126" s="19">
        <v>5</v>
      </c>
      <c r="J126" s="21">
        <v>1362.58</v>
      </c>
      <c r="K126" s="19" t="str" cm="1">
        <f t="array" ref="K126">_xlfn.IFS(Table1342[[#This Row],[Sales]]&gt;40000,"Best Sales",Table1342[[#This Row],[Sales]]&gt;20000,"Average Sales",Table1342[[#This Row],[Sales]]&gt;0,"Poor Sales")</f>
        <v>Poor Sales</v>
      </c>
      <c r="L126" s="19">
        <f>YEAR(Table1342[[#This Row],[Date]])</f>
        <v>2023</v>
      </c>
      <c r="M126" s="19">
        <f>MONTH(Table1342[[#This Row],[Date]])</f>
        <v>3</v>
      </c>
      <c r="N126" s="19">
        <f>DAY(Table1342[[#This Row],[Date]])</f>
        <v>11</v>
      </c>
      <c r="O126" s="19"/>
      <c r="P126" s="19" t="str">
        <f>TEXT(DATE(2023,Table1342[[#This Row],[MONTH]],1),"mmm")</f>
        <v>Mar</v>
      </c>
      <c r="Q126" s="19"/>
    </row>
    <row r="127" spans="1:17" x14ac:dyDescent="0.3">
      <c r="A127" s="19">
        <v>126</v>
      </c>
      <c r="B127" s="20">
        <v>45288</v>
      </c>
      <c r="C127" s="19" t="s">
        <v>26</v>
      </c>
      <c r="D127" s="19" t="s">
        <v>27</v>
      </c>
      <c r="E127" s="19" t="s">
        <v>12</v>
      </c>
      <c r="F127" s="19" t="s">
        <v>13</v>
      </c>
      <c r="G127" s="19" t="s">
        <v>14</v>
      </c>
      <c r="H127" s="21">
        <v>28617.52</v>
      </c>
      <c r="I127" s="19">
        <v>6</v>
      </c>
      <c r="J127" s="21">
        <v>2807.32</v>
      </c>
      <c r="K127" s="19" t="str" cm="1">
        <f t="array" ref="K127">_xlfn.IFS(Table1342[[#This Row],[Sales]]&gt;40000,"Best Sales",Table1342[[#This Row],[Sales]]&gt;20000,"Average Sales",Table1342[[#This Row],[Sales]]&gt;0,"Poor Sales")</f>
        <v>Average Sales</v>
      </c>
      <c r="L127" s="19">
        <f>YEAR(Table1342[[#This Row],[Date]])</f>
        <v>2023</v>
      </c>
      <c r="M127" s="19">
        <f>MONTH(Table1342[[#This Row],[Date]])</f>
        <v>12</v>
      </c>
      <c r="N127" s="19">
        <f>DAY(Table1342[[#This Row],[Date]])</f>
        <v>28</v>
      </c>
      <c r="O127" s="19"/>
      <c r="P127" s="19" t="str">
        <f>TEXT(DATE(2023,Table1342[[#This Row],[MONTH]],1),"mmm")</f>
        <v>Dec</v>
      </c>
      <c r="Q127" s="19"/>
    </row>
    <row r="128" spans="1:17" x14ac:dyDescent="0.3">
      <c r="A128" s="19">
        <v>127</v>
      </c>
      <c r="B128" s="20">
        <v>45268</v>
      </c>
      <c r="C128" s="19" t="s">
        <v>15</v>
      </c>
      <c r="D128" s="19" t="s">
        <v>16</v>
      </c>
      <c r="E128" s="19" t="s">
        <v>12</v>
      </c>
      <c r="F128" s="19" t="s">
        <v>31</v>
      </c>
      <c r="G128" s="19" t="s">
        <v>32</v>
      </c>
      <c r="H128" s="21">
        <v>23321.11</v>
      </c>
      <c r="I128" s="19">
        <v>6</v>
      </c>
      <c r="J128" s="21">
        <v>6516.94</v>
      </c>
      <c r="K128" s="19" t="str" cm="1">
        <f t="array" ref="K128">_xlfn.IFS(Table1342[[#This Row],[Sales]]&gt;40000,"Best Sales",Table1342[[#This Row],[Sales]]&gt;20000,"Average Sales",Table1342[[#This Row],[Sales]]&gt;0,"Poor Sales")</f>
        <v>Average Sales</v>
      </c>
      <c r="L128" s="19">
        <f>YEAR(Table1342[[#This Row],[Date]])</f>
        <v>2023</v>
      </c>
      <c r="M128" s="19">
        <f>MONTH(Table1342[[#This Row],[Date]])</f>
        <v>12</v>
      </c>
      <c r="N128" s="19">
        <f>DAY(Table1342[[#This Row],[Date]])</f>
        <v>8</v>
      </c>
      <c r="O128" s="19"/>
      <c r="P128" s="19" t="str">
        <f>TEXT(DATE(2023,Table1342[[#This Row],[MONTH]],1),"mmm")</f>
        <v>Dec</v>
      </c>
      <c r="Q128" s="19"/>
    </row>
    <row r="129" spans="1:17" x14ac:dyDescent="0.3">
      <c r="A129" s="19">
        <v>128</v>
      </c>
      <c r="B129" s="20">
        <v>45195</v>
      </c>
      <c r="C129" s="19" t="s">
        <v>26</v>
      </c>
      <c r="D129" s="19" t="s">
        <v>27</v>
      </c>
      <c r="E129" s="19" t="s">
        <v>12</v>
      </c>
      <c r="F129" s="19" t="s">
        <v>13</v>
      </c>
      <c r="G129" s="19" t="s">
        <v>14</v>
      </c>
      <c r="H129" s="21">
        <v>30886.63</v>
      </c>
      <c r="I129" s="19">
        <v>3</v>
      </c>
      <c r="J129" s="21">
        <v>7845.04</v>
      </c>
      <c r="K129" s="19" t="str" cm="1">
        <f t="array" ref="K129">_xlfn.IFS(Table1342[[#This Row],[Sales]]&gt;40000,"Best Sales",Table1342[[#This Row],[Sales]]&gt;20000,"Average Sales",Table1342[[#This Row],[Sales]]&gt;0,"Poor Sales")</f>
        <v>Average Sales</v>
      </c>
      <c r="L129" s="19">
        <f>YEAR(Table1342[[#This Row],[Date]])</f>
        <v>2023</v>
      </c>
      <c r="M129" s="19">
        <f>MONTH(Table1342[[#This Row],[Date]])</f>
        <v>9</v>
      </c>
      <c r="N129" s="19">
        <f>DAY(Table1342[[#This Row],[Date]])</f>
        <v>26</v>
      </c>
      <c r="O129" s="19"/>
      <c r="P129" s="19" t="str">
        <f>TEXT(DATE(2023,Table1342[[#This Row],[MONTH]],1),"mmm")</f>
        <v>Sep</v>
      </c>
      <c r="Q129" s="19"/>
    </row>
    <row r="130" spans="1:17" x14ac:dyDescent="0.3">
      <c r="A130" s="19">
        <v>129</v>
      </c>
      <c r="B130" s="20">
        <v>45236</v>
      </c>
      <c r="C130" s="19" t="s">
        <v>10</v>
      </c>
      <c r="D130" s="19" t="s">
        <v>11</v>
      </c>
      <c r="E130" s="19" t="s">
        <v>12</v>
      </c>
      <c r="F130" s="19" t="s">
        <v>31</v>
      </c>
      <c r="G130" s="19" t="s">
        <v>39</v>
      </c>
      <c r="H130" s="21">
        <v>33355.910000000003</v>
      </c>
      <c r="I130" s="19">
        <v>5</v>
      </c>
      <c r="J130" s="21">
        <v>2731.47</v>
      </c>
      <c r="K130" s="19" t="str" cm="1">
        <f t="array" ref="K130">_xlfn.IFS(Table1342[[#This Row],[Sales]]&gt;40000,"Best Sales",Table1342[[#This Row],[Sales]]&gt;20000,"Average Sales",Table1342[[#This Row],[Sales]]&gt;0,"Poor Sales")</f>
        <v>Average Sales</v>
      </c>
      <c r="L130" s="19">
        <f>YEAR(Table1342[[#This Row],[Date]])</f>
        <v>2023</v>
      </c>
      <c r="M130" s="19">
        <f>MONTH(Table1342[[#This Row],[Date]])</f>
        <v>11</v>
      </c>
      <c r="N130" s="19">
        <f>DAY(Table1342[[#This Row],[Date]])</f>
        <v>6</v>
      </c>
      <c r="O130" s="19"/>
      <c r="P130" s="19" t="str">
        <f>TEXT(DATE(2023,Table1342[[#This Row],[MONTH]],1),"mmm")</f>
        <v>Nov</v>
      </c>
      <c r="Q130" s="19"/>
    </row>
    <row r="131" spans="1:17" x14ac:dyDescent="0.3">
      <c r="A131" s="19">
        <v>130</v>
      </c>
      <c r="B131" s="20">
        <v>45109</v>
      </c>
      <c r="C131" s="19" t="s">
        <v>10</v>
      </c>
      <c r="D131" s="19" t="s">
        <v>11</v>
      </c>
      <c r="E131" s="19" t="s">
        <v>12</v>
      </c>
      <c r="F131" s="19" t="s">
        <v>24</v>
      </c>
      <c r="G131" s="19" t="s">
        <v>28</v>
      </c>
      <c r="H131" s="21">
        <v>23925.26</v>
      </c>
      <c r="I131" s="19">
        <v>3</v>
      </c>
      <c r="J131" s="21">
        <v>4614.3999999999996</v>
      </c>
      <c r="K131" s="19" t="str" cm="1">
        <f t="array" ref="K131">_xlfn.IFS(Table1342[[#This Row],[Sales]]&gt;40000,"Best Sales",Table1342[[#This Row],[Sales]]&gt;20000,"Average Sales",Table1342[[#This Row],[Sales]]&gt;0,"Poor Sales")</f>
        <v>Average Sales</v>
      </c>
      <c r="L131" s="19">
        <f>YEAR(Table1342[[#This Row],[Date]])</f>
        <v>2023</v>
      </c>
      <c r="M131" s="19">
        <f>MONTH(Table1342[[#This Row],[Date]])</f>
        <v>7</v>
      </c>
      <c r="N131" s="19">
        <f>DAY(Table1342[[#This Row],[Date]])</f>
        <v>2</v>
      </c>
      <c r="O131" s="19"/>
      <c r="P131" s="19" t="str">
        <f>TEXT(DATE(2023,Table1342[[#This Row],[MONTH]],1),"mmm")</f>
        <v>Jul</v>
      </c>
      <c r="Q131" s="19"/>
    </row>
    <row r="132" spans="1:17" x14ac:dyDescent="0.3">
      <c r="A132" s="19">
        <v>131</v>
      </c>
      <c r="B132" s="20">
        <v>44930</v>
      </c>
      <c r="C132" s="19" t="s">
        <v>10</v>
      </c>
      <c r="D132" s="19" t="s">
        <v>11</v>
      </c>
      <c r="E132" s="19" t="s">
        <v>12</v>
      </c>
      <c r="F132" s="19" t="s">
        <v>13</v>
      </c>
      <c r="G132" s="19" t="s">
        <v>34</v>
      </c>
      <c r="H132" s="21">
        <v>46208.11</v>
      </c>
      <c r="I132" s="19">
        <v>1</v>
      </c>
      <c r="J132" s="21">
        <v>4640.21</v>
      </c>
      <c r="K132" s="19" t="str" cm="1">
        <f t="array" ref="K132">_xlfn.IFS(Table1342[[#This Row],[Sales]]&gt;40000,"Best Sales",Table1342[[#This Row],[Sales]]&gt;20000,"Average Sales",Table1342[[#This Row],[Sales]]&gt;0,"Poor Sales")</f>
        <v>Best Sales</v>
      </c>
      <c r="L132" s="19">
        <f>YEAR(Table1342[[#This Row],[Date]])</f>
        <v>2023</v>
      </c>
      <c r="M132" s="19">
        <f>MONTH(Table1342[[#This Row],[Date]])</f>
        <v>1</v>
      </c>
      <c r="N132" s="19">
        <f>DAY(Table1342[[#This Row],[Date]])</f>
        <v>4</v>
      </c>
      <c r="O132" s="19"/>
      <c r="P132" s="19" t="str">
        <f>TEXT(DATE(2023,Table1342[[#This Row],[MONTH]],1),"mmm")</f>
        <v>Jan</v>
      </c>
      <c r="Q132" s="19"/>
    </row>
    <row r="133" spans="1:17" x14ac:dyDescent="0.3">
      <c r="A133" s="19">
        <v>132</v>
      </c>
      <c r="B133" s="20">
        <v>44967</v>
      </c>
      <c r="C133" s="19" t="s">
        <v>10</v>
      </c>
      <c r="D133" s="19" t="s">
        <v>11</v>
      </c>
      <c r="E133" s="19" t="s">
        <v>12</v>
      </c>
      <c r="F133" s="19" t="s">
        <v>31</v>
      </c>
      <c r="G133" s="19" t="s">
        <v>39</v>
      </c>
      <c r="H133" s="21">
        <v>7965.54</v>
      </c>
      <c r="I133" s="19">
        <v>3</v>
      </c>
      <c r="J133" s="21">
        <v>2341.5300000000002</v>
      </c>
      <c r="K133" s="19" t="str" cm="1">
        <f t="array" ref="K133">_xlfn.IFS(Table1342[[#This Row],[Sales]]&gt;40000,"Best Sales",Table1342[[#This Row],[Sales]]&gt;20000,"Average Sales",Table1342[[#This Row],[Sales]]&gt;0,"Poor Sales")</f>
        <v>Poor Sales</v>
      </c>
      <c r="L133" s="19">
        <f>YEAR(Table1342[[#This Row],[Date]])</f>
        <v>2023</v>
      </c>
      <c r="M133" s="19">
        <f>MONTH(Table1342[[#This Row],[Date]])</f>
        <v>2</v>
      </c>
      <c r="N133" s="19">
        <f>DAY(Table1342[[#This Row],[Date]])</f>
        <v>10</v>
      </c>
      <c r="O133" s="19"/>
      <c r="P133" s="19" t="str">
        <f>TEXT(DATE(2023,Table1342[[#This Row],[MONTH]],1),"mmm")</f>
        <v>Feb</v>
      </c>
      <c r="Q133" s="19"/>
    </row>
    <row r="134" spans="1:17" x14ac:dyDescent="0.3">
      <c r="A134" s="19">
        <v>133</v>
      </c>
      <c r="B134" s="20">
        <v>45265</v>
      </c>
      <c r="C134" s="19" t="s">
        <v>15</v>
      </c>
      <c r="D134" s="19" t="s">
        <v>16</v>
      </c>
      <c r="E134" s="19" t="s">
        <v>12</v>
      </c>
      <c r="F134" s="19" t="s">
        <v>13</v>
      </c>
      <c r="G134" s="19" t="s">
        <v>34</v>
      </c>
      <c r="H134" s="21">
        <v>47622.58</v>
      </c>
      <c r="I134" s="19">
        <v>8</v>
      </c>
      <c r="J134" s="21">
        <v>13847.81</v>
      </c>
      <c r="K134" s="19" t="str" cm="1">
        <f t="array" ref="K134">_xlfn.IFS(Table1342[[#This Row],[Sales]]&gt;40000,"Best Sales",Table1342[[#This Row],[Sales]]&gt;20000,"Average Sales",Table1342[[#This Row],[Sales]]&gt;0,"Poor Sales")</f>
        <v>Best Sales</v>
      </c>
      <c r="L134" s="19">
        <f>YEAR(Table1342[[#This Row],[Date]])</f>
        <v>2023</v>
      </c>
      <c r="M134" s="19">
        <f>MONTH(Table1342[[#This Row],[Date]])</f>
        <v>12</v>
      </c>
      <c r="N134" s="19">
        <f>DAY(Table1342[[#This Row],[Date]])</f>
        <v>5</v>
      </c>
      <c r="O134" s="19"/>
      <c r="P134" s="19" t="str">
        <f>TEXT(DATE(2023,Table1342[[#This Row],[MONTH]],1),"mmm")</f>
        <v>Dec</v>
      </c>
      <c r="Q134" s="19"/>
    </row>
    <row r="135" spans="1:17" x14ac:dyDescent="0.3">
      <c r="A135" s="19">
        <v>134</v>
      </c>
      <c r="B135" s="20">
        <v>45204</v>
      </c>
      <c r="C135" s="19" t="s">
        <v>22</v>
      </c>
      <c r="D135" s="19" t="s">
        <v>22</v>
      </c>
      <c r="E135" s="19" t="s">
        <v>12</v>
      </c>
      <c r="F135" s="19" t="s">
        <v>31</v>
      </c>
      <c r="G135" s="19" t="s">
        <v>33</v>
      </c>
      <c r="H135" s="21">
        <v>2192.81</v>
      </c>
      <c r="I135" s="19">
        <v>2</v>
      </c>
      <c r="J135" s="21">
        <v>448.06</v>
      </c>
      <c r="K135" s="19" t="str" cm="1">
        <f t="array" ref="K135">_xlfn.IFS(Table1342[[#This Row],[Sales]]&gt;40000,"Best Sales",Table1342[[#This Row],[Sales]]&gt;20000,"Average Sales",Table1342[[#This Row],[Sales]]&gt;0,"Poor Sales")</f>
        <v>Poor Sales</v>
      </c>
      <c r="L135" s="19">
        <f>YEAR(Table1342[[#This Row],[Date]])</f>
        <v>2023</v>
      </c>
      <c r="M135" s="19">
        <f>MONTH(Table1342[[#This Row],[Date]])</f>
        <v>10</v>
      </c>
      <c r="N135" s="19">
        <f>DAY(Table1342[[#This Row],[Date]])</f>
        <v>5</v>
      </c>
      <c r="O135" s="19"/>
      <c r="P135" s="19" t="str">
        <f>TEXT(DATE(2023,Table1342[[#This Row],[MONTH]],1),"mmm")</f>
        <v>Oct</v>
      </c>
      <c r="Q135" s="19"/>
    </row>
    <row r="136" spans="1:17" x14ac:dyDescent="0.3">
      <c r="A136" s="19">
        <v>135</v>
      </c>
      <c r="B136" s="20">
        <v>45182</v>
      </c>
      <c r="C136" s="19" t="s">
        <v>35</v>
      </c>
      <c r="D136" s="19" t="s">
        <v>36</v>
      </c>
      <c r="E136" s="19" t="s">
        <v>12</v>
      </c>
      <c r="F136" s="19" t="s">
        <v>13</v>
      </c>
      <c r="G136" s="19" t="s">
        <v>34</v>
      </c>
      <c r="H136" s="21">
        <v>39455.26</v>
      </c>
      <c r="I136" s="19">
        <v>6</v>
      </c>
      <c r="J136" s="21">
        <v>7254.89</v>
      </c>
      <c r="K136" s="19" t="str" cm="1">
        <f t="array" ref="K136">_xlfn.IFS(Table1342[[#This Row],[Sales]]&gt;40000,"Best Sales",Table1342[[#This Row],[Sales]]&gt;20000,"Average Sales",Table1342[[#This Row],[Sales]]&gt;0,"Poor Sales")</f>
        <v>Average Sales</v>
      </c>
      <c r="L136" s="19">
        <f>YEAR(Table1342[[#This Row],[Date]])</f>
        <v>2023</v>
      </c>
      <c r="M136" s="19">
        <f>MONTH(Table1342[[#This Row],[Date]])</f>
        <v>9</v>
      </c>
      <c r="N136" s="19">
        <f>DAY(Table1342[[#This Row],[Date]])</f>
        <v>13</v>
      </c>
      <c r="O136" s="19"/>
      <c r="P136" s="19" t="str">
        <f>TEXT(DATE(2023,Table1342[[#This Row],[MONTH]],1),"mmm")</f>
        <v>Sep</v>
      </c>
      <c r="Q136" s="19"/>
    </row>
    <row r="137" spans="1:17" x14ac:dyDescent="0.3">
      <c r="A137" s="19">
        <v>136</v>
      </c>
      <c r="B137" s="20">
        <v>45066</v>
      </c>
      <c r="C137" s="19" t="s">
        <v>30</v>
      </c>
      <c r="D137" s="19" t="s">
        <v>16</v>
      </c>
      <c r="E137" s="19" t="s">
        <v>12</v>
      </c>
      <c r="F137" s="19" t="s">
        <v>31</v>
      </c>
      <c r="G137" s="19" t="s">
        <v>33</v>
      </c>
      <c r="H137" s="21">
        <v>33615.199999999997</v>
      </c>
      <c r="I137" s="19">
        <v>10</v>
      </c>
      <c r="J137" s="21">
        <v>9400.1200000000008</v>
      </c>
      <c r="K137" s="19" t="str" cm="1">
        <f t="array" ref="K137">_xlfn.IFS(Table1342[[#This Row],[Sales]]&gt;40000,"Best Sales",Table1342[[#This Row],[Sales]]&gt;20000,"Average Sales",Table1342[[#This Row],[Sales]]&gt;0,"Poor Sales")</f>
        <v>Average Sales</v>
      </c>
      <c r="L137" s="19">
        <f>YEAR(Table1342[[#This Row],[Date]])</f>
        <v>2023</v>
      </c>
      <c r="M137" s="19">
        <f>MONTH(Table1342[[#This Row],[Date]])</f>
        <v>5</v>
      </c>
      <c r="N137" s="19">
        <f>DAY(Table1342[[#This Row],[Date]])</f>
        <v>20</v>
      </c>
      <c r="O137" s="19"/>
      <c r="P137" s="19" t="str">
        <f>TEXT(DATE(2023,Table1342[[#This Row],[MONTH]],1),"mmm")</f>
        <v>May</v>
      </c>
      <c r="Q137" s="19"/>
    </row>
    <row r="138" spans="1:17" x14ac:dyDescent="0.3">
      <c r="A138" s="19">
        <v>137</v>
      </c>
      <c r="B138" s="20">
        <v>45112</v>
      </c>
      <c r="C138" s="19" t="s">
        <v>10</v>
      </c>
      <c r="D138" s="19" t="s">
        <v>11</v>
      </c>
      <c r="E138" s="19" t="s">
        <v>12</v>
      </c>
      <c r="F138" s="19" t="s">
        <v>13</v>
      </c>
      <c r="G138" s="19" t="s">
        <v>21</v>
      </c>
      <c r="H138" s="21">
        <v>43630.27</v>
      </c>
      <c r="I138" s="19">
        <v>1</v>
      </c>
      <c r="J138" s="21">
        <v>5720.89</v>
      </c>
      <c r="K138" s="19" t="str" cm="1">
        <f t="array" ref="K138">_xlfn.IFS(Table1342[[#This Row],[Sales]]&gt;40000,"Best Sales",Table1342[[#This Row],[Sales]]&gt;20000,"Average Sales",Table1342[[#This Row],[Sales]]&gt;0,"Poor Sales")</f>
        <v>Best Sales</v>
      </c>
      <c r="L138" s="19">
        <f>YEAR(Table1342[[#This Row],[Date]])</f>
        <v>2023</v>
      </c>
      <c r="M138" s="19">
        <f>MONTH(Table1342[[#This Row],[Date]])</f>
        <v>7</v>
      </c>
      <c r="N138" s="19">
        <f>DAY(Table1342[[#This Row],[Date]])</f>
        <v>5</v>
      </c>
      <c r="O138" s="19"/>
      <c r="P138" s="19" t="str">
        <f>TEXT(DATE(2023,Table1342[[#This Row],[MONTH]],1),"mmm")</f>
        <v>Jul</v>
      </c>
      <c r="Q138" s="19"/>
    </row>
    <row r="139" spans="1:17" x14ac:dyDescent="0.3">
      <c r="A139" s="19">
        <v>138</v>
      </c>
      <c r="B139" s="20">
        <v>45222</v>
      </c>
      <c r="C139" s="19" t="s">
        <v>30</v>
      </c>
      <c r="D139" s="19" t="s">
        <v>16</v>
      </c>
      <c r="E139" s="19" t="s">
        <v>12</v>
      </c>
      <c r="F139" s="19" t="s">
        <v>31</v>
      </c>
      <c r="G139" s="19" t="s">
        <v>39</v>
      </c>
      <c r="H139" s="21">
        <v>45089.98</v>
      </c>
      <c r="I139" s="19">
        <v>5</v>
      </c>
      <c r="J139" s="21">
        <v>4787.6899999999996</v>
      </c>
      <c r="K139" s="19" t="str" cm="1">
        <f t="array" ref="K139">_xlfn.IFS(Table1342[[#This Row],[Sales]]&gt;40000,"Best Sales",Table1342[[#This Row],[Sales]]&gt;20000,"Average Sales",Table1342[[#This Row],[Sales]]&gt;0,"Poor Sales")</f>
        <v>Best Sales</v>
      </c>
      <c r="L139" s="19">
        <f>YEAR(Table1342[[#This Row],[Date]])</f>
        <v>2023</v>
      </c>
      <c r="M139" s="19">
        <f>MONTH(Table1342[[#This Row],[Date]])</f>
        <v>10</v>
      </c>
      <c r="N139" s="19">
        <f>DAY(Table1342[[#This Row],[Date]])</f>
        <v>23</v>
      </c>
      <c r="O139" s="19"/>
      <c r="P139" s="19" t="str">
        <f>TEXT(DATE(2023,Table1342[[#This Row],[MONTH]],1),"mmm")</f>
        <v>Oct</v>
      </c>
      <c r="Q139" s="19"/>
    </row>
    <row r="140" spans="1:17" x14ac:dyDescent="0.3">
      <c r="A140" s="19">
        <v>139</v>
      </c>
      <c r="B140" s="20">
        <v>45193</v>
      </c>
      <c r="C140" s="19" t="s">
        <v>30</v>
      </c>
      <c r="D140" s="19" t="s">
        <v>16</v>
      </c>
      <c r="E140" s="19" t="s">
        <v>12</v>
      </c>
      <c r="F140" s="19" t="s">
        <v>24</v>
      </c>
      <c r="G140" s="19" t="s">
        <v>29</v>
      </c>
      <c r="H140" s="21">
        <v>41314.769999999997</v>
      </c>
      <c r="I140" s="19">
        <v>7</v>
      </c>
      <c r="J140" s="21">
        <v>9847.14</v>
      </c>
      <c r="K140" s="19" t="str" cm="1">
        <f t="array" ref="K140">_xlfn.IFS(Table1342[[#This Row],[Sales]]&gt;40000,"Best Sales",Table1342[[#This Row],[Sales]]&gt;20000,"Average Sales",Table1342[[#This Row],[Sales]]&gt;0,"Poor Sales")</f>
        <v>Best Sales</v>
      </c>
      <c r="L140" s="19">
        <f>YEAR(Table1342[[#This Row],[Date]])</f>
        <v>2023</v>
      </c>
      <c r="M140" s="19">
        <f>MONTH(Table1342[[#This Row],[Date]])</f>
        <v>9</v>
      </c>
      <c r="N140" s="19">
        <f>DAY(Table1342[[#This Row],[Date]])</f>
        <v>24</v>
      </c>
      <c r="O140" s="19"/>
      <c r="P140" s="19" t="str">
        <f>TEXT(DATE(2023,Table1342[[#This Row],[MONTH]],1),"mmm")</f>
        <v>Sep</v>
      </c>
      <c r="Q140" s="19"/>
    </row>
    <row r="141" spans="1:17" x14ac:dyDescent="0.3">
      <c r="A141" s="19">
        <v>140</v>
      </c>
      <c r="B141" s="20">
        <v>44981</v>
      </c>
      <c r="C141" s="19" t="s">
        <v>30</v>
      </c>
      <c r="D141" s="19" t="s">
        <v>16</v>
      </c>
      <c r="E141" s="19" t="s">
        <v>12</v>
      </c>
      <c r="F141" s="19" t="s">
        <v>24</v>
      </c>
      <c r="G141" s="19" t="s">
        <v>28</v>
      </c>
      <c r="H141" s="21">
        <v>33348.76</v>
      </c>
      <c r="I141" s="19">
        <v>2</v>
      </c>
      <c r="J141" s="21">
        <v>3732.78</v>
      </c>
      <c r="K141" s="19" t="str" cm="1">
        <f t="array" ref="K141">_xlfn.IFS(Table1342[[#This Row],[Sales]]&gt;40000,"Best Sales",Table1342[[#This Row],[Sales]]&gt;20000,"Average Sales",Table1342[[#This Row],[Sales]]&gt;0,"Poor Sales")</f>
        <v>Average Sales</v>
      </c>
      <c r="L141" s="19">
        <f>YEAR(Table1342[[#This Row],[Date]])</f>
        <v>2023</v>
      </c>
      <c r="M141" s="19">
        <f>MONTH(Table1342[[#This Row],[Date]])</f>
        <v>2</v>
      </c>
      <c r="N141" s="19">
        <f>DAY(Table1342[[#This Row],[Date]])</f>
        <v>24</v>
      </c>
      <c r="O141" s="19"/>
      <c r="P141" s="19" t="str">
        <f>TEXT(DATE(2023,Table1342[[#This Row],[MONTH]],1),"mmm")</f>
        <v>Feb</v>
      </c>
      <c r="Q141" s="19"/>
    </row>
    <row r="142" spans="1:17" x14ac:dyDescent="0.3">
      <c r="A142" s="19">
        <v>141</v>
      </c>
      <c r="B142" s="20">
        <v>44944</v>
      </c>
      <c r="C142" s="19" t="s">
        <v>18</v>
      </c>
      <c r="D142" s="19" t="s">
        <v>19</v>
      </c>
      <c r="E142" s="19" t="s">
        <v>12</v>
      </c>
      <c r="F142" s="19" t="s">
        <v>13</v>
      </c>
      <c r="G142" s="19" t="s">
        <v>14</v>
      </c>
      <c r="H142" s="21">
        <v>36059.56</v>
      </c>
      <c r="I142" s="19">
        <v>8</v>
      </c>
      <c r="J142" s="21">
        <v>6777.54</v>
      </c>
      <c r="K142" s="19" t="str" cm="1">
        <f t="array" ref="K142">_xlfn.IFS(Table1342[[#This Row],[Sales]]&gt;40000,"Best Sales",Table1342[[#This Row],[Sales]]&gt;20000,"Average Sales",Table1342[[#This Row],[Sales]]&gt;0,"Poor Sales")</f>
        <v>Average Sales</v>
      </c>
      <c r="L142" s="19">
        <f>YEAR(Table1342[[#This Row],[Date]])</f>
        <v>2023</v>
      </c>
      <c r="M142" s="19">
        <f>MONTH(Table1342[[#This Row],[Date]])</f>
        <v>1</v>
      </c>
      <c r="N142" s="19">
        <f>DAY(Table1342[[#This Row],[Date]])</f>
        <v>18</v>
      </c>
      <c r="O142" s="19"/>
      <c r="P142" s="19" t="str">
        <f>TEXT(DATE(2023,Table1342[[#This Row],[MONTH]],1),"mmm")</f>
        <v>Jan</v>
      </c>
      <c r="Q142" s="19"/>
    </row>
    <row r="143" spans="1:17" x14ac:dyDescent="0.3">
      <c r="A143" s="19">
        <v>142</v>
      </c>
      <c r="B143" s="20">
        <v>45063</v>
      </c>
      <c r="C143" s="19" t="s">
        <v>37</v>
      </c>
      <c r="D143" s="19" t="s">
        <v>27</v>
      </c>
      <c r="E143" s="19" t="s">
        <v>12</v>
      </c>
      <c r="F143" s="19" t="s">
        <v>24</v>
      </c>
      <c r="G143" s="19" t="s">
        <v>29</v>
      </c>
      <c r="H143" s="21">
        <v>21431.96</v>
      </c>
      <c r="I143" s="19">
        <v>6</v>
      </c>
      <c r="J143" s="21">
        <v>2214.5500000000002</v>
      </c>
      <c r="K143" s="19" t="str" cm="1">
        <f t="array" ref="K143">_xlfn.IFS(Table1342[[#This Row],[Sales]]&gt;40000,"Best Sales",Table1342[[#This Row],[Sales]]&gt;20000,"Average Sales",Table1342[[#This Row],[Sales]]&gt;0,"Poor Sales")</f>
        <v>Average Sales</v>
      </c>
      <c r="L143" s="19">
        <f>YEAR(Table1342[[#This Row],[Date]])</f>
        <v>2023</v>
      </c>
      <c r="M143" s="19">
        <f>MONTH(Table1342[[#This Row],[Date]])</f>
        <v>5</v>
      </c>
      <c r="N143" s="19">
        <f>DAY(Table1342[[#This Row],[Date]])</f>
        <v>17</v>
      </c>
      <c r="O143" s="19"/>
      <c r="P143" s="19" t="str">
        <f>TEXT(DATE(2023,Table1342[[#This Row],[MONTH]],1),"mmm")</f>
        <v>May</v>
      </c>
      <c r="Q143" s="19"/>
    </row>
    <row r="144" spans="1:17" x14ac:dyDescent="0.3">
      <c r="A144" s="19">
        <v>143</v>
      </c>
      <c r="B144" s="20">
        <v>45177</v>
      </c>
      <c r="C144" s="19" t="s">
        <v>26</v>
      </c>
      <c r="D144" s="19" t="s">
        <v>27</v>
      </c>
      <c r="E144" s="19" t="s">
        <v>12</v>
      </c>
      <c r="F144" s="19" t="s">
        <v>13</v>
      </c>
      <c r="G144" s="19" t="s">
        <v>14</v>
      </c>
      <c r="H144" s="21">
        <v>29187.79</v>
      </c>
      <c r="I144" s="19">
        <v>2</v>
      </c>
      <c r="J144" s="21">
        <v>1532.13</v>
      </c>
      <c r="K144" s="19" t="str" cm="1">
        <f t="array" ref="K144">_xlfn.IFS(Table1342[[#This Row],[Sales]]&gt;40000,"Best Sales",Table1342[[#This Row],[Sales]]&gt;20000,"Average Sales",Table1342[[#This Row],[Sales]]&gt;0,"Poor Sales")</f>
        <v>Average Sales</v>
      </c>
      <c r="L144" s="19">
        <f>YEAR(Table1342[[#This Row],[Date]])</f>
        <v>2023</v>
      </c>
      <c r="M144" s="19">
        <f>MONTH(Table1342[[#This Row],[Date]])</f>
        <v>9</v>
      </c>
      <c r="N144" s="19">
        <f>DAY(Table1342[[#This Row],[Date]])</f>
        <v>8</v>
      </c>
      <c r="O144" s="19"/>
      <c r="P144" s="19" t="str">
        <f>TEXT(DATE(2023,Table1342[[#This Row],[MONTH]],1),"mmm")</f>
        <v>Sep</v>
      </c>
      <c r="Q144" s="19"/>
    </row>
    <row r="145" spans="1:17" x14ac:dyDescent="0.3">
      <c r="A145" s="19">
        <v>144</v>
      </c>
      <c r="B145" s="20">
        <v>44930</v>
      </c>
      <c r="C145" s="19" t="s">
        <v>30</v>
      </c>
      <c r="D145" s="19" t="s">
        <v>16</v>
      </c>
      <c r="E145" s="19" t="s">
        <v>17</v>
      </c>
      <c r="F145" s="19" t="s">
        <v>31</v>
      </c>
      <c r="G145" s="19" t="s">
        <v>32</v>
      </c>
      <c r="H145" s="21">
        <v>45025.54</v>
      </c>
      <c r="I145" s="19">
        <v>2</v>
      </c>
      <c r="J145" s="21">
        <v>12720.22</v>
      </c>
      <c r="K145" s="19" t="str" cm="1">
        <f t="array" ref="K145">_xlfn.IFS(Table1342[[#This Row],[Sales]]&gt;40000,"Best Sales",Table1342[[#This Row],[Sales]]&gt;20000,"Average Sales",Table1342[[#This Row],[Sales]]&gt;0,"Poor Sales")</f>
        <v>Best Sales</v>
      </c>
      <c r="L145" s="19">
        <f>YEAR(Table1342[[#This Row],[Date]])</f>
        <v>2023</v>
      </c>
      <c r="M145" s="19">
        <f>MONTH(Table1342[[#This Row],[Date]])</f>
        <v>1</v>
      </c>
      <c r="N145" s="19">
        <f>DAY(Table1342[[#This Row],[Date]])</f>
        <v>4</v>
      </c>
      <c r="O145" s="19"/>
      <c r="P145" s="19" t="str">
        <f>TEXT(DATE(2023,Table1342[[#This Row],[MONTH]],1),"mmm")</f>
        <v>Jan</v>
      </c>
      <c r="Q145" s="19"/>
    </row>
    <row r="146" spans="1:17" x14ac:dyDescent="0.3">
      <c r="A146" s="19">
        <v>145</v>
      </c>
      <c r="B146" s="20">
        <v>45118</v>
      </c>
      <c r="C146" s="19" t="s">
        <v>15</v>
      </c>
      <c r="D146" s="19" t="s">
        <v>16</v>
      </c>
      <c r="E146" s="19" t="s">
        <v>17</v>
      </c>
      <c r="F146" s="19" t="s">
        <v>13</v>
      </c>
      <c r="G146" s="19" t="s">
        <v>14</v>
      </c>
      <c r="H146" s="21">
        <v>29484.35</v>
      </c>
      <c r="I146" s="19">
        <v>4</v>
      </c>
      <c r="J146" s="21">
        <v>2052.4299999999998</v>
      </c>
      <c r="K146" s="19" t="str" cm="1">
        <f t="array" ref="K146">_xlfn.IFS(Table1342[[#This Row],[Sales]]&gt;40000,"Best Sales",Table1342[[#This Row],[Sales]]&gt;20000,"Average Sales",Table1342[[#This Row],[Sales]]&gt;0,"Poor Sales")</f>
        <v>Average Sales</v>
      </c>
      <c r="L146" s="19">
        <f>YEAR(Table1342[[#This Row],[Date]])</f>
        <v>2023</v>
      </c>
      <c r="M146" s="19">
        <f>MONTH(Table1342[[#This Row],[Date]])</f>
        <v>7</v>
      </c>
      <c r="N146" s="19">
        <f>DAY(Table1342[[#This Row],[Date]])</f>
        <v>11</v>
      </c>
      <c r="O146" s="19"/>
      <c r="P146" s="19" t="str">
        <f>TEXT(DATE(2023,Table1342[[#This Row],[MONTH]],1),"mmm")</f>
        <v>Jul</v>
      </c>
      <c r="Q146" s="19"/>
    </row>
    <row r="147" spans="1:17" x14ac:dyDescent="0.3">
      <c r="A147" s="19">
        <v>146</v>
      </c>
      <c r="B147" s="20">
        <v>45067</v>
      </c>
      <c r="C147" s="19" t="s">
        <v>26</v>
      </c>
      <c r="D147" s="19" t="s">
        <v>27</v>
      </c>
      <c r="E147" s="19" t="s">
        <v>17</v>
      </c>
      <c r="F147" s="19" t="s">
        <v>13</v>
      </c>
      <c r="G147" s="19" t="s">
        <v>34</v>
      </c>
      <c r="H147" s="21">
        <v>16959.68</v>
      </c>
      <c r="I147" s="19">
        <v>4</v>
      </c>
      <c r="J147" s="21">
        <v>1943.65</v>
      </c>
      <c r="K147" s="19" t="str" cm="1">
        <f t="array" ref="K147">_xlfn.IFS(Table1342[[#This Row],[Sales]]&gt;40000,"Best Sales",Table1342[[#This Row],[Sales]]&gt;20000,"Average Sales",Table1342[[#This Row],[Sales]]&gt;0,"Poor Sales")</f>
        <v>Poor Sales</v>
      </c>
      <c r="L147" s="19">
        <f>YEAR(Table1342[[#This Row],[Date]])</f>
        <v>2023</v>
      </c>
      <c r="M147" s="19">
        <f>MONTH(Table1342[[#This Row],[Date]])</f>
        <v>5</v>
      </c>
      <c r="N147" s="19">
        <f>DAY(Table1342[[#This Row],[Date]])</f>
        <v>21</v>
      </c>
      <c r="O147" s="19"/>
      <c r="P147" s="19" t="str">
        <f>TEXT(DATE(2023,Table1342[[#This Row],[MONTH]],1),"mmm")</f>
        <v>May</v>
      </c>
      <c r="Q147" s="19"/>
    </row>
    <row r="148" spans="1:17" x14ac:dyDescent="0.3">
      <c r="A148" s="19">
        <v>147</v>
      </c>
      <c r="B148" s="20">
        <v>45022</v>
      </c>
      <c r="C148" s="19" t="s">
        <v>38</v>
      </c>
      <c r="D148" s="19" t="s">
        <v>27</v>
      </c>
      <c r="E148" s="19" t="s">
        <v>17</v>
      </c>
      <c r="F148" s="19" t="s">
        <v>13</v>
      </c>
      <c r="G148" s="19" t="s">
        <v>34</v>
      </c>
      <c r="H148" s="21">
        <v>31987.86</v>
      </c>
      <c r="I148" s="19">
        <v>8</v>
      </c>
      <c r="J148" s="21">
        <v>9445.74</v>
      </c>
      <c r="K148" s="19" t="str" cm="1">
        <f t="array" ref="K148">_xlfn.IFS(Table1342[[#This Row],[Sales]]&gt;40000,"Best Sales",Table1342[[#This Row],[Sales]]&gt;20000,"Average Sales",Table1342[[#This Row],[Sales]]&gt;0,"Poor Sales")</f>
        <v>Average Sales</v>
      </c>
      <c r="L148" s="19">
        <f>YEAR(Table1342[[#This Row],[Date]])</f>
        <v>2023</v>
      </c>
      <c r="M148" s="19">
        <f>MONTH(Table1342[[#This Row],[Date]])</f>
        <v>4</v>
      </c>
      <c r="N148" s="19">
        <f>DAY(Table1342[[#This Row],[Date]])</f>
        <v>6</v>
      </c>
      <c r="O148" s="19"/>
      <c r="P148" s="19" t="str">
        <f>TEXT(DATE(2023,Table1342[[#This Row],[MONTH]],1),"mmm")</f>
        <v>Apr</v>
      </c>
      <c r="Q148" s="19"/>
    </row>
    <row r="149" spans="1:17" x14ac:dyDescent="0.3">
      <c r="A149" s="19">
        <v>148</v>
      </c>
      <c r="B149" s="20">
        <v>44953</v>
      </c>
      <c r="C149" s="19" t="s">
        <v>38</v>
      </c>
      <c r="D149" s="19" t="s">
        <v>27</v>
      </c>
      <c r="E149" s="19" t="s">
        <v>17</v>
      </c>
      <c r="F149" s="19" t="s">
        <v>31</v>
      </c>
      <c r="G149" s="19" t="s">
        <v>32</v>
      </c>
      <c r="H149" s="21">
        <v>24644.97</v>
      </c>
      <c r="I149" s="19">
        <v>5</v>
      </c>
      <c r="J149" s="21">
        <v>2363.06</v>
      </c>
      <c r="K149" s="19" t="str" cm="1">
        <f t="array" ref="K149">_xlfn.IFS(Table1342[[#This Row],[Sales]]&gt;40000,"Best Sales",Table1342[[#This Row],[Sales]]&gt;20000,"Average Sales",Table1342[[#This Row],[Sales]]&gt;0,"Poor Sales")</f>
        <v>Average Sales</v>
      </c>
      <c r="L149" s="19">
        <f>YEAR(Table1342[[#This Row],[Date]])</f>
        <v>2023</v>
      </c>
      <c r="M149" s="19">
        <f>MONTH(Table1342[[#This Row],[Date]])</f>
        <v>1</v>
      </c>
      <c r="N149" s="19">
        <f>DAY(Table1342[[#This Row],[Date]])</f>
        <v>27</v>
      </c>
      <c r="O149" s="19"/>
      <c r="P149" s="19" t="str">
        <f>TEXT(DATE(2023,Table1342[[#This Row],[MONTH]],1),"mmm")</f>
        <v>Jan</v>
      </c>
      <c r="Q149" s="19"/>
    </row>
    <row r="150" spans="1:17" x14ac:dyDescent="0.3">
      <c r="A150" s="19">
        <v>149</v>
      </c>
      <c r="B150" s="20">
        <v>45241</v>
      </c>
      <c r="C150" s="19" t="s">
        <v>37</v>
      </c>
      <c r="D150" s="19" t="s">
        <v>27</v>
      </c>
      <c r="E150" s="19" t="s">
        <v>17</v>
      </c>
      <c r="F150" s="19" t="s">
        <v>13</v>
      </c>
      <c r="G150" s="19" t="s">
        <v>14</v>
      </c>
      <c r="H150" s="21">
        <v>28554.67</v>
      </c>
      <c r="I150" s="19">
        <v>9</v>
      </c>
      <c r="J150" s="21">
        <v>7750.57</v>
      </c>
      <c r="K150" s="19" t="str" cm="1">
        <f t="array" ref="K150">_xlfn.IFS(Table1342[[#This Row],[Sales]]&gt;40000,"Best Sales",Table1342[[#This Row],[Sales]]&gt;20000,"Average Sales",Table1342[[#This Row],[Sales]]&gt;0,"Poor Sales")</f>
        <v>Average Sales</v>
      </c>
      <c r="L150" s="19">
        <f>YEAR(Table1342[[#This Row],[Date]])</f>
        <v>2023</v>
      </c>
      <c r="M150" s="19">
        <f>MONTH(Table1342[[#This Row],[Date]])</f>
        <v>11</v>
      </c>
      <c r="N150" s="19">
        <f>DAY(Table1342[[#This Row],[Date]])</f>
        <v>11</v>
      </c>
      <c r="O150" s="19"/>
      <c r="P150" s="19" t="str">
        <f>TEXT(DATE(2023,Table1342[[#This Row],[MONTH]],1),"mmm")</f>
        <v>Nov</v>
      </c>
      <c r="Q150" s="19"/>
    </row>
    <row r="151" spans="1:17" x14ac:dyDescent="0.3">
      <c r="A151" s="19">
        <v>150</v>
      </c>
      <c r="B151" s="20">
        <v>44960</v>
      </c>
      <c r="C151" s="19" t="s">
        <v>18</v>
      </c>
      <c r="D151" s="19" t="s">
        <v>19</v>
      </c>
      <c r="E151" s="19" t="s">
        <v>17</v>
      </c>
      <c r="F151" s="19" t="s">
        <v>13</v>
      </c>
      <c r="G151" s="19" t="s">
        <v>34</v>
      </c>
      <c r="H151" s="21">
        <v>8418.6</v>
      </c>
      <c r="I151" s="19">
        <v>7</v>
      </c>
      <c r="J151" s="21">
        <v>1523.75</v>
      </c>
      <c r="K151" s="19" t="str" cm="1">
        <f t="array" ref="K151">_xlfn.IFS(Table1342[[#This Row],[Sales]]&gt;40000,"Best Sales",Table1342[[#This Row],[Sales]]&gt;20000,"Average Sales",Table1342[[#This Row],[Sales]]&gt;0,"Poor Sales")</f>
        <v>Poor Sales</v>
      </c>
      <c r="L151" s="19">
        <f>YEAR(Table1342[[#This Row],[Date]])</f>
        <v>2023</v>
      </c>
      <c r="M151" s="19">
        <f>MONTH(Table1342[[#This Row],[Date]])</f>
        <v>2</v>
      </c>
      <c r="N151" s="19">
        <f>DAY(Table1342[[#This Row],[Date]])</f>
        <v>3</v>
      </c>
      <c r="O151" s="19"/>
      <c r="P151" s="19" t="str">
        <f>TEXT(DATE(2023,Table1342[[#This Row],[MONTH]],1),"mmm")</f>
        <v>Feb</v>
      </c>
      <c r="Q151" s="19"/>
    </row>
    <row r="152" spans="1:17" x14ac:dyDescent="0.3">
      <c r="A152" s="19">
        <v>151</v>
      </c>
      <c r="B152" s="20">
        <v>45257</v>
      </c>
      <c r="C152" s="19" t="s">
        <v>18</v>
      </c>
      <c r="D152" s="19" t="s">
        <v>19</v>
      </c>
      <c r="E152" s="19" t="s">
        <v>17</v>
      </c>
      <c r="F152" s="19" t="s">
        <v>24</v>
      </c>
      <c r="G152" s="19" t="s">
        <v>28</v>
      </c>
      <c r="H152" s="21">
        <v>27560.07</v>
      </c>
      <c r="I152" s="19">
        <v>8</v>
      </c>
      <c r="J152" s="21">
        <v>2515.9699999999998</v>
      </c>
      <c r="K152" s="19" t="str" cm="1">
        <f t="array" ref="K152">_xlfn.IFS(Table1342[[#This Row],[Sales]]&gt;40000,"Best Sales",Table1342[[#This Row],[Sales]]&gt;20000,"Average Sales",Table1342[[#This Row],[Sales]]&gt;0,"Poor Sales")</f>
        <v>Average Sales</v>
      </c>
      <c r="L152" s="19">
        <f>YEAR(Table1342[[#This Row],[Date]])</f>
        <v>2023</v>
      </c>
      <c r="M152" s="19">
        <f>MONTH(Table1342[[#This Row],[Date]])</f>
        <v>11</v>
      </c>
      <c r="N152" s="19">
        <f>DAY(Table1342[[#This Row],[Date]])</f>
        <v>27</v>
      </c>
      <c r="O152" s="19"/>
      <c r="P152" s="19" t="str">
        <f>TEXT(DATE(2023,Table1342[[#This Row],[MONTH]],1),"mmm")</f>
        <v>Nov</v>
      </c>
      <c r="Q152" s="19"/>
    </row>
    <row r="153" spans="1:17" x14ac:dyDescent="0.3">
      <c r="A153" s="19">
        <v>152</v>
      </c>
      <c r="B153" s="20">
        <v>45201</v>
      </c>
      <c r="C153" s="19" t="s">
        <v>35</v>
      </c>
      <c r="D153" s="19" t="s">
        <v>36</v>
      </c>
      <c r="E153" s="19" t="s">
        <v>17</v>
      </c>
      <c r="F153" s="19" t="s">
        <v>24</v>
      </c>
      <c r="G153" s="19" t="s">
        <v>25</v>
      </c>
      <c r="H153" s="21">
        <v>13616.19</v>
      </c>
      <c r="I153" s="19">
        <v>10</v>
      </c>
      <c r="J153" s="21">
        <v>4009.3</v>
      </c>
      <c r="K153" s="19" t="str" cm="1">
        <f t="array" ref="K153">_xlfn.IFS(Table1342[[#This Row],[Sales]]&gt;40000,"Best Sales",Table1342[[#This Row],[Sales]]&gt;20000,"Average Sales",Table1342[[#This Row],[Sales]]&gt;0,"Poor Sales")</f>
        <v>Poor Sales</v>
      </c>
      <c r="L153" s="19">
        <f>YEAR(Table1342[[#This Row],[Date]])</f>
        <v>2023</v>
      </c>
      <c r="M153" s="19">
        <f>MONTH(Table1342[[#This Row],[Date]])</f>
        <v>10</v>
      </c>
      <c r="N153" s="19">
        <f>DAY(Table1342[[#This Row],[Date]])</f>
        <v>2</v>
      </c>
      <c r="O153" s="19"/>
      <c r="P153" s="19" t="str">
        <f>TEXT(DATE(2023,Table1342[[#This Row],[MONTH]],1),"mmm")</f>
        <v>Oct</v>
      </c>
      <c r="Q153" s="19"/>
    </row>
    <row r="154" spans="1:17" x14ac:dyDescent="0.3">
      <c r="A154" s="19">
        <v>153</v>
      </c>
      <c r="B154" s="20">
        <v>45139</v>
      </c>
      <c r="C154" s="19" t="s">
        <v>35</v>
      </c>
      <c r="D154" s="19" t="s">
        <v>36</v>
      </c>
      <c r="E154" s="19" t="s">
        <v>17</v>
      </c>
      <c r="F154" s="19" t="s">
        <v>13</v>
      </c>
      <c r="G154" s="19" t="s">
        <v>21</v>
      </c>
      <c r="H154" s="21">
        <v>25212.93</v>
      </c>
      <c r="I154" s="19">
        <v>8</v>
      </c>
      <c r="J154" s="21">
        <v>3535.68</v>
      </c>
      <c r="K154" s="19" t="str" cm="1">
        <f t="array" ref="K154">_xlfn.IFS(Table1342[[#This Row],[Sales]]&gt;40000,"Best Sales",Table1342[[#This Row],[Sales]]&gt;20000,"Average Sales",Table1342[[#This Row],[Sales]]&gt;0,"Poor Sales")</f>
        <v>Average Sales</v>
      </c>
      <c r="L154" s="19">
        <f>YEAR(Table1342[[#This Row],[Date]])</f>
        <v>2023</v>
      </c>
      <c r="M154" s="19">
        <f>MONTH(Table1342[[#This Row],[Date]])</f>
        <v>8</v>
      </c>
      <c r="N154" s="19">
        <f>DAY(Table1342[[#This Row],[Date]])</f>
        <v>1</v>
      </c>
      <c r="O154" s="19"/>
      <c r="P154" s="19" t="str">
        <f>TEXT(DATE(2023,Table1342[[#This Row],[MONTH]],1),"mmm")</f>
        <v>Aug</v>
      </c>
      <c r="Q154" s="19"/>
    </row>
    <row r="155" spans="1:17" x14ac:dyDescent="0.3">
      <c r="A155" s="19">
        <v>154</v>
      </c>
      <c r="B155" s="20">
        <v>44977</v>
      </c>
      <c r="C155" s="19" t="s">
        <v>15</v>
      </c>
      <c r="D155" s="19" t="s">
        <v>16</v>
      </c>
      <c r="E155" s="19" t="s">
        <v>17</v>
      </c>
      <c r="F155" s="19" t="s">
        <v>31</v>
      </c>
      <c r="G155" s="19" t="s">
        <v>39</v>
      </c>
      <c r="H155" s="21">
        <v>43825.39</v>
      </c>
      <c r="I155" s="19">
        <v>6</v>
      </c>
      <c r="J155" s="21">
        <v>10611</v>
      </c>
      <c r="K155" s="19" t="str" cm="1">
        <f t="array" ref="K155">_xlfn.IFS(Table1342[[#This Row],[Sales]]&gt;40000,"Best Sales",Table1342[[#This Row],[Sales]]&gt;20000,"Average Sales",Table1342[[#This Row],[Sales]]&gt;0,"Poor Sales")</f>
        <v>Best Sales</v>
      </c>
      <c r="L155" s="19">
        <f>YEAR(Table1342[[#This Row],[Date]])</f>
        <v>2023</v>
      </c>
      <c r="M155" s="19">
        <f>MONTH(Table1342[[#This Row],[Date]])</f>
        <v>2</v>
      </c>
      <c r="N155" s="19">
        <f>DAY(Table1342[[#This Row],[Date]])</f>
        <v>20</v>
      </c>
      <c r="O155" s="19"/>
      <c r="P155" s="19" t="str">
        <f>TEXT(DATE(2023,Table1342[[#This Row],[MONTH]],1),"mmm")</f>
        <v>Feb</v>
      </c>
      <c r="Q155" s="19"/>
    </row>
    <row r="156" spans="1:17" x14ac:dyDescent="0.3">
      <c r="A156" s="19">
        <v>155</v>
      </c>
      <c r="B156" s="20">
        <v>45011</v>
      </c>
      <c r="C156" s="19" t="s">
        <v>22</v>
      </c>
      <c r="D156" s="19" t="s">
        <v>22</v>
      </c>
      <c r="E156" s="19" t="s">
        <v>17</v>
      </c>
      <c r="F156" s="19" t="s">
        <v>24</v>
      </c>
      <c r="G156" s="19" t="s">
        <v>29</v>
      </c>
      <c r="H156" s="21">
        <v>40738.550000000003</v>
      </c>
      <c r="I156" s="19">
        <v>10</v>
      </c>
      <c r="J156" s="21">
        <v>3969.18</v>
      </c>
      <c r="K156" s="19" t="str" cm="1">
        <f t="array" ref="K156">_xlfn.IFS(Table1342[[#This Row],[Sales]]&gt;40000,"Best Sales",Table1342[[#This Row],[Sales]]&gt;20000,"Average Sales",Table1342[[#This Row],[Sales]]&gt;0,"Poor Sales")</f>
        <v>Best Sales</v>
      </c>
      <c r="L156" s="19">
        <f>YEAR(Table1342[[#This Row],[Date]])</f>
        <v>2023</v>
      </c>
      <c r="M156" s="19">
        <f>MONTH(Table1342[[#This Row],[Date]])</f>
        <v>3</v>
      </c>
      <c r="N156" s="19">
        <f>DAY(Table1342[[#This Row],[Date]])</f>
        <v>26</v>
      </c>
      <c r="O156" s="19"/>
      <c r="P156" s="19" t="str">
        <f>TEXT(DATE(2023,Table1342[[#This Row],[MONTH]],1),"mmm")</f>
        <v>Mar</v>
      </c>
      <c r="Q156" s="19"/>
    </row>
    <row r="157" spans="1:17" x14ac:dyDescent="0.3">
      <c r="A157" s="19">
        <v>156</v>
      </c>
      <c r="B157" s="20">
        <v>45007</v>
      </c>
      <c r="C157" s="19" t="s">
        <v>10</v>
      </c>
      <c r="D157" s="19" t="s">
        <v>11</v>
      </c>
      <c r="E157" s="19" t="s">
        <v>17</v>
      </c>
      <c r="F157" s="19" t="s">
        <v>24</v>
      </c>
      <c r="G157" s="19" t="s">
        <v>28</v>
      </c>
      <c r="H157" s="21">
        <v>8460.74</v>
      </c>
      <c r="I157" s="19">
        <v>4</v>
      </c>
      <c r="J157" s="21">
        <v>1472.42</v>
      </c>
      <c r="K157" s="19" t="str" cm="1">
        <f t="array" ref="K157">_xlfn.IFS(Table1342[[#This Row],[Sales]]&gt;40000,"Best Sales",Table1342[[#This Row],[Sales]]&gt;20000,"Average Sales",Table1342[[#This Row],[Sales]]&gt;0,"Poor Sales")</f>
        <v>Poor Sales</v>
      </c>
      <c r="L157" s="19">
        <f>YEAR(Table1342[[#This Row],[Date]])</f>
        <v>2023</v>
      </c>
      <c r="M157" s="19">
        <f>MONTH(Table1342[[#This Row],[Date]])</f>
        <v>3</v>
      </c>
      <c r="N157" s="19">
        <f>DAY(Table1342[[#This Row],[Date]])</f>
        <v>22</v>
      </c>
      <c r="O157" s="19"/>
      <c r="P157" s="19" t="str">
        <f>TEXT(DATE(2023,Table1342[[#This Row],[MONTH]],1),"mmm")</f>
        <v>Mar</v>
      </c>
      <c r="Q157" s="19"/>
    </row>
    <row r="158" spans="1:17" x14ac:dyDescent="0.3">
      <c r="A158" s="19">
        <v>157</v>
      </c>
      <c r="B158" s="20">
        <v>45002</v>
      </c>
      <c r="C158" s="19" t="s">
        <v>37</v>
      </c>
      <c r="D158" s="19" t="s">
        <v>27</v>
      </c>
      <c r="E158" s="19" t="s">
        <v>17</v>
      </c>
      <c r="F158" s="19" t="s">
        <v>13</v>
      </c>
      <c r="G158" s="19" t="s">
        <v>34</v>
      </c>
      <c r="H158" s="21">
        <v>41629.51</v>
      </c>
      <c r="I158" s="19">
        <v>9</v>
      </c>
      <c r="J158" s="21">
        <v>11605.29</v>
      </c>
      <c r="K158" s="19" t="str" cm="1">
        <f t="array" ref="K158">_xlfn.IFS(Table1342[[#This Row],[Sales]]&gt;40000,"Best Sales",Table1342[[#This Row],[Sales]]&gt;20000,"Average Sales",Table1342[[#This Row],[Sales]]&gt;0,"Poor Sales")</f>
        <v>Best Sales</v>
      </c>
      <c r="L158" s="19">
        <f>YEAR(Table1342[[#This Row],[Date]])</f>
        <v>2023</v>
      </c>
      <c r="M158" s="19">
        <f>MONTH(Table1342[[#This Row],[Date]])</f>
        <v>3</v>
      </c>
      <c r="N158" s="19">
        <f>DAY(Table1342[[#This Row],[Date]])</f>
        <v>17</v>
      </c>
      <c r="O158" s="19"/>
      <c r="P158" s="19" t="str">
        <f>TEXT(DATE(2023,Table1342[[#This Row],[MONTH]],1),"mmm")</f>
        <v>Mar</v>
      </c>
      <c r="Q158" s="19"/>
    </row>
    <row r="159" spans="1:17" x14ac:dyDescent="0.3">
      <c r="A159" s="19">
        <v>158</v>
      </c>
      <c r="B159" s="20">
        <v>45166</v>
      </c>
      <c r="C159" s="19" t="s">
        <v>15</v>
      </c>
      <c r="D159" s="19" t="s">
        <v>16</v>
      </c>
      <c r="E159" s="19" t="s">
        <v>17</v>
      </c>
      <c r="F159" s="19" t="s">
        <v>24</v>
      </c>
      <c r="G159" s="19" t="s">
        <v>28</v>
      </c>
      <c r="H159" s="21">
        <v>26680.82</v>
      </c>
      <c r="I159" s="19">
        <v>2</v>
      </c>
      <c r="J159" s="21">
        <v>5004.5</v>
      </c>
      <c r="K159" s="19" t="str" cm="1">
        <f t="array" ref="K159">_xlfn.IFS(Table1342[[#This Row],[Sales]]&gt;40000,"Best Sales",Table1342[[#This Row],[Sales]]&gt;20000,"Average Sales",Table1342[[#This Row],[Sales]]&gt;0,"Poor Sales")</f>
        <v>Average Sales</v>
      </c>
      <c r="L159" s="19">
        <f>YEAR(Table1342[[#This Row],[Date]])</f>
        <v>2023</v>
      </c>
      <c r="M159" s="19">
        <f>MONTH(Table1342[[#This Row],[Date]])</f>
        <v>8</v>
      </c>
      <c r="N159" s="19">
        <f>DAY(Table1342[[#This Row],[Date]])</f>
        <v>28</v>
      </c>
      <c r="O159" s="19"/>
      <c r="P159" s="19" t="str">
        <f>TEXT(DATE(2023,Table1342[[#This Row],[MONTH]],1),"mmm")</f>
        <v>Aug</v>
      </c>
      <c r="Q159" s="19"/>
    </row>
    <row r="160" spans="1:17" x14ac:dyDescent="0.3">
      <c r="A160" s="19">
        <v>159</v>
      </c>
      <c r="B160" s="20">
        <v>45085</v>
      </c>
      <c r="C160" s="19" t="s">
        <v>15</v>
      </c>
      <c r="D160" s="19" t="s">
        <v>16</v>
      </c>
      <c r="E160" s="19" t="s">
        <v>17</v>
      </c>
      <c r="F160" s="19" t="s">
        <v>24</v>
      </c>
      <c r="G160" s="19" t="s">
        <v>28</v>
      </c>
      <c r="H160" s="21">
        <v>31459.86</v>
      </c>
      <c r="I160" s="19">
        <v>7</v>
      </c>
      <c r="J160" s="21">
        <v>2921.88</v>
      </c>
      <c r="K160" s="19" t="str" cm="1">
        <f t="array" ref="K160">_xlfn.IFS(Table1342[[#This Row],[Sales]]&gt;40000,"Best Sales",Table1342[[#This Row],[Sales]]&gt;20000,"Average Sales",Table1342[[#This Row],[Sales]]&gt;0,"Poor Sales")</f>
        <v>Average Sales</v>
      </c>
      <c r="L160" s="19">
        <f>YEAR(Table1342[[#This Row],[Date]])</f>
        <v>2023</v>
      </c>
      <c r="M160" s="19">
        <f>MONTH(Table1342[[#This Row],[Date]])</f>
        <v>6</v>
      </c>
      <c r="N160" s="19">
        <f>DAY(Table1342[[#This Row],[Date]])</f>
        <v>8</v>
      </c>
      <c r="O160" s="19"/>
      <c r="P160" s="19" t="str">
        <f>TEXT(DATE(2023,Table1342[[#This Row],[MONTH]],1),"mmm")</f>
        <v>Jun</v>
      </c>
      <c r="Q160" s="19"/>
    </row>
    <row r="161" spans="1:17" x14ac:dyDescent="0.3">
      <c r="A161" s="19">
        <v>160</v>
      </c>
      <c r="B161" s="20">
        <v>45122</v>
      </c>
      <c r="C161" s="19" t="s">
        <v>26</v>
      </c>
      <c r="D161" s="19" t="s">
        <v>27</v>
      </c>
      <c r="E161" s="19" t="s">
        <v>17</v>
      </c>
      <c r="F161" s="19" t="s">
        <v>24</v>
      </c>
      <c r="G161" s="19" t="s">
        <v>25</v>
      </c>
      <c r="H161" s="21">
        <v>2532.71</v>
      </c>
      <c r="I161" s="19">
        <v>8</v>
      </c>
      <c r="J161" s="21">
        <v>324.74</v>
      </c>
      <c r="K161" s="19" t="str" cm="1">
        <f t="array" ref="K161">_xlfn.IFS(Table1342[[#This Row],[Sales]]&gt;40000,"Best Sales",Table1342[[#This Row],[Sales]]&gt;20000,"Average Sales",Table1342[[#This Row],[Sales]]&gt;0,"Poor Sales")</f>
        <v>Poor Sales</v>
      </c>
      <c r="L161" s="19">
        <f>YEAR(Table1342[[#This Row],[Date]])</f>
        <v>2023</v>
      </c>
      <c r="M161" s="19">
        <f>MONTH(Table1342[[#This Row],[Date]])</f>
        <v>7</v>
      </c>
      <c r="N161" s="19">
        <f>DAY(Table1342[[#This Row],[Date]])</f>
        <v>15</v>
      </c>
      <c r="O161" s="19"/>
      <c r="P161" s="19" t="str">
        <f>TEXT(DATE(2023,Table1342[[#This Row],[MONTH]],1),"mmm")</f>
        <v>Jul</v>
      </c>
      <c r="Q161" s="19"/>
    </row>
    <row r="162" spans="1:17" x14ac:dyDescent="0.3">
      <c r="A162" s="19">
        <v>161</v>
      </c>
      <c r="B162" s="20">
        <v>45062</v>
      </c>
      <c r="C162" s="19" t="s">
        <v>38</v>
      </c>
      <c r="D162" s="19" t="s">
        <v>27</v>
      </c>
      <c r="E162" s="19" t="s">
        <v>17</v>
      </c>
      <c r="F162" s="19" t="s">
        <v>31</v>
      </c>
      <c r="G162" s="19" t="s">
        <v>33</v>
      </c>
      <c r="H162" s="21">
        <v>26794.54</v>
      </c>
      <c r="I162" s="19">
        <v>8</v>
      </c>
      <c r="J162" s="21">
        <v>5027.8900000000003</v>
      </c>
      <c r="K162" s="19" t="str" cm="1">
        <f t="array" ref="K162">_xlfn.IFS(Table1342[[#This Row],[Sales]]&gt;40000,"Best Sales",Table1342[[#This Row],[Sales]]&gt;20000,"Average Sales",Table1342[[#This Row],[Sales]]&gt;0,"Poor Sales")</f>
        <v>Average Sales</v>
      </c>
      <c r="L162" s="19">
        <f>YEAR(Table1342[[#This Row],[Date]])</f>
        <v>2023</v>
      </c>
      <c r="M162" s="19">
        <f>MONTH(Table1342[[#This Row],[Date]])</f>
        <v>5</v>
      </c>
      <c r="N162" s="19">
        <f>DAY(Table1342[[#This Row],[Date]])</f>
        <v>16</v>
      </c>
      <c r="O162" s="19"/>
      <c r="P162" s="19" t="str">
        <f>TEXT(DATE(2023,Table1342[[#This Row],[MONTH]],1),"mmm")</f>
        <v>May</v>
      </c>
      <c r="Q162" s="19"/>
    </row>
    <row r="163" spans="1:17" x14ac:dyDescent="0.3">
      <c r="A163" s="19">
        <v>162</v>
      </c>
      <c r="B163" s="20">
        <v>45069</v>
      </c>
      <c r="C163" s="19" t="s">
        <v>10</v>
      </c>
      <c r="D163" s="19" t="s">
        <v>11</v>
      </c>
      <c r="E163" s="19" t="s">
        <v>17</v>
      </c>
      <c r="F163" s="19" t="s">
        <v>31</v>
      </c>
      <c r="G163" s="19" t="s">
        <v>33</v>
      </c>
      <c r="H163" s="21">
        <v>36838.78</v>
      </c>
      <c r="I163" s="19">
        <v>6</v>
      </c>
      <c r="J163" s="21">
        <v>4092.23</v>
      </c>
      <c r="K163" s="19" t="str" cm="1">
        <f t="array" ref="K163">_xlfn.IFS(Table1342[[#This Row],[Sales]]&gt;40000,"Best Sales",Table1342[[#This Row],[Sales]]&gt;20000,"Average Sales",Table1342[[#This Row],[Sales]]&gt;0,"Poor Sales")</f>
        <v>Average Sales</v>
      </c>
      <c r="L163" s="19">
        <f>YEAR(Table1342[[#This Row],[Date]])</f>
        <v>2023</v>
      </c>
      <c r="M163" s="19">
        <f>MONTH(Table1342[[#This Row],[Date]])</f>
        <v>5</v>
      </c>
      <c r="N163" s="19">
        <f>DAY(Table1342[[#This Row],[Date]])</f>
        <v>23</v>
      </c>
      <c r="O163" s="19"/>
      <c r="P163" s="19" t="str">
        <f>TEXT(DATE(2023,Table1342[[#This Row],[MONTH]],1),"mmm")</f>
        <v>May</v>
      </c>
      <c r="Q163" s="19"/>
    </row>
    <row r="164" spans="1:17" x14ac:dyDescent="0.3">
      <c r="A164" s="19">
        <v>163</v>
      </c>
      <c r="B164" s="20">
        <v>45233</v>
      </c>
      <c r="C164" s="19" t="s">
        <v>22</v>
      </c>
      <c r="D164" s="19" t="s">
        <v>22</v>
      </c>
      <c r="E164" s="19" t="s">
        <v>17</v>
      </c>
      <c r="F164" s="19" t="s">
        <v>31</v>
      </c>
      <c r="G164" s="19" t="s">
        <v>39</v>
      </c>
      <c r="H164" s="21">
        <v>13801.62</v>
      </c>
      <c r="I164" s="19">
        <v>1</v>
      </c>
      <c r="J164" s="21">
        <v>1863.69</v>
      </c>
      <c r="K164" s="19" t="str" cm="1">
        <f t="array" ref="K164">_xlfn.IFS(Table1342[[#This Row],[Sales]]&gt;40000,"Best Sales",Table1342[[#This Row],[Sales]]&gt;20000,"Average Sales",Table1342[[#This Row],[Sales]]&gt;0,"Poor Sales")</f>
        <v>Poor Sales</v>
      </c>
      <c r="L164" s="19">
        <f>YEAR(Table1342[[#This Row],[Date]])</f>
        <v>2023</v>
      </c>
      <c r="M164" s="19">
        <f>MONTH(Table1342[[#This Row],[Date]])</f>
        <v>11</v>
      </c>
      <c r="N164" s="19">
        <f>DAY(Table1342[[#This Row],[Date]])</f>
        <v>3</v>
      </c>
      <c r="O164" s="19"/>
      <c r="P164" s="19" t="str">
        <f>TEXT(DATE(2023,Table1342[[#This Row],[MONTH]],1),"mmm")</f>
        <v>Nov</v>
      </c>
      <c r="Q164" s="19"/>
    </row>
    <row r="165" spans="1:17" x14ac:dyDescent="0.3">
      <c r="A165" s="19">
        <v>164</v>
      </c>
      <c r="B165" s="20">
        <v>45018</v>
      </c>
      <c r="C165" s="19" t="s">
        <v>37</v>
      </c>
      <c r="D165" s="19" t="s">
        <v>27</v>
      </c>
      <c r="E165" s="19" t="s">
        <v>17</v>
      </c>
      <c r="F165" s="19" t="s">
        <v>31</v>
      </c>
      <c r="G165" s="19" t="s">
        <v>32</v>
      </c>
      <c r="H165" s="21">
        <v>26884.04</v>
      </c>
      <c r="I165" s="19">
        <v>9</v>
      </c>
      <c r="J165" s="21">
        <v>4634.18</v>
      </c>
      <c r="K165" s="19" t="str" cm="1">
        <f t="array" ref="K165">_xlfn.IFS(Table1342[[#This Row],[Sales]]&gt;40000,"Best Sales",Table1342[[#This Row],[Sales]]&gt;20000,"Average Sales",Table1342[[#This Row],[Sales]]&gt;0,"Poor Sales")</f>
        <v>Average Sales</v>
      </c>
      <c r="L165" s="19">
        <f>YEAR(Table1342[[#This Row],[Date]])</f>
        <v>2023</v>
      </c>
      <c r="M165" s="19">
        <f>MONTH(Table1342[[#This Row],[Date]])</f>
        <v>4</v>
      </c>
      <c r="N165" s="19">
        <f>DAY(Table1342[[#This Row],[Date]])</f>
        <v>2</v>
      </c>
      <c r="O165" s="19"/>
      <c r="P165" s="19" t="str">
        <f>TEXT(DATE(2023,Table1342[[#This Row],[MONTH]],1),"mmm")</f>
        <v>Apr</v>
      </c>
      <c r="Q165" s="19"/>
    </row>
    <row r="166" spans="1:17" x14ac:dyDescent="0.3">
      <c r="A166" s="19">
        <v>165</v>
      </c>
      <c r="B166" s="20">
        <v>45280</v>
      </c>
      <c r="C166" s="19" t="s">
        <v>22</v>
      </c>
      <c r="D166" s="19" t="s">
        <v>22</v>
      </c>
      <c r="E166" s="19" t="s">
        <v>17</v>
      </c>
      <c r="F166" s="19" t="s">
        <v>31</v>
      </c>
      <c r="G166" s="19" t="s">
        <v>39</v>
      </c>
      <c r="H166" s="21">
        <v>24536.3</v>
      </c>
      <c r="I166" s="19">
        <v>4</v>
      </c>
      <c r="J166" s="21">
        <v>4883.58</v>
      </c>
      <c r="K166" s="19" t="str" cm="1">
        <f t="array" ref="K166">_xlfn.IFS(Table1342[[#This Row],[Sales]]&gt;40000,"Best Sales",Table1342[[#This Row],[Sales]]&gt;20000,"Average Sales",Table1342[[#This Row],[Sales]]&gt;0,"Poor Sales")</f>
        <v>Average Sales</v>
      </c>
      <c r="L166" s="19">
        <f>YEAR(Table1342[[#This Row],[Date]])</f>
        <v>2023</v>
      </c>
      <c r="M166" s="19">
        <f>MONTH(Table1342[[#This Row],[Date]])</f>
        <v>12</v>
      </c>
      <c r="N166" s="19">
        <f>DAY(Table1342[[#This Row],[Date]])</f>
        <v>20</v>
      </c>
      <c r="O166" s="19"/>
      <c r="P166" s="19" t="str">
        <f>TEXT(DATE(2023,Table1342[[#This Row],[MONTH]],1),"mmm")</f>
        <v>Dec</v>
      </c>
      <c r="Q166" s="19"/>
    </row>
    <row r="167" spans="1:17" x14ac:dyDescent="0.3">
      <c r="A167" s="19">
        <v>166</v>
      </c>
      <c r="B167" s="20">
        <v>45092</v>
      </c>
      <c r="C167" s="19" t="s">
        <v>26</v>
      </c>
      <c r="D167" s="19" t="s">
        <v>27</v>
      </c>
      <c r="E167" s="19" t="s">
        <v>17</v>
      </c>
      <c r="F167" s="19" t="s">
        <v>13</v>
      </c>
      <c r="G167" s="19" t="s">
        <v>14</v>
      </c>
      <c r="H167" s="21">
        <v>38091.9</v>
      </c>
      <c r="I167" s="19">
        <v>3</v>
      </c>
      <c r="J167" s="21">
        <v>2162.17</v>
      </c>
      <c r="K167" s="19" t="str" cm="1">
        <f t="array" ref="K167">_xlfn.IFS(Table1342[[#This Row],[Sales]]&gt;40000,"Best Sales",Table1342[[#This Row],[Sales]]&gt;20000,"Average Sales",Table1342[[#This Row],[Sales]]&gt;0,"Poor Sales")</f>
        <v>Average Sales</v>
      </c>
      <c r="L167" s="19">
        <f>YEAR(Table1342[[#This Row],[Date]])</f>
        <v>2023</v>
      </c>
      <c r="M167" s="19">
        <f>MONTH(Table1342[[#This Row],[Date]])</f>
        <v>6</v>
      </c>
      <c r="N167" s="19">
        <f>DAY(Table1342[[#This Row],[Date]])</f>
        <v>15</v>
      </c>
      <c r="O167" s="19"/>
      <c r="P167" s="19" t="str">
        <f>TEXT(DATE(2023,Table1342[[#This Row],[MONTH]],1),"mmm")</f>
        <v>Jun</v>
      </c>
      <c r="Q167" s="19"/>
    </row>
    <row r="168" spans="1:17" x14ac:dyDescent="0.3">
      <c r="A168" s="19">
        <v>167</v>
      </c>
      <c r="B168" s="20">
        <v>45066</v>
      </c>
      <c r="C168" s="19" t="s">
        <v>38</v>
      </c>
      <c r="D168" s="19" t="s">
        <v>27</v>
      </c>
      <c r="E168" s="19" t="s">
        <v>17</v>
      </c>
      <c r="F168" s="19" t="s">
        <v>24</v>
      </c>
      <c r="G168" s="19" t="s">
        <v>28</v>
      </c>
      <c r="H168" s="21">
        <v>39598.29</v>
      </c>
      <c r="I168" s="19">
        <v>5</v>
      </c>
      <c r="J168" s="21">
        <v>6403.75</v>
      </c>
      <c r="K168" s="19" t="str" cm="1">
        <f t="array" ref="K168">_xlfn.IFS(Table1342[[#This Row],[Sales]]&gt;40000,"Best Sales",Table1342[[#This Row],[Sales]]&gt;20000,"Average Sales",Table1342[[#This Row],[Sales]]&gt;0,"Poor Sales")</f>
        <v>Average Sales</v>
      </c>
      <c r="L168" s="19">
        <f>YEAR(Table1342[[#This Row],[Date]])</f>
        <v>2023</v>
      </c>
      <c r="M168" s="19">
        <f>MONTH(Table1342[[#This Row],[Date]])</f>
        <v>5</v>
      </c>
      <c r="N168" s="19">
        <f>DAY(Table1342[[#This Row],[Date]])</f>
        <v>20</v>
      </c>
      <c r="O168" s="19"/>
      <c r="P168" s="19" t="str">
        <f>TEXT(DATE(2023,Table1342[[#This Row],[MONTH]],1),"mmm")</f>
        <v>May</v>
      </c>
      <c r="Q168" s="19"/>
    </row>
    <row r="169" spans="1:17" x14ac:dyDescent="0.3">
      <c r="A169" s="19">
        <v>168</v>
      </c>
      <c r="B169" s="20">
        <v>44968</v>
      </c>
      <c r="C169" s="19" t="s">
        <v>38</v>
      </c>
      <c r="D169" s="19" t="s">
        <v>27</v>
      </c>
      <c r="E169" s="19" t="s">
        <v>17</v>
      </c>
      <c r="F169" s="19" t="s">
        <v>13</v>
      </c>
      <c r="G169" s="19" t="s">
        <v>34</v>
      </c>
      <c r="H169" s="21">
        <v>4814.78</v>
      </c>
      <c r="I169" s="19">
        <v>6</v>
      </c>
      <c r="J169" s="21">
        <v>378.7</v>
      </c>
      <c r="K169" s="19" t="str" cm="1">
        <f t="array" ref="K169">_xlfn.IFS(Table1342[[#This Row],[Sales]]&gt;40000,"Best Sales",Table1342[[#This Row],[Sales]]&gt;20000,"Average Sales",Table1342[[#This Row],[Sales]]&gt;0,"Poor Sales")</f>
        <v>Poor Sales</v>
      </c>
      <c r="L169" s="19">
        <f>YEAR(Table1342[[#This Row],[Date]])</f>
        <v>2023</v>
      </c>
      <c r="M169" s="19">
        <f>MONTH(Table1342[[#This Row],[Date]])</f>
        <v>2</v>
      </c>
      <c r="N169" s="19">
        <f>DAY(Table1342[[#This Row],[Date]])</f>
        <v>11</v>
      </c>
      <c r="O169" s="19"/>
      <c r="P169" s="19" t="str">
        <f>TEXT(DATE(2023,Table1342[[#This Row],[MONTH]],1),"mmm")</f>
        <v>Feb</v>
      </c>
      <c r="Q169" s="19"/>
    </row>
    <row r="170" spans="1:17" x14ac:dyDescent="0.3">
      <c r="A170" s="19">
        <v>169</v>
      </c>
      <c r="B170" s="20">
        <v>45237</v>
      </c>
      <c r="C170" s="19" t="s">
        <v>18</v>
      </c>
      <c r="D170" s="19" t="s">
        <v>19</v>
      </c>
      <c r="E170" s="19" t="s">
        <v>17</v>
      </c>
      <c r="F170" s="19" t="s">
        <v>31</v>
      </c>
      <c r="G170" s="19" t="s">
        <v>32</v>
      </c>
      <c r="H170" s="21">
        <v>20072.27</v>
      </c>
      <c r="I170" s="19">
        <v>1</v>
      </c>
      <c r="J170" s="21">
        <v>4794.18</v>
      </c>
      <c r="K170" s="19" t="str" cm="1">
        <f t="array" ref="K170">_xlfn.IFS(Table1342[[#This Row],[Sales]]&gt;40000,"Best Sales",Table1342[[#This Row],[Sales]]&gt;20000,"Average Sales",Table1342[[#This Row],[Sales]]&gt;0,"Poor Sales")</f>
        <v>Average Sales</v>
      </c>
      <c r="L170" s="19">
        <f>YEAR(Table1342[[#This Row],[Date]])</f>
        <v>2023</v>
      </c>
      <c r="M170" s="19">
        <f>MONTH(Table1342[[#This Row],[Date]])</f>
        <v>11</v>
      </c>
      <c r="N170" s="19">
        <f>DAY(Table1342[[#This Row],[Date]])</f>
        <v>7</v>
      </c>
      <c r="O170" s="19"/>
      <c r="P170" s="19" t="str">
        <f>TEXT(DATE(2023,Table1342[[#This Row],[MONTH]],1),"mmm")</f>
        <v>Nov</v>
      </c>
      <c r="Q170" s="19"/>
    </row>
    <row r="171" spans="1:17" x14ac:dyDescent="0.3">
      <c r="A171" s="19">
        <v>170</v>
      </c>
      <c r="B171" s="20">
        <v>45175</v>
      </c>
      <c r="C171" s="19" t="s">
        <v>10</v>
      </c>
      <c r="D171" s="19" t="s">
        <v>11</v>
      </c>
      <c r="E171" s="19" t="s">
        <v>17</v>
      </c>
      <c r="F171" s="19" t="s">
        <v>31</v>
      </c>
      <c r="G171" s="19" t="s">
        <v>32</v>
      </c>
      <c r="H171" s="21">
        <v>23725.51</v>
      </c>
      <c r="I171" s="19">
        <v>1</v>
      </c>
      <c r="J171" s="21">
        <v>1324.6</v>
      </c>
      <c r="K171" s="19" t="str" cm="1">
        <f t="array" ref="K171">_xlfn.IFS(Table1342[[#This Row],[Sales]]&gt;40000,"Best Sales",Table1342[[#This Row],[Sales]]&gt;20000,"Average Sales",Table1342[[#This Row],[Sales]]&gt;0,"Poor Sales")</f>
        <v>Average Sales</v>
      </c>
      <c r="L171" s="19">
        <f>YEAR(Table1342[[#This Row],[Date]])</f>
        <v>2023</v>
      </c>
      <c r="M171" s="19">
        <f>MONTH(Table1342[[#This Row],[Date]])</f>
        <v>9</v>
      </c>
      <c r="N171" s="19">
        <f>DAY(Table1342[[#This Row],[Date]])</f>
        <v>6</v>
      </c>
      <c r="O171" s="19"/>
      <c r="P171" s="19" t="str">
        <f>TEXT(DATE(2023,Table1342[[#This Row],[MONTH]],1),"mmm")</f>
        <v>Sep</v>
      </c>
      <c r="Q171" s="19"/>
    </row>
    <row r="172" spans="1:17" x14ac:dyDescent="0.3">
      <c r="A172" s="19">
        <v>171</v>
      </c>
      <c r="B172" s="20">
        <v>45192</v>
      </c>
      <c r="C172" s="19" t="s">
        <v>18</v>
      </c>
      <c r="D172" s="19" t="s">
        <v>19</v>
      </c>
      <c r="E172" s="19" t="s">
        <v>17</v>
      </c>
      <c r="F172" s="19" t="s">
        <v>13</v>
      </c>
      <c r="G172" s="19" t="s">
        <v>14</v>
      </c>
      <c r="H172" s="21">
        <v>6338.6</v>
      </c>
      <c r="I172" s="19">
        <v>10</v>
      </c>
      <c r="J172" s="21">
        <v>850.83</v>
      </c>
      <c r="K172" s="19" t="str" cm="1">
        <f t="array" ref="K172">_xlfn.IFS(Table1342[[#This Row],[Sales]]&gt;40000,"Best Sales",Table1342[[#This Row],[Sales]]&gt;20000,"Average Sales",Table1342[[#This Row],[Sales]]&gt;0,"Poor Sales")</f>
        <v>Poor Sales</v>
      </c>
      <c r="L172" s="19">
        <f>YEAR(Table1342[[#This Row],[Date]])</f>
        <v>2023</v>
      </c>
      <c r="M172" s="19">
        <f>MONTH(Table1342[[#This Row],[Date]])</f>
        <v>9</v>
      </c>
      <c r="N172" s="19">
        <f>DAY(Table1342[[#This Row],[Date]])</f>
        <v>23</v>
      </c>
      <c r="O172" s="19"/>
      <c r="P172" s="19" t="str">
        <f>TEXT(DATE(2023,Table1342[[#This Row],[MONTH]],1),"mmm")</f>
        <v>Sep</v>
      </c>
      <c r="Q172" s="19"/>
    </row>
    <row r="173" spans="1:17" x14ac:dyDescent="0.3">
      <c r="A173" s="19">
        <v>172</v>
      </c>
      <c r="B173" s="20">
        <v>44934</v>
      </c>
      <c r="C173" s="19" t="s">
        <v>26</v>
      </c>
      <c r="D173" s="19" t="s">
        <v>27</v>
      </c>
      <c r="E173" s="19" t="s">
        <v>17</v>
      </c>
      <c r="F173" s="19" t="s">
        <v>31</v>
      </c>
      <c r="G173" s="19" t="s">
        <v>33</v>
      </c>
      <c r="H173" s="21">
        <v>43340.91</v>
      </c>
      <c r="I173" s="19">
        <v>3</v>
      </c>
      <c r="J173" s="21">
        <v>3409.31</v>
      </c>
      <c r="K173" s="19" t="str" cm="1">
        <f t="array" ref="K173">_xlfn.IFS(Table1342[[#This Row],[Sales]]&gt;40000,"Best Sales",Table1342[[#This Row],[Sales]]&gt;20000,"Average Sales",Table1342[[#This Row],[Sales]]&gt;0,"Poor Sales")</f>
        <v>Best Sales</v>
      </c>
      <c r="L173" s="19">
        <f>YEAR(Table1342[[#This Row],[Date]])</f>
        <v>2023</v>
      </c>
      <c r="M173" s="19">
        <f>MONTH(Table1342[[#This Row],[Date]])</f>
        <v>1</v>
      </c>
      <c r="N173" s="19">
        <f>DAY(Table1342[[#This Row],[Date]])</f>
        <v>8</v>
      </c>
      <c r="O173" s="19"/>
      <c r="P173" s="19" t="str">
        <f>TEXT(DATE(2023,Table1342[[#This Row],[MONTH]],1),"mmm")</f>
        <v>Jan</v>
      </c>
      <c r="Q173" s="19"/>
    </row>
    <row r="174" spans="1:17" x14ac:dyDescent="0.3">
      <c r="A174" s="19">
        <v>173</v>
      </c>
      <c r="B174" s="20">
        <v>45014</v>
      </c>
      <c r="C174" s="19" t="s">
        <v>37</v>
      </c>
      <c r="D174" s="19" t="s">
        <v>27</v>
      </c>
      <c r="E174" s="19" t="s">
        <v>17</v>
      </c>
      <c r="F174" s="19" t="s">
        <v>31</v>
      </c>
      <c r="G174" s="19" t="s">
        <v>39</v>
      </c>
      <c r="H174" s="21">
        <v>5774.71</v>
      </c>
      <c r="I174" s="19">
        <v>6</v>
      </c>
      <c r="J174" s="21">
        <v>1350.62</v>
      </c>
      <c r="K174" s="19" t="str" cm="1">
        <f t="array" ref="K174">_xlfn.IFS(Table1342[[#This Row],[Sales]]&gt;40000,"Best Sales",Table1342[[#This Row],[Sales]]&gt;20000,"Average Sales",Table1342[[#This Row],[Sales]]&gt;0,"Poor Sales")</f>
        <v>Poor Sales</v>
      </c>
      <c r="L174" s="19">
        <f>YEAR(Table1342[[#This Row],[Date]])</f>
        <v>2023</v>
      </c>
      <c r="M174" s="19">
        <f>MONTH(Table1342[[#This Row],[Date]])</f>
        <v>3</v>
      </c>
      <c r="N174" s="19">
        <f>DAY(Table1342[[#This Row],[Date]])</f>
        <v>29</v>
      </c>
      <c r="O174" s="19"/>
      <c r="P174" s="19" t="str">
        <f>TEXT(DATE(2023,Table1342[[#This Row],[MONTH]],1),"mmm")</f>
        <v>Mar</v>
      </c>
      <c r="Q174" s="19"/>
    </row>
    <row r="175" spans="1:17" x14ac:dyDescent="0.3">
      <c r="A175" s="19">
        <v>174</v>
      </c>
      <c r="B175" s="20">
        <v>45178</v>
      </c>
      <c r="C175" s="19" t="s">
        <v>10</v>
      </c>
      <c r="D175" s="19" t="s">
        <v>11</v>
      </c>
      <c r="E175" s="19" t="s">
        <v>17</v>
      </c>
      <c r="F175" s="19" t="s">
        <v>13</v>
      </c>
      <c r="G175" s="19" t="s">
        <v>14</v>
      </c>
      <c r="H175" s="21">
        <v>31543.41</v>
      </c>
      <c r="I175" s="19">
        <v>7</v>
      </c>
      <c r="J175" s="21">
        <v>7095.9</v>
      </c>
      <c r="K175" s="19" t="str" cm="1">
        <f t="array" ref="K175">_xlfn.IFS(Table1342[[#This Row],[Sales]]&gt;40000,"Best Sales",Table1342[[#This Row],[Sales]]&gt;20000,"Average Sales",Table1342[[#This Row],[Sales]]&gt;0,"Poor Sales")</f>
        <v>Average Sales</v>
      </c>
      <c r="L175" s="19">
        <f>YEAR(Table1342[[#This Row],[Date]])</f>
        <v>2023</v>
      </c>
      <c r="M175" s="19">
        <f>MONTH(Table1342[[#This Row],[Date]])</f>
        <v>9</v>
      </c>
      <c r="N175" s="19">
        <f>DAY(Table1342[[#This Row],[Date]])</f>
        <v>9</v>
      </c>
      <c r="O175" s="19"/>
      <c r="P175" s="19" t="str">
        <f>TEXT(DATE(2023,Table1342[[#This Row],[MONTH]],1),"mmm")</f>
        <v>Sep</v>
      </c>
      <c r="Q175" s="19"/>
    </row>
    <row r="176" spans="1:17" x14ac:dyDescent="0.3">
      <c r="A176" s="19">
        <v>175</v>
      </c>
      <c r="B176" s="20">
        <v>45127</v>
      </c>
      <c r="C176" s="19" t="s">
        <v>37</v>
      </c>
      <c r="D176" s="19" t="s">
        <v>27</v>
      </c>
      <c r="E176" s="19" t="s">
        <v>17</v>
      </c>
      <c r="F176" s="19" t="s">
        <v>24</v>
      </c>
      <c r="G176" s="19" t="s">
        <v>28</v>
      </c>
      <c r="H176" s="21">
        <v>48726.25</v>
      </c>
      <c r="I176" s="19">
        <v>6</v>
      </c>
      <c r="J176" s="21">
        <v>9754.02</v>
      </c>
      <c r="K176" s="19" t="str" cm="1">
        <f t="array" ref="K176">_xlfn.IFS(Table1342[[#This Row],[Sales]]&gt;40000,"Best Sales",Table1342[[#This Row],[Sales]]&gt;20000,"Average Sales",Table1342[[#This Row],[Sales]]&gt;0,"Poor Sales")</f>
        <v>Best Sales</v>
      </c>
      <c r="L176" s="19">
        <f>YEAR(Table1342[[#This Row],[Date]])</f>
        <v>2023</v>
      </c>
      <c r="M176" s="19">
        <f>MONTH(Table1342[[#This Row],[Date]])</f>
        <v>7</v>
      </c>
      <c r="N176" s="19">
        <f>DAY(Table1342[[#This Row],[Date]])</f>
        <v>20</v>
      </c>
      <c r="O176" s="19"/>
      <c r="P176" s="19" t="str">
        <f>TEXT(DATE(2023,Table1342[[#This Row],[MONTH]],1),"mmm")</f>
        <v>Jul</v>
      </c>
      <c r="Q176" s="19"/>
    </row>
    <row r="177" spans="1:17" x14ac:dyDescent="0.3">
      <c r="A177" s="19">
        <v>176</v>
      </c>
      <c r="B177" s="20">
        <v>45082</v>
      </c>
      <c r="C177" s="19" t="s">
        <v>22</v>
      </c>
      <c r="D177" s="19" t="s">
        <v>22</v>
      </c>
      <c r="E177" s="19" t="s">
        <v>17</v>
      </c>
      <c r="F177" s="19" t="s">
        <v>13</v>
      </c>
      <c r="G177" s="19" t="s">
        <v>21</v>
      </c>
      <c r="H177" s="21">
        <v>4877.32</v>
      </c>
      <c r="I177" s="19">
        <v>2</v>
      </c>
      <c r="J177" s="21">
        <v>678.04</v>
      </c>
      <c r="K177" s="19" t="str" cm="1">
        <f t="array" ref="K177">_xlfn.IFS(Table1342[[#This Row],[Sales]]&gt;40000,"Best Sales",Table1342[[#This Row],[Sales]]&gt;20000,"Average Sales",Table1342[[#This Row],[Sales]]&gt;0,"Poor Sales")</f>
        <v>Poor Sales</v>
      </c>
      <c r="L177" s="19">
        <f>YEAR(Table1342[[#This Row],[Date]])</f>
        <v>2023</v>
      </c>
      <c r="M177" s="19">
        <f>MONTH(Table1342[[#This Row],[Date]])</f>
        <v>6</v>
      </c>
      <c r="N177" s="19">
        <f>DAY(Table1342[[#This Row],[Date]])</f>
        <v>5</v>
      </c>
      <c r="O177" s="19"/>
      <c r="P177" s="19" t="str">
        <f>TEXT(DATE(2023,Table1342[[#This Row],[MONTH]],1),"mmm")</f>
        <v>Jun</v>
      </c>
      <c r="Q177" s="19"/>
    </row>
    <row r="178" spans="1:17" x14ac:dyDescent="0.3">
      <c r="A178" s="19">
        <v>177</v>
      </c>
      <c r="B178" s="20">
        <v>45227</v>
      </c>
      <c r="C178" s="19" t="s">
        <v>30</v>
      </c>
      <c r="D178" s="19" t="s">
        <v>16</v>
      </c>
      <c r="E178" s="19" t="s">
        <v>17</v>
      </c>
      <c r="F178" s="19" t="s">
        <v>24</v>
      </c>
      <c r="G178" s="19" t="s">
        <v>28</v>
      </c>
      <c r="H178" s="21">
        <v>36632.480000000003</v>
      </c>
      <c r="I178" s="19">
        <v>5</v>
      </c>
      <c r="J178" s="21">
        <v>4419.68</v>
      </c>
      <c r="K178" s="19" t="str" cm="1">
        <f t="array" ref="K178">_xlfn.IFS(Table1342[[#This Row],[Sales]]&gt;40000,"Best Sales",Table1342[[#This Row],[Sales]]&gt;20000,"Average Sales",Table1342[[#This Row],[Sales]]&gt;0,"Poor Sales")</f>
        <v>Average Sales</v>
      </c>
      <c r="L178" s="19">
        <f>YEAR(Table1342[[#This Row],[Date]])</f>
        <v>2023</v>
      </c>
      <c r="M178" s="19">
        <f>MONTH(Table1342[[#This Row],[Date]])</f>
        <v>10</v>
      </c>
      <c r="N178" s="19">
        <f>DAY(Table1342[[#This Row],[Date]])</f>
        <v>28</v>
      </c>
      <c r="O178" s="19"/>
      <c r="P178" s="19" t="str">
        <f>TEXT(DATE(2023,Table1342[[#This Row],[MONTH]],1),"mmm")</f>
        <v>Oct</v>
      </c>
      <c r="Q178" s="19"/>
    </row>
    <row r="179" spans="1:17" x14ac:dyDescent="0.3">
      <c r="A179" s="19">
        <v>178</v>
      </c>
      <c r="B179" s="20">
        <v>44978</v>
      </c>
      <c r="C179" s="19" t="s">
        <v>26</v>
      </c>
      <c r="D179" s="19" t="s">
        <v>27</v>
      </c>
      <c r="E179" s="19" t="s">
        <v>17</v>
      </c>
      <c r="F179" s="19" t="s">
        <v>31</v>
      </c>
      <c r="G179" s="19" t="s">
        <v>32</v>
      </c>
      <c r="H179" s="21">
        <v>7302.34</v>
      </c>
      <c r="I179" s="19">
        <v>10</v>
      </c>
      <c r="J179" s="21">
        <v>909.18</v>
      </c>
      <c r="K179" s="19" t="str" cm="1">
        <f t="array" ref="K179">_xlfn.IFS(Table1342[[#This Row],[Sales]]&gt;40000,"Best Sales",Table1342[[#This Row],[Sales]]&gt;20000,"Average Sales",Table1342[[#This Row],[Sales]]&gt;0,"Poor Sales")</f>
        <v>Poor Sales</v>
      </c>
      <c r="L179" s="19">
        <f>YEAR(Table1342[[#This Row],[Date]])</f>
        <v>2023</v>
      </c>
      <c r="M179" s="19">
        <f>MONTH(Table1342[[#This Row],[Date]])</f>
        <v>2</v>
      </c>
      <c r="N179" s="19">
        <f>DAY(Table1342[[#This Row],[Date]])</f>
        <v>21</v>
      </c>
      <c r="O179" s="19"/>
      <c r="P179" s="19" t="str">
        <f>TEXT(DATE(2023,Table1342[[#This Row],[MONTH]],1),"mmm")</f>
        <v>Feb</v>
      </c>
      <c r="Q179" s="19"/>
    </row>
    <row r="180" spans="1:17" x14ac:dyDescent="0.3">
      <c r="A180" s="19">
        <v>179</v>
      </c>
      <c r="B180" s="20">
        <v>44993</v>
      </c>
      <c r="C180" s="19" t="s">
        <v>15</v>
      </c>
      <c r="D180" s="19" t="s">
        <v>16</v>
      </c>
      <c r="E180" s="19" t="s">
        <v>17</v>
      </c>
      <c r="F180" s="19" t="s">
        <v>31</v>
      </c>
      <c r="G180" s="19" t="s">
        <v>39</v>
      </c>
      <c r="H180" s="21">
        <v>17646.86</v>
      </c>
      <c r="I180" s="19">
        <v>9</v>
      </c>
      <c r="J180" s="21">
        <v>3145.05</v>
      </c>
      <c r="K180" s="19" t="str" cm="1">
        <f t="array" ref="K180">_xlfn.IFS(Table1342[[#This Row],[Sales]]&gt;40000,"Best Sales",Table1342[[#This Row],[Sales]]&gt;20000,"Average Sales",Table1342[[#This Row],[Sales]]&gt;0,"Poor Sales")</f>
        <v>Poor Sales</v>
      </c>
      <c r="L180" s="19">
        <f>YEAR(Table1342[[#This Row],[Date]])</f>
        <v>2023</v>
      </c>
      <c r="M180" s="19">
        <f>MONTH(Table1342[[#This Row],[Date]])</f>
        <v>3</v>
      </c>
      <c r="N180" s="19">
        <f>DAY(Table1342[[#This Row],[Date]])</f>
        <v>8</v>
      </c>
      <c r="O180" s="19"/>
      <c r="P180" s="19" t="str">
        <f>TEXT(DATE(2023,Table1342[[#This Row],[MONTH]],1),"mmm")</f>
        <v>Mar</v>
      </c>
      <c r="Q180" s="19"/>
    </row>
    <row r="181" spans="1:17" x14ac:dyDescent="0.3">
      <c r="A181" s="19">
        <v>180</v>
      </c>
      <c r="B181" s="20">
        <v>45230</v>
      </c>
      <c r="C181" s="19" t="s">
        <v>37</v>
      </c>
      <c r="D181" s="19" t="s">
        <v>27</v>
      </c>
      <c r="E181" s="19" t="s">
        <v>17</v>
      </c>
      <c r="F181" s="19" t="s">
        <v>13</v>
      </c>
      <c r="G181" s="19" t="s">
        <v>14</v>
      </c>
      <c r="H181" s="21">
        <v>18272.21</v>
      </c>
      <c r="I181" s="19">
        <v>9</v>
      </c>
      <c r="J181" s="21">
        <v>4352.6099999999997</v>
      </c>
      <c r="K181" s="19" t="str" cm="1">
        <f t="array" ref="K181">_xlfn.IFS(Table1342[[#This Row],[Sales]]&gt;40000,"Best Sales",Table1342[[#This Row],[Sales]]&gt;20000,"Average Sales",Table1342[[#This Row],[Sales]]&gt;0,"Poor Sales")</f>
        <v>Poor Sales</v>
      </c>
      <c r="L181" s="19">
        <f>YEAR(Table1342[[#This Row],[Date]])</f>
        <v>2023</v>
      </c>
      <c r="M181" s="19">
        <f>MONTH(Table1342[[#This Row],[Date]])</f>
        <v>10</v>
      </c>
      <c r="N181" s="19">
        <f>DAY(Table1342[[#This Row],[Date]])</f>
        <v>31</v>
      </c>
      <c r="O181" s="19"/>
      <c r="P181" s="19" t="str">
        <f>TEXT(DATE(2023,Table1342[[#This Row],[MONTH]],1),"mmm")</f>
        <v>Oct</v>
      </c>
      <c r="Q181" s="19"/>
    </row>
    <row r="182" spans="1:17" x14ac:dyDescent="0.3">
      <c r="A182" s="19">
        <v>181</v>
      </c>
      <c r="B182" s="20">
        <v>45151</v>
      </c>
      <c r="C182" s="19" t="s">
        <v>22</v>
      </c>
      <c r="D182" s="19" t="s">
        <v>22</v>
      </c>
      <c r="E182" s="19" t="s">
        <v>17</v>
      </c>
      <c r="F182" s="19" t="s">
        <v>24</v>
      </c>
      <c r="G182" s="19" t="s">
        <v>29</v>
      </c>
      <c r="H182" s="21">
        <v>30968.38</v>
      </c>
      <c r="I182" s="19">
        <v>7</v>
      </c>
      <c r="J182" s="21">
        <v>4688.1000000000004</v>
      </c>
      <c r="K182" s="19" t="str" cm="1">
        <f t="array" ref="K182">_xlfn.IFS(Table1342[[#This Row],[Sales]]&gt;40000,"Best Sales",Table1342[[#This Row],[Sales]]&gt;20000,"Average Sales",Table1342[[#This Row],[Sales]]&gt;0,"Poor Sales")</f>
        <v>Average Sales</v>
      </c>
      <c r="L182" s="19">
        <f>YEAR(Table1342[[#This Row],[Date]])</f>
        <v>2023</v>
      </c>
      <c r="M182" s="19">
        <f>MONTH(Table1342[[#This Row],[Date]])</f>
        <v>8</v>
      </c>
      <c r="N182" s="19">
        <f>DAY(Table1342[[#This Row],[Date]])</f>
        <v>13</v>
      </c>
      <c r="O182" s="19"/>
      <c r="P182" s="19" t="str">
        <f>TEXT(DATE(2023,Table1342[[#This Row],[MONTH]],1),"mmm")</f>
        <v>Aug</v>
      </c>
      <c r="Q182" s="19"/>
    </row>
    <row r="183" spans="1:17" x14ac:dyDescent="0.3">
      <c r="A183" s="19">
        <v>182</v>
      </c>
      <c r="B183" s="20">
        <v>45080</v>
      </c>
      <c r="C183" s="19" t="s">
        <v>26</v>
      </c>
      <c r="D183" s="19" t="s">
        <v>27</v>
      </c>
      <c r="E183" s="19" t="s">
        <v>17</v>
      </c>
      <c r="F183" s="19" t="s">
        <v>31</v>
      </c>
      <c r="G183" s="19" t="s">
        <v>33</v>
      </c>
      <c r="H183" s="21">
        <v>17745.36</v>
      </c>
      <c r="I183" s="19">
        <v>2</v>
      </c>
      <c r="J183" s="21">
        <v>1736.15</v>
      </c>
      <c r="K183" s="19" t="str" cm="1">
        <f t="array" ref="K183">_xlfn.IFS(Table1342[[#This Row],[Sales]]&gt;40000,"Best Sales",Table1342[[#This Row],[Sales]]&gt;20000,"Average Sales",Table1342[[#This Row],[Sales]]&gt;0,"Poor Sales")</f>
        <v>Poor Sales</v>
      </c>
      <c r="L183" s="19">
        <f>YEAR(Table1342[[#This Row],[Date]])</f>
        <v>2023</v>
      </c>
      <c r="M183" s="19">
        <f>MONTH(Table1342[[#This Row],[Date]])</f>
        <v>6</v>
      </c>
      <c r="N183" s="19">
        <f>DAY(Table1342[[#This Row],[Date]])</f>
        <v>3</v>
      </c>
      <c r="O183" s="19"/>
      <c r="P183" s="19" t="str">
        <f>TEXT(DATE(2023,Table1342[[#This Row],[MONTH]],1),"mmm")</f>
        <v>Jun</v>
      </c>
      <c r="Q183" s="19"/>
    </row>
    <row r="184" spans="1:17" x14ac:dyDescent="0.3">
      <c r="A184" s="19">
        <v>183</v>
      </c>
      <c r="B184" s="20">
        <v>44984</v>
      </c>
      <c r="C184" s="19" t="s">
        <v>26</v>
      </c>
      <c r="D184" s="19" t="s">
        <v>27</v>
      </c>
      <c r="E184" s="19" t="s">
        <v>17</v>
      </c>
      <c r="F184" s="19" t="s">
        <v>13</v>
      </c>
      <c r="G184" s="19" t="s">
        <v>21</v>
      </c>
      <c r="H184" s="21">
        <v>30601.31</v>
      </c>
      <c r="I184" s="19">
        <v>9</v>
      </c>
      <c r="J184" s="21">
        <v>4632.5600000000004</v>
      </c>
      <c r="K184" s="19" t="str" cm="1">
        <f t="array" ref="K184">_xlfn.IFS(Table1342[[#This Row],[Sales]]&gt;40000,"Best Sales",Table1342[[#This Row],[Sales]]&gt;20000,"Average Sales",Table1342[[#This Row],[Sales]]&gt;0,"Poor Sales")</f>
        <v>Average Sales</v>
      </c>
      <c r="L184" s="19">
        <f>YEAR(Table1342[[#This Row],[Date]])</f>
        <v>2023</v>
      </c>
      <c r="M184" s="19">
        <f>MONTH(Table1342[[#This Row],[Date]])</f>
        <v>2</v>
      </c>
      <c r="N184" s="19">
        <f>DAY(Table1342[[#This Row],[Date]])</f>
        <v>27</v>
      </c>
      <c r="O184" s="19"/>
      <c r="P184" s="19" t="str">
        <f>TEXT(DATE(2023,Table1342[[#This Row],[MONTH]],1),"mmm")</f>
        <v>Feb</v>
      </c>
      <c r="Q184" s="19"/>
    </row>
    <row r="185" spans="1:17" x14ac:dyDescent="0.3">
      <c r="A185" s="19">
        <v>184</v>
      </c>
      <c r="B185" s="20">
        <v>45256</v>
      </c>
      <c r="C185" s="19" t="s">
        <v>22</v>
      </c>
      <c r="D185" s="19" t="s">
        <v>22</v>
      </c>
      <c r="E185" s="19" t="s">
        <v>17</v>
      </c>
      <c r="F185" s="19" t="s">
        <v>24</v>
      </c>
      <c r="G185" s="19" t="s">
        <v>25</v>
      </c>
      <c r="H185" s="21">
        <v>27508.720000000001</v>
      </c>
      <c r="I185" s="19">
        <v>4</v>
      </c>
      <c r="J185" s="21">
        <v>2649.16</v>
      </c>
      <c r="K185" s="19" t="str" cm="1">
        <f t="array" ref="K185">_xlfn.IFS(Table1342[[#This Row],[Sales]]&gt;40000,"Best Sales",Table1342[[#This Row],[Sales]]&gt;20000,"Average Sales",Table1342[[#This Row],[Sales]]&gt;0,"Poor Sales")</f>
        <v>Average Sales</v>
      </c>
      <c r="L185" s="19">
        <f>YEAR(Table1342[[#This Row],[Date]])</f>
        <v>2023</v>
      </c>
      <c r="M185" s="19">
        <f>MONTH(Table1342[[#This Row],[Date]])</f>
        <v>11</v>
      </c>
      <c r="N185" s="19">
        <f>DAY(Table1342[[#This Row],[Date]])</f>
        <v>26</v>
      </c>
      <c r="O185" s="19"/>
      <c r="P185" s="19" t="str">
        <f>TEXT(DATE(2023,Table1342[[#This Row],[MONTH]],1),"mmm")</f>
        <v>Nov</v>
      </c>
      <c r="Q185" s="19"/>
    </row>
    <row r="186" spans="1:17" x14ac:dyDescent="0.3">
      <c r="A186" s="19">
        <v>185</v>
      </c>
      <c r="B186" s="20">
        <v>44959</v>
      </c>
      <c r="C186" s="19" t="s">
        <v>35</v>
      </c>
      <c r="D186" s="19" t="s">
        <v>36</v>
      </c>
      <c r="E186" s="19" t="s">
        <v>17</v>
      </c>
      <c r="F186" s="19" t="s">
        <v>24</v>
      </c>
      <c r="G186" s="19" t="s">
        <v>29</v>
      </c>
      <c r="H186" s="21">
        <v>20818.54</v>
      </c>
      <c r="I186" s="19">
        <v>10</v>
      </c>
      <c r="J186" s="21">
        <v>2457.2199999999998</v>
      </c>
      <c r="K186" s="19" t="str" cm="1">
        <f t="array" ref="K186">_xlfn.IFS(Table1342[[#This Row],[Sales]]&gt;40000,"Best Sales",Table1342[[#This Row],[Sales]]&gt;20000,"Average Sales",Table1342[[#This Row],[Sales]]&gt;0,"Poor Sales")</f>
        <v>Average Sales</v>
      </c>
      <c r="L186" s="19">
        <f>YEAR(Table1342[[#This Row],[Date]])</f>
        <v>2023</v>
      </c>
      <c r="M186" s="19">
        <f>MONTH(Table1342[[#This Row],[Date]])</f>
        <v>2</v>
      </c>
      <c r="N186" s="19">
        <f>DAY(Table1342[[#This Row],[Date]])</f>
        <v>2</v>
      </c>
      <c r="O186" s="19"/>
      <c r="P186" s="19" t="str">
        <f>TEXT(DATE(2023,Table1342[[#This Row],[MONTH]],1),"mmm")</f>
        <v>Feb</v>
      </c>
      <c r="Q186" s="19"/>
    </row>
    <row r="187" spans="1:17" x14ac:dyDescent="0.3">
      <c r="A187" s="19">
        <v>186</v>
      </c>
      <c r="B187" s="20">
        <v>44990</v>
      </c>
      <c r="C187" s="19" t="s">
        <v>18</v>
      </c>
      <c r="D187" s="19" t="s">
        <v>19</v>
      </c>
      <c r="E187" s="19" t="s">
        <v>17</v>
      </c>
      <c r="F187" s="19" t="s">
        <v>24</v>
      </c>
      <c r="G187" s="19" t="s">
        <v>29</v>
      </c>
      <c r="H187" s="21">
        <v>49951.15</v>
      </c>
      <c r="I187" s="19">
        <v>8</v>
      </c>
      <c r="J187" s="21">
        <v>9925.48</v>
      </c>
      <c r="K187" s="19" t="str" cm="1">
        <f t="array" ref="K187">_xlfn.IFS(Table1342[[#This Row],[Sales]]&gt;40000,"Best Sales",Table1342[[#This Row],[Sales]]&gt;20000,"Average Sales",Table1342[[#This Row],[Sales]]&gt;0,"Poor Sales")</f>
        <v>Best Sales</v>
      </c>
      <c r="L187" s="19">
        <f>YEAR(Table1342[[#This Row],[Date]])</f>
        <v>2023</v>
      </c>
      <c r="M187" s="19">
        <f>MONTH(Table1342[[#This Row],[Date]])</f>
        <v>3</v>
      </c>
      <c r="N187" s="19">
        <f>DAY(Table1342[[#This Row],[Date]])</f>
        <v>5</v>
      </c>
      <c r="O187" s="19"/>
      <c r="P187" s="19" t="str">
        <f>TEXT(DATE(2023,Table1342[[#This Row],[MONTH]],1),"mmm")</f>
        <v>Mar</v>
      </c>
      <c r="Q187" s="19"/>
    </row>
    <row r="188" spans="1:17" x14ac:dyDescent="0.3">
      <c r="A188" s="19">
        <v>187</v>
      </c>
      <c r="B188" s="20">
        <v>45184</v>
      </c>
      <c r="C188" s="19" t="s">
        <v>26</v>
      </c>
      <c r="D188" s="19" t="s">
        <v>27</v>
      </c>
      <c r="E188" s="19" t="s">
        <v>17</v>
      </c>
      <c r="F188" s="19" t="s">
        <v>31</v>
      </c>
      <c r="G188" s="19" t="s">
        <v>33</v>
      </c>
      <c r="H188" s="21">
        <v>14099.59</v>
      </c>
      <c r="I188" s="19">
        <v>7</v>
      </c>
      <c r="J188" s="21">
        <v>1349.86</v>
      </c>
      <c r="K188" s="19" t="str" cm="1">
        <f t="array" ref="K188">_xlfn.IFS(Table1342[[#This Row],[Sales]]&gt;40000,"Best Sales",Table1342[[#This Row],[Sales]]&gt;20000,"Average Sales",Table1342[[#This Row],[Sales]]&gt;0,"Poor Sales")</f>
        <v>Poor Sales</v>
      </c>
      <c r="L188" s="19">
        <f>YEAR(Table1342[[#This Row],[Date]])</f>
        <v>2023</v>
      </c>
      <c r="M188" s="19">
        <f>MONTH(Table1342[[#This Row],[Date]])</f>
        <v>9</v>
      </c>
      <c r="N188" s="19">
        <f>DAY(Table1342[[#This Row],[Date]])</f>
        <v>15</v>
      </c>
      <c r="O188" s="19"/>
      <c r="P188" s="19" t="str">
        <f>TEXT(DATE(2023,Table1342[[#This Row],[MONTH]],1),"mmm")</f>
        <v>Sep</v>
      </c>
      <c r="Q188" s="19"/>
    </row>
    <row r="189" spans="1:17" x14ac:dyDescent="0.3">
      <c r="A189" s="19">
        <v>188</v>
      </c>
      <c r="B189" s="20">
        <v>45210</v>
      </c>
      <c r="C189" s="19" t="s">
        <v>15</v>
      </c>
      <c r="D189" s="19" t="s">
        <v>16</v>
      </c>
      <c r="E189" s="19" t="s">
        <v>12</v>
      </c>
      <c r="F189" s="19" t="s">
        <v>31</v>
      </c>
      <c r="G189" s="19" t="s">
        <v>33</v>
      </c>
      <c r="H189" s="21">
        <v>30464.74</v>
      </c>
      <c r="I189" s="19">
        <v>6</v>
      </c>
      <c r="J189" s="21">
        <v>7362.23</v>
      </c>
      <c r="K189" s="19" t="str" cm="1">
        <f t="array" ref="K189">_xlfn.IFS(Table1342[[#This Row],[Sales]]&gt;40000,"Best Sales",Table1342[[#This Row],[Sales]]&gt;20000,"Average Sales",Table1342[[#This Row],[Sales]]&gt;0,"Poor Sales")</f>
        <v>Average Sales</v>
      </c>
      <c r="L189" s="19">
        <f>YEAR(Table1342[[#This Row],[Date]])</f>
        <v>2023</v>
      </c>
      <c r="M189" s="19">
        <f>MONTH(Table1342[[#This Row],[Date]])</f>
        <v>10</v>
      </c>
      <c r="N189" s="19">
        <f>DAY(Table1342[[#This Row],[Date]])</f>
        <v>11</v>
      </c>
      <c r="O189" s="19"/>
      <c r="P189" s="19" t="str">
        <f>TEXT(DATE(2023,Table1342[[#This Row],[MONTH]],1),"mmm")</f>
        <v>Oct</v>
      </c>
      <c r="Q189" s="19"/>
    </row>
    <row r="190" spans="1:17" x14ac:dyDescent="0.3">
      <c r="A190" s="19">
        <v>189</v>
      </c>
      <c r="B190" s="20">
        <v>45041</v>
      </c>
      <c r="C190" s="19" t="s">
        <v>18</v>
      </c>
      <c r="D190" s="19" t="s">
        <v>19</v>
      </c>
      <c r="E190" s="19" t="s">
        <v>17</v>
      </c>
      <c r="F190" s="19" t="s">
        <v>13</v>
      </c>
      <c r="G190" s="19" t="s">
        <v>21</v>
      </c>
      <c r="H190" s="21">
        <v>45371.4</v>
      </c>
      <c r="I190" s="19">
        <v>9</v>
      </c>
      <c r="J190" s="21">
        <v>10014.870000000001</v>
      </c>
      <c r="K190" s="19" t="str" cm="1">
        <f t="array" ref="K190">_xlfn.IFS(Table1342[[#This Row],[Sales]]&gt;40000,"Best Sales",Table1342[[#This Row],[Sales]]&gt;20000,"Average Sales",Table1342[[#This Row],[Sales]]&gt;0,"Poor Sales")</f>
        <v>Best Sales</v>
      </c>
      <c r="L190" s="19">
        <f>YEAR(Table1342[[#This Row],[Date]])</f>
        <v>2023</v>
      </c>
      <c r="M190" s="19">
        <f>MONTH(Table1342[[#This Row],[Date]])</f>
        <v>4</v>
      </c>
      <c r="N190" s="19">
        <f>DAY(Table1342[[#This Row],[Date]])</f>
        <v>25</v>
      </c>
      <c r="O190" s="19"/>
      <c r="P190" s="19" t="str">
        <f>TEXT(DATE(2023,Table1342[[#This Row],[MONTH]],1),"mmm")</f>
        <v>Apr</v>
      </c>
      <c r="Q190" s="19"/>
    </row>
    <row r="191" spans="1:17" x14ac:dyDescent="0.3">
      <c r="A191" s="19">
        <v>190</v>
      </c>
      <c r="B191" s="20">
        <v>45082</v>
      </c>
      <c r="C191" s="19" t="s">
        <v>38</v>
      </c>
      <c r="D191" s="19" t="s">
        <v>27</v>
      </c>
      <c r="E191" s="19" t="s">
        <v>12</v>
      </c>
      <c r="F191" s="19" t="s">
        <v>31</v>
      </c>
      <c r="G191" s="19" t="s">
        <v>32</v>
      </c>
      <c r="H191" s="21">
        <v>22118.26</v>
      </c>
      <c r="I191" s="19">
        <v>4</v>
      </c>
      <c r="J191" s="21">
        <v>2171.89</v>
      </c>
      <c r="K191" s="19" t="str" cm="1">
        <f t="array" ref="K191">_xlfn.IFS(Table1342[[#This Row],[Sales]]&gt;40000,"Best Sales",Table1342[[#This Row],[Sales]]&gt;20000,"Average Sales",Table1342[[#This Row],[Sales]]&gt;0,"Poor Sales")</f>
        <v>Average Sales</v>
      </c>
      <c r="L191" s="19">
        <f>YEAR(Table1342[[#This Row],[Date]])</f>
        <v>2023</v>
      </c>
      <c r="M191" s="19">
        <f>MONTH(Table1342[[#This Row],[Date]])</f>
        <v>6</v>
      </c>
      <c r="N191" s="19">
        <f>DAY(Table1342[[#This Row],[Date]])</f>
        <v>5</v>
      </c>
      <c r="O191" s="19"/>
      <c r="P191" s="19" t="str">
        <f>TEXT(DATE(2023,Table1342[[#This Row],[MONTH]],1),"mmm")</f>
        <v>Jun</v>
      </c>
      <c r="Q191" s="19"/>
    </row>
    <row r="192" spans="1:17" x14ac:dyDescent="0.3">
      <c r="A192" s="19">
        <v>191</v>
      </c>
      <c r="B192" s="20">
        <v>45248</v>
      </c>
      <c r="C192" s="19" t="s">
        <v>10</v>
      </c>
      <c r="D192" s="19" t="s">
        <v>11</v>
      </c>
      <c r="E192" s="19" t="s">
        <v>17</v>
      </c>
      <c r="F192" s="19" t="s">
        <v>13</v>
      </c>
      <c r="G192" s="19" t="s">
        <v>21</v>
      </c>
      <c r="H192" s="21">
        <v>37631.99</v>
      </c>
      <c r="I192" s="19">
        <v>10</v>
      </c>
      <c r="J192" s="21">
        <v>2815.66</v>
      </c>
      <c r="K192" s="19" t="str" cm="1">
        <f t="array" ref="K192">_xlfn.IFS(Table1342[[#This Row],[Sales]]&gt;40000,"Best Sales",Table1342[[#This Row],[Sales]]&gt;20000,"Average Sales",Table1342[[#This Row],[Sales]]&gt;0,"Poor Sales")</f>
        <v>Average Sales</v>
      </c>
      <c r="L192" s="19">
        <f>YEAR(Table1342[[#This Row],[Date]])</f>
        <v>2023</v>
      </c>
      <c r="M192" s="19">
        <f>MONTH(Table1342[[#This Row],[Date]])</f>
        <v>11</v>
      </c>
      <c r="N192" s="19">
        <f>DAY(Table1342[[#This Row],[Date]])</f>
        <v>18</v>
      </c>
      <c r="O192" s="19"/>
      <c r="P192" s="19" t="str">
        <f>TEXT(DATE(2023,Table1342[[#This Row],[MONTH]],1),"mmm")</f>
        <v>Nov</v>
      </c>
      <c r="Q192" s="19"/>
    </row>
    <row r="193" spans="1:17" x14ac:dyDescent="0.3">
      <c r="A193" s="19">
        <v>192</v>
      </c>
      <c r="B193" s="20">
        <v>45279</v>
      </c>
      <c r="C193" s="19" t="s">
        <v>15</v>
      </c>
      <c r="D193" s="19" t="s">
        <v>16</v>
      </c>
      <c r="E193" s="19" t="s">
        <v>20</v>
      </c>
      <c r="F193" s="19" t="s">
        <v>13</v>
      </c>
      <c r="G193" s="19" t="s">
        <v>34</v>
      </c>
      <c r="H193" s="21">
        <v>32613.74</v>
      </c>
      <c r="I193" s="19">
        <v>3</v>
      </c>
      <c r="J193" s="21">
        <v>2329.77</v>
      </c>
      <c r="K193" s="19" t="str" cm="1">
        <f t="array" ref="K193">_xlfn.IFS(Table1342[[#This Row],[Sales]]&gt;40000,"Best Sales",Table1342[[#This Row],[Sales]]&gt;20000,"Average Sales",Table1342[[#This Row],[Sales]]&gt;0,"Poor Sales")</f>
        <v>Average Sales</v>
      </c>
      <c r="L193" s="19">
        <f>YEAR(Table1342[[#This Row],[Date]])</f>
        <v>2023</v>
      </c>
      <c r="M193" s="19">
        <f>MONTH(Table1342[[#This Row],[Date]])</f>
        <v>12</v>
      </c>
      <c r="N193" s="19">
        <f>DAY(Table1342[[#This Row],[Date]])</f>
        <v>19</v>
      </c>
      <c r="O193" s="19"/>
      <c r="P193" s="19" t="str">
        <f>TEXT(DATE(2023,Table1342[[#This Row],[MONTH]],1),"mmm")</f>
        <v>Dec</v>
      </c>
      <c r="Q193" s="19"/>
    </row>
    <row r="194" spans="1:17" x14ac:dyDescent="0.3">
      <c r="A194" s="19">
        <v>193</v>
      </c>
      <c r="B194" s="20">
        <v>45031</v>
      </c>
      <c r="C194" s="19" t="s">
        <v>38</v>
      </c>
      <c r="D194" s="19" t="s">
        <v>27</v>
      </c>
      <c r="E194" s="19" t="s">
        <v>20</v>
      </c>
      <c r="F194" s="19" t="s">
        <v>31</v>
      </c>
      <c r="G194" s="19" t="s">
        <v>39</v>
      </c>
      <c r="H194" s="21">
        <v>19402.79</v>
      </c>
      <c r="I194" s="19">
        <v>5</v>
      </c>
      <c r="J194" s="21">
        <v>4070.53</v>
      </c>
      <c r="K194" s="19" t="str" cm="1">
        <f t="array" ref="K194">_xlfn.IFS(Table1342[[#This Row],[Sales]]&gt;40000,"Best Sales",Table1342[[#This Row],[Sales]]&gt;20000,"Average Sales",Table1342[[#This Row],[Sales]]&gt;0,"Poor Sales")</f>
        <v>Poor Sales</v>
      </c>
      <c r="L194" s="19">
        <f>YEAR(Table1342[[#This Row],[Date]])</f>
        <v>2023</v>
      </c>
      <c r="M194" s="19">
        <f>MONTH(Table1342[[#This Row],[Date]])</f>
        <v>4</v>
      </c>
      <c r="N194" s="19">
        <f>DAY(Table1342[[#This Row],[Date]])</f>
        <v>15</v>
      </c>
      <c r="O194" s="19"/>
      <c r="P194" s="19" t="str">
        <f>TEXT(DATE(2023,Table1342[[#This Row],[MONTH]],1),"mmm")</f>
        <v>Apr</v>
      </c>
      <c r="Q194" s="19"/>
    </row>
    <row r="195" spans="1:17" x14ac:dyDescent="0.3">
      <c r="A195" s="19">
        <v>194</v>
      </c>
      <c r="B195" s="20">
        <v>45226</v>
      </c>
      <c r="C195" s="19" t="s">
        <v>37</v>
      </c>
      <c r="D195" s="19" t="s">
        <v>27</v>
      </c>
      <c r="E195" s="19" t="s">
        <v>12</v>
      </c>
      <c r="F195" s="19" t="s">
        <v>13</v>
      </c>
      <c r="G195" s="19" t="s">
        <v>21</v>
      </c>
      <c r="H195" s="21">
        <v>38828.89</v>
      </c>
      <c r="I195" s="19">
        <v>1</v>
      </c>
      <c r="J195" s="21">
        <v>3558.41</v>
      </c>
      <c r="K195" s="19" t="str" cm="1">
        <f t="array" ref="K195">_xlfn.IFS(Table1342[[#This Row],[Sales]]&gt;40000,"Best Sales",Table1342[[#This Row],[Sales]]&gt;20000,"Average Sales",Table1342[[#This Row],[Sales]]&gt;0,"Poor Sales")</f>
        <v>Average Sales</v>
      </c>
      <c r="L195" s="19">
        <f>YEAR(Table1342[[#This Row],[Date]])</f>
        <v>2023</v>
      </c>
      <c r="M195" s="19">
        <f>MONTH(Table1342[[#This Row],[Date]])</f>
        <v>10</v>
      </c>
      <c r="N195" s="19">
        <f>DAY(Table1342[[#This Row],[Date]])</f>
        <v>27</v>
      </c>
      <c r="O195" s="19"/>
      <c r="P195" s="19" t="str">
        <f>TEXT(DATE(2023,Table1342[[#This Row],[MONTH]],1),"mmm")</f>
        <v>Oct</v>
      </c>
      <c r="Q195" s="19"/>
    </row>
    <row r="196" spans="1:17" x14ac:dyDescent="0.3">
      <c r="A196" s="19">
        <v>195</v>
      </c>
      <c r="B196" s="20">
        <v>45285</v>
      </c>
      <c r="C196" s="19" t="s">
        <v>10</v>
      </c>
      <c r="D196" s="19" t="s">
        <v>11</v>
      </c>
      <c r="E196" s="19" t="s">
        <v>17</v>
      </c>
      <c r="F196" s="19" t="s">
        <v>13</v>
      </c>
      <c r="G196" s="19" t="s">
        <v>34</v>
      </c>
      <c r="H196" s="21">
        <v>40947.69</v>
      </c>
      <c r="I196" s="19">
        <v>10</v>
      </c>
      <c r="J196" s="21">
        <v>3402.46</v>
      </c>
      <c r="K196" s="19" t="str" cm="1">
        <f t="array" ref="K196">_xlfn.IFS(Table1342[[#This Row],[Sales]]&gt;40000,"Best Sales",Table1342[[#This Row],[Sales]]&gt;20000,"Average Sales",Table1342[[#This Row],[Sales]]&gt;0,"Poor Sales")</f>
        <v>Best Sales</v>
      </c>
      <c r="L196" s="19">
        <f>YEAR(Table1342[[#This Row],[Date]])</f>
        <v>2023</v>
      </c>
      <c r="M196" s="19">
        <f>MONTH(Table1342[[#This Row],[Date]])</f>
        <v>12</v>
      </c>
      <c r="N196" s="19">
        <f>DAY(Table1342[[#This Row],[Date]])</f>
        <v>25</v>
      </c>
      <c r="O196" s="19"/>
      <c r="P196" s="19" t="str">
        <f>TEXT(DATE(2023,Table1342[[#This Row],[MONTH]],1),"mmm")</f>
        <v>Dec</v>
      </c>
      <c r="Q196" s="19"/>
    </row>
    <row r="197" spans="1:17" x14ac:dyDescent="0.3">
      <c r="A197" s="19">
        <v>196</v>
      </c>
      <c r="B197" s="20">
        <v>45132</v>
      </c>
      <c r="C197" s="19" t="s">
        <v>38</v>
      </c>
      <c r="D197" s="19" t="s">
        <v>27</v>
      </c>
      <c r="E197" s="19" t="s">
        <v>12</v>
      </c>
      <c r="F197" s="19" t="s">
        <v>13</v>
      </c>
      <c r="G197" s="19" t="s">
        <v>34</v>
      </c>
      <c r="H197" s="21">
        <v>42010.67</v>
      </c>
      <c r="I197" s="19">
        <v>2</v>
      </c>
      <c r="J197" s="21">
        <v>11879.89</v>
      </c>
      <c r="K197" s="19" t="str" cm="1">
        <f t="array" ref="K197">_xlfn.IFS(Table1342[[#This Row],[Sales]]&gt;40000,"Best Sales",Table1342[[#This Row],[Sales]]&gt;20000,"Average Sales",Table1342[[#This Row],[Sales]]&gt;0,"Poor Sales")</f>
        <v>Best Sales</v>
      </c>
      <c r="L197" s="19">
        <f>YEAR(Table1342[[#This Row],[Date]])</f>
        <v>2023</v>
      </c>
      <c r="M197" s="19">
        <f>MONTH(Table1342[[#This Row],[Date]])</f>
        <v>7</v>
      </c>
      <c r="N197" s="19">
        <f>DAY(Table1342[[#This Row],[Date]])</f>
        <v>25</v>
      </c>
      <c r="O197" s="19"/>
      <c r="P197" s="19" t="str">
        <f>TEXT(DATE(2023,Table1342[[#This Row],[MONTH]],1),"mmm")</f>
        <v>Jul</v>
      </c>
      <c r="Q197" s="19"/>
    </row>
    <row r="198" spans="1:17" x14ac:dyDescent="0.3">
      <c r="A198" s="19">
        <v>197</v>
      </c>
      <c r="B198" s="20">
        <v>44951</v>
      </c>
      <c r="C198" s="19" t="s">
        <v>10</v>
      </c>
      <c r="D198" s="19" t="s">
        <v>11</v>
      </c>
      <c r="E198" s="19" t="s">
        <v>17</v>
      </c>
      <c r="F198" s="19" t="s">
        <v>31</v>
      </c>
      <c r="G198" s="19" t="s">
        <v>33</v>
      </c>
      <c r="H198" s="21">
        <v>15486.53</v>
      </c>
      <c r="I198" s="19">
        <v>3</v>
      </c>
      <c r="J198" s="21">
        <v>3644.96</v>
      </c>
      <c r="K198" s="19" t="str" cm="1">
        <f t="array" ref="K198">_xlfn.IFS(Table1342[[#This Row],[Sales]]&gt;40000,"Best Sales",Table1342[[#This Row],[Sales]]&gt;20000,"Average Sales",Table1342[[#This Row],[Sales]]&gt;0,"Poor Sales")</f>
        <v>Poor Sales</v>
      </c>
      <c r="L198" s="19">
        <f>YEAR(Table1342[[#This Row],[Date]])</f>
        <v>2023</v>
      </c>
      <c r="M198" s="19">
        <f>MONTH(Table1342[[#This Row],[Date]])</f>
        <v>1</v>
      </c>
      <c r="N198" s="19">
        <f>DAY(Table1342[[#This Row],[Date]])</f>
        <v>25</v>
      </c>
      <c r="O198" s="19"/>
      <c r="P198" s="19" t="str">
        <f>TEXT(DATE(2023,Table1342[[#This Row],[MONTH]],1),"mmm")</f>
        <v>Jan</v>
      </c>
      <c r="Q198" s="19"/>
    </row>
    <row r="199" spans="1:17" x14ac:dyDescent="0.3">
      <c r="A199" s="19">
        <v>198</v>
      </c>
      <c r="B199" s="20">
        <v>44962</v>
      </c>
      <c r="C199" s="19" t="s">
        <v>35</v>
      </c>
      <c r="D199" s="19" t="s">
        <v>36</v>
      </c>
      <c r="E199" s="19" t="s">
        <v>20</v>
      </c>
      <c r="F199" s="19" t="s">
        <v>13</v>
      </c>
      <c r="G199" s="19" t="s">
        <v>34</v>
      </c>
      <c r="H199" s="21">
        <v>30608.400000000001</v>
      </c>
      <c r="I199" s="19">
        <v>1</v>
      </c>
      <c r="J199" s="21">
        <v>2635.57</v>
      </c>
      <c r="K199" s="19" t="str" cm="1">
        <f t="array" ref="K199">_xlfn.IFS(Table1342[[#This Row],[Sales]]&gt;40000,"Best Sales",Table1342[[#This Row],[Sales]]&gt;20000,"Average Sales",Table1342[[#This Row],[Sales]]&gt;0,"Poor Sales")</f>
        <v>Average Sales</v>
      </c>
      <c r="L199" s="19">
        <f>YEAR(Table1342[[#This Row],[Date]])</f>
        <v>2023</v>
      </c>
      <c r="M199" s="19">
        <f>MONTH(Table1342[[#This Row],[Date]])</f>
        <v>2</v>
      </c>
      <c r="N199" s="19">
        <f>DAY(Table1342[[#This Row],[Date]])</f>
        <v>5</v>
      </c>
      <c r="O199" s="19"/>
      <c r="P199" s="19" t="str">
        <f>TEXT(DATE(2023,Table1342[[#This Row],[MONTH]],1),"mmm")</f>
        <v>Feb</v>
      </c>
      <c r="Q199" s="19"/>
    </row>
    <row r="200" spans="1:17" x14ac:dyDescent="0.3">
      <c r="A200" s="19">
        <v>199</v>
      </c>
      <c r="B200" s="20">
        <v>45181</v>
      </c>
      <c r="C200" s="19" t="s">
        <v>18</v>
      </c>
      <c r="D200" s="19" t="s">
        <v>19</v>
      </c>
      <c r="E200" s="19" t="s">
        <v>20</v>
      </c>
      <c r="F200" s="19" t="s">
        <v>31</v>
      </c>
      <c r="G200" s="19" t="s">
        <v>33</v>
      </c>
      <c r="H200" s="21">
        <v>15000.25</v>
      </c>
      <c r="I200" s="19">
        <v>1</v>
      </c>
      <c r="J200" s="21">
        <v>3201.7</v>
      </c>
      <c r="K200" s="19" t="str" cm="1">
        <f t="array" ref="K200">_xlfn.IFS(Table1342[[#This Row],[Sales]]&gt;40000,"Best Sales",Table1342[[#This Row],[Sales]]&gt;20000,"Average Sales",Table1342[[#This Row],[Sales]]&gt;0,"Poor Sales")</f>
        <v>Poor Sales</v>
      </c>
      <c r="L200" s="19">
        <f>YEAR(Table1342[[#This Row],[Date]])</f>
        <v>2023</v>
      </c>
      <c r="M200" s="19">
        <f>MONTH(Table1342[[#This Row],[Date]])</f>
        <v>9</v>
      </c>
      <c r="N200" s="19">
        <f>DAY(Table1342[[#This Row],[Date]])</f>
        <v>12</v>
      </c>
      <c r="O200" s="19"/>
      <c r="P200" s="19" t="str">
        <f>TEXT(DATE(2023,Table1342[[#This Row],[MONTH]],1),"mmm")</f>
        <v>Sep</v>
      </c>
      <c r="Q200" s="19"/>
    </row>
    <row r="201" spans="1:17" x14ac:dyDescent="0.3">
      <c r="A201" s="19">
        <v>200</v>
      </c>
      <c r="B201" s="20">
        <v>45266</v>
      </c>
      <c r="C201" s="19" t="s">
        <v>15</v>
      </c>
      <c r="D201" s="19" t="s">
        <v>16</v>
      </c>
      <c r="E201" s="19" t="s">
        <v>12</v>
      </c>
      <c r="F201" s="19" t="s">
        <v>24</v>
      </c>
      <c r="G201" s="19" t="s">
        <v>25</v>
      </c>
      <c r="H201" s="21">
        <v>30584.37</v>
      </c>
      <c r="I201" s="19">
        <v>4</v>
      </c>
      <c r="J201" s="21">
        <v>5866.07</v>
      </c>
      <c r="K201" s="19" t="str" cm="1">
        <f t="array" ref="K201">_xlfn.IFS(Table1342[[#This Row],[Sales]]&gt;40000,"Best Sales",Table1342[[#This Row],[Sales]]&gt;20000,"Average Sales",Table1342[[#This Row],[Sales]]&gt;0,"Poor Sales")</f>
        <v>Average Sales</v>
      </c>
      <c r="L201" s="19">
        <f>YEAR(Table1342[[#This Row],[Date]])</f>
        <v>2023</v>
      </c>
      <c r="M201" s="19">
        <f>MONTH(Table1342[[#This Row],[Date]])</f>
        <v>12</v>
      </c>
      <c r="N201" s="19">
        <f>DAY(Table1342[[#This Row],[Date]])</f>
        <v>6</v>
      </c>
      <c r="O201" s="19"/>
      <c r="P201" s="19" t="str">
        <f>TEXT(DATE(2023,Table1342[[#This Row],[MONTH]],1),"mmm")</f>
        <v>Dec</v>
      </c>
      <c r="Q201" s="19"/>
    </row>
    <row r="202" spans="1:17" x14ac:dyDescent="0.3">
      <c r="A202" s="19">
        <v>201</v>
      </c>
      <c r="B202" s="20">
        <v>44995</v>
      </c>
      <c r="C202" s="19" t="s">
        <v>30</v>
      </c>
      <c r="D202" s="19" t="s">
        <v>16</v>
      </c>
      <c r="E202" s="19" t="s">
        <v>17</v>
      </c>
      <c r="F202" s="19" t="s">
        <v>24</v>
      </c>
      <c r="G202" s="19" t="s">
        <v>29</v>
      </c>
      <c r="H202" s="21">
        <v>2307.9</v>
      </c>
      <c r="I202" s="19">
        <v>2</v>
      </c>
      <c r="J202" s="21">
        <v>185.88</v>
      </c>
      <c r="K202" s="19" t="str" cm="1">
        <f t="array" ref="K202">_xlfn.IFS(Table1342[[#This Row],[Sales]]&gt;40000,"Best Sales",Table1342[[#This Row],[Sales]]&gt;20000,"Average Sales",Table1342[[#This Row],[Sales]]&gt;0,"Poor Sales")</f>
        <v>Poor Sales</v>
      </c>
      <c r="L202" s="19">
        <f>YEAR(Table1342[[#This Row],[Date]])</f>
        <v>2023</v>
      </c>
      <c r="M202" s="19">
        <f>MONTH(Table1342[[#This Row],[Date]])</f>
        <v>3</v>
      </c>
      <c r="N202" s="19">
        <f>DAY(Table1342[[#This Row],[Date]])</f>
        <v>10</v>
      </c>
      <c r="O202" s="19"/>
      <c r="P202" s="19" t="str">
        <f>TEXT(DATE(2023,Table1342[[#This Row],[MONTH]],1),"mmm")</f>
        <v>Mar</v>
      </c>
      <c r="Q202" s="19"/>
    </row>
    <row r="203" spans="1:17" x14ac:dyDescent="0.3">
      <c r="A203" s="19">
        <v>202</v>
      </c>
      <c r="B203" s="20">
        <v>45210</v>
      </c>
      <c r="C203" s="19" t="s">
        <v>15</v>
      </c>
      <c r="D203" s="19" t="s">
        <v>16</v>
      </c>
      <c r="E203" s="19" t="s">
        <v>12</v>
      </c>
      <c r="F203" s="19" t="s">
        <v>24</v>
      </c>
      <c r="G203" s="19" t="s">
        <v>28</v>
      </c>
      <c r="H203" s="21">
        <v>46291.49</v>
      </c>
      <c r="I203" s="19">
        <v>6</v>
      </c>
      <c r="J203" s="21">
        <v>5632.5</v>
      </c>
      <c r="K203" s="19" t="str" cm="1">
        <f t="array" ref="K203">_xlfn.IFS(Table1342[[#This Row],[Sales]]&gt;40000,"Best Sales",Table1342[[#This Row],[Sales]]&gt;20000,"Average Sales",Table1342[[#This Row],[Sales]]&gt;0,"Poor Sales")</f>
        <v>Best Sales</v>
      </c>
      <c r="L203" s="19">
        <f>YEAR(Table1342[[#This Row],[Date]])</f>
        <v>2023</v>
      </c>
      <c r="M203" s="19">
        <f>MONTH(Table1342[[#This Row],[Date]])</f>
        <v>10</v>
      </c>
      <c r="N203" s="19">
        <f>DAY(Table1342[[#This Row],[Date]])</f>
        <v>11</v>
      </c>
      <c r="O203" s="19"/>
      <c r="P203" s="19" t="str">
        <f>TEXT(DATE(2023,Table1342[[#This Row],[MONTH]],1),"mmm")</f>
        <v>Oct</v>
      </c>
      <c r="Q203" s="19"/>
    </row>
    <row r="204" spans="1:17" x14ac:dyDescent="0.3">
      <c r="A204" s="19">
        <v>203</v>
      </c>
      <c r="B204" s="20">
        <v>44974</v>
      </c>
      <c r="C204" s="19" t="s">
        <v>38</v>
      </c>
      <c r="D204" s="19" t="s">
        <v>27</v>
      </c>
      <c r="E204" s="19" t="s">
        <v>17</v>
      </c>
      <c r="F204" s="19" t="s">
        <v>13</v>
      </c>
      <c r="G204" s="19" t="s">
        <v>21</v>
      </c>
      <c r="H204" s="21">
        <v>14665.44</v>
      </c>
      <c r="I204" s="19">
        <v>7</v>
      </c>
      <c r="J204" s="21">
        <v>2033.06</v>
      </c>
      <c r="K204" s="19" t="str" cm="1">
        <f t="array" ref="K204">_xlfn.IFS(Table1342[[#This Row],[Sales]]&gt;40000,"Best Sales",Table1342[[#This Row],[Sales]]&gt;20000,"Average Sales",Table1342[[#This Row],[Sales]]&gt;0,"Poor Sales")</f>
        <v>Poor Sales</v>
      </c>
      <c r="L204" s="19">
        <f>YEAR(Table1342[[#This Row],[Date]])</f>
        <v>2023</v>
      </c>
      <c r="M204" s="19">
        <f>MONTH(Table1342[[#This Row],[Date]])</f>
        <v>2</v>
      </c>
      <c r="N204" s="19">
        <f>DAY(Table1342[[#This Row],[Date]])</f>
        <v>17</v>
      </c>
      <c r="O204" s="19"/>
      <c r="P204" s="19" t="str">
        <f>TEXT(DATE(2023,Table1342[[#This Row],[MONTH]],1),"mmm")</f>
        <v>Feb</v>
      </c>
      <c r="Q204" s="19"/>
    </row>
    <row r="205" spans="1:17" x14ac:dyDescent="0.3">
      <c r="A205" s="19">
        <v>204</v>
      </c>
      <c r="B205" s="20">
        <v>44982</v>
      </c>
      <c r="C205" s="19" t="s">
        <v>18</v>
      </c>
      <c r="D205" s="19" t="s">
        <v>19</v>
      </c>
      <c r="E205" s="19" t="s">
        <v>20</v>
      </c>
      <c r="F205" s="19" t="s">
        <v>24</v>
      </c>
      <c r="G205" s="19" t="s">
        <v>25</v>
      </c>
      <c r="H205" s="21">
        <v>29742</v>
      </c>
      <c r="I205" s="19">
        <v>1</v>
      </c>
      <c r="J205" s="21">
        <v>5975.9</v>
      </c>
      <c r="K205" s="19" t="str" cm="1">
        <f t="array" ref="K205">_xlfn.IFS(Table1342[[#This Row],[Sales]]&gt;40000,"Best Sales",Table1342[[#This Row],[Sales]]&gt;20000,"Average Sales",Table1342[[#This Row],[Sales]]&gt;0,"Poor Sales")</f>
        <v>Average Sales</v>
      </c>
      <c r="L205" s="19">
        <f>YEAR(Table1342[[#This Row],[Date]])</f>
        <v>2023</v>
      </c>
      <c r="M205" s="19">
        <f>MONTH(Table1342[[#This Row],[Date]])</f>
        <v>2</v>
      </c>
      <c r="N205" s="19">
        <f>DAY(Table1342[[#This Row],[Date]])</f>
        <v>25</v>
      </c>
      <c r="O205" s="19"/>
      <c r="P205" s="19" t="str">
        <f>TEXT(DATE(2023,Table1342[[#This Row],[MONTH]],1),"mmm")</f>
        <v>Feb</v>
      </c>
      <c r="Q205" s="19"/>
    </row>
    <row r="206" spans="1:17" x14ac:dyDescent="0.3">
      <c r="A206" s="19">
        <v>205</v>
      </c>
      <c r="B206" s="20">
        <v>44955</v>
      </c>
      <c r="C206" s="19" t="s">
        <v>15</v>
      </c>
      <c r="D206" s="19" t="s">
        <v>16</v>
      </c>
      <c r="E206" s="19" t="s">
        <v>20</v>
      </c>
      <c r="F206" s="19" t="s">
        <v>13</v>
      </c>
      <c r="G206" s="19" t="s">
        <v>34</v>
      </c>
      <c r="H206" s="21">
        <v>35349.51</v>
      </c>
      <c r="I206" s="19">
        <v>4</v>
      </c>
      <c r="J206" s="21">
        <v>10510.77</v>
      </c>
      <c r="K206" s="19" t="str" cm="1">
        <f t="array" ref="K206">_xlfn.IFS(Table1342[[#This Row],[Sales]]&gt;40000,"Best Sales",Table1342[[#This Row],[Sales]]&gt;20000,"Average Sales",Table1342[[#This Row],[Sales]]&gt;0,"Poor Sales")</f>
        <v>Average Sales</v>
      </c>
      <c r="L206" s="19">
        <f>YEAR(Table1342[[#This Row],[Date]])</f>
        <v>2023</v>
      </c>
      <c r="M206" s="19">
        <f>MONTH(Table1342[[#This Row],[Date]])</f>
        <v>1</v>
      </c>
      <c r="N206" s="19">
        <f>DAY(Table1342[[#This Row],[Date]])</f>
        <v>29</v>
      </c>
      <c r="O206" s="19"/>
      <c r="P206" s="19" t="str">
        <f>TEXT(DATE(2023,Table1342[[#This Row],[MONTH]],1),"mmm")</f>
        <v>Jan</v>
      </c>
      <c r="Q206" s="19"/>
    </row>
    <row r="207" spans="1:17" x14ac:dyDescent="0.3">
      <c r="A207" s="19">
        <v>206</v>
      </c>
      <c r="B207" s="20">
        <v>45253</v>
      </c>
      <c r="C207" s="19" t="s">
        <v>26</v>
      </c>
      <c r="D207" s="19" t="s">
        <v>27</v>
      </c>
      <c r="E207" s="19" t="s">
        <v>12</v>
      </c>
      <c r="F207" s="19" t="s">
        <v>13</v>
      </c>
      <c r="G207" s="19" t="s">
        <v>14</v>
      </c>
      <c r="H207" s="21">
        <v>25985.13</v>
      </c>
      <c r="I207" s="19">
        <v>6</v>
      </c>
      <c r="J207" s="21">
        <v>2350.9299999999998</v>
      </c>
      <c r="K207" s="19" t="str" cm="1">
        <f t="array" ref="K207">_xlfn.IFS(Table1342[[#This Row],[Sales]]&gt;40000,"Best Sales",Table1342[[#This Row],[Sales]]&gt;20000,"Average Sales",Table1342[[#This Row],[Sales]]&gt;0,"Poor Sales")</f>
        <v>Average Sales</v>
      </c>
      <c r="L207" s="19">
        <f>YEAR(Table1342[[#This Row],[Date]])</f>
        <v>2023</v>
      </c>
      <c r="M207" s="19">
        <f>MONTH(Table1342[[#This Row],[Date]])</f>
        <v>11</v>
      </c>
      <c r="N207" s="19">
        <f>DAY(Table1342[[#This Row],[Date]])</f>
        <v>23</v>
      </c>
      <c r="O207" s="19"/>
      <c r="P207" s="19" t="str">
        <f>TEXT(DATE(2023,Table1342[[#This Row],[MONTH]],1),"mmm")</f>
        <v>Nov</v>
      </c>
      <c r="Q207" s="19"/>
    </row>
    <row r="208" spans="1:17" x14ac:dyDescent="0.3">
      <c r="A208" s="19">
        <v>207</v>
      </c>
      <c r="B208" s="20">
        <v>45156</v>
      </c>
      <c r="C208" s="19" t="s">
        <v>30</v>
      </c>
      <c r="D208" s="19" t="s">
        <v>16</v>
      </c>
      <c r="E208" s="19" t="s">
        <v>17</v>
      </c>
      <c r="F208" s="19" t="s">
        <v>24</v>
      </c>
      <c r="G208" s="19" t="s">
        <v>25</v>
      </c>
      <c r="H208" s="21">
        <v>42832.639999999999</v>
      </c>
      <c r="I208" s="19">
        <v>7</v>
      </c>
      <c r="J208" s="21">
        <v>9063.49</v>
      </c>
      <c r="K208" s="19" t="str" cm="1">
        <f t="array" ref="K208">_xlfn.IFS(Table1342[[#This Row],[Sales]]&gt;40000,"Best Sales",Table1342[[#This Row],[Sales]]&gt;20000,"Average Sales",Table1342[[#This Row],[Sales]]&gt;0,"Poor Sales")</f>
        <v>Best Sales</v>
      </c>
      <c r="L208" s="19">
        <f>YEAR(Table1342[[#This Row],[Date]])</f>
        <v>2023</v>
      </c>
      <c r="M208" s="19">
        <f>MONTH(Table1342[[#This Row],[Date]])</f>
        <v>8</v>
      </c>
      <c r="N208" s="19">
        <f>DAY(Table1342[[#This Row],[Date]])</f>
        <v>18</v>
      </c>
      <c r="O208" s="19"/>
      <c r="P208" s="19" t="str">
        <f>TEXT(DATE(2023,Table1342[[#This Row],[MONTH]],1),"mmm")</f>
        <v>Aug</v>
      </c>
      <c r="Q208" s="19"/>
    </row>
    <row r="209" spans="1:17" x14ac:dyDescent="0.3">
      <c r="A209" s="19">
        <v>208</v>
      </c>
      <c r="B209" s="20">
        <v>45079</v>
      </c>
      <c r="C209" s="19" t="s">
        <v>37</v>
      </c>
      <c r="D209" s="19" t="s">
        <v>27</v>
      </c>
      <c r="E209" s="19" t="s">
        <v>12</v>
      </c>
      <c r="F209" s="19" t="s">
        <v>31</v>
      </c>
      <c r="G209" s="19" t="s">
        <v>32</v>
      </c>
      <c r="H209" s="21">
        <v>22629.8</v>
      </c>
      <c r="I209" s="19">
        <v>9</v>
      </c>
      <c r="J209" s="21">
        <v>6097.6</v>
      </c>
      <c r="K209" s="19" t="str" cm="1">
        <f t="array" ref="K209">_xlfn.IFS(Table1342[[#This Row],[Sales]]&gt;40000,"Best Sales",Table1342[[#This Row],[Sales]]&gt;20000,"Average Sales",Table1342[[#This Row],[Sales]]&gt;0,"Poor Sales")</f>
        <v>Average Sales</v>
      </c>
      <c r="L209" s="19">
        <f>YEAR(Table1342[[#This Row],[Date]])</f>
        <v>2023</v>
      </c>
      <c r="M209" s="19">
        <f>MONTH(Table1342[[#This Row],[Date]])</f>
        <v>6</v>
      </c>
      <c r="N209" s="19">
        <f>DAY(Table1342[[#This Row],[Date]])</f>
        <v>2</v>
      </c>
      <c r="O209" s="19"/>
      <c r="P209" s="19" t="str">
        <f>TEXT(DATE(2023,Table1342[[#This Row],[MONTH]],1),"mmm")</f>
        <v>Jun</v>
      </c>
      <c r="Q209" s="19"/>
    </row>
    <row r="210" spans="1:17" x14ac:dyDescent="0.3">
      <c r="A210" s="19">
        <v>209</v>
      </c>
      <c r="B210" s="20">
        <v>45030</v>
      </c>
      <c r="C210" s="19" t="s">
        <v>22</v>
      </c>
      <c r="D210" s="19" t="s">
        <v>22</v>
      </c>
      <c r="E210" s="19" t="s">
        <v>17</v>
      </c>
      <c r="F210" s="19" t="s">
        <v>13</v>
      </c>
      <c r="G210" s="19" t="s">
        <v>34</v>
      </c>
      <c r="H210" s="21">
        <v>13679.99</v>
      </c>
      <c r="I210" s="19">
        <v>6</v>
      </c>
      <c r="J210" s="21">
        <v>3823.09</v>
      </c>
      <c r="K210" s="19" t="str" cm="1">
        <f t="array" ref="K210">_xlfn.IFS(Table1342[[#This Row],[Sales]]&gt;40000,"Best Sales",Table1342[[#This Row],[Sales]]&gt;20000,"Average Sales",Table1342[[#This Row],[Sales]]&gt;0,"Poor Sales")</f>
        <v>Poor Sales</v>
      </c>
      <c r="L210" s="19">
        <f>YEAR(Table1342[[#This Row],[Date]])</f>
        <v>2023</v>
      </c>
      <c r="M210" s="19">
        <f>MONTH(Table1342[[#This Row],[Date]])</f>
        <v>4</v>
      </c>
      <c r="N210" s="19">
        <f>DAY(Table1342[[#This Row],[Date]])</f>
        <v>14</v>
      </c>
      <c r="O210" s="19"/>
      <c r="P210" s="19" t="str">
        <f>TEXT(DATE(2023,Table1342[[#This Row],[MONTH]],1),"mmm")</f>
        <v>Apr</v>
      </c>
      <c r="Q210" s="19"/>
    </row>
    <row r="211" spans="1:17" x14ac:dyDescent="0.3">
      <c r="A211" s="19">
        <v>210</v>
      </c>
      <c r="B211" s="20">
        <v>45183</v>
      </c>
      <c r="C211" s="19" t="s">
        <v>15</v>
      </c>
      <c r="D211" s="19" t="s">
        <v>16</v>
      </c>
      <c r="E211" s="19" t="s">
        <v>20</v>
      </c>
      <c r="F211" s="19" t="s">
        <v>24</v>
      </c>
      <c r="G211" s="19" t="s">
        <v>28</v>
      </c>
      <c r="H211" s="21">
        <v>36043.949999999997</v>
      </c>
      <c r="I211" s="19">
        <v>8</v>
      </c>
      <c r="J211" s="21">
        <v>5946.66</v>
      </c>
      <c r="K211" s="19" t="str" cm="1">
        <f t="array" ref="K211">_xlfn.IFS(Table1342[[#This Row],[Sales]]&gt;40000,"Best Sales",Table1342[[#This Row],[Sales]]&gt;20000,"Average Sales",Table1342[[#This Row],[Sales]]&gt;0,"Poor Sales")</f>
        <v>Average Sales</v>
      </c>
      <c r="L211" s="19">
        <f>YEAR(Table1342[[#This Row],[Date]])</f>
        <v>2023</v>
      </c>
      <c r="M211" s="19">
        <f>MONTH(Table1342[[#This Row],[Date]])</f>
        <v>9</v>
      </c>
      <c r="N211" s="19">
        <f>DAY(Table1342[[#This Row],[Date]])</f>
        <v>14</v>
      </c>
      <c r="O211" s="19"/>
      <c r="P211" s="19" t="str">
        <f>TEXT(DATE(2023,Table1342[[#This Row],[MONTH]],1),"mmm")</f>
        <v>Sep</v>
      </c>
      <c r="Q211" s="19"/>
    </row>
    <row r="212" spans="1:17" x14ac:dyDescent="0.3">
      <c r="A212" s="19">
        <v>211</v>
      </c>
      <c r="B212" s="20">
        <v>45220</v>
      </c>
      <c r="C212" s="19" t="s">
        <v>18</v>
      </c>
      <c r="D212" s="19" t="s">
        <v>19</v>
      </c>
      <c r="E212" s="19" t="s">
        <v>20</v>
      </c>
      <c r="F212" s="19" t="s">
        <v>31</v>
      </c>
      <c r="G212" s="19" t="s">
        <v>33</v>
      </c>
      <c r="H212" s="21">
        <v>8717.0400000000009</v>
      </c>
      <c r="I212" s="19">
        <v>7</v>
      </c>
      <c r="J212" s="21">
        <v>550.32000000000005</v>
      </c>
      <c r="K212" s="19" t="str" cm="1">
        <f t="array" ref="K212">_xlfn.IFS(Table1342[[#This Row],[Sales]]&gt;40000,"Best Sales",Table1342[[#This Row],[Sales]]&gt;20000,"Average Sales",Table1342[[#This Row],[Sales]]&gt;0,"Poor Sales")</f>
        <v>Poor Sales</v>
      </c>
      <c r="L212" s="19">
        <f>YEAR(Table1342[[#This Row],[Date]])</f>
        <v>2023</v>
      </c>
      <c r="M212" s="19">
        <f>MONTH(Table1342[[#This Row],[Date]])</f>
        <v>10</v>
      </c>
      <c r="N212" s="19">
        <f>DAY(Table1342[[#This Row],[Date]])</f>
        <v>21</v>
      </c>
      <c r="O212" s="19"/>
      <c r="P212" s="19" t="str">
        <f>TEXT(DATE(2023,Table1342[[#This Row],[MONTH]],1),"mmm")</f>
        <v>Oct</v>
      </c>
      <c r="Q212" s="19"/>
    </row>
    <row r="213" spans="1:17" x14ac:dyDescent="0.3">
      <c r="A213" s="19">
        <v>212</v>
      </c>
      <c r="B213" s="20">
        <v>45238</v>
      </c>
      <c r="C213" s="19" t="s">
        <v>15</v>
      </c>
      <c r="D213" s="19" t="s">
        <v>16</v>
      </c>
      <c r="E213" s="19" t="s">
        <v>12</v>
      </c>
      <c r="F213" s="19" t="s">
        <v>24</v>
      </c>
      <c r="G213" s="19" t="s">
        <v>28</v>
      </c>
      <c r="H213" s="21">
        <v>49857.23</v>
      </c>
      <c r="I213" s="19">
        <v>1</v>
      </c>
      <c r="J213" s="21">
        <v>9642.2000000000007</v>
      </c>
      <c r="K213" s="19" t="str" cm="1">
        <f t="array" ref="K213">_xlfn.IFS(Table1342[[#This Row],[Sales]]&gt;40000,"Best Sales",Table1342[[#This Row],[Sales]]&gt;20000,"Average Sales",Table1342[[#This Row],[Sales]]&gt;0,"Poor Sales")</f>
        <v>Best Sales</v>
      </c>
      <c r="L213" s="19">
        <f>YEAR(Table1342[[#This Row],[Date]])</f>
        <v>2023</v>
      </c>
      <c r="M213" s="19">
        <f>MONTH(Table1342[[#This Row],[Date]])</f>
        <v>11</v>
      </c>
      <c r="N213" s="19">
        <f>DAY(Table1342[[#This Row],[Date]])</f>
        <v>8</v>
      </c>
      <c r="O213" s="19"/>
      <c r="P213" s="19" t="str">
        <f>TEXT(DATE(2023,Table1342[[#This Row],[MONTH]],1),"mmm")</f>
        <v>Nov</v>
      </c>
      <c r="Q213" s="19"/>
    </row>
    <row r="214" spans="1:17" x14ac:dyDescent="0.3">
      <c r="A214" s="19">
        <v>213</v>
      </c>
      <c r="B214" s="20">
        <v>45287</v>
      </c>
      <c r="C214" s="19" t="s">
        <v>30</v>
      </c>
      <c r="D214" s="19" t="s">
        <v>16</v>
      </c>
      <c r="E214" s="19" t="s">
        <v>17</v>
      </c>
      <c r="F214" s="19" t="s">
        <v>13</v>
      </c>
      <c r="G214" s="19" t="s">
        <v>14</v>
      </c>
      <c r="H214" s="21">
        <v>11971.17</v>
      </c>
      <c r="I214" s="19">
        <v>4</v>
      </c>
      <c r="J214" s="21">
        <v>2338.79</v>
      </c>
      <c r="K214" s="19" t="str" cm="1">
        <f t="array" ref="K214">_xlfn.IFS(Table1342[[#This Row],[Sales]]&gt;40000,"Best Sales",Table1342[[#This Row],[Sales]]&gt;20000,"Average Sales",Table1342[[#This Row],[Sales]]&gt;0,"Poor Sales")</f>
        <v>Poor Sales</v>
      </c>
      <c r="L214" s="19">
        <f>YEAR(Table1342[[#This Row],[Date]])</f>
        <v>2023</v>
      </c>
      <c r="M214" s="19">
        <f>MONTH(Table1342[[#This Row],[Date]])</f>
        <v>12</v>
      </c>
      <c r="N214" s="19">
        <f>DAY(Table1342[[#This Row],[Date]])</f>
        <v>27</v>
      </c>
      <c r="O214" s="19"/>
      <c r="P214" s="19" t="str">
        <f>TEXT(DATE(2023,Table1342[[#This Row],[MONTH]],1),"mmm")</f>
        <v>Dec</v>
      </c>
      <c r="Q214" s="19"/>
    </row>
    <row r="215" spans="1:17" x14ac:dyDescent="0.3">
      <c r="A215" s="19">
        <v>214</v>
      </c>
      <c r="B215" s="20">
        <v>45252</v>
      </c>
      <c r="C215" s="19" t="s">
        <v>10</v>
      </c>
      <c r="D215" s="19" t="s">
        <v>11</v>
      </c>
      <c r="E215" s="19" t="s">
        <v>12</v>
      </c>
      <c r="F215" s="19" t="s">
        <v>13</v>
      </c>
      <c r="G215" s="19" t="s">
        <v>14</v>
      </c>
      <c r="H215" s="21">
        <v>35720.53</v>
      </c>
      <c r="I215" s="19">
        <v>2</v>
      </c>
      <c r="J215" s="21">
        <v>7171.98</v>
      </c>
      <c r="K215" s="19" t="str" cm="1">
        <f t="array" ref="K215">_xlfn.IFS(Table1342[[#This Row],[Sales]]&gt;40000,"Best Sales",Table1342[[#This Row],[Sales]]&gt;20000,"Average Sales",Table1342[[#This Row],[Sales]]&gt;0,"Poor Sales")</f>
        <v>Average Sales</v>
      </c>
      <c r="L215" s="19">
        <f>YEAR(Table1342[[#This Row],[Date]])</f>
        <v>2023</v>
      </c>
      <c r="M215" s="19">
        <f>MONTH(Table1342[[#This Row],[Date]])</f>
        <v>11</v>
      </c>
      <c r="N215" s="19">
        <f>DAY(Table1342[[#This Row],[Date]])</f>
        <v>22</v>
      </c>
      <c r="O215" s="19"/>
      <c r="P215" s="19" t="str">
        <f>TEXT(DATE(2023,Table1342[[#This Row],[MONTH]],1),"mmm")</f>
        <v>Nov</v>
      </c>
      <c r="Q215" s="19"/>
    </row>
    <row r="216" spans="1:17" x14ac:dyDescent="0.3">
      <c r="A216" s="19">
        <v>215</v>
      </c>
      <c r="B216" s="20">
        <v>45167</v>
      </c>
      <c r="C216" s="19" t="s">
        <v>10</v>
      </c>
      <c r="D216" s="19" t="s">
        <v>11</v>
      </c>
      <c r="E216" s="19" t="s">
        <v>17</v>
      </c>
      <c r="F216" s="19" t="s">
        <v>13</v>
      </c>
      <c r="G216" s="19" t="s">
        <v>21</v>
      </c>
      <c r="H216" s="21">
        <v>15091</v>
      </c>
      <c r="I216" s="19">
        <v>10</v>
      </c>
      <c r="J216" s="21">
        <v>4408.8599999999997</v>
      </c>
      <c r="K216" s="19" t="str" cm="1">
        <f t="array" ref="K216">_xlfn.IFS(Table1342[[#This Row],[Sales]]&gt;40000,"Best Sales",Table1342[[#This Row],[Sales]]&gt;20000,"Average Sales",Table1342[[#This Row],[Sales]]&gt;0,"Poor Sales")</f>
        <v>Poor Sales</v>
      </c>
      <c r="L216" s="19">
        <f>YEAR(Table1342[[#This Row],[Date]])</f>
        <v>2023</v>
      </c>
      <c r="M216" s="19">
        <f>MONTH(Table1342[[#This Row],[Date]])</f>
        <v>8</v>
      </c>
      <c r="N216" s="19">
        <f>DAY(Table1342[[#This Row],[Date]])</f>
        <v>29</v>
      </c>
      <c r="O216" s="19"/>
      <c r="P216" s="19" t="str">
        <f>TEXT(DATE(2023,Table1342[[#This Row],[MONTH]],1),"mmm")</f>
        <v>Aug</v>
      </c>
      <c r="Q216" s="19"/>
    </row>
    <row r="217" spans="1:17" x14ac:dyDescent="0.3">
      <c r="A217" s="19">
        <v>216</v>
      </c>
      <c r="B217" s="20">
        <v>45142</v>
      </c>
      <c r="C217" s="19" t="s">
        <v>38</v>
      </c>
      <c r="D217" s="19" t="s">
        <v>27</v>
      </c>
      <c r="E217" s="19" t="s">
        <v>20</v>
      </c>
      <c r="F217" s="19" t="s">
        <v>13</v>
      </c>
      <c r="G217" s="19" t="s">
        <v>21</v>
      </c>
      <c r="H217" s="21">
        <v>1464.91</v>
      </c>
      <c r="I217" s="19">
        <v>2</v>
      </c>
      <c r="J217" s="21">
        <v>166.33</v>
      </c>
      <c r="K217" s="19" t="str" cm="1">
        <f t="array" ref="K217">_xlfn.IFS(Table1342[[#This Row],[Sales]]&gt;40000,"Best Sales",Table1342[[#This Row],[Sales]]&gt;20000,"Average Sales",Table1342[[#This Row],[Sales]]&gt;0,"Poor Sales")</f>
        <v>Poor Sales</v>
      </c>
      <c r="L217" s="19">
        <f>YEAR(Table1342[[#This Row],[Date]])</f>
        <v>2023</v>
      </c>
      <c r="M217" s="19">
        <f>MONTH(Table1342[[#This Row],[Date]])</f>
        <v>8</v>
      </c>
      <c r="N217" s="19">
        <f>DAY(Table1342[[#This Row],[Date]])</f>
        <v>4</v>
      </c>
      <c r="O217" s="19"/>
      <c r="P217" s="19" t="str">
        <f>TEXT(DATE(2023,Table1342[[#This Row],[MONTH]],1),"mmm")</f>
        <v>Aug</v>
      </c>
      <c r="Q217" s="19"/>
    </row>
    <row r="218" spans="1:17" x14ac:dyDescent="0.3">
      <c r="A218" s="19">
        <v>217</v>
      </c>
      <c r="B218" s="20">
        <v>45057</v>
      </c>
      <c r="C218" s="19" t="s">
        <v>38</v>
      </c>
      <c r="D218" s="19" t="s">
        <v>27</v>
      </c>
      <c r="E218" s="19" t="s">
        <v>20</v>
      </c>
      <c r="F218" s="19" t="s">
        <v>13</v>
      </c>
      <c r="G218" s="19" t="s">
        <v>14</v>
      </c>
      <c r="H218" s="21">
        <v>20871</v>
      </c>
      <c r="I218" s="19">
        <v>6</v>
      </c>
      <c r="J218" s="21">
        <v>1123.25</v>
      </c>
      <c r="K218" s="19" t="str" cm="1">
        <f t="array" ref="K218">_xlfn.IFS(Table1342[[#This Row],[Sales]]&gt;40000,"Best Sales",Table1342[[#This Row],[Sales]]&gt;20000,"Average Sales",Table1342[[#This Row],[Sales]]&gt;0,"Poor Sales")</f>
        <v>Average Sales</v>
      </c>
      <c r="L218" s="19">
        <f>YEAR(Table1342[[#This Row],[Date]])</f>
        <v>2023</v>
      </c>
      <c r="M218" s="19">
        <f>MONTH(Table1342[[#This Row],[Date]])</f>
        <v>5</v>
      </c>
      <c r="N218" s="19">
        <f>DAY(Table1342[[#This Row],[Date]])</f>
        <v>11</v>
      </c>
      <c r="O218" s="19"/>
      <c r="P218" s="19" t="str">
        <f>TEXT(DATE(2023,Table1342[[#This Row],[MONTH]],1),"mmm")</f>
        <v>May</v>
      </c>
      <c r="Q218" s="19"/>
    </row>
    <row r="219" spans="1:17" x14ac:dyDescent="0.3">
      <c r="A219" s="19">
        <v>218</v>
      </c>
      <c r="B219" s="20">
        <v>45060</v>
      </c>
      <c r="C219" s="19" t="s">
        <v>10</v>
      </c>
      <c r="D219" s="19" t="s">
        <v>11</v>
      </c>
      <c r="E219" s="19" t="s">
        <v>12</v>
      </c>
      <c r="F219" s="19" t="s">
        <v>31</v>
      </c>
      <c r="G219" s="19" t="s">
        <v>39</v>
      </c>
      <c r="H219" s="21">
        <v>16475.830000000002</v>
      </c>
      <c r="I219" s="19">
        <v>3</v>
      </c>
      <c r="J219" s="21">
        <v>2544.4499999999998</v>
      </c>
      <c r="K219" s="19" t="str" cm="1">
        <f t="array" ref="K219">_xlfn.IFS(Table1342[[#This Row],[Sales]]&gt;40000,"Best Sales",Table1342[[#This Row],[Sales]]&gt;20000,"Average Sales",Table1342[[#This Row],[Sales]]&gt;0,"Poor Sales")</f>
        <v>Poor Sales</v>
      </c>
      <c r="L219" s="19">
        <f>YEAR(Table1342[[#This Row],[Date]])</f>
        <v>2023</v>
      </c>
      <c r="M219" s="19">
        <f>MONTH(Table1342[[#This Row],[Date]])</f>
        <v>5</v>
      </c>
      <c r="N219" s="19">
        <f>DAY(Table1342[[#This Row],[Date]])</f>
        <v>14</v>
      </c>
      <c r="O219" s="19"/>
      <c r="P219" s="19" t="str">
        <f>TEXT(DATE(2023,Table1342[[#This Row],[MONTH]],1),"mmm")</f>
        <v>May</v>
      </c>
      <c r="Q219" s="19"/>
    </row>
    <row r="220" spans="1:17" x14ac:dyDescent="0.3">
      <c r="A220" s="19">
        <v>219</v>
      </c>
      <c r="B220" s="20">
        <v>45166</v>
      </c>
      <c r="C220" s="19" t="s">
        <v>15</v>
      </c>
      <c r="D220" s="19" t="s">
        <v>16</v>
      </c>
      <c r="E220" s="19" t="s">
        <v>17</v>
      </c>
      <c r="F220" s="19" t="s">
        <v>13</v>
      </c>
      <c r="G220" s="19" t="s">
        <v>21</v>
      </c>
      <c r="H220" s="21">
        <v>40284</v>
      </c>
      <c r="I220" s="19">
        <v>5</v>
      </c>
      <c r="J220" s="21">
        <v>10032.85</v>
      </c>
      <c r="K220" s="19" t="str" cm="1">
        <f t="array" ref="K220">_xlfn.IFS(Table1342[[#This Row],[Sales]]&gt;40000,"Best Sales",Table1342[[#This Row],[Sales]]&gt;20000,"Average Sales",Table1342[[#This Row],[Sales]]&gt;0,"Poor Sales")</f>
        <v>Best Sales</v>
      </c>
      <c r="L220" s="19">
        <f>YEAR(Table1342[[#This Row],[Date]])</f>
        <v>2023</v>
      </c>
      <c r="M220" s="19">
        <f>MONTH(Table1342[[#This Row],[Date]])</f>
        <v>8</v>
      </c>
      <c r="N220" s="19">
        <f>DAY(Table1342[[#This Row],[Date]])</f>
        <v>28</v>
      </c>
      <c r="O220" s="19"/>
      <c r="P220" s="19" t="str">
        <f>TEXT(DATE(2023,Table1342[[#This Row],[MONTH]],1),"mmm")</f>
        <v>Aug</v>
      </c>
      <c r="Q220" s="19"/>
    </row>
    <row r="221" spans="1:17" x14ac:dyDescent="0.3">
      <c r="A221" s="19">
        <v>220</v>
      </c>
      <c r="B221" s="20">
        <v>45188</v>
      </c>
      <c r="C221" s="19" t="s">
        <v>35</v>
      </c>
      <c r="D221" s="19" t="s">
        <v>36</v>
      </c>
      <c r="E221" s="19" t="s">
        <v>12</v>
      </c>
      <c r="F221" s="19" t="s">
        <v>13</v>
      </c>
      <c r="G221" s="19" t="s">
        <v>14</v>
      </c>
      <c r="H221" s="21">
        <v>8686.2199999999993</v>
      </c>
      <c r="I221" s="19">
        <v>2</v>
      </c>
      <c r="J221" s="21">
        <v>929.05</v>
      </c>
      <c r="K221" s="19" t="str" cm="1">
        <f t="array" ref="K221">_xlfn.IFS(Table1342[[#This Row],[Sales]]&gt;40000,"Best Sales",Table1342[[#This Row],[Sales]]&gt;20000,"Average Sales",Table1342[[#This Row],[Sales]]&gt;0,"Poor Sales")</f>
        <v>Poor Sales</v>
      </c>
      <c r="L221" s="19">
        <f>YEAR(Table1342[[#This Row],[Date]])</f>
        <v>2023</v>
      </c>
      <c r="M221" s="19">
        <f>MONTH(Table1342[[#This Row],[Date]])</f>
        <v>9</v>
      </c>
      <c r="N221" s="19">
        <f>DAY(Table1342[[#This Row],[Date]])</f>
        <v>19</v>
      </c>
      <c r="O221" s="19"/>
      <c r="P221" s="19" t="str">
        <f>TEXT(DATE(2023,Table1342[[#This Row],[MONTH]],1),"mmm")</f>
        <v>Sep</v>
      </c>
      <c r="Q221" s="19"/>
    </row>
    <row r="222" spans="1:17" x14ac:dyDescent="0.3">
      <c r="A222" s="19">
        <v>221</v>
      </c>
      <c r="B222" s="20">
        <v>44991</v>
      </c>
      <c r="C222" s="19" t="s">
        <v>37</v>
      </c>
      <c r="D222" s="19" t="s">
        <v>27</v>
      </c>
      <c r="E222" s="19" t="s">
        <v>17</v>
      </c>
      <c r="F222" s="19" t="s">
        <v>24</v>
      </c>
      <c r="G222" s="19" t="s">
        <v>25</v>
      </c>
      <c r="H222" s="21">
        <v>6913.56</v>
      </c>
      <c r="I222" s="19">
        <v>3</v>
      </c>
      <c r="J222" s="21">
        <v>1983.12</v>
      </c>
      <c r="K222" s="19" t="str" cm="1">
        <f t="array" ref="K222">_xlfn.IFS(Table1342[[#This Row],[Sales]]&gt;40000,"Best Sales",Table1342[[#This Row],[Sales]]&gt;20000,"Average Sales",Table1342[[#This Row],[Sales]]&gt;0,"Poor Sales")</f>
        <v>Poor Sales</v>
      </c>
      <c r="L222" s="19">
        <f>YEAR(Table1342[[#This Row],[Date]])</f>
        <v>2023</v>
      </c>
      <c r="M222" s="19">
        <f>MONTH(Table1342[[#This Row],[Date]])</f>
        <v>3</v>
      </c>
      <c r="N222" s="19">
        <f>DAY(Table1342[[#This Row],[Date]])</f>
        <v>6</v>
      </c>
      <c r="O222" s="19"/>
      <c r="P222" s="19" t="str">
        <f>TEXT(DATE(2023,Table1342[[#This Row],[MONTH]],1),"mmm")</f>
        <v>Mar</v>
      </c>
      <c r="Q222" s="19"/>
    </row>
    <row r="223" spans="1:17" x14ac:dyDescent="0.3">
      <c r="A223" s="19">
        <v>222</v>
      </c>
      <c r="B223" s="20">
        <v>45022</v>
      </c>
      <c r="C223" s="19" t="s">
        <v>22</v>
      </c>
      <c r="D223" s="19" t="s">
        <v>22</v>
      </c>
      <c r="E223" s="19" t="s">
        <v>20</v>
      </c>
      <c r="F223" s="19" t="s">
        <v>24</v>
      </c>
      <c r="G223" s="19" t="s">
        <v>28</v>
      </c>
      <c r="H223" s="21">
        <v>37149.339999999997</v>
      </c>
      <c r="I223" s="19">
        <v>10</v>
      </c>
      <c r="J223" s="21">
        <v>10843.22</v>
      </c>
      <c r="K223" s="19" t="str" cm="1">
        <f t="array" ref="K223">_xlfn.IFS(Table1342[[#This Row],[Sales]]&gt;40000,"Best Sales",Table1342[[#This Row],[Sales]]&gt;20000,"Average Sales",Table1342[[#This Row],[Sales]]&gt;0,"Poor Sales")</f>
        <v>Average Sales</v>
      </c>
      <c r="L223" s="19">
        <f>YEAR(Table1342[[#This Row],[Date]])</f>
        <v>2023</v>
      </c>
      <c r="M223" s="19">
        <f>MONTH(Table1342[[#This Row],[Date]])</f>
        <v>4</v>
      </c>
      <c r="N223" s="19">
        <f>DAY(Table1342[[#This Row],[Date]])</f>
        <v>6</v>
      </c>
      <c r="O223" s="19"/>
      <c r="P223" s="19" t="str">
        <f>TEXT(DATE(2023,Table1342[[#This Row],[MONTH]],1),"mmm")</f>
        <v>Apr</v>
      </c>
      <c r="Q223" s="19"/>
    </row>
    <row r="224" spans="1:17" x14ac:dyDescent="0.3">
      <c r="A224" s="19">
        <v>223</v>
      </c>
      <c r="B224" s="20">
        <v>45146</v>
      </c>
      <c r="C224" s="19" t="s">
        <v>26</v>
      </c>
      <c r="D224" s="19" t="s">
        <v>27</v>
      </c>
      <c r="E224" s="19" t="s">
        <v>20</v>
      </c>
      <c r="F224" s="19" t="s">
        <v>13</v>
      </c>
      <c r="G224" s="19" t="s">
        <v>34</v>
      </c>
      <c r="H224" s="21">
        <v>16640.29</v>
      </c>
      <c r="I224" s="19">
        <v>3</v>
      </c>
      <c r="J224" s="21">
        <v>1393.49</v>
      </c>
      <c r="K224" s="19" t="str" cm="1">
        <f t="array" ref="K224">_xlfn.IFS(Table1342[[#This Row],[Sales]]&gt;40000,"Best Sales",Table1342[[#This Row],[Sales]]&gt;20000,"Average Sales",Table1342[[#This Row],[Sales]]&gt;0,"Poor Sales")</f>
        <v>Poor Sales</v>
      </c>
      <c r="L224" s="19">
        <f>YEAR(Table1342[[#This Row],[Date]])</f>
        <v>2023</v>
      </c>
      <c r="M224" s="19">
        <f>MONTH(Table1342[[#This Row],[Date]])</f>
        <v>8</v>
      </c>
      <c r="N224" s="19">
        <f>DAY(Table1342[[#This Row],[Date]])</f>
        <v>8</v>
      </c>
      <c r="O224" s="19"/>
      <c r="P224" s="19" t="str">
        <f>TEXT(DATE(2023,Table1342[[#This Row],[MONTH]],1),"mmm")</f>
        <v>Aug</v>
      </c>
      <c r="Q224" s="19"/>
    </row>
    <row r="225" spans="1:17" x14ac:dyDescent="0.3">
      <c r="A225" s="19">
        <v>224</v>
      </c>
      <c r="B225" s="20">
        <v>44939</v>
      </c>
      <c r="C225" s="19" t="s">
        <v>10</v>
      </c>
      <c r="D225" s="19" t="s">
        <v>11</v>
      </c>
      <c r="E225" s="19" t="s">
        <v>12</v>
      </c>
      <c r="F225" s="19" t="s">
        <v>24</v>
      </c>
      <c r="G225" s="19" t="s">
        <v>28</v>
      </c>
      <c r="H225" s="21">
        <v>21947.32</v>
      </c>
      <c r="I225" s="19">
        <v>3</v>
      </c>
      <c r="J225" s="21">
        <v>6382.79</v>
      </c>
      <c r="K225" s="19" t="str" cm="1">
        <f t="array" ref="K225">_xlfn.IFS(Table1342[[#This Row],[Sales]]&gt;40000,"Best Sales",Table1342[[#This Row],[Sales]]&gt;20000,"Average Sales",Table1342[[#This Row],[Sales]]&gt;0,"Poor Sales")</f>
        <v>Average Sales</v>
      </c>
      <c r="L225" s="19">
        <f>YEAR(Table1342[[#This Row],[Date]])</f>
        <v>2023</v>
      </c>
      <c r="M225" s="19">
        <f>MONTH(Table1342[[#This Row],[Date]])</f>
        <v>1</v>
      </c>
      <c r="N225" s="19">
        <f>DAY(Table1342[[#This Row],[Date]])</f>
        <v>13</v>
      </c>
      <c r="O225" s="19"/>
      <c r="P225" s="19" t="str">
        <f>TEXT(DATE(2023,Table1342[[#This Row],[MONTH]],1),"mmm")</f>
        <v>Jan</v>
      </c>
      <c r="Q225" s="19"/>
    </row>
    <row r="226" spans="1:17" x14ac:dyDescent="0.3">
      <c r="A226" s="19">
        <v>225</v>
      </c>
      <c r="B226" s="20">
        <v>44957</v>
      </c>
      <c r="C226" s="19" t="s">
        <v>10</v>
      </c>
      <c r="D226" s="19" t="s">
        <v>11</v>
      </c>
      <c r="E226" s="19" t="s">
        <v>17</v>
      </c>
      <c r="F226" s="19" t="s">
        <v>31</v>
      </c>
      <c r="G226" s="19" t="s">
        <v>39</v>
      </c>
      <c r="H226" s="21">
        <v>24075.200000000001</v>
      </c>
      <c r="I226" s="19">
        <v>10</v>
      </c>
      <c r="J226" s="21">
        <v>5340.35</v>
      </c>
      <c r="K226" s="19" t="str" cm="1">
        <f t="array" ref="K226">_xlfn.IFS(Table1342[[#This Row],[Sales]]&gt;40000,"Best Sales",Table1342[[#This Row],[Sales]]&gt;20000,"Average Sales",Table1342[[#This Row],[Sales]]&gt;0,"Poor Sales")</f>
        <v>Average Sales</v>
      </c>
      <c r="L226" s="19">
        <f>YEAR(Table1342[[#This Row],[Date]])</f>
        <v>2023</v>
      </c>
      <c r="M226" s="19">
        <f>MONTH(Table1342[[#This Row],[Date]])</f>
        <v>1</v>
      </c>
      <c r="N226" s="19">
        <f>DAY(Table1342[[#This Row],[Date]])</f>
        <v>31</v>
      </c>
      <c r="O226" s="19"/>
      <c r="P226" s="19" t="str">
        <f>TEXT(DATE(2023,Table1342[[#This Row],[MONTH]],1),"mmm")</f>
        <v>Jan</v>
      </c>
      <c r="Q226" s="19"/>
    </row>
    <row r="227" spans="1:17" x14ac:dyDescent="0.3">
      <c r="A227" s="19">
        <v>226</v>
      </c>
      <c r="B227" s="20">
        <v>44969</v>
      </c>
      <c r="C227" s="19" t="s">
        <v>26</v>
      </c>
      <c r="D227" s="19" t="s">
        <v>27</v>
      </c>
      <c r="E227" s="19" t="s">
        <v>12</v>
      </c>
      <c r="F227" s="19" t="s">
        <v>24</v>
      </c>
      <c r="G227" s="19" t="s">
        <v>25</v>
      </c>
      <c r="H227" s="21">
        <v>44542.65</v>
      </c>
      <c r="I227" s="19">
        <v>6</v>
      </c>
      <c r="J227" s="21">
        <v>12094.77</v>
      </c>
      <c r="K227" s="19" t="str" cm="1">
        <f t="array" ref="K227">_xlfn.IFS(Table1342[[#This Row],[Sales]]&gt;40000,"Best Sales",Table1342[[#This Row],[Sales]]&gt;20000,"Average Sales",Table1342[[#This Row],[Sales]]&gt;0,"Poor Sales")</f>
        <v>Best Sales</v>
      </c>
      <c r="L227" s="19">
        <f>YEAR(Table1342[[#This Row],[Date]])</f>
        <v>2023</v>
      </c>
      <c r="M227" s="19">
        <f>MONTH(Table1342[[#This Row],[Date]])</f>
        <v>2</v>
      </c>
      <c r="N227" s="19">
        <f>DAY(Table1342[[#This Row],[Date]])</f>
        <v>12</v>
      </c>
      <c r="O227" s="19"/>
      <c r="P227" s="19" t="str">
        <f>TEXT(DATE(2023,Table1342[[#This Row],[MONTH]],1),"mmm")</f>
        <v>Feb</v>
      </c>
      <c r="Q227" s="19"/>
    </row>
    <row r="228" spans="1:17" x14ac:dyDescent="0.3">
      <c r="A228" s="19">
        <v>227</v>
      </c>
      <c r="B228" s="20">
        <v>44927</v>
      </c>
      <c r="C228" s="19" t="s">
        <v>35</v>
      </c>
      <c r="D228" s="19" t="s">
        <v>36</v>
      </c>
      <c r="E228" s="19" t="s">
        <v>17</v>
      </c>
      <c r="F228" s="19" t="s">
        <v>31</v>
      </c>
      <c r="G228" s="19" t="s">
        <v>39</v>
      </c>
      <c r="H228" s="21">
        <v>42137.27</v>
      </c>
      <c r="I228" s="19">
        <v>5</v>
      </c>
      <c r="J228" s="21">
        <v>5097.54</v>
      </c>
      <c r="K228" s="19" t="str" cm="1">
        <f t="array" ref="K228">_xlfn.IFS(Table1342[[#This Row],[Sales]]&gt;40000,"Best Sales",Table1342[[#This Row],[Sales]]&gt;20000,"Average Sales",Table1342[[#This Row],[Sales]]&gt;0,"Poor Sales")</f>
        <v>Best Sales</v>
      </c>
      <c r="L228" s="19">
        <f>YEAR(Table1342[[#This Row],[Date]])</f>
        <v>2023</v>
      </c>
      <c r="M228" s="19">
        <f>MONTH(Table1342[[#This Row],[Date]])</f>
        <v>1</v>
      </c>
      <c r="N228" s="19">
        <f>DAY(Table1342[[#This Row],[Date]])</f>
        <v>1</v>
      </c>
      <c r="O228" s="19"/>
      <c r="P228" s="19" t="str">
        <f>TEXT(DATE(2023,Table1342[[#This Row],[MONTH]],1),"mmm")</f>
        <v>Jan</v>
      </c>
      <c r="Q228" s="19"/>
    </row>
    <row r="229" spans="1:17" x14ac:dyDescent="0.3">
      <c r="A229" s="19">
        <v>228</v>
      </c>
      <c r="B229" s="20">
        <v>45121</v>
      </c>
      <c r="C229" s="19" t="s">
        <v>30</v>
      </c>
      <c r="D229" s="19" t="s">
        <v>16</v>
      </c>
      <c r="E229" s="19" t="s">
        <v>20</v>
      </c>
      <c r="F229" s="19" t="s">
        <v>31</v>
      </c>
      <c r="G229" s="19" t="s">
        <v>33</v>
      </c>
      <c r="H229" s="21">
        <v>33630.86</v>
      </c>
      <c r="I229" s="19">
        <v>5</v>
      </c>
      <c r="J229" s="21">
        <v>2900.81</v>
      </c>
      <c r="K229" s="19" t="str" cm="1">
        <f t="array" ref="K229">_xlfn.IFS(Table1342[[#This Row],[Sales]]&gt;40000,"Best Sales",Table1342[[#This Row],[Sales]]&gt;20000,"Average Sales",Table1342[[#This Row],[Sales]]&gt;0,"Poor Sales")</f>
        <v>Average Sales</v>
      </c>
      <c r="L229" s="19">
        <f>YEAR(Table1342[[#This Row],[Date]])</f>
        <v>2023</v>
      </c>
      <c r="M229" s="19">
        <f>MONTH(Table1342[[#This Row],[Date]])</f>
        <v>7</v>
      </c>
      <c r="N229" s="19">
        <f>DAY(Table1342[[#This Row],[Date]])</f>
        <v>14</v>
      </c>
      <c r="O229" s="19"/>
      <c r="P229" s="19" t="str">
        <f>TEXT(DATE(2023,Table1342[[#This Row],[MONTH]],1),"mmm")</f>
        <v>Jul</v>
      </c>
      <c r="Q229" s="19"/>
    </row>
    <row r="230" spans="1:17" x14ac:dyDescent="0.3">
      <c r="A230" s="19">
        <v>229</v>
      </c>
      <c r="B230" s="20">
        <v>45263</v>
      </c>
      <c r="C230" s="19" t="s">
        <v>35</v>
      </c>
      <c r="D230" s="19" t="s">
        <v>36</v>
      </c>
      <c r="E230" s="19" t="s">
        <v>20</v>
      </c>
      <c r="F230" s="19" t="s">
        <v>24</v>
      </c>
      <c r="G230" s="19" t="s">
        <v>28</v>
      </c>
      <c r="H230" s="21">
        <v>1156.72</v>
      </c>
      <c r="I230" s="19">
        <v>2</v>
      </c>
      <c r="J230" s="21">
        <v>281.39</v>
      </c>
      <c r="K230" s="19" t="str" cm="1">
        <f t="array" ref="K230">_xlfn.IFS(Table1342[[#This Row],[Sales]]&gt;40000,"Best Sales",Table1342[[#This Row],[Sales]]&gt;20000,"Average Sales",Table1342[[#This Row],[Sales]]&gt;0,"Poor Sales")</f>
        <v>Poor Sales</v>
      </c>
      <c r="L230" s="19">
        <f>YEAR(Table1342[[#This Row],[Date]])</f>
        <v>2023</v>
      </c>
      <c r="M230" s="19">
        <f>MONTH(Table1342[[#This Row],[Date]])</f>
        <v>12</v>
      </c>
      <c r="N230" s="19">
        <f>DAY(Table1342[[#This Row],[Date]])</f>
        <v>3</v>
      </c>
      <c r="O230" s="19"/>
      <c r="P230" s="19" t="str">
        <f>TEXT(DATE(2023,Table1342[[#This Row],[MONTH]],1),"mmm")</f>
        <v>Dec</v>
      </c>
      <c r="Q230" s="19"/>
    </row>
    <row r="231" spans="1:17" x14ac:dyDescent="0.3">
      <c r="A231" s="19">
        <v>230</v>
      </c>
      <c r="B231" s="20">
        <v>45163</v>
      </c>
      <c r="C231" s="19" t="s">
        <v>26</v>
      </c>
      <c r="D231" s="19" t="s">
        <v>27</v>
      </c>
      <c r="E231" s="19" t="s">
        <v>12</v>
      </c>
      <c r="F231" s="19" t="s">
        <v>13</v>
      </c>
      <c r="G231" s="19" t="s">
        <v>21</v>
      </c>
      <c r="H231" s="21">
        <v>28988.87</v>
      </c>
      <c r="I231" s="19">
        <v>4</v>
      </c>
      <c r="J231" s="21">
        <v>8348.4500000000007</v>
      </c>
      <c r="K231" s="19" t="str" cm="1">
        <f t="array" ref="K231">_xlfn.IFS(Table1342[[#This Row],[Sales]]&gt;40000,"Best Sales",Table1342[[#This Row],[Sales]]&gt;20000,"Average Sales",Table1342[[#This Row],[Sales]]&gt;0,"Poor Sales")</f>
        <v>Average Sales</v>
      </c>
      <c r="L231" s="19">
        <f>YEAR(Table1342[[#This Row],[Date]])</f>
        <v>2023</v>
      </c>
      <c r="M231" s="19">
        <f>MONTH(Table1342[[#This Row],[Date]])</f>
        <v>8</v>
      </c>
      <c r="N231" s="19">
        <f>DAY(Table1342[[#This Row],[Date]])</f>
        <v>25</v>
      </c>
      <c r="O231" s="19"/>
      <c r="P231" s="19" t="str">
        <f>TEXT(DATE(2023,Table1342[[#This Row],[MONTH]],1),"mmm")</f>
        <v>Aug</v>
      </c>
      <c r="Q231" s="19"/>
    </row>
    <row r="232" spans="1:17" x14ac:dyDescent="0.3">
      <c r="A232" s="19">
        <v>231</v>
      </c>
      <c r="B232" s="20">
        <v>45227</v>
      </c>
      <c r="C232" s="19" t="s">
        <v>10</v>
      </c>
      <c r="D232" s="19" t="s">
        <v>11</v>
      </c>
      <c r="E232" s="19" t="s">
        <v>17</v>
      </c>
      <c r="F232" s="19" t="s">
        <v>24</v>
      </c>
      <c r="G232" s="19" t="s">
        <v>28</v>
      </c>
      <c r="H232" s="21">
        <v>40961.07</v>
      </c>
      <c r="I232" s="19">
        <v>7</v>
      </c>
      <c r="J232" s="21">
        <v>11511.53</v>
      </c>
      <c r="K232" s="19" t="str" cm="1">
        <f t="array" ref="K232">_xlfn.IFS(Table1342[[#This Row],[Sales]]&gt;40000,"Best Sales",Table1342[[#This Row],[Sales]]&gt;20000,"Average Sales",Table1342[[#This Row],[Sales]]&gt;0,"Poor Sales")</f>
        <v>Best Sales</v>
      </c>
      <c r="L232" s="19">
        <f>YEAR(Table1342[[#This Row],[Date]])</f>
        <v>2023</v>
      </c>
      <c r="M232" s="19">
        <f>MONTH(Table1342[[#This Row],[Date]])</f>
        <v>10</v>
      </c>
      <c r="N232" s="19">
        <f>DAY(Table1342[[#This Row],[Date]])</f>
        <v>28</v>
      </c>
      <c r="O232" s="19"/>
      <c r="P232" s="19" t="str">
        <f>TEXT(DATE(2023,Table1342[[#This Row],[MONTH]],1),"mmm")</f>
        <v>Oct</v>
      </c>
      <c r="Q232" s="19"/>
    </row>
    <row r="233" spans="1:17" x14ac:dyDescent="0.3">
      <c r="A233" s="19">
        <v>232</v>
      </c>
      <c r="B233" s="20">
        <v>45215</v>
      </c>
      <c r="C233" s="19" t="s">
        <v>10</v>
      </c>
      <c r="D233" s="19" t="s">
        <v>11</v>
      </c>
      <c r="E233" s="19" t="s">
        <v>12</v>
      </c>
      <c r="F233" s="19" t="s">
        <v>31</v>
      </c>
      <c r="G233" s="19" t="s">
        <v>32</v>
      </c>
      <c r="H233" s="21">
        <v>44103.15</v>
      </c>
      <c r="I233" s="19">
        <v>8</v>
      </c>
      <c r="J233" s="21">
        <v>7622.06</v>
      </c>
      <c r="K233" s="19" t="str" cm="1">
        <f t="array" ref="K233">_xlfn.IFS(Table1342[[#This Row],[Sales]]&gt;40000,"Best Sales",Table1342[[#This Row],[Sales]]&gt;20000,"Average Sales",Table1342[[#This Row],[Sales]]&gt;0,"Poor Sales")</f>
        <v>Best Sales</v>
      </c>
      <c r="L233" s="19">
        <f>YEAR(Table1342[[#This Row],[Date]])</f>
        <v>2023</v>
      </c>
      <c r="M233" s="19">
        <f>MONTH(Table1342[[#This Row],[Date]])</f>
        <v>10</v>
      </c>
      <c r="N233" s="19">
        <f>DAY(Table1342[[#This Row],[Date]])</f>
        <v>16</v>
      </c>
      <c r="O233" s="19"/>
      <c r="P233" s="19" t="str">
        <f>TEXT(DATE(2023,Table1342[[#This Row],[MONTH]],1),"mmm")</f>
        <v>Oct</v>
      </c>
      <c r="Q233" s="19"/>
    </row>
    <row r="234" spans="1:17" x14ac:dyDescent="0.3">
      <c r="A234" s="19">
        <v>233</v>
      </c>
      <c r="B234" s="20">
        <v>45205</v>
      </c>
      <c r="C234" s="19" t="s">
        <v>30</v>
      </c>
      <c r="D234" s="19" t="s">
        <v>16</v>
      </c>
      <c r="E234" s="19" t="s">
        <v>17</v>
      </c>
      <c r="F234" s="19" t="s">
        <v>24</v>
      </c>
      <c r="G234" s="19" t="s">
        <v>28</v>
      </c>
      <c r="H234" s="21">
        <v>40991.879999999997</v>
      </c>
      <c r="I234" s="19">
        <v>3</v>
      </c>
      <c r="J234" s="21">
        <v>10571.44</v>
      </c>
      <c r="K234" s="19" t="str" cm="1">
        <f t="array" ref="K234">_xlfn.IFS(Table1342[[#This Row],[Sales]]&gt;40000,"Best Sales",Table1342[[#This Row],[Sales]]&gt;20000,"Average Sales",Table1342[[#This Row],[Sales]]&gt;0,"Poor Sales")</f>
        <v>Best Sales</v>
      </c>
      <c r="L234" s="19">
        <f>YEAR(Table1342[[#This Row],[Date]])</f>
        <v>2023</v>
      </c>
      <c r="M234" s="19">
        <f>MONTH(Table1342[[#This Row],[Date]])</f>
        <v>10</v>
      </c>
      <c r="N234" s="19">
        <f>DAY(Table1342[[#This Row],[Date]])</f>
        <v>6</v>
      </c>
      <c r="O234" s="19"/>
      <c r="P234" s="19" t="str">
        <f>TEXT(DATE(2023,Table1342[[#This Row],[MONTH]],1),"mmm")</f>
        <v>Oct</v>
      </c>
      <c r="Q234" s="19"/>
    </row>
    <row r="235" spans="1:17" x14ac:dyDescent="0.3">
      <c r="A235" s="19">
        <v>234</v>
      </c>
      <c r="B235" s="20">
        <v>45094</v>
      </c>
      <c r="C235" s="19" t="s">
        <v>37</v>
      </c>
      <c r="D235" s="19" t="s">
        <v>27</v>
      </c>
      <c r="E235" s="19" t="s">
        <v>20</v>
      </c>
      <c r="F235" s="19" t="s">
        <v>31</v>
      </c>
      <c r="G235" s="19" t="s">
        <v>32</v>
      </c>
      <c r="H235" s="21">
        <v>22770.06</v>
      </c>
      <c r="I235" s="19">
        <v>9</v>
      </c>
      <c r="J235" s="21">
        <v>3327.09</v>
      </c>
      <c r="K235" s="19" t="str" cm="1">
        <f t="array" ref="K235">_xlfn.IFS(Table1342[[#This Row],[Sales]]&gt;40000,"Best Sales",Table1342[[#This Row],[Sales]]&gt;20000,"Average Sales",Table1342[[#This Row],[Sales]]&gt;0,"Poor Sales")</f>
        <v>Average Sales</v>
      </c>
      <c r="L235" s="19">
        <f>YEAR(Table1342[[#This Row],[Date]])</f>
        <v>2023</v>
      </c>
      <c r="M235" s="19">
        <f>MONTH(Table1342[[#This Row],[Date]])</f>
        <v>6</v>
      </c>
      <c r="N235" s="19">
        <f>DAY(Table1342[[#This Row],[Date]])</f>
        <v>17</v>
      </c>
      <c r="O235" s="19"/>
      <c r="P235" s="19" t="str">
        <f>TEXT(DATE(2023,Table1342[[#This Row],[MONTH]],1),"mmm")</f>
        <v>Jun</v>
      </c>
      <c r="Q235" s="19"/>
    </row>
    <row r="236" spans="1:17" x14ac:dyDescent="0.3">
      <c r="A236" s="19">
        <v>235</v>
      </c>
      <c r="B236" s="20">
        <v>45133</v>
      </c>
      <c r="C236" s="19" t="s">
        <v>26</v>
      </c>
      <c r="D236" s="19" t="s">
        <v>27</v>
      </c>
      <c r="E236" s="19" t="s">
        <v>20</v>
      </c>
      <c r="F236" s="19" t="s">
        <v>31</v>
      </c>
      <c r="G236" s="19" t="s">
        <v>33</v>
      </c>
      <c r="H236" s="21">
        <v>32866.050000000003</v>
      </c>
      <c r="I236" s="19">
        <v>5</v>
      </c>
      <c r="J236" s="21">
        <v>7169.07</v>
      </c>
      <c r="K236" s="19" t="str" cm="1">
        <f t="array" ref="K236">_xlfn.IFS(Table1342[[#This Row],[Sales]]&gt;40000,"Best Sales",Table1342[[#This Row],[Sales]]&gt;20000,"Average Sales",Table1342[[#This Row],[Sales]]&gt;0,"Poor Sales")</f>
        <v>Average Sales</v>
      </c>
      <c r="L236" s="19">
        <f>YEAR(Table1342[[#This Row],[Date]])</f>
        <v>2023</v>
      </c>
      <c r="M236" s="19">
        <f>MONTH(Table1342[[#This Row],[Date]])</f>
        <v>7</v>
      </c>
      <c r="N236" s="19">
        <f>DAY(Table1342[[#This Row],[Date]])</f>
        <v>26</v>
      </c>
      <c r="O236" s="19"/>
      <c r="P236" s="19" t="str">
        <f>TEXT(DATE(2023,Table1342[[#This Row],[MONTH]],1),"mmm")</f>
        <v>Jul</v>
      </c>
      <c r="Q236" s="19"/>
    </row>
    <row r="237" spans="1:17" x14ac:dyDescent="0.3">
      <c r="A237" s="19">
        <v>236</v>
      </c>
      <c r="B237" s="20">
        <v>45158</v>
      </c>
      <c r="C237" s="19" t="s">
        <v>37</v>
      </c>
      <c r="D237" s="19" t="s">
        <v>27</v>
      </c>
      <c r="E237" s="19" t="s">
        <v>12</v>
      </c>
      <c r="F237" s="19" t="s">
        <v>31</v>
      </c>
      <c r="G237" s="19" t="s">
        <v>32</v>
      </c>
      <c r="H237" s="21">
        <v>10663.17</v>
      </c>
      <c r="I237" s="19">
        <v>2</v>
      </c>
      <c r="J237" s="21">
        <v>2411.1799999999998</v>
      </c>
      <c r="K237" s="19" t="str" cm="1">
        <f t="array" ref="K237">_xlfn.IFS(Table1342[[#This Row],[Sales]]&gt;40000,"Best Sales",Table1342[[#This Row],[Sales]]&gt;20000,"Average Sales",Table1342[[#This Row],[Sales]]&gt;0,"Poor Sales")</f>
        <v>Poor Sales</v>
      </c>
      <c r="L237" s="19">
        <f>YEAR(Table1342[[#This Row],[Date]])</f>
        <v>2023</v>
      </c>
      <c r="M237" s="19">
        <f>MONTH(Table1342[[#This Row],[Date]])</f>
        <v>8</v>
      </c>
      <c r="N237" s="19">
        <f>DAY(Table1342[[#This Row],[Date]])</f>
        <v>20</v>
      </c>
      <c r="O237" s="19"/>
      <c r="P237" s="19" t="str">
        <f>TEXT(DATE(2023,Table1342[[#This Row],[MONTH]],1),"mmm")</f>
        <v>Aug</v>
      </c>
      <c r="Q237" s="19"/>
    </row>
    <row r="238" spans="1:17" x14ac:dyDescent="0.3">
      <c r="A238" s="19">
        <v>237</v>
      </c>
      <c r="B238" s="20">
        <v>45067</v>
      </c>
      <c r="C238" s="19" t="s">
        <v>35</v>
      </c>
      <c r="D238" s="19" t="s">
        <v>36</v>
      </c>
      <c r="E238" s="19" t="s">
        <v>17</v>
      </c>
      <c r="F238" s="19" t="s">
        <v>31</v>
      </c>
      <c r="G238" s="19" t="s">
        <v>39</v>
      </c>
      <c r="H238" s="21">
        <v>25820.27</v>
      </c>
      <c r="I238" s="19">
        <v>6</v>
      </c>
      <c r="J238" s="21">
        <v>1912.88</v>
      </c>
      <c r="K238" s="19" t="str" cm="1">
        <f t="array" ref="K238">_xlfn.IFS(Table1342[[#This Row],[Sales]]&gt;40000,"Best Sales",Table1342[[#This Row],[Sales]]&gt;20000,"Average Sales",Table1342[[#This Row],[Sales]]&gt;0,"Poor Sales")</f>
        <v>Average Sales</v>
      </c>
      <c r="L238" s="19">
        <f>YEAR(Table1342[[#This Row],[Date]])</f>
        <v>2023</v>
      </c>
      <c r="M238" s="19">
        <f>MONTH(Table1342[[#This Row],[Date]])</f>
        <v>5</v>
      </c>
      <c r="N238" s="19">
        <f>DAY(Table1342[[#This Row],[Date]])</f>
        <v>21</v>
      </c>
      <c r="O238" s="19"/>
      <c r="P238" s="19" t="str">
        <f>TEXT(DATE(2023,Table1342[[#This Row],[MONTH]],1),"mmm")</f>
        <v>May</v>
      </c>
      <c r="Q238" s="19"/>
    </row>
    <row r="239" spans="1:17" x14ac:dyDescent="0.3">
      <c r="A239" s="19">
        <v>238</v>
      </c>
      <c r="B239" s="20">
        <v>44941</v>
      </c>
      <c r="C239" s="19" t="s">
        <v>15</v>
      </c>
      <c r="D239" s="19" t="s">
        <v>16</v>
      </c>
      <c r="E239" s="19" t="s">
        <v>12</v>
      </c>
      <c r="F239" s="19" t="s">
        <v>31</v>
      </c>
      <c r="G239" s="19" t="s">
        <v>32</v>
      </c>
      <c r="H239" s="21">
        <v>18390.77</v>
      </c>
      <c r="I239" s="19">
        <v>10</v>
      </c>
      <c r="J239" s="21">
        <v>2737.63</v>
      </c>
      <c r="K239" s="19" t="str" cm="1">
        <f t="array" ref="K239">_xlfn.IFS(Table1342[[#This Row],[Sales]]&gt;40000,"Best Sales",Table1342[[#This Row],[Sales]]&gt;20000,"Average Sales",Table1342[[#This Row],[Sales]]&gt;0,"Poor Sales")</f>
        <v>Poor Sales</v>
      </c>
      <c r="L239" s="19">
        <f>YEAR(Table1342[[#This Row],[Date]])</f>
        <v>2023</v>
      </c>
      <c r="M239" s="19">
        <f>MONTH(Table1342[[#This Row],[Date]])</f>
        <v>1</v>
      </c>
      <c r="N239" s="19">
        <f>DAY(Table1342[[#This Row],[Date]])</f>
        <v>15</v>
      </c>
      <c r="O239" s="19"/>
      <c r="P239" s="19" t="str">
        <f>TEXT(DATE(2023,Table1342[[#This Row],[MONTH]],1),"mmm")</f>
        <v>Jan</v>
      </c>
      <c r="Q239" s="19"/>
    </row>
    <row r="240" spans="1:17" x14ac:dyDescent="0.3">
      <c r="A240" s="19">
        <v>239</v>
      </c>
      <c r="B240" s="20">
        <v>44947</v>
      </c>
      <c r="C240" s="19" t="s">
        <v>37</v>
      </c>
      <c r="D240" s="19" t="s">
        <v>27</v>
      </c>
      <c r="E240" s="19" t="s">
        <v>17</v>
      </c>
      <c r="F240" s="19" t="s">
        <v>24</v>
      </c>
      <c r="G240" s="19" t="s">
        <v>25</v>
      </c>
      <c r="H240" s="21">
        <v>9511</v>
      </c>
      <c r="I240" s="19">
        <v>2</v>
      </c>
      <c r="J240" s="21">
        <v>1162.99</v>
      </c>
      <c r="K240" s="19" t="str" cm="1">
        <f t="array" ref="K240">_xlfn.IFS(Table1342[[#This Row],[Sales]]&gt;40000,"Best Sales",Table1342[[#This Row],[Sales]]&gt;20000,"Average Sales",Table1342[[#This Row],[Sales]]&gt;0,"Poor Sales")</f>
        <v>Poor Sales</v>
      </c>
      <c r="L240" s="19">
        <f>YEAR(Table1342[[#This Row],[Date]])</f>
        <v>2023</v>
      </c>
      <c r="M240" s="19">
        <f>MONTH(Table1342[[#This Row],[Date]])</f>
        <v>1</v>
      </c>
      <c r="N240" s="19">
        <f>DAY(Table1342[[#This Row],[Date]])</f>
        <v>21</v>
      </c>
      <c r="O240" s="19"/>
      <c r="P240" s="19" t="str">
        <f>TEXT(DATE(2023,Table1342[[#This Row],[MONTH]],1),"mmm")</f>
        <v>Jan</v>
      </c>
      <c r="Q240" s="19"/>
    </row>
    <row r="241" spans="1:17" x14ac:dyDescent="0.3">
      <c r="A241" s="19">
        <v>240</v>
      </c>
      <c r="B241" s="20">
        <v>45001</v>
      </c>
      <c r="C241" s="19" t="s">
        <v>10</v>
      </c>
      <c r="D241" s="19" t="s">
        <v>11</v>
      </c>
      <c r="E241" s="19" t="s">
        <v>20</v>
      </c>
      <c r="F241" s="19" t="s">
        <v>13</v>
      </c>
      <c r="G241" s="19" t="s">
        <v>21</v>
      </c>
      <c r="H241" s="21">
        <v>36211.370000000003</v>
      </c>
      <c r="I241" s="19">
        <v>6</v>
      </c>
      <c r="J241" s="21">
        <v>7076.58</v>
      </c>
      <c r="K241" s="19" t="str" cm="1">
        <f t="array" ref="K241">_xlfn.IFS(Table1342[[#This Row],[Sales]]&gt;40000,"Best Sales",Table1342[[#This Row],[Sales]]&gt;20000,"Average Sales",Table1342[[#This Row],[Sales]]&gt;0,"Poor Sales")</f>
        <v>Average Sales</v>
      </c>
      <c r="L241" s="19">
        <f>YEAR(Table1342[[#This Row],[Date]])</f>
        <v>2023</v>
      </c>
      <c r="M241" s="19">
        <f>MONTH(Table1342[[#This Row],[Date]])</f>
        <v>3</v>
      </c>
      <c r="N241" s="19">
        <f>DAY(Table1342[[#This Row],[Date]])</f>
        <v>16</v>
      </c>
      <c r="O241" s="19"/>
      <c r="P241" s="19" t="str">
        <f>TEXT(DATE(2023,Table1342[[#This Row],[MONTH]],1),"mmm")</f>
        <v>Mar</v>
      </c>
      <c r="Q241" s="19"/>
    </row>
    <row r="242" spans="1:17" x14ac:dyDescent="0.3">
      <c r="A242" s="19">
        <v>241</v>
      </c>
      <c r="B242" s="20">
        <v>45034</v>
      </c>
      <c r="C242" s="19" t="s">
        <v>15</v>
      </c>
      <c r="D242" s="19" t="s">
        <v>16</v>
      </c>
      <c r="E242" s="19" t="s">
        <v>20</v>
      </c>
      <c r="F242" s="19" t="s">
        <v>13</v>
      </c>
      <c r="G242" s="19" t="s">
        <v>21</v>
      </c>
      <c r="H242" s="21">
        <v>38204.660000000003</v>
      </c>
      <c r="I242" s="19">
        <v>1</v>
      </c>
      <c r="J242" s="21">
        <v>10074.93</v>
      </c>
      <c r="K242" s="19" t="str" cm="1">
        <f t="array" ref="K242">_xlfn.IFS(Table1342[[#This Row],[Sales]]&gt;40000,"Best Sales",Table1342[[#This Row],[Sales]]&gt;20000,"Average Sales",Table1342[[#This Row],[Sales]]&gt;0,"Poor Sales")</f>
        <v>Average Sales</v>
      </c>
      <c r="L242" s="19">
        <f>YEAR(Table1342[[#This Row],[Date]])</f>
        <v>2023</v>
      </c>
      <c r="M242" s="19">
        <f>MONTH(Table1342[[#This Row],[Date]])</f>
        <v>4</v>
      </c>
      <c r="N242" s="19">
        <f>DAY(Table1342[[#This Row],[Date]])</f>
        <v>18</v>
      </c>
      <c r="O242" s="19"/>
      <c r="P242" s="19" t="str">
        <f>TEXT(DATE(2023,Table1342[[#This Row],[MONTH]],1),"mmm")</f>
        <v>Apr</v>
      </c>
      <c r="Q242" s="19"/>
    </row>
    <row r="243" spans="1:17" x14ac:dyDescent="0.3">
      <c r="A243" s="19">
        <v>242</v>
      </c>
      <c r="B243" s="20">
        <v>44930</v>
      </c>
      <c r="C243" s="19" t="s">
        <v>38</v>
      </c>
      <c r="D243" s="19" t="s">
        <v>27</v>
      </c>
      <c r="E243" s="19" t="s">
        <v>12</v>
      </c>
      <c r="F243" s="19" t="s">
        <v>24</v>
      </c>
      <c r="G243" s="19" t="s">
        <v>25</v>
      </c>
      <c r="H243" s="21">
        <v>40939.94</v>
      </c>
      <c r="I243" s="19">
        <v>7</v>
      </c>
      <c r="J243" s="21">
        <v>7280.08</v>
      </c>
      <c r="K243" s="19" t="str" cm="1">
        <f t="array" ref="K243">_xlfn.IFS(Table1342[[#This Row],[Sales]]&gt;40000,"Best Sales",Table1342[[#This Row],[Sales]]&gt;20000,"Average Sales",Table1342[[#This Row],[Sales]]&gt;0,"Poor Sales")</f>
        <v>Best Sales</v>
      </c>
      <c r="L243" s="19">
        <f>YEAR(Table1342[[#This Row],[Date]])</f>
        <v>2023</v>
      </c>
      <c r="M243" s="19">
        <f>MONTH(Table1342[[#This Row],[Date]])</f>
        <v>1</v>
      </c>
      <c r="N243" s="19">
        <f>DAY(Table1342[[#This Row],[Date]])</f>
        <v>4</v>
      </c>
      <c r="O243" s="19"/>
      <c r="P243" s="19" t="str">
        <f>TEXT(DATE(2023,Table1342[[#This Row],[MONTH]],1),"mmm")</f>
        <v>Jan</v>
      </c>
      <c r="Q243" s="19"/>
    </row>
    <row r="244" spans="1:17" x14ac:dyDescent="0.3">
      <c r="A244" s="19">
        <v>243</v>
      </c>
      <c r="B244" s="20">
        <v>45019</v>
      </c>
      <c r="C244" s="19" t="s">
        <v>22</v>
      </c>
      <c r="D244" s="19" t="s">
        <v>22</v>
      </c>
      <c r="E244" s="19" t="s">
        <v>17</v>
      </c>
      <c r="F244" s="19" t="s">
        <v>24</v>
      </c>
      <c r="G244" s="19" t="s">
        <v>29</v>
      </c>
      <c r="H244" s="21">
        <v>26046.11</v>
      </c>
      <c r="I244" s="19">
        <v>2</v>
      </c>
      <c r="J244" s="21">
        <v>3289.52</v>
      </c>
      <c r="K244" s="19" t="str" cm="1">
        <f t="array" ref="K244">_xlfn.IFS(Table1342[[#This Row],[Sales]]&gt;40000,"Best Sales",Table1342[[#This Row],[Sales]]&gt;20000,"Average Sales",Table1342[[#This Row],[Sales]]&gt;0,"Poor Sales")</f>
        <v>Average Sales</v>
      </c>
      <c r="L244" s="19">
        <f>YEAR(Table1342[[#This Row],[Date]])</f>
        <v>2023</v>
      </c>
      <c r="M244" s="19">
        <f>MONTH(Table1342[[#This Row],[Date]])</f>
        <v>4</v>
      </c>
      <c r="N244" s="19">
        <f>DAY(Table1342[[#This Row],[Date]])</f>
        <v>3</v>
      </c>
      <c r="O244" s="19"/>
      <c r="P244" s="19" t="str">
        <f>TEXT(DATE(2023,Table1342[[#This Row],[MONTH]],1),"mmm")</f>
        <v>Apr</v>
      </c>
      <c r="Q244" s="19"/>
    </row>
    <row r="245" spans="1:17" x14ac:dyDescent="0.3">
      <c r="A245" s="19">
        <v>244</v>
      </c>
      <c r="B245" s="20">
        <v>45000</v>
      </c>
      <c r="C245" s="19" t="s">
        <v>26</v>
      </c>
      <c r="D245" s="19" t="s">
        <v>27</v>
      </c>
      <c r="E245" s="19" t="s">
        <v>12</v>
      </c>
      <c r="F245" s="19" t="s">
        <v>31</v>
      </c>
      <c r="G245" s="19" t="s">
        <v>33</v>
      </c>
      <c r="H245" s="21">
        <v>40691.96</v>
      </c>
      <c r="I245" s="19">
        <v>4</v>
      </c>
      <c r="J245" s="21">
        <v>2624.84</v>
      </c>
      <c r="K245" s="19" t="str" cm="1">
        <f t="array" ref="K245">_xlfn.IFS(Table1342[[#This Row],[Sales]]&gt;40000,"Best Sales",Table1342[[#This Row],[Sales]]&gt;20000,"Average Sales",Table1342[[#This Row],[Sales]]&gt;0,"Poor Sales")</f>
        <v>Best Sales</v>
      </c>
      <c r="L245" s="19">
        <f>YEAR(Table1342[[#This Row],[Date]])</f>
        <v>2023</v>
      </c>
      <c r="M245" s="19">
        <f>MONTH(Table1342[[#This Row],[Date]])</f>
        <v>3</v>
      </c>
      <c r="N245" s="19">
        <f>DAY(Table1342[[#This Row],[Date]])</f>
        <v>15</v>
      </c>
      <c r="O245" s="19"/>
      <c r="P245" s="19" t="str">
        <f>TEXT(DATE(2023,Table1342[[#This Row],[MONTH]],1),"mmm")</f>
        <v>Mar</v>
      </c>
      <c r="Q245" s="19"/>
    </row>
    <row r="246" spans="1:17" x14ac:dyDescent="0.3">
      <c r="A246" s="19">
        <v>245</v>
      </c>
      <c r="B246" s="20">
        <v>45053</v>
      </c>
      <c r="C246" s="19" t="s">
        <v>22</v>
      </c>
      <c r="D246" s="19" t="s">
        <v>22</v>
      </c>
      <c r="E246" s="19" t="s">
        <v>17</v>
      </c>
      <c r="F246" s="19" t="s">
        <v>24</v>
      </c>
      <c r="G246" s="19" t="s">
        <v>29</v>
      </c>
      <c r="H246" s="21">
        <v>49598.16</v>
      </c>
      <c r="I246" s="19">
        <v>2</v>
      </c>
      <c r="J246" s="21">
        <v>8746.65</v>
      </c>
      <c r="K246" s="19" t="str" cm="1">
        <f t="array" ref="K246">_xlfn.IFS(Table1342[[#This Row],[Sales]]&gt;40000,"Best Sales",Table1342[[#This Row],[Sales]]&gt;20000,"Average Sales",Table1342[[#This Row],[Sales]]&gt;0,"Poor Sales")</f>
        <v>Best Sales</v>
      </c>
      <c r="L246" s="19">
        <f>YEAR(Table1342[[#This Row],[Date]])</f>
        <v>2023</v>
      </c>
      <c r="M246" s="19">
        <f>MONTH(Table1342[[#This Row],[Date]])</f>
        <v>5</v>
      </c>
      <c r="N246" s="19">
        <f>DAY(Table1342[[#This Row],[Date]])</f>
        <v>7</v>
      </c>
      <c r="O246" s="19"/>
      <c r="P246" s="19" t="str">
        <f>TEXT(DATE(2023,Table1342[[#This Row],[MONTH]],1),"mmm")</f>
        <v>May</v>
      </c>
      <c r="Q246" s="19"/>
    </row>
    <row r="247" spans="1:17" x14ac:dyDescent="0.3">
      <c r="A247" s="19">
        <v>246</v>
      </c>
      <c r="B247" s="20">
        <v>45088</v>
      </c>
      <c r="C247" s="19" t="s">
        <v>26</v>
      </c>
      <c r="D247" s="19" t="s">
        <v>27</v>
      </c>
      <c r="E247" s="19" t="s">
        <v>20</v>
      </c>
      <c r="F247" s="19" t="s">
        <v>24</v>
      </c>
      <c r="G247" s="19" t="s">
        <v>25</v>
      </c>
      <c r="H247" s="21">
        <v>13177.69</v>
      </c>
      <c r="I247" s="19">
        <v>2</v>
      </c>
      <c r="J247" s="21">
        <v>1536.55</v>
      </c>
      <c r="K247" s="19" t="str" cm="1">
        <f t="array" ref="K247">_xlfn.IFS(Table1342[[#This Row],[Sales]]&gt;40000,"Best Sales",Table1342[[#This Row],[Sales]]&gt;20000,"Average Sales",Table1342[[#This Row],[Sales]]&gt;0,"Poor Sales")</f>
        <v>Poor Sales</v>
      </c>
      <c r="L247" s="19">
        <f>YEAR(Table1342[[#This Row],[Date]])</f>
        <v>2023</v>
      </c>
      <c r="M247" s="19">
        <f>MONTH(Table1342[[#This Row],[Date]])</f>
        <v>6</v>
      </c>
      <c r="N247" s="19">
        <f>DAY(Table1342[[#This Row],[Date]])</f>
        <v>11</v>
      </c>
      <c r="O247" s="19"/>
      <c r="P247" s="19" t="str">
        <f>TEXT(DATE(2023,Table1342[[#This Row],[MONTH]],1),"mmm")</f>
        <v>Jun</v>
      </c>
      <c r="Q247" s="19"/>
    </row>
    <row r="248" spans="1:17" x14ac:dyDescent="0.3">
      <c r="A248" s="19">
        <v>247</v>
      </c>
      <c r="B248" s="20">
        <v>45204</v>
      </c>
      <c r="C248" s="19" t="s">
        <v>38</v>
      </c>
      <c r="D248" s="19" t="s">
        <v>27</v>
      </c>
      <c r="E248" s="19" t="s">
        <v>20</v>
      </c>
      <c r="F248" s="19" t="s">
        <v>13</v>
      </c>
      <c r="G248" s="19" t="s">
        <v>21</v>
      </c>
      <c r="H248" s="21">
        <v>25816.6</v>
      </c>
      <c r="I248" s="19">
        <v>1</v>
      </c>
      <c r="J248" s="21">
        <v>6376.67</v>
      </c>
      <c r="K248" s="19" t="str" cm="1">
        <f t="array" ref="K248">_xlfn.IFS(Table1342[[#This Row],[Sales]]&gt;40000,"Best Sales",Table1342[[#This Row],[Sales]]&gt;20000,"Average Sales",Table1342[[#This Row],[Sales]]&gt;0,"Poor Sales")</f>
        <v>Average Sales</v>
      </c>
      <c r="L248" s="19">
        <f>YEAR(Table1342[[#This Row],[Date]])</f>
        <v>2023</v>
      </c>
      <c r="M248" s="19">
        <f>MONTH(Table1342[[#This Row],[Date]])</f>
        <v>10</v>
      </c>
      <c r="N248" s="19">
        <f>DAY(Table1342[[#This Row],[Date]])</f>
        <v>5</v>
      </c>
      <c r="O248" s="19"/>
      <c r="P248" s="19" t="str">
        <f>TEXT(DATE(2023,Table1342[[#This Row],[MONTH]],1),"mmm")</f>
        <v>Oct</v>
      </c>
      <c r="Q248" s="19"/>
    </row>
    <row r="249" spans="1:17" x14ac:dyDescent="0.3">
      <c r="A249" s="19">
        <v>248</v>
      </c>
      <c r="B249" s="20">
        <v>44981</v>
      </c>
      <c r="C249" s="19" t="s">
        <v>26</v>
      </c>
      <c r="D249" s="19" t="s">
        <v>27</v>
      </c>
      <c r="E249" s="19" t="s">
        <v>12</v>
      </c>
      <c r="F249" s="19" t="s">
        <v>13</v>
      </c>
      <c r="G249" s="19" t="s">
        <v>34</v>
      </c>
      <c r="H249" s="21">
        <v>4142.42</v>
      </c>
      <c r="I249" s="19">
        <v>7</v>
      </c>
      <c r="J249" s="21">
        <v>987.96</v>
      </c>
      <c r="K249" s="19" t="str" cm="1">
        <f t="array" ref="K249">_xlfn.IFS(Table1342[[#This Row],[Sales]]&gt;40000,"Best Sales",Table1342[[#This Row],[Sales]]&gt;20000,"Average Sales",Table1342[[#This Row],[Sales]]&gt;0,"Poor Sales")</f>
        <v>Poor Sales</v>
      </c>
      <c r="L249" s="19">
        <f>YEAR(Table1342[[#This Row],[Date]])</f>
        <v>2023</v>
      </c>
      <c r="M249" s="19">
        <f>MONTH(Table1342[[#This Row],[Date]])</f>
        <v>2</v>
      </c>
      <c r="N249" s="19">
        <f>DAY(Table1342[[#This Row],[Date]])</f>
        <v>24</v>
      </c>
      <c r="O249" s="19"/>
      <c r="P249" s="19" t="str">
        <f>TEXT(DATE(2023,Table1342[[#This Row],[MONTH]],1),"mmm")</f>
        <v>Feb</v>
      </c>
      <c r="Q249" s="19"/>
    </row>
    <row r="250" spans="1:17" x14ac:dyDescent="0.3">
      <c r="A250" s="19">
        <v>249</v>
      </c>
      <c r="B250" s="20">
        <v>45149</v>
      </c>
      <c r="C250" s="19" t="s">
        <v>26</v>
      </c>
      <c r="D250" s="19" t="s">
        <v>27</v>
      </c>
      <c r="E250" s="19" t="s">
        <v>17</v>
      </c>
      <c r="F250" s="19" t="s">
        <v>13</v>
      </c>
      <c r="G250" s="19" t="s">
        <v>34</v>
      </c>
      <c r="H250" s="21">
        <v>48741.85</v>
      </c>
      <c r="I250" s="19">
        <v>2</v>
      </c>
      <c r="J250" s="21">
        <v>6991.38</v>
      </c>
      <c r="K250" s="19" t="str" cm="1">
        <f t="array" ref="K250">_xlfn.IFS(Table1342[[#This Row],[Sales]]&gt;40000,"Best Sales",Table1342[[#This Row],[Sales]]&gt;20000,"Average Sales",Table1342[[#This Row],[Sales]]&gt;0,"Poor Sales")</f>
        <v>Best Sales</v>
      </c>
      <c r="L250" s="19">
        <f>YEAR(Table1342[[#This Row],[Date]])</f>
        <v>2023</v>
      </c>
      <c r="M250" s="19">
        <f>MONTH(Table1342[[#This Row],[Date]])</f>
        <v>8</v>
      </c>
      <c r="N250" s="19">
        <f>DAY(Table1342[[#This Row],[Date]])</f>
        <v>11</v>
      </c>
      <c r="O250" s="19"/>
      <c r="P250" s="19" t="str">
        <f>TEXT(DATE(2023,Table1342[[#This Row],[MONTH]],1),"mmm")</f>
        <v>Aug</v>
      </c>
      <c r="Q250" s="19"/>
    </row>
    <row r="251" spans="1:17" x14ac:dyDescent="0.3">
      <c r="A251" s="19">
        <v>250</v>
      </c>
      <c r="B251" s="20">
        <v>45268</v>
      </c>
      <c r="C251" s="19" t="s">
        <v>30</v>
      </c>
      <c r="D251" s="19" t="s">
        <v>16</v>
      </c>
      <c r="E251" s="19" t="s">
        <v>12</v>
      </c>
      <c r="F251" s="19" t="s">
        <v>13</v>
      </c>
      <c r="G251" s="19" t="s">
        <v>34</v>
      </c>
      <c r="H251" s="21">
        <v>22157.78</v>
      </c>
      <c r="I251" s="19">
        <v>2</v>
      </c>
      <c r="J251" s="21">
        <v>4517.67</v>
      </c>
      <c r="K251" s="19" t="str" cm="1">
        <f t="array" ref="K251">_xlfn.IFS(Table1342[[#This Row],[Sales]]&gt;40000,"Best Sales",Table1342[[#This Row],[Sales]]&gt;20000,"Average Sales",Table1342[[#This Row],[Sales]]&gt;0,"Poor Sales")</f>
        <v>Average Sales</v>
      </c>
      <c r="L251" s="19">
        <f>YEAR(Table1342[[#This Row],[Date]])</f>
        <v>2023</v>
      </c>
      <c r="M251" s="19">
        <f>MONTH(Table1342[[#This Row],[Date]])</f>
        <v>12</v>
      </c>
      <c r="N251" s="19">
        <f>DAY(Table1342[[#This Row],[Date]])</f>
        <v>8</v>
      </c>
      <c r="O251" s="19"/>
      <c r="P251" s="19" t="str">
        <f>TEXT(DATE(2023,Table1342[[#This Row],[MONTH]],1),"mmm")</f>
        <v>Dec</v>
      </c>
      <c r="Q251" s="19"/>
    </row>
    <row r="252" spans="1:17" x14ac:dyDescent="0.3">
      <c r="A252" s="19">
        <v>251</v>
      </c>
      <c r="B252" s="20">
        <v>45094</v>
      </c>
      <c r="C252" s="19" t="s">
        <v>15</v>
      </c>
      <c r="D252" s="19" t="s">
        <v>16</v>
      </c>
      <c r="E252" s="19" t="s">
        <v>17</v>
      </c>
      <c r="F252" s="19" t="s">
        <v>24</v>
      </c>
      <c r="G252" s="19" t="s">
        <v>25</v>
      </c>
      <c r="H252" s="21">
        <v>17751.919999999998</v>
      </c>
      <c r="I252" s="19">
        <v>7</v>
      </c>
      <c r="J252" s="21">
        <v>4931.21</v>
      </c>
      <c r="K252" s="19" t="str" cm="1">
        <f t="array" ref="K252">_xlfn.IFS(Table1342[[#This Row],[Sales]]&gt;40000,"Best Sales",Table1342[[#This Row],[Sales]]&gt;20000,"Average Sales",Table1342[[#This Row],[Sales]]&gt;0,"Poor Sales")</f>
        <v>Poor Sales</v>
      </c>
      <c r="L252" s="19">
        <f>YEAR(Table1342[[#This Row],[Date]])</f>
        <v>2023</v>
      </c>
      <c r="M252" s="19">
        <f>MONTH(Table1342[[#This Row],[Date]])</f>
        <v>6</v>
      </c>
      <c r="N252" s="19">
        <f>DAY(Table1342[[#This Row],[Date]])</f>
        <v>17</v>
      </c>
      <c r="O252" s="19"/>
      <c r="P252" s="19" t="str">
        <f>TEXT(DATE(2023,Table1342[[#This Row],[MONTH]],1),"mmm")</f>
        <v>Jun</v>
      </c>
      <c r="Q252" s="19"/>
    </row>
    <row r="253" spans="1:17" x14ac:dyDescent="0.3">
      <c r="A253" s="19">
        <v>252</v>
      </c>
      <c r="B253" s="20">
        <v>45011</v>
      </c>
      <c r="C253" s="19" t="s">
        <v>38</v>
      </c>
      <c r="D253" s="19" t="s">
        <v>27</v>
      </c>
      <c r="E253" s="19" t="s">
        <v>20</v>
      </c>
      <c r="F253" s="19" t="s">
        <v>31</v>
      </c>
      <c r="G253" s="19" t="s">
        <v>39</v>
      </c>
      <c r="H253" s="21">
        <v>11067.21</v>
      </c>
      <c r="I253" s="19">
        <v>3</v>
      </c>
      <c r="J253" s="21">
        <v>2057.92</v>
      </c>
      <c r="K253" s="19" t="str" cm="1">
        <f t="array" ref="K253">_xlfn.IFS(Table1342[[#This Row],[Sales]]&gt;40000,"Best Sales",Table1342[[#This Row],[Sales]]&gt;20000,"Average Sales",Table1342[[#This Row],[Sales]]&gt;0,"Poor Sales")</f>
        <v>Poor Sales</v>
      </c>
      <c r="L253" s="19">
        <f>YEAR(Table1342[[#This Row],[Date]])</f>
        <v>2023</v>
      </c>
      <c r="M253" s="19">
        <f>MONTH(Table1342[[#This Row],[Date]])</f>
        <v>3</v>
      </c>
      <c r="N253" s="19">
        <f>DAY(Table1342[[#This Row],[Date]])</f>
        <v>26</v>
      </c>
      <c r="O253" s="19"/>
      <c r="P253" s="19" t="str">
        <f>TEXT(DATE(2023,Table1342[[#This Row],[MONTH]],1),"mmm")</f>
        <v>Mar</v>
      </c>
      <c r="Q253" s="19"/>
    </row>
    <row r="254" spans="1:17" x14ac:dyDescent="0.3">
      <c r="A254" s="19">
        <v>253</v>
      </c>
      <c r="B254" s="20">
        <v>45131</v>
      </c>
      <c r="C254" s="19" t="s">
        <v>38</v>
      </c>
      <c r="D254" s="19" t="s">
        <v>27</v>
      </c>
      <c r="E254" s="19" t="s">
        <v>20</v>
      </c>
      <c r="F254" s="19" t="s">
        <v>24</v>
      </c>
      <c r="G254" s="19" t="s">
        <v>29</v>
      </c>
      <c r="H254" s="21">
        <v>13954.05</v>
      </c>
      <c r="I254" s="19">
        <v>10</v>
      </c>
      <c r="J254" s="21">
        <v>3139.56</v>
      </c>
      <c r="K254" s="19" t="str" cm="1">
        <f t="array" ref="K254">_xlfn.IFS(Table1342[[#This Row],[Sales]]&gt;40000,"Best Sales",Table1342[[#This Row],[Sales]]&gt;20000,"Average Sales",Table1342[[#This Row],[Sales]]&gt;0,"Poor Sales")</f>
        <v>Poor Sales</v>
      </c>
      <c r="L254" s="19">
        <f>YEAR(Table1342[[#This Row],[Date]])</f>
        <v>2023</v>
      </c>
      <c r="M254" s="19">
        <f>MONTH(Table1342[[#This Row],[Date]])</f>
        <v>7</v>
      </c>
      <c r="N254" s="19">
        <f>DAY(Table1342[[#This Row],[Date]])</f>
        <v>24</v>
      </c>
      <c r="O254" s="19"/>
      <c r="P254" s="19" t="str">
        <f>TEXT(DATE(2023,Table1342[[#This Row],[MONTH]],1),"mmm")</f>
        <v>Jul</v>
      </c>
      <c r="Q254" s="19"/>
    </row>
    <row r="255" spans="1:17" x14ac:dyDescent="0.3">
      <c r="A255" s="19">
        <v>254</v>
      </c>
      <c r="B255" s="20">
        <v>44976</v>
      </c>
      <c r="C255" s="19" t="s">
        <v>22</v>
      </c>
      <c r="D255" s="19" t="s">
        <v>22</v>
      </c>
      <c r="E255" s="19" t="s">
        <v>12</v>
      </c>
      <c r="F255" s="19" t="s">
        <v>24</v>
      </c>
      <c r="G255" s="19" t="s">
        <v>25</v>
      </c>
      <c r="H255" s="21">
        <v>10782.97</v>
      </c>
      <c r="I255" s="19">
        <v>7</v>
      </c>
      <c r="J255" s="21">
        <v>772.84</v>
      </c>
      <c r="K255" s="19" t="str" cm="1">
        <f t="array" ref="K255">_xlfn.IFS(Table1342[[#This Row],[Sales]]&gt;40000,"Best Sales",Table1342[[#This Row],[Sales]]&gt;20000,"Average Sales",Table1342[[#This Row],[Sales]]&gt;0,"Poor Sales")</f>
        <v>Poor Sales</v>
      </c>
      <c r="L255" s="19">
        <f>YEAR(Table1342[[#This Row],[Date]])</f>
        <v>2023</v>
      </c>
      <c r="M255" s="19">
        <f>MONTH(Table1342[[#This Row],[Date]])</f>
        <v>2</v>
      </c>
      <c r="N255" s="19">
        <f>DAY(Table1342[[#This Row],[Date]])</f>
        <v>19</v>
      </c>
      <c r="O255" s="19"/>
      <c r="P255" s="19" t="str">
        <f>TEXT(DATE(2023,Table1342[[#This Row],[MONTH]],1),"mmm")</f>
        <v>Feb</v>
      </c>
      <c r="Q255" s="19"/>
    </row>
    <row r="256" spans="1:17" x14ac:dyDescent="0.3">
      <c r="A256" s="19">
        <v>255</v>
      </c>
      <c r="B256" s="20">
        <v>45247</v>
      </c>
      <c r="C256" s="19" t="s">
        <v>35</v>
      </c>
      <c r="D256" s="19" t="s">
        <v>36</v>
      </c>
      <c r="E256" s="19" t="s">
        <v>17</v>
      </c>
      <c r="F256" s="19" t="s">
        <v>31</v>
      </c>
      <c r="G256" s="19" t="s">
        <v>32</v>
      </c>
      <c r="H256" s="21">
        <v>49437.25</v>
      </c>
      <c r="I256" s="19">
        <v>8</v>
      </c>
      <c r="J256" s="21">
        <v>14199.96</v>
      </c>
      <c r="K256" s="19" t="str" cm="1">
        <f t="array" ref="K256">_xlfn.IFS(Table1342[[#This Row],[Sales]]&gt;40000,"Best Sales",Table1342[[#This Row],[Sales]]&gt;20000,"Average Sales",Table1342[[#This Row],[Sales]]&gt;0,"Poor Sales")</f>
        <v>Best Sales</v>
      </c>
      <c r="L256" s="19">
        <f>YEAR(Table1342[[#This Row],[Date]])</f>
        <v>2023</v>
      </c>
      <c r="M256" s="19">
        <f>MONTH(Table1342[[#This Row],[Date]])</f>
        <v>11</v>
      </c>
      <c r="N256" s="19">
        <f>DAY(Table1342[[#This Row],[Date]])</f>
        <v>17</v>
      </c>
      <c r="O256" s="19"/>
      <c r="P256" s="19" t="str">
        <f>TEXT(DATE(2023,Table1342[[#This Row],[MONTH]],1),"mmm")</f>
        <v>Nov</v>
      </c>
      <c r="Q256" s="19"/>
    </row>
    <row r="257" spans="1:17" x14ac:dyDescent="0.3">
      <c r="A257" s="19">
        <v>256</v>
      </c>
      <c r="B257" s="20">
        <v>45195</v>
      </c>
      <c r="C257" s="19" t="s">
        <v>35</v>
      </c>
      <c r="D257" s="19" t="s">
        <v>36</v>
      </c>
      <c r="E257" s="19" t="s">
        <v>12</v>
      </c>
      <c r="F257" s="19" t="s">
        <v>13</v>
      </c>
      <c r="G257" s="19" t="s">
        <v>21</v>
      </c>
      <c r="H257" s="21">
        <v>31032.49</v>
      </c>
      <c r="I257" s="19">
        <v>9</v>
      </c>
      <c r="J257" s="21">
        <v>7395</v>
      </c>
      <c r="K257" s="19" t="str" cm="1">
        <f t="array" ref="K257">_xlfn.IFS(Table1342[[#This Row],[Sales]]&gt;40000,"Best Sales",Table1342[[#This Row],[Sales]]&gt;20000,"Average Sales",Table1342[[#This Row],[Sales]]&gt;0,"Poor Sales")</f>
        <v>Average Sales</v>
      </c>
      <c r="L257" s="19">
        <f>YEAR(Table1342[[#This Row],[Date]])</f>
        <v>2023</v>
      </c>
      <c r="M257" s="19">
        <f>MONTH(Table1342[[#This Row],[Date]])</f>
        <v>9</v>
      </c>
      <c r="N257" s="19">
        <f>DAY(Table1342[[#This Row],[Date]])</f>
        <v>26</v>
      </c>
      <c r="O257" s="19"/>
      <c r="P257" s="19" t="str">
        <f>TEXT(DATE(2023,Table1342[[#This Row],[MONTH]],1),"mmm")</f>
        <v>Sep</v>
      </c>
      <c r="Q257" s="19"/>
    </row>
    <row r="258" spans="1:17" x14ac:dyDescent="0.3">
      <c r="A258" s="19">
        <v>257</v>
      </c>
      <c r="B258" s="20">
        <v>45158</v>
      </c>
      <c r="C258" s="19" t="s">
        <v>30</v>
      </c>
      <c r="D258" s="19" t="s">
        <v>16</v>
      </c>
      <c r="E258" s="19" t="s">
        <v>17</v>
      </c>
      <c r="F258" s="19" t="s">
        <v>24</v>
      </c>
      <c r="G258" s="19" t="s">
        <v>25</v>
      </c>
      <c r="H258" s="21">
        <v>27868.7</v>
      </c>
      <c r="I258" s="19">
        <v>2</v>
      </c>
      <c r="J258" s="21">
        <v>6973.6</v>
      </c>
      <c r="K258" s="19" t="str" cm="1">
        <f t="array" ref="K258">_xlfn.IFS(Table1342[[#This Row],[Sales]]&gt;40000,"Best Sales",Table1342[[#This Row],[Sales]]&gt;20000,"Average Sales",Table1342[[#This Row],[Sales]]&gt;0,"Poor Sales")</f>
        <v>Average Sales</v>
      </c>
      <c r="L258" s="19">
        <f>YEAR(Table1342[[#This Row],[Date]])</f>
        <v>2023</v>
      </c>
      <c r="M258" s="19">
        <f>MONTH(Table1342[[#This Row],[Date]])</f>
        <v>8</v>
      </c>
      <c r="N258" s="19">
        <f>DAY(Table1342[[#This Row],[Date]])</f>
        <v>20</v>
      </c>
      <c r="O258" s="19"/>
      <c r="P258" s="19" t="str">
        <f>TEXT(DATE(2023,Table1342[[#This Row],[MONTH]],1),"mmm")</f>
        <v>Aug</v>
      </c>
      <c r="Q258" s="19"/>
    </row>
    <row r="259" spans="1:17" x14ac:dyDescent="0.3">
      <c r="A259" s="19">
        <v>258</v>
      </c>
      <c r="B259" s="20">
        <v>45269</v>
      </c>
      <c r="C259" s="19" t="s">
        <v>10</v>
      </c>
      <c r="D259" s="19" t="s">
        <v>11</v>
      </c>
      <c r="E259" s="19" t="s">
        <v>20</v>
      </c>
      <c r="F259" s="19" t="s">
        <v>31</v>
      </c>
      <c r="G259" s="19" t="s">
        <v>39</v>
      </c>
      <c r="H259" s="21">
        <v>40634.300000000003</v>
      </c>
      <c r="I259" s="19">
        <v>10</v>
      </c>
      <c r="J259" s="21">
        <v>11614.53</v>
      </c>
      <c r="K259" s="19" t="str" cm="1">
        <f t="array" ref="K259">_xlfn.IFS(Table1342[[#This Row],[Sales]]&gt;40000,"Best Sales",Table1342[[#This Row],[Sales]]&gt;20000,"Average Sales",Table1342[[#This Row],[Sales]]&gt;0,"Poor Sales")</f>
        <v>Best Sales</v>
      </c>
      <c r="L259" s="19">
        <f>YEAR(Table1342[[#This Row],[Date]])</f>
        <v>2023</v>
      </c>
      <c r="M259" s="19">
        <f>MONTH(Table1342[[#This Row],[Date]])</f>
        <v>12</v>
      </c>
      <c r="N259" s="19">
        <f>DAY(Table1342[[#This Row],[Date]])</f>
        <v>9</v>
      </c>
      <c r="O259" s="19"/>
      <c r="P259" s="19" t="str">
        <f>TEXT(DATE(2023,Table1342[[#This Row],[MONTH]],1),"mmm")</f>
        <v>Dec</v>
      </c>
      <c r="Q259" s="19"/>
    </row>
    <row r="260" spans="1:17" x14ac:dyDescent="0.3">
      <c r="A260" s="19">
        <v>259</v>
      </c>
      <c r="B260" s="20">
        <v>45164</v>
      </c>
      <c r="C260" s="19" t="s">
        <v>26</v>
      </c>
      <c r="D260" s="19" t="s">
        <v>27</v>
      </c>
      <c r="E260" s="19" t="s">
        <v>20</v>
      </c>
      <c r="F260" s="19" t="s">
        <v>31</v>
      </c>
      <c r="G260" s="19" t="s">
        <v>32</v>
      </c>
      <c r="H260" s="21">
        <v>2252.35</v>
      </c>
      <c r="I260" s="19">
        <v>2</v>
      </c>
      <c r="J260" s="21">
        <v>469.57</v>
      </c>
      <c r="K260" s="19" t="str" cm="1">
        <f t="array" ref="K260">_xlfn.IFS(Table1342[[#This Row],[Sales]]&gt;40000,"Best Sales",Table1342[[#This Row],[Sales]]&gt;20000,"Average Sales",Table1342[[#This Row],[Sales]]&gt;0,"Poor Sales")</f>
        <v>Poor Sales</v>
      </c>
      <c r="L260" s="19">
        <f>YEAR(Table1342[[#This Row],[Date]])</f>
        <v>2023</v>
      </c>
      <c r="M260" s="19">
        <f>MONTH(Table1342[[#This Row],[Date]])</f>
        <v>8</v>
      </c>
      <c r="N260" s="19">
        <f>DAY(Table1342[[#This Row],[Date]])</f>
        <v>26</v>
      </c>
      <c r="O260" s="19"/>
      <c r="P260" s="19" t="str">
        <f>TEXT(DATE(2023,Table1342[[#This Row],[MONTH]],1),"mmm")</f>
        <v>Aug</v>
      </c>
      <c r="Q260" s="19"/>
    </row>
    <row r="261" spans="1:17" x14ac:dyDescent="0.3">
      <c r="A261" s="19">
        <v>260</v>
      </c>
      <c r="B261" s="20">
        <v>45289</v>
      </c>
      <c r="C261" s="19" t="s">
        <v>15</v>
      </c>
      <c r="D261" s="19" t="s">
        <v>16</v>
      </c>
      <c r="E261" s="19" t="s">
        <v>12</v>
      </c>
      <c r="F261" s="19" t="s">
        <v>24</v>
      </c>
      <c r="G261" s="19" t="s">
        <v>29</v>
      </c>
      <c r="H261" s="21">
        <v>24406.17</v>
      </c>
      <c r="I261" s="19">
        <v>2</v>
      </c>
      <c r="J261" s="21">
        <v>1809.18</v>
      </c>
      <c r="K261" s="19" t="str" cm="1">
        <f t="array" ref="K261">_xlfn.IFS(Table1342[[#This Row],[Sales]]&gt;40000,"Best Sales",Table1342[[#This Row],[Sales]]&gt;20000,"Average Sales",Table1342[[#This Row],[Sales]]&gt;0,"Poor Sales")</f>
        <v>Average Sales</v>
      </c>
      <c r="L261" s="19">
        <f>YEAR(Table1342[[#This Row],[Date]])</f>
        <v>2023</v>
      </c>
      <c r="M261" s="19">
        <f>MONTH(Table1342[[#This Row],[Date]])</f>
        <v>12</v>
      </c>
      <c r="N261" s="19">
        <f>DAY(Table1342[[#This Row],[Date]])</f>
        <v>29</v>
      </c>
      <c r="O261" s="19"/>
      <c r="P261" s="19" t="str">
        <f>TEXT(DATE(2023,Table1342[[#This Row],[MONTH]],1),"mmm")</f>
        <v>Dec</v>
      </c>
      <c r="Q261" s="19"/>
    </row>
    <row r="262" spans="1:17" x14ac:dyDescent="0.3">
      <c r="A262" s="19">
        <v>261</v>
      </c>
      <c r="B262" s="20">
        <v>45238</v>
      </c>
      <c r="C262" s="19" t="s">
        <v>22</v>
      </c>
      <c r="D262" s="19" t="s">
        <v>22</v>
      </c>
      <c r="E262" s="19" t="s">
        <v>17</v>
      </c>
      <c r="F262" s="19" t="s">
        <v>13</v>
      </c>
      <c r="G262" s="19" t="s">
        <v>34</v>
      </c>
      <c r="H262" s="21">
        <v>14529.22</v>
      </c>
      <c r="I262" s="19">
        <v>8</v>
      </c>
      <c r="J262" s="21">
        <v>3777.18</v>
      </c>
      <c r="K262" s="19" t="str" cm="1">
        <f t="array" ref="K262">_xlfn.IFS(Table1342[[#This Row],[Sales]]&gt;40000,"Best Sales",Table1342[[#This Row],[Sales]]&gt;20000,"Average Sales",Table1342[[#This Row],[Sales]]&gt;0,"Poor Sales")</f>
        <v>Poor Sales</v>
      </c>
      <c r="L262" s="19">
        <f>YEAR(Table1342[[#This Row],[Date]])</f>
        <v>2023</v>
      </c>
      <c r="M262" s="19">
        <f>MONTH(Table1342[[#This Row],[Date]])</f>
        <v>11</v>
      </c>
      <c r="N262" s="19">
        <f>DAY(Table1342[[#This Row],[Date]])</f>
        <v>8</v>
      </c>
      <c r="O262" s="19"/>
      <c r="P262" s="19" t="str">
        <f>TEXT(DATE(2023,Table1342[[#This Row],[MONTH]],1),"mmm")</f>
        <v>Nov</v>
      </c>
      <c r="Q262" s="19"/>
    </row>
    <row r="263" spans="1:17" x14ac:dyDescent="0.3">
      <c r="A263" s="19">
        <v>262</v>
      </c>
      <c r="B263" s="20">
        <v>45013</v>
      </c>
      <c r="C263" s="19" t="s">
        <v>37</v>
      </c>
      <c r="D263" s="19" t="s">
        <v>27</v>
      </c>
      <c r="E263" s="19" t="s">
        <v>12</v>
      </c>
      <c r="F263" s="19" t="s">
        <v>13</v>
      </c>
      <c r="G263" s="19" t="s">
        <v>14</v>
      </c>
      <c r="H263" s="21">
        <v>19364.93</v>
      </c>
      <c r="I263" s="19">
        <v>3</v>
      </c>
      <c r="J263" s="21">
        <v>5725.87</v>
      </c>
      <c r="K263" s="19" t="str" cm="1">
        <f t="array" ref="K263">_xlfn.IFS(Table1342[[#This Row],[Sales]]&gt;40000,"Best Sales",Table1342[[#This Row],[Sales]]&gt;20000,"Average Sales",Table1342[[#This Row],[Sales]]&gt;0,"Poor Sales")</f>
        <v>Poor Sales</v>
      </c>
      <c r="L263" s="19">
        <f>YEAR(Table1342[[#This Row],[Date]])</f>
        <v>2023</v>
      </c>
      <c r="M263" s="19">
        <f>MONTH(Table1342[[#This Row],[Date]])</f>
        <v>3</v>
      </c>
      <c r="N263" s="19">
        <f>DAY(Table1342[[#This Row],[Date]])</f>
        <v>28</v>
      </c>
      <c r="O263" s="19"/>
      <c r="P263" s="19" t="str">
        <f>TEXT(DATE(2023,Table1342[[#This Row],[MONTH]],1),"mmm")</f>
        <v>Mar</v>
      </c>
      <c r="Q263" s="19"/>
    </row>
    <row r="264" spans="1:17" x14ac:dyDescent="0.3">
      <c r="A264" s="19">
        <v>263</v>
      </c>
      <c r="B264" s="20">
        <v>45214</v>
      </c>
      <c r="C264" s="19" t="s">
        <v>30</v>
      </c>
      <c r="D264" s="19" t="s">
        <v>16</v>
      </c>
      <c r="E264" s="19" t="s">
        <v>17</v>
      </c>
      <c r="F264" s="19" t="s">
        <v>31</v>
      </c>
      <c r="G264" s="19" t="s">
        <v>32</v>
      </c>
      <c r="H264" s="21">
        <v>39741.019999999997</v>
      </c>
      <c r="I264" s="19">
        <v>6</v>
      </c>
      <c r="J264" s="21">
        <v>11691.37</v>
      </c>
      <c r="K264" s="19" t="str" cm="1">
        <f t="array" ref="K264">_xlfn.IFS(Table1342[[#This Row],[Sales]]&gt;40000,"Best Sales",Table1342[[#This Row],[Sales]]&gt;20000,"Average Sales",Table1342[[#This Row],[Sales]]&gt;0,"Poor Sales")</f>
        <v>Average Sales</v>
      </c>
      <c r="L264" s="19">
        <f>YEAR(Table1342[[#This Row],[Date]])</f>
        <v>2023</v>
      </c>
      <c r="M264" s="19">
        <f>MONTH(Table1342[[#This Row],[Date]])</f>
        <v>10</v>
      </c>
      <c r="N264" s="19">
        <f>DAY(Table1342[[#This Row],[Date]])</f>
        <v>15</v>
      </c>
      <c r="O264" s="19"/>
      <c r="P264" s="19" t="str">
        <f>TEXT(DATE(2023,Table1342[[#This Row],[MONTH]],1),"mmm")</f>
        <v>Oct</v>
      </c>
      <c r="Q264" s="19"/>
    </row>
    <row r="265" spans="1:17" x14ac:dyDescent="0.3">
      <c r="A265" s="19">
        <v>264</v>
      </c>
      <c r="B265" s="20">
        <v>45114</v>
      </c>
      <c r="C265" s="19" t="s">
        <v>22</v>
      </c>
      <c r="D265" s="19" t="s">
        <v>22</v>
      </c>
      <c r="E265" s="19" t="s">
        <v>20</v>
      </c>
      <c r="F265" s="19" t="s">
        <v>24</v>
      </c>
      <c r="G265" s="19" t="s">
        <v>29</v>
      </c>
      <c r="H265" s="21">
        <v>28526.5</v>
      </c>
      <c r="I265" s="19">
        <v>9</v>
      </c>
      <c r="J265" s="21">
        <v>2168.42</v>
      </c>
      <c r="K265" s="19" t="str" cm="1">
        <f t="array" ref="K265">_xlfn.IFS(Table1342[[#This Row],[Sales]]&gt;40000,"Best Sales",Table1342[[#This Row],[Sales]]&gt;20000,"Average Sales",Table1342[[#This Row],[Sales]]&gt;0,"Poor Sales")</f>
        <v>Average Sales</v>
      </c>
      <c r="L265" s="19">
        <f>YEAR(Table1342[[#This Row],[Date]])</f>
        <v>2023</v>
      </c>
      <c r="M265" s="19">
        <f>MONTH(Table1342[[#This Row],[Date]])</f>
        <v>7</v>
      </c>
      <c r="N265" s="19">
        <f>DAY(Table1342[[#This Row],[Date]])</f>
        <v>7</v>
      </c>
      <c r="O265" s="19"/>
      <c r="P265" s="19" t="str">
        <f>TEXT(DATE(2023,Table1342[[#This Row],[MONTH]],1),"mmm")</f>
        <v>Jul</v>
      </c>
      <c r="Q265" s="19"/>
    </row>
    <row r="266" spans="1:17" x14ac:dyDescent="0.3">
      <c r="A266" s="19">
        <v>265</v>
      </c>
      <c r="B266" s="20">
        <v>45156</v>
      </c>
      <c r="C266" s="19" t="s">
        <v>26</v>
      </c>
      <c r="D266" s="19" t="s">
        <v>27</v>
      </c>
      <c r="E266" s="19" t="s">
        <v>20</v>
      </c>
      <c r="F266" s="19" t="s">
        <v>24</v>
      </c>
      <c r="G266" s="19" t="s">
        <v>28</v>
      </c>
      <c r="H266" s="21">
        <v>23711.97</v>
      </c>
      <c r="I266" s="19">
        <v>10</v>
      </c>
      <c r="J266" s="21">
        <v>3673.28</v>
      </c>
      <c r="K266" s="19" t="str" cm="1">
        <f t="array" ref="K266">_xlfn.IFS(Table1342[[#This Row],[Sales]]&gt;40000,"Best Sales",Table1342[[#This Row],[Sales]]&gt;20000,"Average Sales",Table1342[[#This Row],[Sales]]&gt;0,"Poor Sales")</f>
        <v>Average Sales</v>
      </c>
      <c r="L266" s="19">
        <f>YEAR(Table1342[[#This Row],[Date]])</f>
        <v>2023</v>
      </c>
      <c r="M266" s="19">
        <f>MONTH(Table1342[[#This Row],[Date]])</f>
        <v>8</v>
      </c>
      <c r="N266" s="19">
        <f>DAY(Table1342[[#This Row],[Date]])</f>
        <v>18</v>
      </c>
      <c r="O266" s="19"/>
      <c r="P266" s="19" t="str">
        <f>TEXT(DATE(2023,Table1342[[#This Row],[MONTH]],1),"mmm")</f>
        <v>Aug</v>
      </c>
      <c r="Q266" s="19"/>
    </row>
    <row r="267" spans="1:17" x14ac:dyDescent="0.3">
      <c r="A267" s="19">
        <v>266</v>
      </c>
      <c r="B267" s="20">
        <v>45127</v>
      </c>
      <c r="C267" s="19" t="s">
        <v>26</v>
      </c>
      <c r="D267" s="19" t="s">
        <v>27</v>
      </c>
      <c r="E267" s="19" t="s">
        <v>12</v>
      </c>
      <c r="F267" s="19" t="s">
        <v>31</v>
      </c>
      <c r="G267" s="19" t="s">
        <v>39</v>
      </c>
      <c r="H267" s="21">
        <v>28029.09</v>
      </c>
      <c r="I267" s="19">
        <v>2</v>
      </c>
      <c r="J267" s="21">
        <v>5086.72</v>
      </c>
      <c r="K267" s="19" t="str" cm="1">
        <f t="array" ref="K267">_xlfn.IFS(Table1342[[#This Row],[Sales]]&gt;40000,"Best Sales",Table1342[[#This Row],[Sales]]&gt;20000,"Average Sales",Table1342[[#This Row],[Sales]]&gt;0,"Poor Sales")</f>
        <v>Average Sales</v>
      </c>
      <c r="L267" s="19">
        <f>YEAR(Table1342[[#This Row],[Date]])</f>
        <v>2023</v>
      </c>
      <c r="M267" s="19">
        <f>MONTH(Table1342[[#This Row],[Date]])</f>
        <v>7</v>
      </c>
      <c r="N267" s="19">
        <f>DAY(Table1342[[#This Row],[Date]])</f>
        <v>20</v>
      </c>
      <c r="O267" s="19"/>
      <c r="P267" s="19" t="str">
        <f>TEXT(DATE(2023,Table1342[[#This Row],[MONTH]],1),"mmm")</f>
        <v>Jul</v>
      </c>
      <c r="Q267" s="19"/>
    </row>
    <row r="268" spans="1:17" x14ac:dyDescent="0.3">
      <c r="A268" s="19">
        <v>267</v>
      </c>
      <c r="B268" s="20">
        <v>45268</v>
      </c>
      <c r="C268" s="19" t="s">
        <v>37</v>
      </c>
      <c r="D268" s="19" t="s">
        <v>27</v>
      </c>
      <c r="E268" s="19" t="s">
        <v>17</v>
      </c>
      <c r="F268" s="19" t="s">
        <v>31</v>
      </c>
      <c r="G268" s="19" t="s">
        <v>39</v>
      </c>
      <c r="H268" s="21">
        <v>5734.42</v>
      </c>
      <c r="I268" s="19">
        <v>4</v>
      </c>
      <c r="J268" s="21">
        <v>1489.22</v>
      </c>
      <c r="K268" s="19" t="str" cm="1">
        <f t="array" ref="K268">_xlfn.IFS(Table1342[[#This Row],[Sales]]&gt;40000,"Best Sales",Table1342[[#This Row],[Sales]]&gt;20000,"Average Sales",Table1342[[#This Row],[Sales]]&gt;0,"Poor Sales")</f>
        <v>Poor Sales</v>
      </c>
      <c r="L268" s="19">
        <f>YEAR(Table1342[[#This Row],[Date]])</f>
        <v>2023</v>
      </c>
      <c r="M268" s="19">
        <f>MONTH(Table1342[[#This Row],[Date]])</f>
        <v>12</v>
      </c>
      <c r="N268" s="19">
        <f>DAY(Table1342[[#This Row],[Date]])</f>
        <v>8</v>
      </c>
      <c r="O268" s="19"/>
      <c r="P268" s="19" t="str">
        <f>TEXT(DATE(2023,Table1342[[#This Row],[MONTH]],1),"mmm")</f>
        <v>Dec</v>
      </c>
      <c r="Q268" s="19"/>
    </row>
    <row r="269" spans="1:17" x14ac:dyDescent="0.3">
      <c r="A269" s="19">
        <v>268</v>
      </c>
      <c r="B269" s="20">
        <v>45136</v>
      </c>
      <c r="C269" s="19" t="s">
        <v>30</v>
      </c>
      <c r="D269" s="19" t="s">
        <v>16</v>
      </c>
      <c r="E269" s="19" t="s">
        <v>12</v>
      </c>
      <c r="F269" s="19" t="s">
        <v>31</v>
      </c>
      <c r="G269" s="19" t="s">
        <v>32</v>
      </c>
      <c r="H269" s="21">
        <v>39653.46</v>
      </c>
      <c r="I269" s="19">
        <v>5</v>
      </c>
      <c r="J269" s="21">
        <v>11436.72</v>
      </c>
      <c r="K269" s="19" t="str" cm="1">
        <f t="array" ref="K269">_xlfn.IFS(Table1342[[#This Row],[Sales]]&gt;40000,"Best Sales",Table1342[[#This Row],[Sales]]&gt;20000,"Average Sales",Table1342[[#This Row],[Sales]]&gt;0,"Poor Sales")</f>
        <v>Average Sales</v>
      </c>
      <c r="L269" s="19">
        <f>YEAR(Table1342[[#This Row],[Date]])</f>
        <v>2023</v>
      </c>
      <c r="M269" s="19">
        <f>MONTH(Table1342[[#This Row],[Date]])</f>
        <v>7</v>
      </c>
      <c r="N269" s="19">
        <f>DAY(Table1342[[#This Row],[Date]])</f>
        <v>29</v>
      </c>
      <c r="O269" s="19"/>
      <c r="P269" s="19" t="str">
        <f>TEXT(DATE(2023,Table1342[[#This Row],[MONTH]],1),"mmm")</f>
        <v>Jul</v>
      </c>
      <c r="Q269" s="19"/>
    </row>
    <row r="270" spans="1:17" x14ac:dyDescent="0.3">
      <c r="A270" s="19">
        <v>269</v>
      </c>
      <c r="B270" s="20">
        <v>45100</v>
      </c>
      <c r="C270" s="19" t="s">
        <v>30</v>
      </c>
      <c r="D270" s="19" t="s">
        <v>16</v>
      </c>
      <c r="E270" s="19" t="s">
        <v>17</v>
      </c>
      <c r="F270" s="19" t="s">
        <v>24</v>
      </c>
      <c r="G270" s="19" t="s">
        <v>28</v>
      </c>
      <c r="H270" s="21">
        <v>31139.39</v>
      </c>
      <c r="I270" s="19">
        <v>5</v>
      </c>
      <c r="J270" s="21">
        <v>5027.6499999999996</v>
      </c>
      <c r="K270" s="19" t="str" cm="1">
        <f t="array" ref="K270">_xlfn.IFS(Table1342[[#This Row],[Sales]]&gt;40000,"Best Sales",Table1342[[#This Row],[Sales]]&gt;20000,"Average Sales",Table1342[[#This Row],[Sales]]&gt;0,"Poor Sales")</f>
        <v>Average Sales</v>
      </c>
      <c r="L270" s="19">
        <f>YEAR(Table1342[[#This Row],[Date]])</f>
        <v>2023</v>
      </c>
      <c r="M270" s="19">
        <f>MONTH(Table1342[[#This Row],[Date]])</f>
        <v>6</v>
      </c>
      <c r="N270" s="19">
        <f>DAY(Table1342[[#This Row],[Date]])</f>
        <v>23</v>
      </c>
      <c r="O270" s="19"/>
      <c r="P270" s="19" t="str">
        <f>TEXT(DATE(2023,Table1342[[#This Row],[MONTH]],1),"mmm")</f>
        <v>Jun</v>
      </c>
      <c r="Q270" s="19"/>
    </row>
    <row r="271" spans="1:17" x14ac:dyDescent="0.3">
      <c r="A271" s="19">
        <v>270</v>
      </c>
      <c r="B271" s="20">
        <v>44981</v>
      </c>
      <c r="C271" s="19" t="s">
        <v>30</v>
      </c>
      <c r="D271" s="19" t="s">
        <v>16</v>
      </c>
      <c r="E271" s="19" t="s">
        <v>20</v>
      </c>
      <c r="F271" s="19" t="s">
        <v>24</v>
      </c>
      <c r="G271" s="19" t="s">
        <v>28</v>
      </c>
      <c r="H271" s="21">
        <v>22141.33</v>
      </c>
      <c r="I271" s="19">
        <v>7</v>
      </c>
      <c r="J271" s="21">
        <v>4473.1400000000003</v>
      </c>
      <c r="K271" s="19" t="str" cm="1">
        <f t="array" ref="K271">_xlfn.IFS(Table1342[[#This Row],[Sales]]&gt;40000,"Best Sales",Table1342[[#This Row],[Sales]]&gt;20000,"Average Sales",Table1342[[#This Row],[Sales]]&gt;0,"Poor Sales")</f>
        <v>Average Sales</v>
      </c>
      <c r="L271" s="19">
        <f>YEAR(Table1342[[#This Row],[Date]])</f>
        <v>2023</v>
      </c>
      <c r="M271" s="19">
        <f>MONTH(Table1342[[#This Row],[Date]])</f>
        <v>2</v>
      </c>
      <c r="N271" s="19">
        <f>DAY(Table1342[[#This Row],[Date]])</f>
        <v>24</v>
      </c>
      <c r="O271" s="19"/>
      <c r="P271" s="19" t="str">
        <f>TEXT(DATE(2023,Table1342[[#This Row],[MONTH]],1),"mmm")</f>
        <v>Feb</v>
      </c>
      <c r="Q271" s="19"/>
    </row>
    <row r="272" spans="1:17" x14ac:dyDescent="0.3">
      <c r="A272" s="19">
        <v>271</v>
      </c>
      <c r="B272" s="20">
        <v>45238</v>
      </c>
      <c r="C272" s="19" t="s">
        <v>15</v>
      </c>
      <c r="D272" s="19" t="s">
        <v>16</v>
      </c>
      <c r="E272" s="19" t="s">
        <v>20</v>
      </c>
      <c r="F272" s="19" t="s">
        <v>13</v>
      </c>
      <c r="G272" s="19" t="s">
        <v>34</v>
      </c>
      <c r="H272" s="21">
        <v>44279.01</v>
      </c>
      <c r="I272" s="19">
        <v>7</v>
      </c>
      <c r="J272" s="21">
        <v>6441.93</v>
      </c>
      <c r="K272" s="19" t="str" cm="1">
        <f t="array" ref="K272">_xlfn.IFS(Table1342[[#This Row],[Sales]]&gt;40000,"Best Sales",Table1342[[#This Row],[Sales]]&gt;20000,"Average Sales",Table1342[[#This Row],[Sales]]&gt;0,"Poor Sales")</f>
        <v>Best Sales</v>
      </c>
      <c r="L272" s="19">
        <f>YEAR(Table1342[[#This Row],[Date]])</f>
        <v>2023</v>
      </c>
      <c r="M272" s="19">
        <f>MONTH(Table1342[[#This Row],[Date]])</f>
        <v>11</v>
      </c>
      <c r="N272" s="19">
        <f>DAY(Table1342[[#This Row],[Date]])</f>
        <v>8</v>
      </c>
      <c r="O272" s="19"/>
      <c r="P272" s="19" t="str">
        <f>TEXT(DATE(2023,Table1342[[#This Row],[MONTH]],1),"mmm")</f>
        <v>Nov</v>
      </c>
      <c r="Q272" s="19"/>
    </row>
    <row r="273" spans="1:17" x14ac:dyDescent="0.3">
      <c r="A273" s="19">
        <v>272</v>
      </c>
      <c r="B273" s="20">
        <v>44927</v>
      </c>
      <c r="C273" s="19" t="s">
        <v>35</v>
      </c>
      <c r="D273" s="19" t="s">
        <v>36</v>
      </c>
      <c r="E273" s="19" t="s">
        <v>12</v>
      </c>
      <c r="F273" s="19" t="s">
        <v>24</v>
      </c>
      <c r="G273" s="19" t="s">
        <v>25</v>
      </c>
      <c r="H273" s="21">
        <v>34850.58</v>
      </c>
      <c r="I273" s="19">
        <v>6</v>
      </c>
      <c r="J273" s="21">
        <v>7187.87</v>
      </c>
      <c r="K273" s="19" t="str" cm="1">
        <f t="array" ref="K273">_xlfn.IFS(Table1342[[#This Row],[Sales]]&gt;40000,"Best Sales",Table1342[[#This Row],[Sales]]&gt;20000,"Average Sales",Table1342[[#This Row],[Sales]]&gt;0,"Poor Sales")</f>
        <v>Average Sales</v>
      </c>
      <c r="L273" s="19">
        <f>YEAR(Table1342[[#This Row],[Date]])</f>
        <v>2023</v>
      </c>
      <c r="M273" s="19">
        <f>MONTH(Table1342[[#This Row],[Date]])</f>
        <v>1</v>
      </c>
      <c r="N273" s="19">
        <f>DAY(Table1342[[#This Row],[Date]])</f>
        <v>1</v>
      </c>
      <c r="O273" s="19"/>
      <c r="P273" s="19" t="str">
        <f>TEXT(DATE(2023,Table1342[[#This Row],[MONTH]],1),"mmm")</f>
        <v>Jan</v>
      </c>
      <c r="Q273" s="19"/>
    </row>
    <row r="274" spans="1:17" x14ac:dyDescent="0.3">
      <c r="A274" s="19">
        <v>273</v>
      </c>
      <c r="B274" s="20">
        <v>45155</v>
      </c>
      <c r="C274" s="19" t="s">
        <v>22</v>
      </c>
      <c r="D274" s="19" t="s">
        <v>22</v>
      </c>
      <c r="E274" s="19" t="s">
        <v>17</v>
      </c>
      <c r="F274" s="19" t="s">
        <v>31</v>
      </c>
      <c r="G274" s="19" t="s">
        <v>33</v>
      </c>
      <c r="H274" s="21">
        <v>5858.59</v>
      </c>
      <c r="I274" s="19">
        <v>3</v>
      </c>
      <c r="J274" s="21">
        <v>796.7</v>
      </c>
      <c r="K274" s="19" t="str" cm="1">
        <f t="array" ref="K274">_xlfn.IFS(Table1342[[#This Row],[Sales]]&gt;40000,"Best Sales",Table1342[[#This Row],[Sales]]&gt;20000,"Average Sales",Table1342[[#This Row],[Sales]]&gt;0,"Poor Sales")</f>
        <v>Poor Sales</v>
      </c>
      <c r="L274" s="19">
        <f>YEAR(Table1342[[#This Row],[Date]])</f>
        <v>2023</v>
      </c>
      <c r="M274" s="19">
        <f>MONTH(Table1342[[#This Row],[Date]])</f>
        <v>8</v>
      </c>
      <c r="N274" s="19">
        <f>DAY(Table1342[[#This Row],[Date]])</f>
        <v>17</v>
      </c>
      <c r="O274" s="19"/>
      <c r="P274" s="19" t="str">
        <f>TEXT(DATE(2023,Table1342[[#This Row],[MONTH]],1),"mmm")</f>
        <v>Aug</v>
      </c>
      <c r="Q274" s="19"/>
    </row>
    <row r="275" spans="1:17" x14ac:dyDescent="0.3">
      <c r="A275" s="19">
        <v>274</v>
      </c>
      <c r="B275" s="20">
        <v>45162</v>
      </c>
      <c r="C275" s="19" t="s">
        <v>38</v>
      </c>
      <c r="D275" s="19" t="s">
        <v>27</v>
      </c>
      <c r="E275" s="19" t="s">
        <v>12</v>
      </c>
      <c r="F275" s="19" t="s">
        <v>31</v>
      </c>
      <c r="G275" s="19" t="s">
        <v>39</v>
      </c>
      <c r="H275" s="21">
        <v>48376.78</v>
      </c>
      <c r="I275" s="19">
        <v>2</v>
      </c>
      <c r="J275" s="21">
        <v>6380.96</v>
      </c>
      <c r="K275" s="19" t="str" cm="1">
        <f t="array" ref="K275">_xlfn.IFS(Table1342[[#This Row],[Sales]]&gt;40000,"Best Sales",Table1342[[#This Row],[Sales]]&gt;20000,"Average Sales",Table1342[[#This Row],[Sales]]&gt;0,"Poor Sales")</f>
        <v>Best Sales</v>
      </c>
      <c r="L275" s="19">
        <f>YEAR(Table1342[[#This Row],[Date]])</f>
        <v>2023</v>
      </c>
      <c r="M275" s="19">
        <f>MONTH(Table1342[[#This Row],[Date]])</f>
        <v>8</v>
      </c>
      <c r="N275" s="19">
        <f>DAY(Table1342[[#This Row],[Date]])</f>
        <v>24</v>
      </c>
      <c r="O275" s="19"/>
      <c r="P275" s="19" t="str">
        <f>TEXT(DATE(2023,Table1342[[#This Row],[MONTH]],1),"mmm")</f>
        <v>Aug</v>
      </c>
      <c r="Q275" s="19"/>
    </row>
    <row r="276" spans="1:17" x14ac:dyDescent="0.3">
      <c r="A276" s="19">
        <v>275</v>
      </c>
      <c r="B276" s="20">
        <v>45003</v>
      </c>
      <c r="C276" s="19" t="s">
        <v>37</v>
      </c>
      <c r="D276" s="19" t="s">
        <v>27</v>
      </c>
      <c r="E276" s="19" t="s">
        <v>17</v>
      </c>
      <c r="F276" s="19" t="s">
        <v>31</v>
      </c>
      <c r="G276" s="19" t="s">
        <v>39</v>
      </c>
      <c r="H276" s="21">
        <v>45474.51</v>
      </c>
      <c r="I276" s="19">
        <v>5</v>
      </c>
      <c r="J276" s="21">
        <v>10209.879999999999</v>
      </c>
      <c r="K276" s="19" t="str" cm="1">
        <f t="array" ref="K276">_xlfn.IFS(Table1342[[#This Row],[Sales]]&gt;40000,"Best Sales",Table1342[[#This Row],[Sales]]&gt;20000,"Average Sales",Table1342[[#This Row],[Sales]]&gt;0,"Poor Sales")</f>
        <v>Best Sales</v>
      </c>
      <c r="L276" s="19">
        <f>YEAR(Table1342[[#This Row],[Date]])</f>
        <v>2023</v>
      </c>
      <c r="M276" s="19">
        <f>MONTH(Table1342[[#This Row],[Date]])</f>
        <v>3</v>
      </c>
      <c r="N276" s="19">
        <f>DAY(Table1342[[#This Row],[Date]])</f>
        <v>18</v>
      </c>
      <c r="O276" s="19"/>
      <c r="P276" s="19" t="str">
        <f>TEXT(DATE(2023,Table1342[[#This Row],[MONTH]],1),"mmm")</f>
        <v>Mar</v>
      </c>
      <c r="Q276" s="19"/>
    </row>
    <row r="277" spans="1:17" x14ac:dyDescent="0.3">
      <c r="A277" s="19">
        <v>276</v>
      </c>
      <c r="B277" s="20">
        <v>45184</v>
      </c>
      <c r="C277" s="19" t="s">
        <v>38</v>
      </c>
      <c r="D277" s="19" t="s">
        <v>27</v>
      </c>
      <c r="E277" s="19" t="s">
        <v>20</v>
      </c>
      <c r="F277" s="19" t="s">
        <v>31</v>
      </c>
      <c r="G277" s="19" t="s">
        <v>32</v>
      </c>
      <c r="H277" s="21">
        <v>38210.57</v>
      </c>
      <c r="I277" s="19">
        <v>1</v>
      </c>
      <c r="J277" s="21">
        <v>8172.28</v>
      </c>
      <c r="K277" s="19" t="str" cm="1">
        <f t="array" ref="K277">_xlfn.IFS(Table1342[[#This Row],[Sales]]&gt;40000,"Best Sales",Table1342[[#This Row],[Sales]]&gt;20000,"Average Sales",Table1342[[#This Row],[Sales]]&gt;0,"Poor Sales")</f>
        <v>Average Sales</v>
      </c>
      <c r="L277" s="19">
        <f>YEAR(Table1342[[#This Row],[Date]])</f>
        <v>2023</v>
      </c>
      <c r="M277" s="19">
        <f>MONTH(Table1342[[#This Row],[Date]])</f>
        <v>9</v>
      </c>
      <c r="N277" s="19">
        <f>DAY(Table1342[[#This Row],[Date]])</f>
        <v>15</v>
      </c>
      <c r="O277" s="19"/>
      <c r="P277" s="19" t="str">
        <f>TEXT(DATE(2023,Table1342[[#This Row],[MONTH]],1),"mmm")</f>
        <v>Sep</v>
      </c>
      <c r="Q277" s="19"/>
    </row>
    <row r="278" spans="1:17" x14ac:dyDescent="0.3">
      <c r="A278" s="19">
        <v>277</v>
      </c>
      <c r="B278" s="20">
        <v>45064</v>
      </c>
      <c r="C278" s="19" t="s">
        <v>35</v>
      </c>
      <c r="D278" s="19" t="s">
        <v>36</v>
      </c>
      <c r="E278" s="19" t="s">
        <v>20</v>
      </c>
      <c r="F278" s="19" t="s">
        <v>24</v>
      </c>
      <c r="G278" s="19" t="s">
        <v>28</v>
      </c>
      <c r="H278" s="21">
        <v>2743.4</v>
      </c>
      <c r="I278" s="19">
        <v>2</v>
      </c>
      <c r="J278" s="21">
        <v>324.44</v>
      </c>
      <c r="K278" s="19" t="str" cm="1">
        <f t="array" ref="K278">_xlfn.IFS(Table1342[[#This Row],[Sales]]&gt;40000,"Best Sales",Table1342[[#This Row],[Sales]]&gt;20000,"Average Sales",Table1342[[#This Row],[Sales]]&gt;0,"Poor Sales")</f>
        <v>Poor Sales</v>
      </c>
      <c r="L278" s="19">
        <f>YEAR(Table1342[[#This Row],[Date]])</f>
        <v>2023</v>
      </c>
      <c r="M278" s="19">
        <f>MONTH(Table1342[[#This Row],[Date]])</f>
        <v>5</v>
      </c>
      <c r="N278" s="19">
        <f>DAY(Table1342[[#This Row],[Date]])</f>
        <v>18</v>
      </c>
      <c r="O278" s="19"/>
      <c r="P278" s="19" t="str">
        <f>TEXT(DATE(2023,Table1342[[#This Row],[MONTH]],1),"mmm")</f>
        <v>May</v>
      </c>
      <c r="Q278" s="19"/>
    </row>
    <row r="279" spans="1:17" x14ac:dyDescent="0.3">
      <c r="A279" s="19">
        <v>278</v>
      </c>
      <c r="B279" s="20">
        <v>45010</v>
      </c>
      <c r="C279" s="19" t="s">
        <v>15</v>
      </c>
      <c r="D279" s="19" t="s">
        <v>16</v>
      </c>
      <c r="E279" s="19" t="s">
        <v>12</v>
      </c>
      <c r="F279" s="19" t="s">
        <v>31</v>
      </c>
      <c r="G279" s="19" t="s">
        <v>32</v>
      </c>
      <c r="H279" s="21">
        <v>17723.98</v>
      </c>
      <c r="I279" s="19">
        <v>3</v>
      </c>
      <c r="J279" s="21">
        <v>3188.41</v>
      </c>
      <c r="K279" s="19" t="str" cm="1">
        <f t="array" ref="K279">_xlfn.IFS(Table1342[[#This Row],[Sales]]&gt;40000,"Best Sales",Table1342[[#This Row],[Sales]]&gt;20000,"Average Sales",Table1342[[#This Row],[Sales]]&gt;0,"Poor Sales")</f>
        <v>Poor Sales</v>
      </c>
      <c r="L279" s="19">
        <f>YEAR(Table1342[[#This Row],[Date]])</f>
        <v>2023</v>
      </c>
      <c r="M279" s="19">
        <f>MONTH(Table1342[[#This Row],[Date]])</f>
        <v>3</v>
      </c>
      <c r="N279" s="19">
        <f>DAY(Table1342[[#This Row],[Date]])</f>
        <v>25</v>
      </c>
      <c r="O279" s="19"/>
      <c r="P279" s="19" t="str">
        <f>TEXT(DATE(2023,Table1342[[#This Row],[MONTH]],1),"mmm")</f>
        <v>Mar</v>
      </c>
      <c r="Q279" s="19"/>
    </row>
    <row r="280" spans="1:17" x14ac:dyDescent="0.3">
      <c r="A280" s="19">
        <v>279</v>
      </c>
      <c r="B280" s="20">
        <v>44973</v>
      </c>
      <c r="C280" s="19" t="s">
        <v>15</v>
      </c>
      <c r="D280" s="19" t="s">
        <v>16</v>
      </c>
      <c r="E280" s="19" t="s">
        <v>17</v>
      </c>
      <c r="F280" s="19" t="s">
        <v>13</v>
      </c>
      <c r="G280" s="19" t="s">
        <v>21</v>
      </c>
      <c r="H280" s="21">
        <v>37126.15</v>
      </c>
      <c r="I280" s="19">
        <v>7</v>
      </c>
      <c r="J280" s="21">
        <v>7778.08</v>
      </c>
      <c r="K280" s="19" t="str" cm="1">
        <f t="array" ref="K280">_xlfn.IFS(Table1342[[#This Row],[Sales]]&gt;40000,"Best Sales",Table1342[[#This Row],[Sales]]&gt;20000,"Average Sales",Table1342[[#This Row],[Sales]]&gt;0,"Poor Sales")</f>
        <v>Average Sales</v>
      </c>
      <c r="L280" s="19">
        <f>YEAR(Table1342[[#This Row],[Date]])</f>
        <v>2023</v>
      </c>
      <c r="M280" s="19">
        <f>MONTH(Table1342[[#This Row],[Date]])</f>
        <v>2</v>
      </c>
      <c r="N280" s="19">
        <f>DAY(Table1342[[#This Row],[Date]])</f>
        <v>16</v>
      </c>
      <c r="O280" s="19"/>
      <c r="P280" s="19" t="str">
        <f>TEXT(DATE(2023,Table1342[[#This Row],[MONTH]],1),"mmm")</f>
        <v>Feb</v>
      </c>
      <c r="Q280" s="19"/>
    </row>
    <row r="281" spans="1:17" x14ac:dyDescent="0.3">
      <c r="A281" s="19">
        <v>280</v>
      </c>
      <c r="B281" s="20">
        <v>45043</v>
      </c>
      <c r="C281" s="19" t="s">
        <v>10</v>
      </c>
      <c r="D281" s="19" t="s">
        <v>11</v>
      </c>
      <c r="E281" s="19" t="s">
        <v>12</v>
      </c>
      <c r="F281" s="19" t="s">
        <v>13</v>
      </c>
      <c r="G281" s="19" t="s">
        <v>14</v>
      </c>
      <c r="H281" s="21">
        <v>33645.160000000003</v>
      </c>
      <c r="I281" s="19">
        <v>9</v>
      </c>
      <c r="J281" s="21">
        <v>3910.56</v>
      </c>
      <c r="K281" s="19" t="str" cm="1">
        <f t="array" ref="K281">_xlfn.IFS(Table1342[[#This Row],[Sales]]&gt;40000,"Best Sales",Table1342[[#This Row],[Sales]]&gt;20000,"Average Sales",Table1342[[#This Row],[Sales]]&gt;0,"Poor Sales")</f>
        <v>Average Sales</v>
      </c>
      <c r="L281" s="19">
        <f>YEAR(Table1342[[#This Row],[Date]])</f>
        <v>2023</v>
      </c>
      <c r="M281" s="19">
        <f>MONTH(Table1342[[#This Row],[Date]])</f>
        <v>4</v>
      </c>
      <c r="N281" s="19">
        <f>DAY(Table1342[[#This Row],[Date]])</f>
        <v>27</v>
      </c>
      <c r="O281" s="19"/>
      <c r="P281" s="19" t="str">
        <f>TEXT(DATE(2023,Table1342[[#This Row],[MONTH]],1),"mmm")</f>
        <v>Apr</v>
      </c>
      <c r="Q281" s="19"/>
    </row>
    <row r="282" spans="1:17" x14ac:dyDescent="0.3">
      <c r="A282" s="19">
        <v>281</v>
      </c>
      <c r="B282" s="20">
        <v>44956</v>
      </c>
      <c r="C282" s="19" t="s">
        <v>35</v>
      </c>
      <c r="D282" s="19" t="s">
        <v>36</v>
      </c>
      <c r="E282" s="19" t="s">
        <v>17</v>
      </c>
      <c r="F282" s="19" t="s">
        <v>24</v>
      </c>
      <c r="G282" s="19" t="s">
        <v>25</v>
      </c>
      <c r="H282" s="21">
        <v>16719.09</v>
      </c>
      <c r="I282" s="19">
        <v>4</v>
      </c>
      <c r="J282" s="21">
        <v>1211.3699999999999</v>
      </c>
      <c r="K282" s="19" t="str" cm="1">
        <f t="array" ref="K282">_xlfn.IFS(Table1342[[#This Row],[Sales]]&gt;40000,"Best Sales",Table1342[[#This Row],[Sales]]&gt;20000,"Average Sales",Table1342[[#This Row],[Sales]]&gt;0,"Poor Sales")</f>
        <v>Poor Sales</v>
      </c>
      <c r="L282" s="19">
        <f>YEAR(Table1342[[#This Row],[Date]])</f>
        <v>2023</v>
      </c>
      <c r="M282" s="19">
        <f>MONTH(Table1342[[#This Row],[Date]])</f>
        <v>1</v>
      </c>
      <c r="N282" s="19">
        <f>DAY(Table1342[[#This Row],[Date]])</f>
        <v>30</v>
      </c>
      <c r="O282" s="19"/>
      <c r="P282" s="19" t="str">
        <f>TEXT(DATE(2023,Table1342[[#This Row],[MONTH]],1),"mmm")</f>
        <v>Jan</v>
      </c>
      <c r="Q282" s="19"/>
    </row>
    <row r="283" spans="1:17" x14ac:dyDescent="0.3">
      <c r="A283" s="19">
        <v>282</v>
      </c>
      <c r="B283" s="20">
        <v>45046</v>
      </c>
      <c r="C283" s="19" t="s">
        <v>10</v>
      </c>
      <c r="D283" s="19" t="s">
        <v>11</v>
      </c>
      <c r="E283" s="19" t="s">
        <v>20</v>
      </c>
      <c r="F283" s="19" t="s">
        <v>31</v>
      </c>
      <c r="G283" s="19" t="s">
        <v>32</v>
      </c>
      <c r="H283" s="21">
        <v>25813.7</v>
      </c>
      <c r="I283" s="19">
        <v>4</v>
      </c>
      <c r="J283" s="21">
        <v>5481.41</v>
      </c>
      <c r="K283" s="19" t="str" cm="1">
        <f t="array" ref="K283">_xlfn.IFS(Table1342[[#This Row],[Sales]]&gt;40000,"Best Sales",Table1342[[#This Row],[Sales]]&gt;20000,"Average Sales",Table1342[[#This Row],[Sales]]&gt;0,"Poor Sales")</f>
        <v>Average Sales</v>
      </c>
      <c r="L283" s="19">
        <f>YEAR(Table1342[[#This Row],[Date]])</f>
        <v>2023</v>
      </c>
      <c r="M283" s="19">
        <f>MONTH(Table1342[[#This Row],[Date]])</f>
        <v>4</v>
      </c>
      <c r="N283" s="19">
        <f>DAY(Table1342[[#This Row],[Date]])</f>
        <v>30</v>
      </c>
      <c r="O283" s="19"/>
      <c r="P283" s="19" t="str">
        <f>TEXT(DATE(2023,Table1342[[#This Row],[MONTH]],1),"mmm")</f>
        <v>Apr</v>
      </c>
      <c r="Q283" s="19"/>
    </row>
    <row r="284" spans="1:17" x14ac:dyDescent="0.3">
      <c r="A284" s="19">
        <v>283</v>
      </c>
      <c r="B284" s="20">
        <v>45087</v>
      </c>
      <c r="C284" s="19" t="s">
        <v>37</v>
      </c>
      <c r="D284" s="19" t="s">
        <v>27</v>
      </c>
      <c r="E284" s="19" t="s">
        <v>20</v>
      </c>
      <c r="F284" s="19" t="s">
        <v>13</v>
      </c>
      <c r="G284" s="19" t="s">
        <v>21</v>
      </c>
      <c r="H284" s="21">
        <v>4086.81</v>
      </c>
      <c r="I284" s="19">
        <v>4</v>
      </c>
      <c r="J284" s="21">
        <v>760.68</v>
      </c>
      <c r="K284" s="19" t="str" cm="1">
        <f t="array" ref="K284">_xlfn.IFS(Table1342[[#This Row],[Sales]]&gt;40000,"Best Sales",Table1342[[#This Row],[Sales]]&gt;20000,"Average Sales",Table1342[[#This Row],[Sales]]&gt;0,"Poor Sales")</f>
        <v>Poor Sales</v>
      </c>
      <c r="L284" s="19">
        <f>YEAR(Table1342[[#This Row],[Date]])</f>
        <v>2023</v>
      </c>
      <c r="M284" s="19">
        <f>MONTH(Table1342[[#This Row],[Date]])</f>
        <v>6</v>
      </c>
      <c r="N284" s="19">
        <f>DAY(Table1342[[#This Row],[Date]])</f>
        <v>10</v>
      </c>
      <c r="O284" s="19"/>
      <c r="P284" s="19" t="str">
        <f>TEXT(DATE(2023,Table1342[[#This Row],[MONTH]],1),"mmm")</f>
        <v>Jun</v>
      </c>
      <c r="Q284" s="19"/>
    </row>
    <row r="285" spans="1:17" x14ac:dyDescent="0.3">
      <c r="A285" s="19">
        <v>284</v>
      </c>
      <c r="B285" s="20">
        <v>45145</v>
      </c>
      <c r="C285" s="19" t="s">
        <v>38</v>
      </c>
      <c r="D285" s="19" t="s">
        <v>27</v>
      </c>
      <c r="E285" s="19" t="s">
        <v>12</v>
      </c>
      <c r="F285" s="19" t="s">
        <v>13</v>
      </c>
      <c r="G285" s="19" t="s">
        <v>21</v>
      </c>
      <c r="H285" s="21">
        <v>18521.38</v>
      </c>
      <c r="I285" s="19">
        <v>1</v>
      </c>
      <c r="J285" s="21">
        <v>1946.16</v>
      </c>
      <c r="K285" s="19" t="str" cm="1">
        <f t="array" ref="K285">_xlfn.IFS(Table1342[[#This Row],[Sales]]&gt;40000,"Best Sales",Table1342[[#This Row],[Sales]]&gt;20000,"Average Sales",Table1342[[#This Row],[Sales]]&gt;0,"Poor Sales")</f>
        <v>Poor Sales</v>
      </c>
      <c r="L285" s="19">
        <f>YEAR(Table1342[[#This Row],[Date]])</f>
        <v>2023</v>
      </c>
      <c r="M285" s="19">
        <f>MONTH(Table1342[[#This Row],[Date]])</f>
        <v>8</v>
      </c>
      <c r="N285" s="19">
        <f>DAY(Table1342[[#This Row],[Date]])</f>
        <v>7</v>
      </c>
      <c r="O285" s="19"/>
      <c r="P285" s="19" t="str">
        <f>TEXT(DATE(2023,Table1342[[#This Row],[MONTH]],1),"mmm")</f>
        <v>Aug</v>
      </c>
      <c r="Q285" s="19"/>
    </row>
    <row r="286" spans="1:17" x14ac:dyDescent="0.3">
      <c r="A286" s="19">
        <v>285</v>
      </c>
      <c r="B286" s="20">
        <v>45165</v>
      </c>
      <c r="C286" s="19" t="s">
        <v>37</v>
      </c>
      <c r="D286" s="19" t="s">
        <v>27</v>
      </c>
      <c r="E286" s="19" t="s">
        <v>17</v>
      </c>
      <c r="F286" s="19" t="s">
        <v>24</v>
      </c>
      <c r="G286" s="19" t="s">
        <v>29</v>
      </c>
      <c r="H286" s="21">
        <v>35464.68</v>
      </c>
      <c r="I286" s="19">
        <v>3</v>
      </c>
      <c r="J286" s="21">
        <v>4946.6099999999997</v>
      </c>
      <c r="K286" s="19" t="str" cm="1">
        <f t="array" ref="K286">_xlfn.IFS(Table1342[[#This Row],[Sales]]&gt;40000,"Best Sales",Table1342[[#This Row],[Sales]]&gt;20000,"Average Sales",Table1342[[#This Row],[Sales]]&gt;0,"Poor Sales")</f>
        <v>Average Sales</v>
      </c>
      <c r="L286" s="19">
        <f>YEAR(Table1342[[#This Row],[Date]])</f>
        <v>2023</v>
      </c>
      <c r="M286" s="19">
        <f>MONTH(Table1342[[#This Row],[Date]])</f>
        <v>8</v>
      </c>
      <c r="N286" s="19">
        <f>DAY(Table1342[[#This Row],[Date]])</f>
        <v>27</v>
      </c>
      <c r="O286" s="19"/>
      <c r="P286" s="19" t="str">
        <f>TEXT(DATE(2023,Table1342[[#This Row],[MONTH]],1),"mmm")</f>
        <v>Aug</v>
      </c>
      <c r="Q286" s="19"/>
    </row>
    <row r="287" spans="1:17" x14ac:dyDescent="0.3">
      <c r="A287" s="19">
        <v>286</v>
      </c>
      <c r="B287" s="20">
        <v>45228</v>
      </c>
      <c r="C287" s="19" t="s">
        <v>35</v>
      </c>
      <c r="D287" s="19" t="s">
        <v>36</v>
      </c>
      <c r="E287" s="19" t="s">
        <v>12</v>
      </c>
      <c r="F287" s="19" t="s">
        <v>13</v>
      </c>
      <c r="G287" s="19" t="s">
        <v>34</v>
      </c>
      <c r="H287" s="21">
        <v>49796.639999999999</v>
      </c>
      <c r="I287" s="19">
        <v>9</v>
      </c>
      <c r="J287" s="21">
        <v>11826.36</v>
      </c>
      <c r="K287" s="19" t="str" cm="1">
        <f t="array" ref="K287">_xlfn.IFS(Table1342[[#This Row],[Sales]]&gt;40000,"Best Sales",Table1342[[#This Row],[Sales]]&gt;20000,"Average Sales",Table1342[[#This Row],[Sales]]&gt;0,"Poor Sales")</f>
        <v>Best Sales</v>
      </c>
      <c r="L287" s="19">
        <f>YEAR(Table1342[[#This Row],[Date]])</f>
        <v>2023</v>
      </c>
      <c r="M287" s="19">
        <f>MONTH(Table1342[[#This Row],[Date]])</f>
        <v>10</v>
      </c>
      <c r="N287" s="19">
        <f>DAY(Table1342[[#This Row],[Date]])</f>
        <v>29</v>
      </c>
      <c r="O287" s="19"/>
      <c r="P287" s="19" t="str">
        <f>TEXT(DATE(2023,Table1342[[#This Row],[MONTH]],1),"mmm")</f>
        <v>Oct</v>
      </c>
      <c r="Q287" s="19"/>
    </row>
    <row r="288" spans="1:17" x14ac:dyDescent="0.3">
      <c r="A288" s="19">
        <v>287</v>
      </c>
      <c r="B288" s="20">
        <v>45075</v>
      </c>
      <c r="C288" s="19" t="s">
        <v>26</v>
      </c>
      <c r="D288" s="19" t="s">
        <v>27</v>
      </c>
      <c r="E288" s="19" t="s">
        <v>17</v>
      </c>
      <c r="F288" s="19" t="s">
        <v>24</v>
      </c>
      <c r="G288" s="19" t="s">
        <v>25</v>
      </c>
      <c r="H288" s="21">
        <v>6484.96</v>
      </c>
      <c r="I288" s="19">
        <v>3</v>
      </c>
      <c r="J288" s="21">
        <v>1208.78</v>
      </c>
      <c r="K288" s="19" t="str" cm="1">
        <f t="array" ref="K288">_xlfn.IFS(Table1342[[#This Row],[Sales]]&gt;40000,"Best Sales",Table1342[[#This Row],[Sales]]&gt;20000,"Average Sales",Table1342[[#This Row],[Sales]]&gt;0,"Poor Sales")</f>
        <v>Poor Sales</v>
      </c>
      <c r="L288" s="19">
        <f>YEAR(Table1342[[#This Row],[Date]])</f>
        <v>2023</v>
      </c>
      <c r="M288" s="19">
        <f>MONTH(Table1342[[#This Row],[Date]])</f>
        <v>5</v>
      </c>
      <c r="N288" s="19">
        <f>DAY(Table1342[[#This Row],[Date]])</f>
        <v>29</v>
      </c>
      <c r="O288" s="19"/>
      <c r="P288" s="19" t="str">
        <f>TEXT(DATE(2023,Table1342[[#This Row],[MONTH]],1),"mmm")</f>
        <v>May</v>
      </c>
      <c r="Q288" s="19"/>
    </row>
    <row r="289" spans="1:17" x14ac:dyDescent="0.3">
      <c r="A289" s="19">
        <v>288</v>
      </c>
      <c r="B289" s="20">
        <v>45197</v>
      </c>
      <c r="C289" s="19" t="s">
        <v>35</v>
      </c>
      <c r="D289" s="19" t="s">
        <v>36</v>
      </c>
      <c r="E289" s="19" t="s">
        <v>20</v>
      </c>
      <c r="F289" s="19" t="s">
        <v>13</v>
      </c>
      <c r="G289" s="19" t="s">
        <v>21</v>
      </c>
      <c r="H289" s="21">
        <v>33163.33</v>
      </c>
      <c r="I289" s="19">
        <v>10</v>
      </c>
      <c r="J289" s="21">
        <v>7488.7</v>
      </c>
      <c r="K289" s="19" t="str" cm="1">
        <f t="array" ref="K289">_xlfn.IFS(Table1342[[#This Row],[Sales]]&gt;40000,"Best Sales",Table1342[[#This Row],[Sales]]&gt;20000,"Average Sales",Table1342[[#This Row],[Sales]]&gt;0,"Poor Sales")</f>
        <v>Average Sales</v>
      </c>
      <c r="L289" s="19">
        <f>YEAR(Table1342[[#This Row],[Date]])</f>
        <v>2023</v>
      </c>
      <c r="M289" s="19">
        <f>MONTH(Table1342[[#This Row],[Date]])</f>
        <v>9</v>
      </c>
      <c r="N289" s="19">
        <f>DAY(Table1342[[#This Row],[Date]])</f>
        <v>28</v>
      </c>
      <c r="O289" s="19"/>
      <c r="P289" s="19" t="str">
        <f>TEXT(DATE(2023,Table1342[[#This Row],[MONTH]],1),"mmm")</f>
        <v>Sep</v>
      </c>
      <c r="Q289" s="19"/>
    </row>
    <row r="290" spans="1:17" x14ac:dyDescent="0.3">
      <c r="A290" s="19">
        <v>289</v>
      </c>
      <c r="B290" s="20">
        <v>44994</v>
      </c>
      <c r="C290" s="19" t="s">
        <v>10</v>
      </c>
      <c r="D290" s="19" t="s">
        <v>11</v>
      </c>
      <c r="E290" s="19" t="s">
        <v>20</v>
      </c>
      <c r="F290" s="19" t="s">
        <v>31</v>
      </c>
      <c r="G290" s="19" t="s">
        <v>39</v>
      </c>
      <c r="H290" s="21">
        <v>13149.05</v>
      </c>
      <c r="I290" s="19">
        <v>7</v>
      </c>
      <c r="J290" s="21">
        <v>3576.49</v>
      </c>
      <c r="K290" s="19" t="str" cm="1">
        <f t="array" ref="K290">_xlfn.IFS(Table1342[[#This Row],[Sales]]&gt;40000,"Best Sales",Table1342[[#This Row],[Sales]]&gt;20000,"Average Sales",Table1342[[#This Row],[Sales]]&gt;0,"Poor Sales")</f>
        <v>Poor Sales</v>
      </c>
      <c r="L290" s="19">
        <f>YEAR(Table1342[[#This Row],[Date]])</f>
        <v>2023</v>
      </c>
      <c r="M290" s="19">
        <f>MONTH(Table1342[[#This Row],[Date]])</f>
        <v>3</v>
      </c>
      <c r="N290" s="19">
        <f>DAY(Table1342[[#This Row],[Date]])</f>
        <v>9</v>
      </c>
      <c r="O290" s="19"/>
      <c r="P290" s="19" t="str">
        <f>TEXT(DATE(2023,Table1342[[#This Row],[MONTH]],1),"mmm")</f>
        <v>Mar</v>
      </c>
      <c r="Q290" s="19"/>
    </row>
    <row r="291" spans="1:17" x14ac:dyDescent="0.3">
      <c r="A291" s="19">
        <v>290</v>
      </c>
      <c r="B291" s="20">
        <v>44958</v>
      </c>
      <c r="C291" s="19" t="s">
        <v>22</v>
      </c>
      <c r="D291" s="19" t="s">
        <v>22</v>
      </c>
      <c r="E291" s="19" t="s">
        <v>12</v>
      </c>
      <c r="F291" s="19" t="s">
        <v>31</v>
      </c>
      <c r="G291" s="19" t="s">
        <v>32</v>
      </c>
      <c r="H291" s="21">
        <v>34621.160000000003</v>
      </c>
      <c r="I291" s="19">
        <v>3</v>
      </c>
      <c r="J291" s="21">
        <v>7130.72</v>
      </c>
      <c r="K291" s="19" t="str" cm="1">
        <f t="array" ref="K291">_xlfn.IFS(Table1342[[#This Row],[Sales]]&gt;40000,"Best Sales",Table1342[[#This Row],[Sales]]&gt;20000,"Average Sales",Table1342[[#This Row],[Sales]]&gt;0,"Poor Sales")</f>
        <v>Average Sales</v>
      </c>
      <c r="L291" s="19">
        <f>YEAR(Table1342[[#This Row],[Date]])</f>
        <v>2023</v>
      </c>
      <c r="M291" s="19">
        <f>MONTH(Table1342[[#This Row],[Date]])</f>
        <v>2</v>
      </c>
      <c r="N291" s="19">
        <f>DAY(Table1342[[#This Row],[Date]])</f>
        <v>1</v>
      </c>
      <c r="O291" s="19"/>
      <c r="P291" s="19" t="str">
        <f>TEXT(DATE(2023,Table1342[[#This Row],[MONTH]],1),"mmm")</f>
        <v>Feb</v>
      </c>
      <c r="Q291" s="19"/>
    </row>
    <row r="292" spans="1:17" x14ac:dyDescent="0.3">
      <c r="A292" s="19">
        <v>291</v>
      </c>
      <c r="B292" s="20">
        <v>45221</v>
      </c>
      <c r="C292" s="19" t="s">
        <v>10</v>
      </c>
      <c r="D292" s="19" t="s">
        <v>11</v>
      </c>
      <c r="E292" s="19" t="s">
        <v>17</v>
      </c>
      <c r="F292" s="19" t="s">
        <v>24</v>
      </c>
      <c r="G292" s="19" t="s">
        <v>29</v>
      </c>
      <c r="H292" s="21">
        <v>11966.24</v>
      </c>
      <c r="I292" s="19">
        <v>5</v>
      </c>
      <c r="J292" s="21">
        <v>2420.86</v>
      </c>
      <c r="K292" s="19" t="str" cm="1">
        <f t="array" ref="K292">_xlfn.IFS(Table1342[[#This Row],[Sales]]&gt;40000,"Best Sales",Table1342[[#This Row],[Sales]]&gt;20000,"Average Sales",Table1342[[#This Row],[Sales]]&gt;0,"Poor Sales")</f>
        <v>Poor Sales</v>
      </c>
      <c r="L292" s="19">
        <f>YEAR(Table1342[[#This Row],[Date]])</f>
        <v>2023</v>
      </c>
      <c r="M292" s="19">
        <f>MONTH(Table1342[[#This Row],[Date]])</f>
        <v>10</v>
      </c>
      <c r="N292" s="19">
        <f>DAY(Table1342[[#This Row],[Date]])</f>
        <v>22</v>
      </c>
      <c r="O292" s="19"/>
      <c r="P292" s="19" t="str">
        <f>TEXT(DATE(2023,Table1342[[#This Row],[MONTH]],1),"mmm")</f>
        <v>Oct</v>
      </c>
      <c r="Q292" s="19"/>
    </row>
    <row r="293" spans="1:17" x14ac:dyDescent="0.3">
      <c r="A293" s="19">
        <v>292</v>
      </c>
      <c r="B293" s="20">
        <v>44960</v>
      </c>
      <c r="C293" s="19" t="s">
        <v>37</v>
      </c>
      <c r="D293" s="19" t="s">
        <v>27</v>
      </c>
      <c r="E293" s="19" t="s">
        <v>12</v>
      </c>
      <c r="F293" s="19" t="s">
        <v>13</v>
      </c>
      <c r="G293" s="19" t="s">
        <v>34</v>
      </c>
      <c r="H293" s="21">
        <v>20790.45</v>
      </c>
      <c r="I293" s="19">
        <v>10</v>
      </c>
      <c r="J293" s="21">
        <v>2754</v>
      </c>
      <c r="K293" s="19" t="str" cm="1">
        <f t="array" ref="K293">_xlfn.IFS(Table1342[[#This Row],[Sales]]&gt;40000,"Best Sales",Table1342[[#This Row],[Sales]]&gt;20000,"Average Sales",Table1342[[#This Row],[Sales]]&gt;0,"Poor Sales")</f>
        <v>Average Sales</v>
      </c>
      <c r="L293" s="19">
        <f>YEAR(Table1342[[#This Row],[Date]])</f>
        <v>2023</v>
      </c>
      <c r="M293" s="19">
        <f>MONTH(Table1342[[#This Row],[Date]])</f>
        <v>2</v>
      </c>
      <c r="N293" s="19">
        <f>DAY(Table1342[[#This Row],[Date]])</f>
        <v>3</v>
      </c>
      <c r="O293" s="19"/>
      <c r="P293" s="19" t="str">
        <f>TEXT(DATE(2023,Table1342[[#This Row],[MONTH]],1),"mmm")</f>
        <v>Feb</v>
      </c>
      <c r="Q293" s="19"/>
    </row>
    <row r="294" spans="1:17" x14ac:dyDescent="0.3">
      <c r="A294" s="19">
        <v>293</v>
      </c>
      <c r="B294" s="20">
        <v>44982</v>
      </c>
      <c r="C294" s="19" t="s">
        <v>22</v>
      </c>
      <c r="D294" s="19" t="s">
        <v>22</v>
      </c>
      <c r="E294" s="19" t="s">
        <v>17</v>
      </c>
      <c r="F294" s="19" t="s">
        <v>13</v>
      </c>
      <c r="G294" s="19" t="s">
        <v>34</v>
      </c>
      <c r="H294" s="21">
        <v>20312.77</v>
      </c>
      <c r="I294" s="19">
        <v>5</v>
      </c>
      <c r="J294" s="21">
        <v>5618.1</v>
      </c>
      <c r="K294" s="19" t="str" cm="1">
        <f t="array" ref="K294">_xlfn.IFS(Table1342[[#This Row],[Sales]]&gt;40000,"Best Sales",Table1342[[#This Row],[Sales]]&gt;20000,"Average Sales",Table1342[[#This Row],[Sales]]&gt;0,"Poor Sales")</f>
        <v>Average Sales</v>
      </c>
      <c r="L294" s="19">
        <f>YEAR(Table1342[[#This Row],[Date]])</f>
        <v>2023</v>
      </c>
      <c r="M294" s="19">
        <f>MONTH(Table1342[[#This Row],[Date]])</f>
        <v>2</v>
      </c>
      <c r="N294" s="19">
        <f>DAY(Table1342[[#This Row],[Date]])</f>
        <v>25</v>
      </c>
      <c r="O294" s="19"/>
      <c r="P294" s="19" t="str">
        <f>TEXT(DATE(2023,Table1342[[#This Row],[MONTH]],1),"mmm")</f>
        <v>Feb</v>
      </c>
      <c r="Q294" s="19"/>
    </row>
    <row r="295" spans="1:17" x14ac:dyDescent="0.3">
      <c r="A295" s="19">
        <v>294</v>
      </c>
      <c r="B295" s="20">
        <v>44982</v>
      </c>
      <c r="C295" s="19" t="s">
        <v>15</v>
      </c>
      <c r="D295" s="19" t="s">
        <v>16</v>
      </c>
      <c r="E295" s="19" t="s">
        <v>20</v>
      </c>
      <c r="F295" s="19" t="s">
        <v>24</v>
      </c>
      <c r="G295" s="19" t="s">
        <v>25</v>
      </c>
      <c r="H295" s="21">
        <v>39381.9</v>
      </c>
      <c r="I295" s="19">
        <v>10</v>
      </c>
      <c r="J295" s="21">
        <v>7457.7</v>
      </c>
      <c r="K295" s="19" t="str" cm="1">
        <f t="array" ref="K295">_xlfn.IFS(Table1342[[#This Row],[Sales]]&gt;40000,"Best Sales",Table1342[[#This Row],[Sales]]&gt;20000,"Average Sales",Table1342[[#This Row],[Sales]]&gt;0,"Poor Sales")</f>
        <v>Average Sales</v>
      </c>
      <c r="L295" s="19">
        <f>YEAR(Table1342[[#This Row],[Date]])</f>
        <v>2023</v>
      </c>
      <c r="M295" s="19">
        <f>MONTH(Table1342[[#This Row],[Date]])</f>
        <v>2</v>
      </c>
      <c r="N295" s="19">
        <f>DAY(Table1342[[#This Row],[Date]])</f>
        <v>25</v>
      </c>
      <c r="O295" s="19"/>
      <c r="P295" s="19" t="str">
        <f>TEXT(DATE(2023,Table1342[[#This Row],[MONTH]],1),"mmm")</f>
        <v>Feb</v>
      </c>
      <c r="Q295" s="19"/>
    </row>
    <row r="296" spans="1:17" x14ac:dyDescent="0.3">
      <c r="A296" s="19">
        <v>295</v>
      </c>
      <c r="B296" s="20">
        <v>45286</v>
      </c>
      <c r="C296" s="19" t="s">
        <v>15</v>
      </c>
      <c r="D296" s="19" t="s">
        <v>16</v>
      </c>
      <c r="E296" s="19" t="s">
        <v>20</v>
      </c>
      <c r="F296" s="19" t="s">
        <v>24</v>
      </c>
      <c r="G296" s="19" t="s">
        <v>25</v>
      </c>
      <c r="H296" s="21">
        <v>32040.32</v>
      </c>
      <c r="I296" s="19">
        <v>10</v>
      </c>
      <c r="J296" s="21">
        <v>7617.08</v>
      </c>
      <c r="K296" s="19" t="str" cm="1">
        <f t="array" ref="K296">_xlfn.IFS(Table1342[[#This Row],[Sales]]&gt;40000,"Best Sales",Table1342[[#This Row],[Sales]]&gt;20000,"Average Sales",Table1342[[#This Row],[Sales]]&gt;0,"Poor Sales")</f>
        <v>Average Sales</v>
      </c>
      <c r="L296" s="19">
        <f>YEAR(Table1342[[#This Row],[Date]])</f>
        <v>2023</v>
      </c>
      <c r="M296" s="19">
        <f>MONTH(Table1342[[#This Row],[Date]])</f>
        <v>12</v>
      </c>
      <c r="N296" s="19">
        <f>DAY(Table1342[[#This Row],[Date]])</f>
        <v>26</v>
      </c>
      <c r="O296" s="19"/>
      <c r="P296" s="19" t="str">
        <f>TEXT(DATE(2023,Table1342[[#This Row],[MONTH]],1),"mmm")</f>
        <v>Dec</v>
      </c>
      <c r="Q296" s="19"/>
    </row>
    <row r="297" spans="1:17" x14ac:dyDescent="0.3">
      <c r="A297" s="19">
        <v>296</v>
      </c>
      <c r="B297" s="20">
        <v>45200</v>
      </c>
      <c r="C297" s="19" t="s">
        <v>30</v>
      </c>
      <c r="D297" s="19" t="s">
        <v>16</v>
      </c>
      <c r="E297" s="19" t="s">
        <v>12</v>
      </c>
      <c r="F297" s="19" t="s">
        <v>24</v>
      </c>
      <c r="G297" s="19" t="s">
        <v>25</v>
      </c>
      <c r="H297" s="21">
        <v>9943.7099999999991</v>
      </c>
      <c r="I297" s="19">
        <v>2</v>
      </c>
      <c r="J297" s="21">
        <v>1663.61</v>
      </c>
      <c r="K297" s="19" t="str" cm="1">
        <f t="array" ref="K297">_xlfn.IFS(Table1342[[#This Row],[Sales]]&gt;40000,"Best Sales",Table1342[[#This Row],[Sales]]&gt;20000,"Average Sales",Table1342[[#This Row],[Sales]]&gt;0,"Poor Sales")</f>
        <v>Poor Sales</v>
      </c>
      <c r="L297" s="19">
        <f>YEAR(Table1342[[#This Row],[Date]])</f>
        <v>2023</v>
      </c>
      <c r="M297" s="19">
        <f>MONTH(Table1342[[#This Row],[Date]])</f>
        <v>10</v>
      </c>
      <c r="N297" s="19">
        <f>DAY(Table1342[[#This Row],[Date]])</f>
        <v>1</v>
      </c>
      <c r="O297" s="19"/>
      <c r="P297" s="19" t="str">
        <f>TEXT(DATE(2023,Table1342[[#This Row],[MONTH]],1),"mmm")</f>
        <v>Oct</v>
      </c>
      <c r="Q297" s="19"/>
    </row>
    <row r="298" spans="1:17" x14ac:dyDescent="0.3">
      <c r="A298" s="19">
        <v>297</v>
      </c>
      <c r="B298" s="20">
        <v>45141</v>
      </c>
      <c r="C298" s="19" t="s">
        <v>35</v>
      </c>
      <c r="D298" s="19" t="s">
        <v>36</v>
      </c>
      <c r="E298" s="19" t="s">
        <v>17</v>
      </c>
      <c r="F298" s="19" t="s">
        <v>24</v>
      </c>
      <c r="G298" s="19" t="s">
        <v>28</v>
      </c>
      <c r="H298" s="21">
        <v>44799.3</v>
      </c>
      <c r="I298" s="19">
        <v>10</v>
      </c>
      <c r="J298" s="21">
        <v>5560.78</v>
      </c>
      <c r="K298" s="19" t="str" cm="1">
        <f t="array" ref="K298">_xlfn.IFS(Table1342[[#This Row],[Sales]]&gt;40000,"Best Sales",Table1342[[#This Row],[Sales]]&gt;20000,"Average Sales",Table1342[[#This Row],[Sales]]&gt;0,"Poor Sales")</f>
        <v>Best Sales</v>
      </c>
      <c r="L298" s="19">
        <f>YEAR(Table1342[[#This Row],[Date]])</f>
        <v>2023</v>
      </c>
      <c r="M298" s="19">
        <f>MONTH(Table1342[[#This Row],[Date]])</f>
        <v>8</v>
      </c>
      <c r="N298" s="19">
        <f>DAY(Table1342[[#This Row],[Date]])</f>
        <v>3</v>
      </c>
      <c r="O298" s="19"/>
      <c r="P298" s="19" t="str">
        <f>TEXT(DATE(2023,Table1342[[#This Row],[MONTH]],1),"mmm")</f>
        <v>Aug</v>
      </c>
      <c r="Q298" s="19"/>
    </row>
    <row r="299" spans="1:17" x14ac:dyDescent="0.3">
      <c r="A299" s="19">
        <v>298</v>
      </c>
      <c r="B299" s="20">
        <v>45109</v>
      </c>
      <c r="C299" s="19" t="s">
        <v>26</v>
      </c>
      <c r="D299" s="19" t="s">
        <v>27</v>
      </c>
      <c r="E299" s="19" t="s">
        <v>12</v>
      </c>
      <c r="F299" s="19" t="s">
        <v>24</v>
      </c>
      <c r="G299" s="19" t="s">
        <v>28</v>
      </c>
      <c r="H299" s="21">
        <v>30482.42</v>
      </c>
      <c r="I299" s="19">
        <v>8</v>
      </c>
      <c r="J299" s="21">
        <v>4421.99</v>
      </c>
      <c r="K299" s="19" t="str" cm="1">
        <f t="array" ref="K299">_xlfn.IFS(Table1342[[#This Row],[Sales]]&gt;40000,"Best Sales",Table1342[[#This Row],[Sales]]&gt;20000,"Average Sales",Table1342[[#This Row],[Sales]]&gt;0,"Poor Sales")</f>
        <v>Average Sales</v>
      </c>
      <c r="L299" s="19">
        <f>YEAR(Table1342[[#This Row],[Date]])</f>
        <v>2023</v>
      </c>
      <c r="M299" s="19">
        <f>MONTH(Table1342[[#This Row],[Date]])</f>
        <v>7</v>
      </c>
      <c r="N299" s="19">
        <f>DAY(Table1342[[#This Row],[Date]])</f>
        <v>2</v>
      </c>
      <c r="O299" s="19"/>
      <c r="P299" s="19" t="str">
        <f>TEXT(DATE(2023,Table1342[[#This Row],[MONTH]],1),"mmm")</f>
        <v>Jul</v>
      </c>
      <c r="Q299" s="19"/>
    </row>
    <row r="300" spans="1:17" x14ac:dyDescent="0.3">
      <c r="A300" s="19">
        <v>299</v>
      </c>
      <c r="B300" s="20">
        <v>45065</v>
      </c>
      <c r="C300" s="19" t="s">
        <v>37</v>
      </c>
      <c r="D300" s="19" t="s">
        <v>27</v>
      </c>
      <c r="E300" s="19" t="s">
        <v>17</v>
      </c>
      <c r="F300" s="19" t="s">
        <v>31</v>
      </c>
      <c r="G300" s="19" t="s">
        <v>39</v>
      </c>
      <c r="H300" s="21">
        <v>46018.66</v>
      </c>
      <c r="I300" s="19">
        <v>4</v>
      </c>
      <c r="J300" s="21">
        <v>11286.35</v>
      </c>
      <c r="K300" s="19" t="str" cm="1">
        <f t="array" ref="K300">_xlfn.IFS(Table1342[[#This Row],[Sales]]&gt;40000,"Best Sales",Table1342[[#This Row],[Sales]]&gt;20000,"Average Sales",Table1342[[#This Row],[Sales]]&gt;0,"Poor Sales")</f>
        <v>Best Sales</v>
      </c>
      <c r="L300" s="19">
        <f>YEAR(Table1342[[#This Row],[Date]])</f>
        <v>2023</v>
      </c>
      <c r="M300" s="19">
        <f>MONTH(Table1342[[#This Row],[Date]])</f>
        <v>5</v>
      </c>
      <c r="N300" s="19">
        <f>DAY(Table1342[[#This Row],[Date]])</f>
        <v>19</v>
      </c>
      <c r="O300" s="19"/>
      <c r="P300" s="19" t="str">
        <f>TEXT(DATE(2023,Table1342[[#This Row],[MONTH]],1),"mmm")</f>
        <v>May</v>
      </c>
      <c r="Q300" s="19"/>
    </row>
    <row r="301" spans="1:17" x14ac:dyDescent="0.3">
      <c r="A301" s="19">
        <v>300</v>
      </c>
      <c r="B301" s="20">
        <v>44947</v>
      </c>
      <c r="C301" s="19" t="s">
        <v>30</v>
      </c>
      <c r="D301" s="19" t="s">
        <v>16</v>
      </c>
      <c r="E301" s="19" t="s">
        <v>20</v>
      </c>
      <c r="F301" s="19" t="s">
        <v>13</v>
      </c>
      <c r="G301" s="19" t="s">
        <v>21</v>
      </c>
      <c r="H301" s="21">
        <v>45604.85</v>
      </c>
      <c r="I301" s="19">
        <v>4</v>
      </c>
      <c r="J301" s="21">
        <v>10780.42</v>
      </c>
      <c r="K301" s="19" t="str" cm="1">
        <f t="array" ref="K301">_xlfn.IFS(Table1342[[#This Row],[Sales]]&gt;40000,"Best Sales",Table1342[[#This Row],[Sales]]&gt;20000,"Average Sales",Table1342[[#This Row],[Sales]]&gt;0,"Poor Sales")</f>
        <v>Best Sales</v>
      </c>
      <c r="L301" s="19">
        <f>YEAR(Table1342[[#This Row],[Date]])</f>
        <v>2023</v>
      </c>
      <c r="M301" s="19">
        <f>MONTH(Table1342[[#This Row],[Date]])</f>
        <v>1</v>
      </c>
      <c r="N301" s="19">
        <f>DAY(Table1342[[#This Row],[Date]])</f>
        <v>21</v>
      </c>
      <c r="O301" s="19"/>
      <c r="P301" s="19" t="str">
        <f>TEXT(DATE(2023,Table1342[[#This Row],[MONTH]],1),"mmm")</f>
        <v>Jan</v>
      </c>
      <c r="Q301" s="19"/>
    </row>
    <row r="302" spans="1:17" x14ac:dyDescent="0.3">
      <c r="A302" s="19">
        <v>301</v>
      </c>
      <c r="B302" s="20">
        <v>45205</v>
      </c>
      <c r="C302" s="19" t="s">
        <v>10</v>
      </c>
      <c r="D302" s="19" t="s">
        <v>11</v>
      </c>
      <c r="E302" s="19" t="s">
        <v>20</v>
      </c>
      <c r="F302" s="19" t="s">
        <v>24</v>
      </c>
      <c r="G302" s="19" t="s">
        <v>29</v>
      </c>
      <c r="H302" s="21">
        <v>10568</v>
      </c>
      <c r="I302" s="19">
        <v>9</v>
      </c>
      <c r="J302" s="21">
        <v>1896.29</v>
      </c>
      <c r="K302" s="19" t="str" cm="1">
        <f t="array" ref="K302">_xlfn.IFS(Table1342[[#This Row],[Sales]]&gt;40000,"Best Sales",Table1342[[#This Row],[Sales]]&gt;20000,"Average Sales",Table1342[[#This Row],[Sales]]&gt;0,"Poor Sales")</f>
        <v>Poor Sales</v>
      </c>
      <c r="L302" s="19">
        <f>YEAR(Table1342[[#This Row],[Date]])</f>
        <v>2023</v>
      </c>
      <c r="M302" s="19">
        <f>MONTH(Table1342[[#This Row],[Date]])</f>
        <v>10</v>
      </c>
      <c r="N302" s="19">
        <f>DAY(Table1342[[#This Row],[Date]])</f>
        <v>6</v>
      </c>
      <c r="O302" s="19"/>
      <c r="P302" s="19" t="str">
        <f>TEXT(DATE(2023,Table1342[[#This Row],[MONTH]],1),"mmm")</f>
        <v>Oct</v>
      </c>
      <c r="Q302" s="19"/>
    </row>
    <row r="303" spans="1:17" x14ac:dyDescent="0.3">
      <c r="A303" s="19">
        <v>302</v>
      </c>
      <c r="B303" s="20">
        <v>45020</v>
      </c>
      <c r="C303" s="19" t="s">
        <v>30</v>
      </c>
      <c r="D303" s="19" t="s">
        <v>16</v>
      </c>
      <c r="E303" s="19" t="s">
        <v>12</v>
      </c>
      <c r="F303" s="19" t="s">
        <v>24</v>
      </c>
      <c r="G303" s="19" t="s">
        <v>29</v>
      </c>
      <c r="H303" s="21">
        <v>36013.07</v>
      </c>
      <c r="I303" s="19">
        <v>7</v>
      </c>
      <c r="J303" s="21">
        <v>2887.26</v>
      </c>
      <c r="K303" s="19" t="str" cm="1">
        <f t="array" ref="K303">_xlfn.IFS(Table1342[[#This Row],[Sales]]&gt;40000,"Best Sales",Table1342[[#This Row],[Sales]]&gt;20000,"Average Sales",Table1342[[#This Row],[Sales]]&gt;0,"Poor Sales")</f>
        <v>Average Sales</v>
      </c>
      <c r="L303" s="19">
        <f>YEAR(Table1342[[#This Row],[Date]])</f>
        <v>2023</v>
      </c>
      <c r="M303" s="19">
        <f>MONTH(Table1342[[#This Row],[Date]])</f>
        <v>4</v>
      </c>
      <c r="N303" s="19">
        <f>DAY(Table1342[[#This Row],[Date]])</f>
        <v>4</v>
      </c>
      <c r="O303" s="19"/>
      <c r="P303" s="19" t="str">
        <f>TEXT(DATE(2023,Table1342[[#This Row],[MONTH]],1),"mmm")</f>
        <v>Apr</v>
      </c>
      <c r="Q303" s="19"/>
    </row>
    <row r="304" spans="1:17" x14ac:dyDescent="0.3">
      <c r="A304" s="19">
        <v>303</v>
      </c>
      <c r="B304" s="20">
        <v>44950</v>
      </c>
      <c r="C304" s="19" t="s">
        <v>22</v>
      </c>
      <c r="D304" s="19" t="s">
        <v>22</v>
      </c>
      <c r="E304" s="19" t="s">
        <v>17</v>
      </c>
      <c r="F304" s="19" t="s">
        <v>24</v>
      </c>
      <c r="G304" s="19" t="s">
        <v>28</v>
      </c>
      <c r="H304" s="21">
        <v>8545.89</v>
      </c>
      <c r="I304" s="19">
        <v>8</v>
      </c>
      <c r="J304" s="21">
        <v>998.97</v>
      </c>
      <c r="K304" s="19" t="str" cm="1">
        <f t="array" ref="K304">_xlfn.IFS(Table1342[[#This Row],[Sales]]&gt;40000,"Best Sales",Table1342[[#This Row],[Sales]]&gt;20000,"Average Sales",Table1342[[#This Row],[Sales]]&gt;0,"Poor Sales")</f>
        <v>Poor Sales</v>
      </c>
      <c r="L304" s="19">
        <f>YEAR(Table1342[[#This Row],[Date]])</f>
        <v>2023</v>
      </c>
      <c r="M304" s="19">
        <f>MONTH(Table1342[[#This Row],[Date]])</f>
        <v>1</v>
      </c>
      <c r="N304" s="19">
        <f>DAY(Table1342[[#This Row],[Date]])</f>
        <v>24</v>
      </c>
      <c r="O304" s="19"/>
      <c r="P304" s="19" t="str">
        <f>TEXT(DATE(2023,Table1342[[#This Row],[MONTH]],1),"mmm")</f>
        <v>Jan</v>
      </c>
      <c r="Q304" s="19"/>
    </row>
    <row r="305" spans="1:17" x14ac:dyDescent="0.3">
      <c r="A305" s="19">
        <v>304</v>
      </c>
      <c r="B305" s="20">
        <v>44976</v>
      </c>
      <c r="C305" s="19" t="s">
        <v>22</v>
      </c>
      <c r="D305" s="19" t="s">
        <v>22</v>
      </c>
      <c r="E305" s="19" t="s">
        <v>12</v>
      </c>
      <c r="F305" s="19" t="s">
        <v>24</v>
      </c>
      <c r="G305" s="19" t="s">
        <v>29</v>
      </c>
      <c r="H305" s="21">
        <v>46736.67</v>
      </c>
      <c r="I305" s="19">
        <v>5</v>
      </c>
      <c r="J305" s="21">
        <v>4010.98</v>
      </c>
      <c r="K305" s="19" t="str" cm="1">
        <f t="array" ref="K305">_xlfn.IFS(Table1342[[#This Row],[Sales]]&gt;40000,"Best Sales",Table1342[[#This Row],[Sales]]&gt;20000,"Average Sales",Table1342[[#This Row],[Sales]]&gt;0,"Poor Sales")</f>
        <v>Best Sales</v>
      </c>
      <c r="L305" s="19">
        <f>YEAR(Table1342[[#This Row],[Date]])</f>
        <v>2023</v>
      </c>
      <c r="M305" s="19">
        <f>MONTH(Table1342[[#This Row],[Date]])</f>
        <v>2</v>
      </c>
      <c r="N305" s="19">
        <f>DAY(Table1342[[#This Row],[Date]])</f>
        <v>19</v>
      </c>
      <c r="O305" s="19"/>
      <c r="P305" s="19" t="str">
        <f>TEXT(DATE(2023,Table1342[[#This Row],[MONTH]],1),"mmm")</f>
        <v>Feb</v>
      </c>
      <c r="Q305" s="19"/>
    </row>
    <row r="306" spans="1:17" x14ac:dyDescent="0.3">
      <c r="A306" s="19">
        <v>305</v>
      </c>
      <c r="B306" s="20">
        <v>45221</v>
      </c>
      <c r="C306" s="19" t="s">
        <v>38</v>
      </c>
      <c r="D306" s="19" t="s">
        <v>27</v>
      </c>
      <c r="E306" s="19" t="s">
        <v>17</v>
      </c>
      <c r="F306" s="19" t="s">
        <v>31</v>
      </c>
      <c r="G306" s="19" t="s">
        <v>39</v>
      </c>
      <c r="H306" s="21">
        <v>42026.12</v>
      </c>
      <c r="I306" s="19">
        <v>5</v>
      </c>
      <c r="J306" s="21">
        <v>7474.37</v>
      </c>
      <c r="K306" s="19" t="str" cm="1">
        <f t="array" ref="K306">_xlfn.IFS(Table1342[[#This Row],[Sales]]&gt;40000,"Best Sales",Table1342[[#This Row],[Sales]]&gt;20000,"Average Sales",Table1342[[#This Row],[Sales]]&gt;0,"Poor Sales")</f>
        <v>Best Sales</v>
      </c>
      <c r="L306" s="19">
        <f>YEAR(Table1342[[#This Row],[Date]])</f>
        <v>2023</v>
      </c>
      <c r="M306" s="19">
        <f>MONTH(Table1342[[#This Row],[Date]])</f>
        <v>10</v>
      </c>
      <c r="N306" s="19">
        <f>DAY(Table1342[[#This Row],[Date]])</f>
        <v>22</v>
      </c>
      <c r="O306" s="19"/>
      <c r="P306" s="19" t="str">
        <f>TEXT(DATE(2023,Table1342[[#This Row],[MONTH]],1),"mmm")</f>
        <v>Oct</v>
      </c>
      <c r="Q306" s="19"/>
    </row>
    <row r="307" spans="1:17" x14ac:dyDescent="0.3">
      <c r="A307" s="19">
        <v>306</v>
      </c>
      <c r="B307" s="20">
        <v>45115</v>
      </c>
      <c r="C307" s="19" t="s">
        <v>26</v>
      </c>
      <c r="D307" s="19" t="s">
        <v>27</v>
      </c>
      <c r="E307" s="19" t="s">
        <v>20</v>
      </c>
      <c r="F307" s="19" t="s">
        <v>31</v>
      </c>
      <c r="G307" s="19" t="s">
        <v>32</v>
      </c>
      <c r="H307" s="21">
        <v>31540.15</v>
      </c>
      <c r="I307" s="19">
        <v>8</v>
      </c>
      <c r="J307" s="21">
        <v>4128.9799999999996</v>
      </c>
      <c r="K307" s="19" t="str" cm="1">
        <f t="array" ref="K307">_xlfn.IFS(Table1342[[#This Row],[Sales]]&gt;40000,"Best Sales",Table1342[[#This Row],[Sales]]&gt;20000,"Average Sales",Table1342[[#This Row],[Sales]]&gt;0,"Poor Sales")</f>
        <v>Average Sales</v>
      </c>
      <c r="L307" s="19">
        <f>YEAR(Table1342[[#This Row],[Date]])</f>
        <v>2023</v>
      </c>
      <c r="M307" s="19">
        <f>MONTH(Table1342[[#This Row],[Date]])</f>
        <v>7</v>
      </c>
      <c r="N307" s="19">
        <f>DAY(Table1342[[#This Row],[Date]])</f>
        <v>8</v>
      </c>
      <c r="O307" s="19"/>
      <c r="P307" s="19" t="str">
        <f>TEXT(DATE(2023,Table1342[[#This Row],[MONTH]],1),"mmm")</f>
        <v>Jul</v>
      </c>
      <c r="Q307" s="19"/>
    </row>
    <row r="308" spans="1:17" x14ac:dyDescent="0.3">
      <c r="A308" s="19">
        <v>307</v>
      </c>
      <c r="B308" s="20">
        <v>45135</v>
      </c>
      <c r="C308" s="19" t="s">
        <v>18</v>
      </c>
      <c r="D308" s="19" t="s">
        <v>19</v>
      </c>
      <c r="E308" s="19" t="s">
        <v>20</v>
      </c>
      <c r="F308" s="19" t="s">
        <v>24</v>
      </c>
      <c r="G308" s="19" t="s">
        <v>25</v>
      </c>
      <c r="H308" s="21">
        <v>29281.72</v>
      </c>
      <c r="I308" s="19">
        <v>10</v>
      </c>
      <c r="J308" s="21">
        <v>2759</v>
      </c>
      <c r="K308" s="19" t="str" cm="1">
        <f t="array" ref="K308">_xlfn.IFS(Table1342[[#This Row],[Sales]]&gt;40000,"Best Sales",Table1342[[#This Row],[Sales]]&gt;20000,"Average Sales",Table1342[[#This Row],[Sales]]&gt;0,"Poor Sales")</f>
        <v>Average Sales</v>
      </c>
      <c r="L308" s="19">
        <f>YEAR(Table1342[[#This Row],[Date]])</f>
        <v>2023</v>
      </c>
      <c r="M308" s="19">
        <f>MONTH(Table1342[[#This Row],[Date]])</f>
        <v>7</v>
      </c>
      <c r="N308" s="19">
        <f>DAY(Table1342[[#This Row],[Date]])</f>
        <v>28</v>
      </c>
      <c r="O308" s="19"/>
      <c r="P308" s="19" t="str">
        <f>TEXT(DATE(2023,Table1342[[#This Row],[MONTH]],1),"mmm")</f>
        <v>Jul</v>
      </c>
      <c r="Q308" s="19"/>
    </row>
    <row r="309" spans="1:17" x14ac:dyDescent="0.3">
      <c r="A309" s="19">
        <v>308</v>
      </c>
      <c r="B309" s="20">
        <v>44974</v>
      </c>
      <c r="C309" s="19" t="s">
        <v>38</v>
      </c>
      <c r="D309" s="19" t="s">
        <v>27</v>
      </c>
      <c r="E309" s="19" t="s">
        <v>12</v>
      </c>
      <c r="F309" s="19" t="s">
        <v>31</v>
      </c>
      <c r="G309" s="19" t="s">
        <v>33</v>
      </c>
      <c r="H309" s="21">
        <v>23981.49</v>
      </c>
      <c r="I309" s="19">
        <v>2</v>
      </c>
      <c r="J309" s="21">
        <v>5193.12</v>
      </c>
      <c r="K309" s="19" t="str" cm="1">
        <f t="array" ref="K309">_xlfn.IFS(Table1342[[#This Row],[Sales]]&gt;40000,"Best Sales",Table1342[[#This Row],[Sales]]&gt;20000,"Average Sales",Table1342[[#This Row],[Sales]]&gt;0,"Poor Sales")</f>
        <v>Average Sales</v>
      </c>
      <c r="L309" s="19">
        <f>YEAR(Table1342[[#This Row],[Date]])</f>
        <v>2023</v>
      </c>
      <c r="M309" s="19">
        <f>MONTH(Table1342[[#This Row],[Date]])</f>
        <v>2</v>
      </c>
      <c r="N309" s="19">
        <f>DAY(Table1342[[#This Row],[Date]])</f>
        <v>17</v>
      </c>
      <c r="O309" s="19"/>
      <c r="P309" s="19" t="str">
        <f>TEXT(DATE(2023,Table1342[[#This Row],[MONTH]],1),"mmm")</f>
        <v>Feb</v>
      </c>
      <c r="Q309" s="19"/>
    </row>
    <row r="310" spans="1:17" x14ac:dyDescent="0.3">
      <c r="A310" s="19">
        <v>309</v>
      </c>
      <c r="B310" s="20">
        <v>45086</v>
      </c>
      <c r="C310" s="19" t="s">
        <v>37</v>
      </c>
      <c r="D310" s="19" t="s">
        <v>27</v>
      </c>
      <c r="E310" s="19" t="s">
        <v>17</v>
      </c>
      <c r="F310" s="19" t="s">
        <v>24</v>
      </c>
      <c r="G310" s="19" t="s">
        <v>25</v>
      </c>
      <c r="H310" s="21">
        <v>11039.74</v>
      </c>
      <c r="I310" s="19">
        <v>6</v>
      </c>
      <c r="J310" s="21">
        <v>642.16999999999996</v>
      </c>
      <c r="K310" s="19" t="str" cm="1">
        <f t="array" ref="K310">_xlfn.IFS(Table1342[[#This Row],[Sales]]&gt;40000,"Best Sales",Table1342[[#This Row],[Sales]]&gt;20000,"Average Sales",Table1342[[#This Row],[Sales]]&gt;0,"Poor Sales")</f>
        <v>Poor Sales</v>
      </c>
      <c r="L310" s="19">
        <f>YEAR(Table1342[[#This Row],[Date]])</f>
        <v>2023</v>
      </c>
      <c r="M310" s="19">
        <f>MONTH(Table1342[[#This Row],[Date]])</f>
        <v>6</v>
      </c>
      <c r="N310" s="19">
        <f>DAY(Table1342[[#This Row],[Date]])</f>
        <v>9</v>
      </c>
      <c r="O310" s="19"/>
      <c r="P310" s="19" t="str">
        <f>TEXT(DATE(2023,Table1342[[#This Row],[MONTH]],1),"mmm")</f>
        <v>Jun</v>
      </c>
      <c r="Q310" s="19"/>
    </row>
    <row r="311" spans="1:17" x14ac:dyDescent="0.3">
      <c r="A311" s="19">
        <v>310</v>
      </c>
      <c r="B311" s="20">
        <v>44967</v>
      </c>
      <c r="C311" s="19" t="s">
        <v>35</v>
      </c>
      <c r="D311" s="19" t="s">
        <v>36</v>
      </c>
      <c r="E311" s="19" t="s">
        <v>12</v>
      </c>
      <c r="F311" s="19" t="s">
        <v>13</v>
      </c>
      <c r="G311" s="19" t="s">
        <v>21</v>
      </c>
      <c r="H311" s="21">
        <v>24072.58</v>
      </c>
      <c r="I311" s="19">
        <v>2</v>
      </c>
      <c r="J311" s="21">
        <v>4237.45</v>
      </c>
      <c r="K311" s="19" t="str" cm="1">
        <f t="array" ref="K311">_xlfn.IFS(Table1342[[#This Row],[Sales]]&gt;40000,"Best Sales",Table1342[[#This Row],[Sales]]&gt;20000,"Average Sales",Table1342[[#This Row],[Sales]]&gt;0,"Poor Sales")</f>
        <v>Average Sales</v>
      </c>
      <c r="L311" s="19">
        <f>YEAR(Table1342[[#This Row],[Date]])</f>
        <v>2023</v>
      </c>
      <c r="M311" s="19">
        <f>MONTH(Table1342[[#This Row],[Date]])</f>
        <v>2</v>
      </c>
      <c r="N311" s="19">
        <f>DAY(Table1342[[#This Row],[Date]])</f>
        <v>10</v>
      </c>
      <c r="O311" s="19"/>
      <c r="P311" s="19" t="str">
        <f>TEXT(DATE(2023,Table1342[[#This Row],[MONTH]],1),"mmm")</f>
        <v>Feb</v>
      </c>
      <c r="Q311" s="19"/>
    </row>
    <row r="312" spans="1:17" x14ac:dyDescent="0.3">
      <c r="A312" s="19">
        <v>311</v>
      </c>
      <c r="B312" s="20">
        <v>44969</v>
      </c>
      <c r="C312" s="19" t="s">
        <v>15</v>
      </c>
      <c r="D312" s="19" t="s">
        <v>16</v>
      </c>
      <c r="E312" s="19" t="s">
        <v>17</v>
      </c>
      <c r="F312" s="19" t="s">
        <v>31</v>
      </c>
      <c r="G312" s="19" t="s">
        <v>39</v>
      </c>
      <c r="H312" s="21">
        <v>48043.43</v>
      </c>
      <c r="I312" s="19">
        <v>6</v>
      </c>
      <c r="J312" s="21">
        <v>6191.26</v>
      </c>
      <c r="K312" s="19" t="str" cm="1">
        <f t="array" ref="K312">_xlfn.IFS(Table1342[[#This Row],[Sales]]&gt;40000,"Best Sales",Table1342[[#This Row],[Sales]]&gt;20000,"Average Sales",Table1342[[#This Row],[Sales]]&gt;0,"Poor Sales")</f>
        <v>Best Sales</v>
      </c>
      <c r="L312" s="19">
        <f>YEAR(Table1342[[#This Row],[Date]])</f>
        <v>2023</v>
      </c>
      <c r="M312" s="19">
        <f>MONTH(Table1342[[#This Row],[Date]])</f>
        <v>2</v>
      </c>
      <c r="N312" s="19">
        <f>DAY(Table1342[[#This Row],[Date]])</f>
        <v>12</v>
      </c>
      <c r="O312" s="19"/>
      <c r="P312" s="19" t="str">
        <f>TEXT(DATE(2023,Table1342[[#This Row],[MONTH]],1),"mmm")</f>
        <v>Feb</v>
      </c>
      <c r="Q312" s="19"/>
    </row>
    <row r="313" spans="1:17" x14ac:dyDescent="0.3">
      <c r="A313" s="19">
        <v>312</v>
      </c>
      <c r="B313" s="20">
        <v>44999</v>
      </c>
      <c r="C313" s="19" t="s">
        <v>38</v>
      </c>
      <c r="D313" s="19" t="s">
        <v>27</v>
      </c>
      <c r="E313" s="19" t="s">
        <v>20</v>
      </c>
      <c r="F313" s="19" t="s">
        <v>24</v>
      </c>
      <c r="G313" s="19" t="s">
        <v>25</v>
      </c>
      <c r="H313" s="21">
        <v>45172.53</v>
      </c>
      <c r="I313" s="19">
        <v>6</v>
      </c>
      <c r="J313" s="21">
        <v>3057.46</v>
      </c>
      <c r="K313" s="19" t="str" cm="1">
        <f t="array" ref="K313">_xlfn.IFS(Table1342[[#This Row],[Sales]]&gt;40000,"Best Sales",Table1342[[#This Row],[Sales]]&gt;20000,"Average Sales",Table1342[[#This Row],[Sales]]&gt;0,"Poor Sales")</f>
        <v>Best Sales</v>
      </c>
      <c r="L313" s="19">
        <f>YEAR(Table1342[[#This Row],[Date]])</f>
        <v>2023</v>
      </c>
      <c r="M313" s="19">
        <f>MONTH(Table1342[[#This Row],[Date]])</f>
        <v>3</v>
      </c>
      <c r="N313" s="19">
        <f>DAY(Table1342[[#This Row],[Date]])</f>
        <v>14</v>
      </c>
      <c r="O313" s="19"/>
      <c r="P313" s="19" t="str">
        <f>TEXT(DATE(2023,Table1342[[#This Row],[MONTH]],1),"mmm")</f>
        <v>Mar</v>
      </c>
      <c r="Q313" s="19"/>
    </row>
    <row r="314" spans="1:17" x14ac:dyDescent="0.3">
      <c r="A314" s="19">
        <v>313</v>
      </c>
      <c r="B314" s="20">
        <v>45150</v>
      </c>
      <c r="C314" s="19" t="s">
        <v>26</v>
      </c>
      <c r="D314" s="19" t="s">
        <v>27</v>
      </c>
      <c r="E314" s="19" t="s">
        <v>20</v>
      </c>
      <c r="F314" s="19" t="s">
        <v>31</v>
      </c>
      <c r="G314" s="19" t="s">
        <v>33</v>
      </c>
      <c r="H314" s="21">
        <v>36425.279999999999</v>
      </c>
      <c r="I314" s="19">
        <v>2</v>
      </c>
      <c r="J314" s="21">
        <v>2652.3</v>
      </c>
      <c r="K314" s="19" t="str" cm="1">
        <f t="array" ref="K314">_xlfn.IFS(Table1342[[#This Row],[Sales]]&gt;40000,"Best Sales",Table1342[[#This Row],[Sales]]&gt;20000,"Average Sales",Table1342[[#This Row],[Sales]]&gt;0,"Poor Sales")</f>
        <v>Average Sales</v>
      </c>
      <c r="L314" s="19">
        <f>YEAR(Table1342[[#This Row],[Date]])</f>
        <v>2023</v>
      </c>
      <c r="M314" s="19">
        <f>MONTH(Table1342[[#This Row],[Date]])</f>
        <v>8</v>
      </c>
      <c r="N314" s="19">
        <f>DAY(Table1342[[#This Row],[Date]])</f>
        <v>12</v>
      </c>
      <c r="O314" s="19"/>
      <c r="P314" s="19" t="str">
        <f>TEXT(DATE(2023,Table1342[[#This Row],[MONTH]],1),"mmm")</f>
        <v>Aug</v>
      </c>
      <c r="Q314" s="19"/>
    </row>
    <row r="315" spans="1:17" x14ac:dyDescent="0.3">
      <c r="A315" s="19">
        <v>314</v>
      </c>
      <c r="B315" s="20">
        <v>45204</v>
      </c>
      <c r="C315" s="19" t="s">
        <v>38</v>
      </c>
      <c r="D315" s="19" t="s">
        <v>27</v>
      </c>
      <c r="E315" s="19" t="s">
        <v>12</v>
      </c>
      <c r="F315" s="19" t="s">
        <v>24</v>
      </c>
      <c r="G315" s="19" t="s">
        <v>29</v>
      </c>
      <c r="H315" s="21">
        <v>34225.440000000002</v>
      </c>
      <c r="I315" s="19">
        <v>5</v>
      </c>
      <c r="J315" s="21">
        <v>7171.55</v>
      </c>
      <c r="K315" s="19" t="str" cm="1">
        <f t="array" ref="K315">_xlfn.IFS(Table1342[[#This Row],[Sales]]&gt;40000,"Best Sales",Table1342[[#This Row],[Sales]]&gt;20000,"Average Sales",Table1342[[#This Row],[Sales]]&gt;0,"Poor Sales")</f>
        <v>Average Sales</v>
      </c>
      <c r="L315" s="19">
        <f>YEAR(Table1342[[#This Row],[Date]])</f>
        <v>2023</v>
      </c>
      <c r="M315" s="19">
        <f>MONTH(Table1342[[#This Row],[Date]])</f>
        <v>10</v>
      </c>
      <c r="N315" s="19">
        <f>DAY(Table1342[[#This Row],[Date]])</f>
        <v>5</v>
      </c>
      <c r="O315" s="19"/>
      <c r="P315" s="19" t="str">
        <f>TEXT(DATE(2023,Table1342[[#This Row],[MONTH]],1),"mmm")</f>
        <v>Oct</v>
      </c>
      <c r="Q315" s="19"/>
    </row>
    <row r="316" spans="1:17" x14ac:dyDescent="0.3">
      <c r="A316" s="19">
        <v>315</v>
      </c>
      <c r="B316" s="20">
        <v>45240</v>
      </c>
      <c r="C316" s="19" t="s">
        <v>37</v>
      </c>
      <c r="D316" s="19" t="s">
        <v>27</v>
      </c>
      <c r="E316" s="19" t="s">
        <v>17</v>
      </c>
      <c r="F316" s="19" t="s">
        <v>13</v>
      </c>
      <c r="G316" s="19" t="s">
        <v>14</v>
      </c>
      <c r="H316" s="21">
        <v>47580.01</v>
      </c>
      <c r="I316" s="19">
        <v>1</v>
      </c>
      <c r="J316" s="21">
        <v>13586.56</v>
      </c>
      <c r="K316" s="19" t="str" cm="1">
        <f t="array" ref="K316">_xlfn.IFS(Table1342[[#This Row],[Sales]]&gt;40000,"Best Sales",Table1342[[#This Row],[Sales]]&gt;20000,"Average Sales",Table1342[[#This Row],[Sales]]&gt;0,"Poor Sales")</f>
        <v>Best Sales</v>
      </c>
      <c r="L316" s="19">
        <f>YEAR(Table1342[[#This Row],[Date]])</f>
        <v>2023</v>
      </c>
      <c r="M316" s="19">
        <f>MONTH(Table1342[[#This Row],[Date]])</f>
        <v>11</v>
      </c>
      <c r="N316" s="19">
        <f>DAY(Table1342[[#This Row],[Date]])</f>
        <v>10</v>
      </c>
      <c r="O316" s="19"/>
      <c r="P316" s="19" t="str">
        <f>TEXT(DATE(2023,Table1342[[#This Row],[MONTH]],1),"mmm")</f>
        <v>Nov</v>
      </c>
      <c r="Q316" s="19"/>
    </row>
    <row r="317" spans="1:17" x14ac:dyDescent="0.3">
      <c r="A317" s="19">
        <v>316</v>
      </c>
      <c r="B317" s="20">
        <v>44975</v>
      </c>
      <c r="C317" s="19" t="s">
        <v>38</v>
      </c>
      <c r="D317" s="19" t="s">
        <v>27</v>
      </c>
      <c r="E317" s="19" t="s">
        <v>12</v>
      </c>
      <c r="F317" s="19" t="s">
        <v>13</v>
      </c>
      <c r="G317" s="19" t="s">
        <v>14</v>
      </c>
      <c r="H317" s="21">
        <v>17212.37</v>
      </c>
      <c r="I317" s="19">
        <v>6</v>
      </c>
      <c r="J317" s="21">
        <v>4577.87</v>
      </c>
      <c r="K317" s="19" t="str" cm="1">
        <f t="array" ref="K317">_xlfn.IFS(Table1342[[#This Row],[Sales]]&gt;40000,"Best Sales",Table1342[[#This Row],[Sales]]&gt;20000,"Average Sales",Table1342[[#This Row],[Sales]]&gt;0,"Poor Sales")</f>
        <v>Poor Sales</v>
      </c>
      <c r="L317" s="19">
        <f>YEAR(Table1342[[#This Row],[Date]])</f>
        <v>2023</v>
      </c>
      <c r="M317" s="19">
        <f>MONTH(Table1342[[#This Row],[Date]])</f>
        <v>2</v>
      </c>
      <c r="N317" s="19">
        <f>DAY(Table1342[[#This Row],[Date]])</f>
        <v>18</v>
      </c>
      <c r="O317" s="19"/>
      <c r="P317" s="19" t="str">
        <f>TEXT(DATE(2023,Table1342[[#This Row],[MONTH]],1),"mmm")</f>
        <v>Feb</v>
      </c>
      <c r="Q317" s="19"/>
    </row>
    <row r="318" spans="1:17" x14ac:dyDescent="0.3">
      <c r="A318" s="19">
        <v>317</v>
      </c>
      <c r="B318" s="20">
        <v>44949</v>
      </c>
      <c r="C318" s="19" t="s">
        <v>18</v>
      </c>
      <c r="D318" s="19" t="s">
        <v>19</v>
      </c>
      <c r="E318" s="19" t="s">
        <v>17</v>
      </c>
      <c r="F318" s="19" t="s">
        <v>13</v>
      </c>
      <c r="G318" s="19" t="s">
        <v>21</v>
      </c>
      <c r="H318" s="21">
        <v>48075.95</v>
      </c>
      <c r="I318" s="19">
        <v>7</v>
      </c>
      <c r="J318" s="21">
        <v>4672.51</v>
      </c>
      <c r="K318" s="19" t="str" cm="1">
        <f t="array" ref="K318">_xlfn.IFS(Table1342[[#This Row],[Sales]]&gt;40000,"Best Sales",Table1342[[#This Row],[Sales]]&gt;20000,"Average Sales",Table1342[[#This Row],[Sales]]&gt;0,"Poor Sales")</f>
        <v>Best Sales</v>
      </c>
      <c r="L318" s="19">
        <f>YEAR(Table1342[[#This Row],[Date]])</f>
        <v>2023</v>
      </c>
      <c r="M318" s="19">
        <f>MONTH(Table1342[[#This Row],[Date]])</f>
        <v>1</v>
      </c>
      <c r="N318" s="19">
        <f>DAY(Table1342[[#This Row],[Date]])</f>
        <v>23</v>
      </c>
      <c r="O318" s="19"/>
      <c r="P318" s="19" t="str">
        <f>TEXT(DATE(2023,Table1342[[#This Row],[MONTH]],1),"mmm")</f>
        <v>Jan</v>
      </c>
      <c r="Q318" s="19"/>
    </row>
    <row r="319" spans="1:17" x14ac:dyDescent="0.3">
      <c r="A319" s="19">
        <v>318</v>
      </c>
      <c r="B319" s="20">
        <v>45003</v>
      </c>
      <c r="C319" s="19" t="s">
        <v>30</v>
      </c>
      <c r="D319" s="19" t="s">
        <v>16</v>
      </c>
      <c r="E319" s="19" t="s">
        <v>20</v>
      </c>
      <c r="F319" s="19" t="s">
        <v>24</v>
      </c>
      <c r="G319" s="19" t="s">
        <v>28</v>
      </c>
      <c r="H319" s="21">
        <v>9681.73</v>
      </c>
      <c r="I319" s="19">
        <v>10</v>
      </c>
      <c r="J319" s="21">
        <v>628.19000000000005</v>
      </c>
      <c r="K319" s="19" t="str" cm="1">
        <f t="array" ref="K319">_xlfn.IFS(Table1342[[#This Row],[Sales]]&gt;40000,"Best Sales",Table1342[[#This Row],[Sales]]&gt;20000,"Average Sales",Table1342[[#This Row],[Sales]]&gt;0,"Poor Sales")</f>
        <v>Poor Sales</v>
      </c>
      <c r="L319" s="19">
        <f>YEAR(Table1342[[#This Row],[Date]])</f>
        <v>2023</v>
      </c>
      <c r="M319" s="19">
        <f>MONTH(Table1342[[#This Row],[Date]])</f>
        <v>3</v>
      </c>
      <c r="N319" s="19">
        <f>DAY(Table1342[[#This Row],[Date]])</f>
        <v>18</v>
      </c>
      <c r="O319" s="19"/>
      <c r="P319" s="19" t="str">
        <f>TEXT(DATE(2023,Table1342[[#This Row],[MONTH]],1),"mmm")</f>
        <v>Mar</v>
      </c>
      <c r="Q319" s="19"/>
    </row>
    <row r="320" spans="1:17" x14ac:dyDescent="0.3">
      <c r="A320" s="19">
        <v>319</v>
      </c>
      <c r="B320" s="20">
        <v>45245</v>
      </c>
      <c r="C320" s="19" t="s">
        <v>30</v>
      </c>
      <c r="D320" s="19" t="s">
        <v>16</v>
      </c>
      <c r="E320" s="19" t="s">
        <v>20</v>
      </c>
      <c r="F320" s="19" t="s">
        <v>31</v>
      </c>
      <c r="G320" s="19" t="s">
        <v>32</v>
      </c>
      <c r="H320" s="21">
        <v>31708.44</v>
      </c>
      <c r="I320" s="19">
        <v>4</v>
      </c>
      <c r="J320" s="21">
        <v>1986.92</v>
      </c>
      <c r="K320" s="19" t="str" cm="1">
        <f t="array" ref="K320">_xlfn.IFS(Table1342[[#This Row],[Sales]]&gt;40000,"Best Sales",Table1342[[#This Row],[Sales]]&gt;20000,"Average Sales",Table1342[[#This Row],[Sales]]&gt;0,"Poor Sales")</f>
        <v>Average Sales</v>
      </c>
      <c r="L320" s="19">
        <f>YEAR(Table1342[[#This Row],[Date]])</f>
        <v>2023</v>
      </c>
      <c r="M320" s="19">
        <f>MONTH(Table1342[[#This Row],[Date]])</f>
        <v>11</v>
      </c>
      <c r="N320" s="19">
        <f>DAY(Table1342[[#This Row],[Date]])</f>
        <v>15</v>
      </c>
      <c r="O320" s="19"/>
      <c r="P320" s="19" t="str">
        <f>TEXT(DATE(2023,Table1342[[#This Row],[MONTH]],1),"mmm")</f>
        <v>Nov</v>
      </c>
      <c r="Q320" s="19"/>
    </row>
    <row r="321" spans="1:17" x14ac:dyDescent="0.3">
      <c r="A321" s="19">
        <v>320</v>
      </c>
      <c r="B321" s="20">
        <v>45008</v>
      </c>
      <c r="C321" s="19" t="s">
        <v>30</v>
      </c>
      <c r="D321" s="19" t="s">
        <v>16</v>
      </c>
      <c r="E321" s="19" t="s">
        <v>12</v>
      </c>
      <c r="F321" s="19" t="s">
        <v>24</v>
      </c>
      <c r="G321" s="19" t="s">
        <v>29</v>
      </c>
      <c r="H321" s="21">
        <v>23576.81</v>
      </c>
      <c r="I321" s="19">
        <v>5</v>
      </c>
      <c r="J321" s="21">
        <v>5469.68</v>
      </c>
      <c r="K321" s="19" t="str" cm="1">
        <f t="array" ref="K321">_xlfn.IFS(Table1342[[#This Row],[Sales]]&gt;40000,"Best Sales",Table1342[[#This Row],[Sales]]&gt;20000,"Average Sales",Table1342[[#This Row],[Sales]]&gt;0,"Poor Sales")</f>
        <v>Average Sales</v>
      </c>
      <c r="L321" s="19">
        <f>YEAR(Table1342[[#This Row],[Date]])</f>
        <v>2023</v>
      </c>
      <c r="M321" s="19">
        <f>MONTH(Table1342[[#This Row],[Date]])</f>
        <v>3</v>
      </c>
      <c r="N321" s="19">
        <f>DAY(Table1342[[#This Row],[Date]])</f>
        <v>23</v>
      </c>
      <c r="O321" s="19"/>
      <c r="P321" s="19" t="str">
        <f>TEXT(DATE(2023,Table1342[[#This Row],[MONTH]],1),"mmm")</f>
        <v>Mar</v>
      </c>
      <c r="Q321" s="19"/>
    </row>
    <row r="322" spans="1:17" x14ac:dyDescent="0.3">
      <c r="A322" s="19">
        <v>321</v>
      </c>
      <c r="B322" s="20">
        <v>45048</v>
      </c>
      <c r="C322" s="19" t="s">
        <v>35</v>
      </c>
      <c r="D322" s="19" t="s">
        <v>36</v>
      </c>
      <c r="E322" s="19" t="s">
        <v>17</v>
      </c>
      <c r="F322" s="19" t="s">
        <v>31</v>
      </c>
      <c r="G322" s="19" t="s">
        <v>39</v>
      </c>
      <c r="H322" s="21">
        <v>46941.22</v>
      </c>
      <c r="I322" s="19">
        <v>3</v>
      </c>
      <c r="J322" s="21">
        <v>11351.59</v>
      </c>
      <c r="K322" s="19" t="str" cm="1">
        <f t="array" ref="K322">_xlfn.IFS(Table1342[[#This Row],[Sales]]&gt;40000,"Best Sales",Table1342[[#This Row],[Sales]]&gt;20000,"Average Sales",Table1342[[#This Row],[Sales]]&gt;0,"Poor Sales")</f>
        <v>Best Sales</v>
      </c>
      <c r="L322" s="19">
        <f>YEAR(Table1342[[#This Row],[Date]])</f>
        <v>2023</v>
      </c>
      <c r="M322" s="19">
        <f>MONTH(Table1342[[#This Row],[Date]])</f>
        <v>5</v>
      </c>
      <c r="N322" s="19">
        <f>DAY(Table1342[[#This Row],[Date]])</f>
        <v>2</v>
      </c>
      <c r="O322" s="19"/>
      <c r="P322" s="19" t="str">
        <f>TEXT(DATE(2023,Table1342[[#This Row],[MONTH]],1),"mmm")</f>
        <v>May</v>
      </c>
      <c r="Q322" s="19"/>
    </row>
    <row r="323" spans="1:17" x14ac:dyDescent="0.3">
      <c r="A323" s="19">
        <v>322</v>
      </c>
      <c r="B323" s="20">
        <v>45021</v>
      </c>
      <c r="C323" s="19" t="s">
        <v>30</v>
      </c>
      <c r="D323" s="19" t="s">
        <v>16</v>
      </c>
      <c r="E323" s="19" t="s">
        <v>12</v>
      </c>
      <c r="F323" s="19" t="s">
        <v>31</v>
      </c>
      <c r="G323" s="19" t="s">
        <v>33</v>
      </c>
      <c r="H323" s="21">
        <v>30511.77</v>
      </c>
      <c r="I323" s="19">
        <v>4</v>
      </c>
      <c r="J323" s="21">
        <v>2577.4699999999998</v>
      </c>
      <c r="K323" s="19" t="str" cm="1">
        <f t="array" ref="K323">_xlfn.IFS(Table1342[[#This Row],[Sales]]&gt;40000,"Best Sales",Table1342[[#This Row],[Sales]]&gt;20000,"Average Sales",Table1342[[#This Row],[Sales]]&gt;0,"Poor Sales")</f>
        <v>Average Sales</v>
      </c>
      <c r="L323" s="19">
        <f>YEAR(Table1342[[#This Row],[Date]])</f>
        <v>2023</v>
      </c>
      <c r="M323" s="19">
        <f>MONTH(Table1342[[#This Row],[Date]])</f>
        <v>4</v>
      </c>
      <c r="N323" s="19">
        <f>DAY(Table1342[[#This Row],[Date]])</f>
        <v>5</v>
      </c>
      <c r="O323" s="19"/>
      <c r="P323" s="19" t="str">
        <f>TEXT(DATE(2023,Table1342[[#This Row],[MONTH]],1),"mmm")</f>
        <v>Apr</v>
      </c>
      <c r="Q323" s="19"/>
    </row>
    <row r="324" spans="1:17" x14ac:dyDescent="0.3">
      <c r="A324" s="19">
        <v>323</v>
      </c>
      <c r="B324" s="20">
        <v>45225</v>
      </c>
      <c r="C324" s="19" t="s">
        <v>38</v>
      </c>
      <c r="D324" s="19" t="s">
        <v>27</v>
      </c>
      <c r="E324" s="19" t="s">
        <v>17</v>
      </c>
      <c r="F324" s="19" t="s">
        <v>13</v>
      </c>
      <c r="G324" s="19" t="s">
        <v>21</v>
      </c>
      <c r="H324" s="21">
        <v>1705.27</v>
      </c>
      <c r="I324" s="19">
        <v>2</v>
      </c>
      <c r="J324" s="21">
        <v>258.72000000000003</v>
      </c>
      <c r="K324" s="19" t="str" cm="1">
        <f t="array" ref="K324">_xlfn.IFS(Table1342[[#This Row],[Sales]]&gt;40000,"Best Sales",Table1342[[#This Row],[Sales]]&gt;20000,"Average Sales",Table1342[[#This Row],[Sales]]&gt;0,"Poor Sales")</f>
        <v>Poor Sales</v>
      </c>
      <c r="L324" s="19">
        <f>YEAR(Table1342[[#This Row],[Date]])</f>
        <v>2023</v>
      </c>
      <c r="M324" s="19">
        <f>MONTH(Table1342[[#This Row],[Date]])</f>
        <v>10</v>
      </c>
      <c r="N324" s="19">
        <f>DAY(Table1342[[#This Row],[Date]])</f>
        <v>26</v>
      </c>
      <c r="O324" s="19"/>
      <c r="P324" s="19" t="str">
        <f>TEXT(DATE(2023,Table1342[[#This Row],[MONTH]],1),"mmm")</f>
        <v>Oct</v>
      </c>
      <c r="Q324" s="19"/>
    </row>
    <row r="325" spans="1:17" x14ac:dyDescent="0.3">
      <c r="A325" s="19">
        <v>324</v>
      </c>
      <c r="B325" s="20">
        <v>45196</v>
      </c>
      <c r="C325" s="19" t="s">
        <v>22</v>
      </c>
      <c r="D325" s="19" t="s">
        <v>22</v>
      </c>
      <c r="E325" s="19" t="s">
        <v>20</v>
      </c>
      <c r="F325" s="19" t="s">
        <v>13</v>
      </c>
      <c r="G325" s="19" t="s">
        <v>14</v>
      </c>
      <c r="H325" s="21">
        <v>40330.29</v>
      </c>
      <c r="I325" s="19">
        <v>9</v>
      </c>
      <c r="J325" s="21">
        <v>9484.9599999999991</v>
      </c>
      <c r="K325" s="19" t="str" cm="1">
        <f t="array" ref="K325">_xlfn.IFS(Table1342[[#This Row],[Sales]]&gt;40000,"Best Sales",Table1342[[#This Row],[Sales]]&gt;20000,"Average Sales",Table1342[[#This Row],[Sales]]&gt;0,"Poor Sales")</f>
        <v>Best Sales</v>
      </c>
      <c r="L325" s="19">
        <f>YEAR(Table1342[[#This Row],[Date]])</f>
        <v>2023</v>
      </c>
      <c r="M325" s="19">
        <f>MONTH(Table1342[[#This Row],[Date]])</f>
        <v>9</v>
      </c>
      <c r="N325" s="19">
        <f>DAY(Table1342[[#This Row],[Date]])</f>
        <v>27</v>
      </c>
      <c r="O325" s="19"/>
      <c r="P325" s="19" t="str">
        <f>TEXT(DATE(2023,Table1342[[#This Row],[MONTH]],1),"mmm")</f>
        <v>Sep</v>
      </c>
      <c r="Q325" s="19"/>
    </row>
    <row r="326" spans="1:17" x14ac:dyDescent="0.3">
      <c r="A326" s="19">
        <v>325</v>
      </c>
      <c r="B326" s="20">
        <v>44947</v>
      </c>
      <c r="C326" s="19" t="s">
        <v>18</v>
      </c>
      <c r="D326" s="19" t="s">
        <v>19</v>
      </c>
      <c r="E326" s="19" t="s">
        <v>20</v>
      </c>
      <c r="F326" s="19" t="s">
        <v>24</v>
      </c>
      <c r="G326" s="19" t="s">
        <v>29</v>
      </c>
      <c r="H326" s="21">
        <v>22523.13</v>
      </c>
      <c r="I326" s="19">
        <v>3</v>
      </c>
      <c r="J326" s="21">
        <v>5559.51</v>
      </c>
      <c r="K326" s="19" t="str" cm="1">
        <f t="array" ref="K326">_xlfn.IFS(Table1342[[#This Row],[Sales]]&gt;40000,"Best Sales",Table1342[[#This Row],[Sales]]&gt;20000,"Average Sales",Table1342[[#This Row],[Sales]]&gt;0,"Poor Sales")</f>
        <v>Average Sales</v>
      </c>
      <c r="L326" s="19">
        <f>YEAR(Table1342[[#This Row],[Date]])</f>
        <v>2023</v>
      </c>
      <c r="M326" s="19">
        <f>MONTH(Table1342[[#This Row],[Date]])</f>
        <v>1</v>
      </c>
      <c r="N326" s="19">
        <f>DAY(Table1342[[#This Row],[Date]])</f>
        <v>21</v>
      </c>
      <c r="O326" s="19"/>
      <c r="P326" s="19" t="str">
        <f>TEXT(DATE(2023,Table1342[[#This Row],[MONTH]],1),"mmm")</f>
        <v>Jan</v>
      </c>
      <c r="Q326" s="19"/>
    </row>
    <row r="327" spans="1:17" x14ac:dyDescent="0.3">
      <c r="A327" s="19">
        <v>326</v>
      </c>
      <c r="B327" s="20">
        <v>45181</v>
      </c>
      <c r="C327" s="19" t="s">
        <v>30</v>
      </c>
      <c r="D327" s="19" t="s">
        <v>16</v>
      </c>
      <c r="E327" s="19" t="s">
        <v>12</v>
      </c>
      <c r="F327" s="19" t="s">
        <v>31</v>
      </c>
      <c r="G327" s="19" t="s">
        <v>32</v>
      </c>
      <c r="H327" s="21">
        <v>9721.76</v>
      </c>
      <c r="I327" s="19">
        <v>1</v>
      </c>
      <c r="J327" s="21">
        <v>2426.7199999999998</v>
      </c>
      <c r="K327" s="19" t="str" cm="1">
        <f t="array" ref="K327">_xlfn.IFS(Table1342[[#This Row],[Sales]]&gt;40000,"Best Sales",Table1342[[#This Row],[Sales]]&gt;20000,"Average Sales",Table1342[[#This Row],[Sales]]&gt;0,"Poor Sales")</f>
        <v>Poor Sales</v>
      </c>
      <c r="L327" s="19">
        <f>YEAR(Table1342[[#This Row],[Date]])</f>
        <v>2023</v>
      </c>
      <c r="M327" s="19">
        <f>MONTH(Table1342[[#This Row],[Date]])</f>
        <v>9</v>
      </c>
      <c r="N327" s="19">
        <f>DAY(Table1342[[#This Row],[Date]])</f>
        <v>12</v>
      </c>
      <c r="O327" s="19"/>
      <c r="P327" s="19" t="str">
        <f>TEXT(DATE(2023,Table1342[[#This Row],[MONTH]],1),"mmm")</f>
        <v>Sep</v>
      </c>
      <c r="Q327" s="19"/>
    </row>
    <row r="328" spans="1:17" x14ac:dyDescent="0.3">
      <c r="A328" s="19">
        <v>327</v>
      </c>
      <c r="B328" s="20">
        <v>45158</v>
      </c>
      <c r="C328" s="19" t="s">
        <v>37</v>
      </c>
      <c r="D328" s="19" t="s">
        <v>27</v>
      </c>
      <c r="E328" s="19" t="s">
        <v>17</v>
      </c>
      <c r="F328" s="19" t="s">
        <v>31</v>
      </c>
      <c r="G328" s="19" t="s">
        <v>39</v>
      </c>
      <c r="H328" s="21">
        <v>13433.44</v>
      </c>
      <c r="I328" s="19">
        <v>10</v>
      </c>
      <c r="J328" s="21">
        <v>3809.36</v>
      </c>
      <c r="K328" s="19" t="str" cm="1">
        <f t="array" ref="K328">_xlfn.IFS(Table1342[[#This Row],[Sales]]&gt;40000,"Best Sales",Table1342[[#This Row],[Sales]]&gt;20000,"Average Sales",Table1342[[#This Row],[Sales]]&gt;0,"Poor Sales")</f>
        <v>Poor Sales</v>
      </c>
      <c r="L328" s="19">
        <f>YEAR(Table1342[[#This Row],[Date]])</f>
        <v>2023</v>
      </c>
      <c r="M328" s="19">
        <f>MONTH(Table1342[[#This Row],[Date]])</f>
        <v>8</v>
      </c>
      <c r="N328" s="19">
        <f>DAY(Table1342[[#This Row],[Date]])</f>
        <v>20</v>
      </c>
      <c r="O328" s="19"/>
      <c r="P328" s="19" t="str">
        <f>TEXT(DATE(2023,Table1342[[#This Row],[MONTH]],1),"mmm")</f>
        <v>Aug</v>
      </c>
      <c r="Q328" s="19"/>
    </row>
    <row r="329" spans="1:17" x14ac:dyDescent="0.3">
      <c r="A329" s="19">
        <v>328</v>
      </c>
      <c r="B329" s="20">
        <v>44960</v>
      </c>
      <c r="C329" s="19" t="s">
        <v>15</v>
      </c>
      <c r="D329" s="19" t="s">
        <v>16</v>
      </c>
      <c r="E329" s="19" t="s">
        <v>12</v>
      </c>
      <c r="F329" s="19" t="s">
        <v>24</v>
      </c>
      <c r="G329" s="19" t="s">
        <v>28</v>
      </c>
      <c r="H329" s="21">
        <v>42800.72</v>
      </c>
      <c r="I329" s="19">
        <v>2</v>
      </c>
      <c r="J329" s="21">
        <v>3432.12</v>
      </c>
      <c r="K329" s="19" t="str" cm="1">
        <f t="array" ref="K329">_xlfn.IFS(Table1342[[#This Row],[Sales]]&gt;40000,"Best Sales",Table1342[[#This Row],[Sales]]&gt;20000,"Average Sales",Table1342[[#This Row],[Sales]]&gt;0,"Poor Sales")</f>
        <v>Best Sales</v>
      </c>
      <c r="L329" s="19">
        <f>YEAR(Table1342[[#This Row],[Date]])</f>
        <v>2023</v>
      </c>
      <c r="M329" s="19">
        <f>MONTH(Table1342[[#This Row],[Date]])</f>
        <v>2</v>
      </c>
      <c r="N329" s="19">
        <f>DAY(Table1342[[#This Row],[Date]])</f>
        <v>3</v>
      </c>
      <c r="O329" s="19"/>
      <c r="P329" s="19" t="str">
        <f>TEXT(DATE(2023,Table1342[[#This Row],[MONTH]],1),"mmm")</f>
        <v>Feb</v>
      </c>
      <c r="Q329" s="19"/>
    </row>
    <row r="330" spans="1:17" x14ac:dyDescent="0.3">
      <c r="A330" s="19">
        <v>329</v>
      </c>
      <c r="B330" s="20">
        <v>45245</v>
      </c>
      <c r="C330" s="19" t="s">
        <v>37</v>
      </c>
      <c r="D330" s="19" t="s">
        <v>27</v>
      </c>
      <c r="E330" s="19" t="s">
        <v>17</v>
      </c>
      <c r="F330" s="19" t="s">
        <v>24</v>
      </c>
      <c r="G330" s="19" t="s">
        <v>25</v>
      </c>
      <c r="H330" s="21">
        <v>11997.4</v>
      </c>
      <c r="I330" s="19">
        <v>9</v>
      </c>
      <c r="J330" s="21">
        <v>2230.12</v>
      </c>
      <c r="K330" s="19" t="str" cm="1">
        <f t="array" ref="K330">_xlfn.IFS(Table1342[[#This Row],[Sales]]&gt;40000,"Best Sales",Table1342[[#This Row],[Sales]]&gt;20000,"Average Sales",Table1342[[#This Row],[Sales]]&gt;0,"Poor Sales")</f>
        <v>Poor Sales</v>
      </c>
      <c r="L330" s="19">
        <f>YEAR(Table1342[[#This Row],[Date]])</f>
        <v>2023</v>
      </c>
      <c r="M330" s="19">
        <f>MONTH(Table1342[[#This Row],[Date]])</f>
        <v>11</v>
      </c>
      <c r="N330" s="19">
        <f>DAY(Table1342[[#This Row],[Date]])</f>
        <v>15</v>
      </c>
      <c r="O330" s="19"/>
      <c r="P330" s="19" t="str">
        <f>TEXT(DATE(2023,Table1342[[#This Row],[MONTH]],1),"mmm")</f>
        <v>Nov</v>
      </c>
      <c r="Q330" s="19"/>
    </row>
    <row r="331" spans="1:17" x14ac:dyDescent="0.3">
      <c r="A331" s="19">
        <v>330</v>
      </c>
      <c r="B331" s="20">
        <v>45173</v>
      </c>
      <c r="C331" s="19" t="s">
        <v>15</v>
      </c>
      <c r="D331" s="19" t="s">
        <v>16</v>
      </c>
      <c r="E331" s="19" t="s">
        <v>20</v>
      </c>
      <c r="F331" s="19" t="s">
        <v>31</v>
      </c>
      <c r="G331" s="19" t="s">
        <v>33</v>
      </c>
      <c r="H331" s="21">
        <v>16524.43</v>
      </c>
      <c r="I331" s="19">
        <v>5</v>
      </c>
      <c r="J331" s="21">
        <v>3288.46</v>
      </c>
      <c r="K331" s="19" t="str" cm="1">
        <f t="array" ref="K331">_xlfn.IFS(Table1342[[#This Row],[Sales]]&gt;40000,"Best Sales",Table1342[[#This Row],[Sales]]&gt;20000,"Average Sales",Table1342[[#This Row],[Sales]]&gt;0,"Poor Sales")</f>
        <v>Poor Sales</v>
      </c>
      <c r="L331" s="19">
        <f>YEAR(Table1342[[#This Row],[Date]])</f>
        <v>2023</v>
      </c>
      <c r="M331" s="19">
        <f>MONTH(Table1342[[#This Row],[Date]])</f>
        <v>9</v>
      </c>
      <c r="N331" s="19">
        <f>DAY(Table1342[[#This Row],[Date]])</f>
        <v>4</v>
      </c>
      <c r="O331" s="19"/>
      <c r="P331" s="19" t="str">
        <f>TEXT(DATE(2023,Table1342[[#This Row],[MONTH]],1),"mmm")</f>
        <v>Sep</v>
      </c>
      <c r="Q331" s="19"/>
    </row>
    <row r="332" spans="1:17" x14ac:dyDescent="0.3">
      <c r="A332" s="19">
        <v>331</v>
      </c>
      <c r="B332" s="20">
        <v>45270</v>
      </c>
      <c r="C332" s="19" t="s">
        <v>15</v>
      </c>
      <c r="D332" s="19" t="s">
        <v>16</v>
      </c>
      <c r="E332" s="19" t="s">
        <v>20</v>
      </c>
      <c r="F332" s="19" t="s">
        <v>31</v>
      </c>
      <c r="G332" s="19" t="s">
        <v>39</v>
      </c>
      <c r="H332" s="21">
        <v>10353.51</v>
      </c>
      <c r="I332" s="19">
        <v>9</v>
      </c>
      <c r="J332" s="21">
        <v>1656.01</v>
      </c>
      <c r="K332" s="19" t="str" cm="1">
        <f t="array" ref="K332">_xlfn.IFS(Table1342[[#This Row],[Sales]]&gt;40000,"Best Sales",Table1342[[#This Row],[Sales]]&gt;20000,"Average Sales",Table1342[[#This Row],[Sales]]&gt;0,"Poor Sales")</f>
        <v>Poor Sales</v>
      </c>
      <c r="L332" s="19">
        <f>YEAR(Table1342[[#This Row],[Date]])</f>
        <v>2023</v>
      </c>
      <c r="M332" s="19">
        <f>MONTH(Table1342[[#This Row],[Date]])</f>
        <v>12</v>
      </c>
      <c r="N332" s="19">
        <f>DAY(Table1342[[#This Row],[Date]])</f>
        <v>10</v>
      </c>
      <c r="O332" s="19"/>
      <c r="P332" s="19" t="str">
        <f>TEXT(DATE(2023,Table1342[[#This Row],[MONTH]],1),"mmm")</f>
        <v>Dec</v>
      </c>
      <c r="Q332" s="19"/>
    </row>
    <row r="333" spans="1:17" x14ac:dyDescent="0.3">
      <c r="A333" s="19">
        <v>332</v>
      </c>
      <c r="B333" s="20">
        <v>45126</v>
      </c>
      <c r="C333" s="19" t="s">
        <v>10</v>
      </c>
      <c r="D333" s="19" t="s">
        <v>11</v>
      </c>
      <c r="E333" s="19" t="s">
        <v>12</v>
      </c>
      <c r="F333" s="19" t="s">
        <v>24</v>
      </c>
      <c r="G333" s="19" t="s">
        <v>29</v>
      </c>
      <c r="H333" s="21">
        <v>49849.49</v>
      </c>
      <c r="I333" s="19">
        <v>2</v>
      </c>
      <c r="J333" s="21">
        <v>14334.62</v>
      </c>
      <c r="K333" s="19" t="str" cm="1">
        <f t="array" ref="K333">_xlfn.IFS(Table1342[[#This Row],[Sales]]&gt;40000,"Best Sales",Table1342[[#This Row],[Sales]]&gt;20000,"Average Sales",Table1342[[#This Row],[Sales]]&gt;0,"Poor Sales")</f>
        <v>Best Sales</v>
      </c>
      <c r="L333" s="19">
        <f>YEAR(Table1342[[#This Row],[Date]])</f>
        <v>2023</v>
      </c>
      <c r="M333" s="19">
        <f>MONTH(Table1342[[#This Row],[Date]])</f>
        <v>7</v>
      </c>
      <c r="N333" s="19">
        <f>DAY(Table1342[[#This Row],[Date]])</f>
        <v>19</v>
      </c>
      <c r="O333" s="19"/>
      <c r="P333" s="19" t="str">
        <f>TEXT(DATE(2023,Table1342[[#This Row],[MONTH]],1),"mmm")</f>
        <v>Jul</v>
      </c>
      <c r="Q333" s="19"/>
    </row>
    <row r="334" spans="1:17" x14ac:dyDescent="0.3">
      <c r="A334" s="19">
        <v>333</v>
      </c>
      <c r="B334" s="20">
        <v>45150</v>
      </c>
      <c r="C334" s="19" t="s">
        <v>26</v>
      </c>
      <c r="D334" s="19" t="s">
        <v>27</v>
      </c>
      <c r="E334" s="19" t="s">
        <v>17</v>
      </c>
      <c r="F334" s="19" t="s">
        <v>31</v>
      </c>
      <c r="G334" s="19" t="s">
        <v>33</v>
      </c>
      <c r="H334" s="21">
        <v>40482.129999999997</v>
      </c>
      <c r="I334" s="19">
        <v>4</v>
      </c>
      <c r="J334" s="21">
        <v>9904.9599999999991</v>
      </c>
      <c r="K334" s="19" t="str" cm="1">
        <f t="array" ref="K334">_xlfn.IFS(Table1342[[#This Row],[Sales]]&gt;40000,"Best Sales",Table1342[[#This Row],[Sales]]&gt;20000,"Average Sales",Table1342[[#This Row],[Sales]]&gt;0,"Poor Sales")</f>
        <v>Best Sales</v>
      </c>
      <c r="L334" s="19">
        <f>YEAR(Table1342[[#This Row],[Date]])</f>
        <v>2023</v>
      </c>
      <c r="M334" s="19">
        <f>MONTH(Table1342[[#This Row],[Date]])</f>
        <v>8</v>
      </c>
      <c r="N334" s="19">
        <f>DAY(Table1342[[#This Row],[Date]])</f>
        <v>12</v>
      </c>
      <c r="O334" s="19"/>
      <c r="P334" s="19" t="str">
        <f>TEXT(DATE(2023,Table1342[[#This Row],[MONTH]],1),"mmm")</f>
        <v>Aug</v>
      </c>
      <c r="Q334" s="19"/>
    </row>
    <row r="335" spans="1:17" x14ac:dyDescent="0.3">
      <c r="A335" s="19">
        <v>334</v>
      </c>
      <c r="B335" s="20">
        <v>45062</v>
      </c>
      <c r="C335" s="19" t="s">
        <v>18</v>
      </c>
      <c r="D335" s="19" t="s">
        <v>19</v>
      </c>
      <c r="E335" s="19" t="s">
        <v>12</v>
      </c>
      <c r="F335" s="19" t="s">
        <v>24</v>
      </c>
      <c r="G335" s="19" t="s">
        <v>29</v>
      </c>
      <c r="H335" s="21">
        <v>24555.21</v>
      </c>
      <c r="I335" s="19">
        <v>7</v>
      </c>
      <c r="J335" s="21">
        <v>6048.99</v>
      </c>
      <c r="K335" s="19" t="str" cm="1">
        <f t="array" ref="K335">_xlfn.IFS(Table1342[[#This Row],[Sales]]&gt;40000,"Best Sales",Table1342[[#This Row],[Sales]]&gt;20000,"Average Sales",Table1342[[#This Row],[Sales]]&gt;0,"Poor Sales")</f>
        <v>Average Sales</v>
      </c>
      <c r="L335" s="19">
        <f>YEAR(Table1342[[#This Row],[Date]])</f>
        <v>2023</v>
      </c>
      <c r="M335" s="19">
        <f>MONTH(Table1342[[#This Row],[Date]])</f>
        <v>5</v>
      </c>
      <c r="N335" s="19">
        <f>DAY(Table1342[[#This Row],[Date]])</f>
        <v>16</v>
      </c>
      <c r="O335" s="19"/>
      <c r="P335" s="19" t="str">
        <f>TEXT(DATE(2023,Table1342[[#This Row],[MONTH]],1),"mmm")</f>
        <v>May</v>
      </c>
      <c r="Q335" s="19"/>
    </row>
    <row r="336" spans="1:17" x14ac:dyDescent="0.3">
      <c r="A336" s="19">
        <v>335</v>
      </c>
      <c r="B336" s="20">
        <v>45124</v>
      </c>
      <c r="C336" s="19" t="s">
        <v>26</v>
      </c>
      <c r="D336" s="19" t="s">
        <v>27</v>
      </c>
      <c r="E336" s="19" t="s">
        <v>17</v>
      </c>
      <c r="F336" s="19" t="s">
        <v>31</v>
      </c>
      <c r="G336" s="19" t="s">
        <v>39</v>
      </c>
      <c r="H336" s="21">
        <v>12319.01</v>
      </c>
      <c r="I336" s="19">
        <v>8</v>
      </c>
      <c r="J336" s="21">
        <v>2389.34</v>
      </c>
      <c r="K336" s="19" t="str" cm="1">
        <f t="array" ref="K336">_xlfn.IFS(Table1342[[#This Row],[Sales]]&gt;40000,"Best Sales",Table1342[[#This Row],[Sales]]&gt;20000,"Average Sales",Table1342[[#This Row],[Sales]]&gt;0,"Poor Sales")</f>
        <v>Poor Sales</v>
      </c>
      <c r="L336" s="19">
        <f>YEAR(Table1342[[#This Row],[Date]])</f>
        <v>2023</v>
      </c>
      <c r="M336" s="19">
        <f>MONTH(Table1342[[#This Row],[Date]])</f>
        <v>7</v>
      </c>
      <c r="N336" s="19">
        <f>DAY(Table1342[[#This Row],[Date]])</f>
        <v>17</v>
      </c>
      <c r="O336" s="19"/>
      <c r="P336" s="19" t="str">
        <f>TEXT(DATE(2023,Table1342[[#This Row],[MONTH]],1),"mmm")</f>
        <v>Jul</v>
      </c>
      <c r="Q336" s="19"/>
    </row>
    <row r="337" spans="1:17" x14ac:dyDescent="0.3">
      <c r="A337" s="19">
        <v>336</v>
      </c>
      <c r="B337" s="20">
        <v>44980</v>
      </c>
      <c r="C337" s="19" t="s">
        <v>26</v>
      </c>
      <c r="D337" s="19" t="s">
        <v>27</v>
      </c>
      <c r="E337" s="19" t="s">
        <v>20</v>
      </c>
      <c r="F337" s="19" t="s">
        <v>31</v>
      </c>
      <c r="G337" s="19" t="s">
        <v>33</v>
      </c>
      <c r="H337" s="21">
        <v>13647.29</v>
      </c>
      <c r="I337" s="19">
        <v>1</v>
      </c>
      <c r="J337" s="21">
        <v>1756.26</v>
      </c>
      <c r="K337" s="19" t="str" cm="1">
        <f t="array" ref="K337">_xlfn.IFS(Table1342[[#This Row],[Sales]]&gt;40000,"Best Sales",Table1342[[#This Row],[Sales]]&gt;20000,"Average Sales",Table1342[[#This Row],[Sales]]&gt;0,"Poor Sales")</f>
        <v>Poor Sales</v>
      </c>
      <c r="L337" s="19">
        <f>YEAR(Table1342[[#This Row],[Date]])</f>
        <v>2023</v>
      </c>
      <c r="M337" s="19">
        <f>MONTH(Table1342[[#This Row],[Date]])</f>
        <v>2</v>
      </c>
      <c r="N337" s="19">
        <f>DAY(Table1342[[#This Row],[Date]])</f>
        <v>23</v>
      </c>
      <c r="O337" s="19"/>
      <c r="P337" s="19" t="str">
        <f>TEXT(DATE(2023,Table1342[[#This Row],[MONTH]],1),"mmm")</f>
        <v>Feb</v>
      </c>
      <c r="Q337" s="19"/>
    </row>
    <row r="338" spans="1:17" x14ac:dyDescent="0.3">
      <c r="A338" s="19">
        <v>337</v>
      </c>
      <c r="B338" s="20">
        <v>44931</v>
      </c>
      <c r="C338" s="19" t="s">
        <v>26</v>
      </c>
      <c r="D338" s="19" t="s">
        <v>27</v>
      </c>
      <c r="E338" s="19" t="s">
        <v>20</v>
      </c>
      <c r="F338" s="19" t="s">
        <v>24</v>
      </c>
      <c r="G338" s="19" t="s">
        <v>29</v>
      </c>
      <c r="H338" s="21">
        <v>47809.440000000002</v>
      </c>
      <c r="I338" s="19">
        <v>8</v>
      </c>
      <c r="J338" s="21">
        <v>3486.63</v>
      </c>
      <c r="K338" s="19" t="str" cm="1">
        <f t="array" ref="K338">_xlfn.IFS(Table1342[[#This Row],[Sales]]&gt;40000,"Best Sales",Table1342[[#This Row],[Sales]]&gt;20000,"Average Sales",Table1342[[#This Row],[Sales]]&gt;0,"Poor Sales")</f>
        <v>Best Sales</v>
      </c>
      <c r="L338" s="19">
        <f>YEAR(Table1342[[#This Row],[Date]])</f>
        <v>2023</v>
      </c>
      <c r="M338" s="19">
        <f>MONTH(Table1342[[#This Row],[Date]])</f>
        <v>1</v>
      </c>
      <c r="N338" s="19">
        <f>DAY(Table1342[[#This Row],[Date]])</f>
        <v>5</v>
      </c>
      <c r="O338" s="19"/>
      <c r="P338" s="19" t="str">
        <f>TEXT(DATE(2023,Table1342[[#This Row],[MONTH]],1),"mmm")</f>
        <v>Jan</v>
      </c>
      <c r="Q338" s="19"/>
    </row>
    <row r="339" spans="1:17" x14ac:dyDescent="0.3">
      <c r="A339" s="19">
        <v>338</v>
      </c>
      <c r="B339" s="20">
        <v>45139</v>
      </c>
      <c r="C339" s="19" t="s">
        <v>22</v>
      </c>
      <c r="D339" s="19" t="s">
        <v>22</v>
      </c>
      <c r="E339" s="19" t="s">
        <v>12</v>
      </c>
      <c r="F339" s="19" t="s">
        <v>13</v>
      </c>
      <c r="G339" s="19" t="s">
        <v>21</v>
      </c>
      <c r="H339" s="21">
        <v>13063.77</v>
      </c>
      <c r="I339" s="19">
        <v>7</v>
      </c>
      <c r="J339" s="21">
        <v>919.67</v>
      </c>
      <c r="K339" s="19" t="str" cm="1">
        <f t="array" ref="K339">_xlfn.IFS(Table1342[[#This Row],[Sales]]&gt;40000,"Best Sales",Table1342[[#This Row],[Sales]]&gt;20000,"Average Sales",Table1342[[#This Row],[Sales]]&gt;0,"Poor Sales")</f>
        <v>Poor Sales</v>
      </c>
      <c r="L339" s="19">
        <f>YEAR(Table1342[[#This Row],[Date]])</f>
        <v>2023</v>
      </c>
      <c r="M339" s="19">
        <f>MONTH(Table1342[[#This Row],[Date]])</f>
        <v>8</v>
      </c>
      <c r="N339" s="19">
        <f>DAY(Table1342[[#This Row],[Date]])</f>
        <v>1</v>
      </c>
      <c r="O339" s="19"/>
      <c r="P339" s="19" t="str">
        <f>TEXT(DATE(2023,Table1342[[#This Row],[MONTH]],1),"mmm")</f>
        <v>Aug</v>
      </c>
      <c r="Q339" s="19"/>
    </row>
    <row r="340" spans="1:17" x14ac:dyDescent="0.3">
      <c r="A340" s="19">
        <v>339</v>
      </c>
      <c r="B340" s="20">
        <v>45269</v>
      </c>
      <c r="C340" s="19" t="s">
        <v>37</v>
      </c>
      <c r="D340" s="19" t="s">
        <v>27</v>
      </c>
      <c r="E340" s="19" t="s">
        <v>17</v>
      </c>
      <c r="F340" s="19" t="s">
        <v>13</v>
      </c>
      <c r="G340" s="19" t="s">
        <v>34</v>
      </c>
      <c r="H340" s="21">
        <v>19511.96</v>
      </c>
      <c r="I340" s="19">
        <v>9</v>
      </c>
      <c r="J340" s="21">
        <v>3592.28</v>
      </c>
      <c r="K340" s="19" t="str" cm="1">
        <f t="array" ref="K340">_xlfn.IFS(Table1342[[#This Row],[Sales]]&gt;40000,"Best Sales",Table1342[[#This Row],[Sales]]&gt;20000,"Average Sales",Table1342[[#This Row],[Sales]]&gt;0,"Poor Sales")</f>
        <v>Poor Sales</v>
      </c>
      <c r="L340" s="19">
        <f>YEAR(Table1342[[#This Row],[Date]])</f>
        <v>2023</v>
      </c>
      <c r="M340" s="19">
        <f>MONTH(Table1342[[#This Row],[Date]])</f>
        <v>12</v>
      </c>
      <c r="N340" s="19">
        <f>DAY(Table1342[[#This Row],[Date]])</f>
        <v>9</v>
      </c>
      <c r="O340" s="19"/>
      <c r="P340" s="19" t="str">
        <f>TEXT(DATE(2023,Table1342[[#This Row],[MONTH]],1),"mmm")</f>
        <v>Dec</v>
      </c>
      <c r="Q340" s="19"/>
    </row>
    <row r="341" spans="1:17" x14ac:dyDescent="0.3">
      <c r="A341" s="19">
        <v>340</v>
      </c>
      <c r="B341" s="20">
        <v>45197</v>
      </c>
      <c r="C341" s="19" t="s">
        <v>26</v>
      </c>
      <c r="D341" s="19" t="s">
        <v>27</v>
      </c>
      <c r="E341" s="19" t="s">
        <v>12</v>
      </c>
      <c r="F341" s="19" t="s">
        <v>13</v>
      </c>
      <c r="G341" s="19" t="s">
        <v>34</v>
      </c>
      <c r="H341" s="21">
        <v>3861.56</v>
      </c>
      <c r="I341" s="19">
        <v>3</v>
      </c>
      <c r="J341" s="21">
        <v>788.54</v>
      </c>
      <c r="K341" s="19" t="str" cm="1">
        <f t="array" ref="K341">_xlfn.IFS(Table1342[[#This Row],[Sales]]&gt;40000,"Best Sales",Table1342[[#This Row],[Sales]]&gt;20000,"Average Sales",Table1342[[#This Row],[Sales]]&gt;0,"Poor Sales")</f>
        <v>Poor Sales</v>
      </c>
      <c r="L341" s="19">
        <f>YEAR(Table1342[[#This Row],[Date]])</f>
        <v>2023</v>
      </c>
      <c r="M341" s="19">
        <f>MONTH(Table1342[[#This Row],[Date]])</f>
        <v>9</v>
      </c>
      <c r="N341" s="19">
        <f>DAY(Table1342[[#This Row],[Date]])</f>
        <v>28</v>
      </c>
      <c r="O341" s="19"/>
      <c r="P341" s="19" t="str">
        <f>TEXT(DATE(2023,Table1342[[#This Row],[MONTH]],1),"mmm")</f>
        <v>Sep</v>
      </c>
      <c r="Q341" s="19"/>
    </row>
    <row r="342" spans="1:17" x14ac:dyDescent="0.3">
      <c r="A342" s="19">
        <v>341</v>
      </c>
      <c r="B342" s="20">
        <v>45107</v>
      </c>
      <c r="C342" s="19" t="s">
        <v>15</v>
      </c>
      <c r="D342" s="19" t="s">
        <v>16</v>
      </c>
      <c r="E342" s="19" t="s">
        <v>17</v>
      </c>
      <c r="F342" s="19" t="s">
        <v>31</v>
      </c>
      <c r="G342" s="19" t="s">
        <v>39</v>
      </c>
      <c r="H342" s="21">
        <v>5630.69</v>
      </c>
      <c r="I342" s="19">
        <v>7</v>
      </c>
      <c r="J342" s="21">
        <v>337.23</v>
      </c>
      <c r="K342" s="19" t="str" cm="1">
        <f t="array" ref="K342">_xlfn.IFS(Table1342[[#This Row],[Sales]]&gt;40000,"Best Sales",Table1342[[#This Row],[Sales]]&gt;20000,"Average Sales",Table1342[[#This Row],[Sales]]&gt;0,"Poor Sales")</f>
        <v>Poor Sales</v>
      </c>
      <c r="L342" s="19">
        <f>YEAR(Table1342[[#This Row],[Date]])</f>
        <v>2023</v>
      </c>
      <c r="M342" s="19">
        <f>MONTH(Table1342[[#This Row],[Date]])</f>
        <v>6</v>
      </c>
      <c r="N342" s="19">
        <f>DAY(Table1342[[#This Row],[Date]])</f>
        <v>30</v>
      </c>
      <c r="O342" s="19"/>
      <c r="P342" s="19" t="str">
        <f>TEXT(DATE(2023,Table1342[[#This Row],[MONTH]],1),"mmm")</f>
        <v>Jun</v>
      </c>
      <c r="Q342" s="19"/>
    </row>
    <row r="343" spans="1:17" x14ac:dyDescent="0.3">
      <c r="A343" s="19">
        <v>342</v>
      </c>
      <c r="B343" s="20">
        <v>45286</v>
      </c>
      <c r="C343" s="19" t="s">
        <v>26</v>
      </c>
      <c r="D343" s="19" t="s">
        <v>27</v>
      </c>
      <c r="E343" s="19" t="s">
        <v>20</v>
      </c>
      <c r="F343" s="19" t="s">
        <v>31</v>
      </c>
      <c r="G343" s="19" t="s">
        <v>39</v>
      </c>
      <c r="H343" s="21">
        <v>12929.68</v>
      </c>
      <c r="I343" s="19">
        <v>1</v>
      </c>
      <c r="J343" s="21">
        <v>3699.71</v>
      </c>
      <c r="K343" s="19" t="str" cm="1">
        <f t="array" ref="K343">_xlfn.IFS(Table1342[[#This Row],[Sales]]&gt;40000,"Best Sales",Table1342[[#This Row],[Sales]]&gt;20000,"Average Sales",Table1342[[#This Row],[Sales]]&gt;0,"Poor Sales")</f>
        <v>Poor Sales</v>
      </c>
      <c r="L343" s="19">
        <f>YEAR(Table1342[[#This Row],[Date]])</f>
        <v>2023</v>
      </c>
      <c r="M343" s="19">
        <f>MONTH(Table1342[[#This Row],[Date]])</f>
        <v>12</v>
      </c>
      <c r="N343" s="19">
        <f>DAY(Table1342[[#This Row],[Date]])</f>
        <v>26</v>
      </c>
      <c r="O343" s="19"/>
      <c r="P343" s="19" t="str">
        <f>TEXT(DATE(2023,Table1342[[#This Row],[MONTH]],1),"mmm")</f>
        <v>Dec</v>
      </c>
      <c r="Q343" s="19"/>
    </row>
    <row r="344" spans="1:17" x14ac:dyDescent="0.3">
      <c r="A344" s="19">
        <v>343</v>
      </c>
      <c r="B344" s="20">
        <v>45136</v>
      </c>
      <c r="C344" s="19" t="s">
        <v>22</v>
      </c>
      <c r="D344" s="19" t="s">
        <v>22</v>
      </c>
      <c r="E344" s="19" t="s">
        <v>20</v>
      </c>
      <c r="F344" s="19" t="s">
        <v>13</v>
      </c>
      <c r="G344" s="19" t="s">
        <v>21</v>
      </c>
      <c r="H344" s="21">
        <v>2770.4</v>
      </c>
      <c r="I344" s="19">
        <v>7</v>
      </c>
      <c r="J344" s="21">
        <v>401.13</v>
      </c>
      <c r="K344" s="19" t="str" cm="1">
        <f t="array" ref="K344">_xlfn.IFS(Table1342[[#This Row],[Sales]]&gt;40000,"Best Sales",Table1342[[#This Row],[Sales]]&gt;20000,"Average Sales",Table1342[[#This Row],[Sales]]&gt;0,"Poor Sales")</f>
        <v>Poor Sales</v>
      </c>
      <c r="L344" s="19">
        <f>YEAR(Table1342[[#This Row],[Date]])</f>
        <v>2023</v>
      </c>
      <c r="M344" s="19">
        <f>MONTH(Table1342[[#This Row],[Date]])</f>
        <v>7</v>
      </c>
      <c r="N344" s="19">
        <f>DAY(Table1342[[#This Row],[Date]])</f>
        <v>29</v>
      </c>
      <c r="O344" s="19"/>
      <c r="P344" s="19" t="str">
        <f>TEXT(DATE(2023,Table1342[[#This Row],[MONTH]],1),"mmm")</f>
        <v>Jul</v>
      </c>
      <c r="Q344" s="19"/>
    </row>
    <row r="345" spans="1:17" x14ac:dyDescent="0.3">
      <c r="A345" s="19">
        <v>344</v>
      </c>
      <c r="B345" s="20">
        <v>45076</v>
      </c>
      <c r="C345" s="19" t="s">
        <v>38</v>
      </c>
      <c r="D345" s="19" t="s">
        <v>27</v>
      </c>
      <c r="E345" s="19" t="s">
        <v>12</v>
      </c>
      <c r="F345" s="19" t="s">
        <v>31</v>
      </c>
      <c r="G345" s="19" t="s">
        <v>32</v>
      </c>
      <c r="H345" s="21">
        <v>44238.62</v>
      </c>
      <c r="I345" s="19">
        <v>7</v>
      </c>
      <c r="J345" s="21">
        <v>10311.209999999999</v>
      </c>
      <c r="K345" s="19" t="str" cm="1">
        <f t="array" ref="K345">_xlfn.IFS(Table1342[[#This Row],[Sales]]&gt;40000,"Best Sales",Table1342[[#This Row],[Sales]]&gt;20000,"Average Sales",Table1342[[#This Row],[Sales]]&gt;0,"Poor Sales")</f>
        <v>Best Sales</v>
      </c>
      <c r="L345" s="19">
        <f>YEAR(Table1342[[#This Row],[Date]])</f>
        <v>2023</v>
      </c>
      <c r="M345" s="19">
        <f>MONTH(Table1342[[#This Row],[Date]])</f>
        <v>5</v>
      </c>
      <c r="N345" s="19">
        <f>DAY(Table1342[[#This Row],[Date]])</f>
        <v>30</v>
      </c>
      <c r="O345" s="19"/>
      <c r="P345" s="19" t="str">
        <f>TEXT(DATE(2023,Table1342[[#This Row],[MONTH]],1),"mmm")</f>
        <v>May</v>
      </c>
      <c r="Q345" s="19"/>
    </row>
    <row r="346" spans="1:17" x14ac:dyDescent="0.3">
      <c r="A346" s="19">
        <v>345</v>
      </c>
      <c r="B346" s="20">
        <v>45024</v>
      </c>
      <c r="C346" s="19" t="s">
        <v>18</v>
      </c>
      <c r="D346" s="19" t="s">
        <v>19</v>
      </c>
      <c r="E346" s="19" t="s">
        <v>17</v>
      </c>
      <c r="F346" s="19" t="s">
        <v>13</v>
      </c>
      <c r="G346" s="19" t="s">
        <v>34</v>
      </c>
      <c r="H346" s="21">
        <v>34979.96</v>
      </c>
      <c r="I346" s="19">
        <v>3</v>
      </c>
      <c r="J346" s="21">
        <v>6888.91</v>
      </c>
      <c r="K346" s="19" t="str" cm="1">
        <f t="array" ref="K346">_xlfn.IFS(Table1342[[#This Row],[Sales]]&gt;40000,"Best Sales",Table1342[[#This Row],[Sales]]&gt;20000,"Average Sales",Table1342[[#This Row],[Sales]]&gt;0,"Poor Sales")</f>
        <v>Average Sales</v>
      </c>
      <c r="L346" s="19">
        <f>YEAR(Table1342[[#This Row],[Date]])</f>
        <v>2023</v>
      </c>
      <c r="M346" s="19">
        <f>MONTH(Table1342[[#This Row],[Date]])</f>
        <v>4</v>
      </c>
      <c r="N346" s="19">
        <f>DAY(Table1342[[#This Row],[Date]])</f>
        <v>8</v>
      </c>
      <c r="O346" s="19"/>
      <c r="P346" s="19" t="str">
        <f>TEXT(DATE(2023,Table1342[[#This Row],[MONTH]],1),"mmm")</f>
        <v>Apr</v>
      </c>
      <c r="Q346" s="19"/>
    </row>
    <row r="347" spans="1:17" x14ac:dyDescent="0.3">
      <c r="A347" s="19">
        <v>346</v>
      </c>
      <c r="B347" s="20">
        <v>45085</v>
      </c>
      <c r="C347" s="19" t="s">
        <v>22</v>
      </c>
      <c r="D347" s="19" t="s">
        <v>22</v>
      </c>
      <c r="E347" s="19" t="s">
        <v>12</v>
      </c>
      <c r="F347" s="19" t="s">
        <v>31</v>
      </c>
      <c r="G347" s="19" t="s">
        <v>32</v>
      </c>
      <c r="H347" s="21">
        <v>48862.53</v>
      </c>
      <c r="I347" s="19">
        <v>4</v>
      </c>
      <c r="J347" s="21">
        <v>12427.15</v>
      </c>
      <c r="K347" s="19" t="str" cm="1">
        <f t="array" ref="K347">_xlfn.IFS(Table1342[[#This Row],[Sales]]&gt;40000,"Best Sales",Table1342[[#This Row],[Sales]]&gt;20000,"Average Sales",Table1342[[#This Row],[Sales]]&gt;0,"Poor Sales")</f>
        <v>Best Sales</v>
      </c>
      <c r="L347" s="19">
        <f>YEAR(Table1342[[#This Row],[Date]])</f>
        <v>2023</v>
      </c>
      <c r="M347" s="19">
        <f>MONTH(Table1342[[#This Row],[Date]])</f>
        <v>6</v>
      </c>
      <c r="N347" s="19">
        <f>DAY(Table1342[[#This Row],[Date]])</f>
        <v>8</v>
      </c>
      <c r="O347" s="19"/>
      <c r="P347" s="19" t="str">
        <f>TEXT(DATE(2023,Table1342[[#This Row],[MONTH]],1),"mmm")</f>
        <v>Jun</v>
      </c>
      <c r="Q347" s="19"/>
    </row>
    <row r="348" spans="1:17" x14ac:dyDescent="0.3">
      <c r="A348" s="19">
        <v>347</v>
      </c>
      <c r="B348" s="20">
        <v>45207</v>
      </c>
      <c r="C348" s="19" t="s">
        <v>37</v>
      </c>
      <c r="D348" s="19" t="s">
        <v>27</v>
      </c>
      <c r="E348" s="19" t="s">
        <v>17</v>
      </c>
      <c r="F348" s="19" t="s">
        <v>13</v>
      </c>
      <c r="G348" s="19" t="s">
        <v>21</v>
      </c>
      <c r="H348" s="21">
        <v>8542.52</v>
      </c>
      <c r="I348" s="19">
        <v>9</v>
      </c>
      <c r="J348" s="21">
        <v>1149.1300000000001</v>
      </c>
      <c r="K348" s="19" t="str" cm="1">
        <f t="array" ref="K348">_xlfn.IFS(Table1342[[#This Row],[Sales]]&gt;40000,"Best Sales",Table1342[[#This Row],[Sales]]&gt;20000,"Average Sales",Table1342[[#This Row],[Sales]]&gt;0,"Poor Sales")</f>
        <v>Poor Sales</v>
      </c>
      <c r="L348" s="19">
        <f>YEAR(Table1342[[#This Row],[Date]])</f>
        <v>2023</v>
      </c>
      <c r="M348" s="19">
        <f>MONTH(Table1342[[#This Row],[Date]])</f>
        <v>10</v>
      </c>
      <c r="N348" s="19">
        <f>DAY(Table1342[[#This Row],[Date]])</f>
        <v>8</v>
      </c>
      <c r="O348" s="19"/>
      <c r="P348" s="19" t="str">
        <f>TEXT(DATE(2023,Table1342[[#This Row],[MONTH]],1),"mmm")</f>
        <v>Oct</v>
      </c>
      <c r="Q348" s="19"/>
    </row>
    <row r="349" spans="1:17" x14ac:dyDescent="0.3">
      <c r="A349" s="19">
        <v>348</v>
      </c>
      <c r="B349" s="20">
        <v>45256</v>
      </c>
      <c r="C349" s="19" t="s">
        <v>10</v>
      </c>
      <c r="D349" s="19" t="s">
        <v>11</v>
      </c>
      <c r="E349" s="19" t="s">
        <v>20</v>
      </c>
      <c r="F349" s="19" t="s">
        <v>13</v>
      </c>
      <c r="G349" s="19" t="s">
        <v>14</v>
      </c>
      <c r="H349" s="21">
        <v>27306.13</v>
      </c>
      <c r="I349" s="19">
        <v>6</v>
      </c>
      <c r="J349" s="21">
        <v>6925.83</v>
      </c>
      <c r="K349" s="19" t="str" cm="1">
        <f t="array" ref="K349">_xlfn.IFS(Table1342[[#This Row],[Sales]]&gt;40000,"Best Sales",Table1342[[#This Row],[Sales]]&gt;20000,"Average Sales",Table1342[[#This Row],[Sales]]&gt;0,"Poor Sales")</f>
        <v>Average Sales</v>
      </c>
      <c r="L349" s="19">
        <f>YEAR(Table1342[[#This Row],[Date]])</f>
        <v>2023</v>
      </c>
      <c r="M349" s="19">
        <f>MONTH(Table1342[[#This Row],[Date]])</f>
        <v>11</v>
      </c>
      <c r="N349" s="19">
        <f>DAY(Table1342[[#This Row],[Date]])</f>
        <v>26</v>
      </c>
      <c r="O349" s="19"/>
      <c r="P349" s="19" t="str">
        <f>TEXT(DATE(2023,Table1342[[#This Row],[MONTH]],1),"mmm")</f>
        <v>Nov</v>
      </c>
      <c r="Q349" s="19"/>
    </row>
    <row r="350" spans="1:17" x14ac:dyDescent="0.3">
      <c r="A350" s="19">
        <v>349</v>
      </c>
      <c r="B350" s="20">
        <v>45192</v>
      </c>
      <c r="C350" s="19" t="s">
        <v>26</v>
      </c>
      <c r="D350" s="19" t="s">
        <v>27</v>
      </c>
      <c r="E350" s="19" t="s">
        <v>20</v>
      </c>
      <c r="F350" s="19" t="s">
        <v>13</v>
      </c>
      <c r="G350" s="19" t="s">
        <v>14</v>
      </c>
      <c r="H350" s="21">
        <v>6233.07</v>
      </c>
      <c r="I350" s="19">
        <v>2</v>
      </c>
      <c r="J350" s="21">
        <v>1160.33</v>
      </c>
      <c r="K350" s="19" t="str" cm="1">
        <f t="array" ref="K350">_xlfn.IFS(Table1342[[#This Row],[Sales]]&gt;40000,"Best Sales",Table1342[[#This Row],[Sales]]&gt;20000,"Average Sales",Table1342[[#This Row],[Sales]]&gt;0,"Poor Sales")</f>
        <v>Poor Sales</v>
      </c>
      <c r="L350" s="19">
        <f>YEAR(Table1342[[#This Row],[Date]])</f>
        <v>2023</v>
      </c>
      <c r="M350" s="19">
        <f>MONTH(Table1342[[#This Row],[Date]])</f>
        <v>9</v>
      </c>
      <c r="N350" s="19">
        <f>DAY(Table1342[[#This Row],[Date]])</f>
        <v>23</v>
      </c>
      <c r="O350" s="19"/>
      <c r="P350" s="19" t="str">
        <f>TEXT(DATE(2023,Table1342[[#This Row],[MONTH]],1),"mmm")</f>
        <v>Sep</v>
      </c>
      <c r="Q350" s="19"/>
    </row>
    <row r="351" spans="1:17" x14ac:dyDescent="0.3">
      <c r="A351" s="19">
        <v>350</v>
      </c>
      <c r="B351" s="20">
        <v>44946</v>
      </c>
      <c r="C351" s="19" t="s">
        <v>37</v>
      </c>
      <c r="D351" s="19" t="s">
        <v>27</v>
      </c>
      <c r="E351" s="19" t="s">
        <v>12</v>
      </c>
      <c r="F351" s="19" t="s">
        <v>24</v>
      </c>
      <c r="G351" s="19" t="s">
        <v>28</v>
      </c>
      <c r="H351" s="21">
        <v>16041.6</v>
      </c>
      <c r="I351" s="19">
        <v>4</v>
      </c>
      <c r="J351" s="21">
        <v>3108.36</v>
      </c>
      <c r="K351" s="19" t="str" cm="1">
        <f t="array" ref="K351">_xlfn.IFS(Table1342[[#This Row],[Sales]]&gt;40000,"Best Sales",Table1342[[#This Row],[Sales]]&gt;20000,"Average Sales",Table1342[[#This Row],[Sales]]&gt;0,"Poor Sales")</f>
        <v>Poor Sales</v>
      </c>
      <c r="L351" s="19">
        <f>YEAR(Table1342[[#This Row],[Date]])</f>
        <v>2023</v>
      </c>
      <c r="M351" s="19">
        <f>MONTH(Table1342[[#This Row],[Date]])</f>
        <v>1</v>
      </c>
      <c r="N351" s="19">
        <f>DAY(Table1342[[#This Row],[Date]])</f>
        <v>20</v>
      </c>
      <c r="O351" s="19"/>
      <c r="P351" s="19" t="str">
        <f>TEXT(DATE(2023,Table1342[[#This Row],[MONTH]],1),"mmm")</f>
        <v>Jan</v>
      </c>
      <c r="Q351" s="19"/>
    </row>
    <row r="352" spans="1:17" x14ac:dyDescent="0.3">
      <c r="A352" s="19">
        <v>351</v>
      </c>
      <c r="B352" s="20">
        <v>44960</v>
      </c>
      <c r="C352" s="19" t="s">
        <v>37</v>
      </c>
      <c r="D352" s="19" t="s">
        <v>27</v>
      </c>
      <c r="E352" s="19" t="s">
        <v>17</v>
      </c>
      <c r="F352" s="19" t="s">
        <v>13</v>
      </c>
      <c r="G352" s="19" t="s">
        <v>14</v>
      </c>
      <c r="H352" s="21">
        <v>32906.46</v>
      </c>
      <c r="I352" s="19">
        <v>10</v>
      </c>
      <c r="J352" s="21">
        <v>2385.66</v>
      </c>
      <c r="K352" s="19" t="str" cm="1">
        <f t="array" ref="K352">_xlfn.IFS(Table1342[[#This Row],[Sales]]&gt;40000,"Best Sales",Table1342[[#This Row],[Sales]]&gt;20000,"Average Sales",Table1342[[#This Row],[Sales]]&gt;0,"Poor Sales")</f>
        <v>Average Sales</v>
      </c>
      <c r="L352" s="19">
        <f>YEAR(Table1342[[#This Row],[Date]])</f>
        <v>2023</v>
      </c>
      <c r="M352" s="19">
        <f>MONTH(Table1342[[#This Row],[Date]])</f>
        <v>2</v>
      </c>
      <c r="N352" s="19">
        <f>DAY(Table1342[[#This Row],[Date]])</f>
        <v>3</v>
      </c>
      <c r="O352" s="19"/>
      <c r="P352" s="19" t="str">
        <f>TEXT(DATE(2023,Table1342[[#This Row],[MONTH]],1),"mmm")</f>
        <v>Feb</v>
      </c>
      <c r="Q352" s="19"/>
    </row>
    <row r="353" spans="1:17" x14ac:dyDescent="0.3">
      <c r="A353" s="19">
        <v>352</v>
      </c>
      <c r="B353" s="20">
        <v>44988</v>
      </c>
      <c r="C353" s="19" t="s">
        <v>22</v>
      </c>
      <c r="D353" s="19" t="s">
        <v>22</v>
      </c>
      <c r="E353" s="19" t="s">
        <v>12</v>
      </c>
      <c r="F353" s="19" t="s">
        <v>31</v>
      </c>
      <c r="G353" s="19" t="s">
        <v>39</v>
      </c>
      <c r="H353" s="21">
        <v>37239.54</v>
      </c>
      <c r="I353" s="19">
        <v>7</v>
      </c>
      <c r="J353" s="21">
        <v>2504.85</v>
      </c>
      <c r="K353" s="19" t="str" cm="1">
        <f t="array" ref="K353">_xlfn.IFS(Table1342[[#This Row],[Sales]]&gt;40000,"Best Sales",Table1342[[#This Row],[Sales]]&gt;20000,"Average Sales",Table1342[[#This Row],[Sales]]&gt;0,"Poor Sales")</f>
        <v>Average Sales</v>
      </c>
      <c r="L353" s="19">
        <f>YEAR(Table1342[[#This Row],[Date]])</f>
        <v>2023</v>
      </c>
      <c r="M353" s="19">
        <f>MONTH(Table1342[[#This Row],[Date]])</f>
        <v>3</v>
      </c>
      <c r="N353" s="19">
        <f>DAY(Table1342[[#This Row],[Date]])</f>
        <v>3</v>
      </c>
      <c r="O353" s="19"/>
      <c r="P353" s="19" t="str">
        <f>TEXT(DATE(2023,Table1342[[#This Row],[MONTH]],1),"mmm")</f>
        <v>Mar</v>
      </c>
      <c r="Q353" s="19"/>
    </row>
    <row r="354" spans="1:17" x14ac:dyDescent="0.3">
      <c r="A354" s="19">
        <v>353</v>
      </c>
      <c r="B354" s="20">
        <v>45202</v>
      </c>
      <c r="C354" s="19" t="s">
        <v>22</v>
      </c>
      <c r="D354" s="19" t="s">
        <v>22</v>
      </c>
      <c r="E354" s="19" t="s">
        <v>17</v>
      </c>
      <c r="F354" s="19" t="s">
        <v>31</v>
      </c>
      <c r="G354" s="19" t="s">
        <v>39</v>
      </c>
      <c r="H354" s="21">
        <v>4483.34</v>
      </c>
      <c r="I354" s="19">
        <v>9</v>
      </c>
      <c r="J354" s="21">
        <v>1083.8</v>
      </c>
      <c r="K354" s="19" t="str" cm="1">
        <f t="array" ref="K354">_xlfn.IFS(Table1342[[#This Row],[Sales]]&gt;40000,"Best Sales",Table1342[[#This Row],[Sales]]&gt;20000,"Average Sales",Table1342[[#This Row],[Sales]]&gt;0,"Poor Sales")</f>
        <v>Poor Sales</v>
      </c>
      <c r="L354" s="19">
        <f>YEAR(Table1342[[#This Row],[Date]])</f>
        <v>2023</v>
      </c>
      <c r="M354" s="19">
        <f>MONTH(Table1342[[#This Row],[Date]])</f>
        <v>10</v>
      </c>
      <c r="N354" s="19">
        <f>DAY(Table1342[[#This Row],[Date]])</f>
        <v>3</v>
      </c>
      <c r="O354" s="19"/>
      <c r="P354" s="19" t="str">
        <f>TEXT(DATE(2023,Table1342[[#This Row],[MONTH]],1),"mmm")</f>
        <v>Oct</v>
      </c>
      <c r="Q354" s="19"/>
    </row>
    <row r="355" spans="1:17" x14ac:dyDescent="0.3">
      <c r="A355" s="19">
        <v>354</v>
      </c>
      <c r="B355" s="20">
        <v>44965</v>
      </c>
      <c r="C355" s="19" t="s">
        <v>37</v>
      </c>
      <c r="D355" s="19" t="s">
        <v>27</v>
      </c>
      <c r="E355" s="19" t="s">
        <v>20</v>
      </c>
      <c r="F355" s="19" t="s">
        <v>31</v>
      </c>
      <c r="G355" s="19" t="s">
        <v>32</v>
      </c>
      <c r="H355" s="21">
        <v>48213.14</v>
      </c>
      <c r="I355" s="19">
        <v>6</v>
      </c>
      <c r="J355" s="21">
        <v>10326.15</v>
      </c>
      <c r="K355" s="19" t="str" cm="1">
        <f t="array" ref="K355">_xlfn.IFS(Table1342[[#This Row],[Sales]]&gt;40000,"Best Sales",Table1342[[#This Row],[Sales]]&gt;20000,"Average Sales",Table1342[[#This Row],[Sales]]&gt;0,"Poor Sales")</f>
        <v>Best Sales</v>
      </c>
      <c r="L355" s="19">
        <f>YEAR(Table1342[[#This Row],[Date]])</f>
        <v>2023</v>
      </c>
      <c r="M355" s="19">
        <f>MONTH(Table1342[[#This Row],[Date]])</f>
        <v>2</v>
      </c>
      <c r="N355" s="19">
        <f>DAY(Table1342[[#This Row],[Date]])</f>
        <v>8</v>
      </c>
      <c r="O355" s="19"/>
      <c r="P355" s="19" t="str">
        <f>TEXT(DATE(2023,Table1342[[#This Row],[MONTH]],1),"mmm")</f>
        <v>Feb</v>
      </c>
      <c r="Q355" s="19"/>
    </row>
    <row r="356" spans="1:17" x14ac:dyDescent="0.3">
      <c r="A356" s="19">
        <v>355</v>
      </c>
      <c r="B356" s="20">
        <v>45087</v>
      </c>
      <c r="C356" s="19" t="s">
        <v>22</v>
      </c>
      <c r="D356" s="19" t="s">
        <v>22</v>
      </c>
      <c r="E356" s="19" t="s">
        <v>20</v>
      </c>
      <c r="F356" s="19" t="s">
        <v>24</v>
      </c>
      <c r="G356" s="19" t="s">
        <v>29</v>
      </c>
      <c r="H356" s="21">
        <v>42851.99</v>
      </c>
      <c r="I356" s="19">
        <v>5</v>
      </c>
      <c r="J356" s="21">
        <v>9496.2099999999991</v>
      </c>
      <c r="K356" s="19" t="str" cm="1">
        <f t="array" ref="K356">_xlfn.IFS(Table1342[[#This Row],[Sales]]&gt;40000,"Best Sales",Table1342[[#This Row],[Sales]]&gt;20000,"Average Sales",Table1342[[#This Row],[Sales]]&gt;0,"Poor Sales")</f>
        <v>Best Sales</v>
      </c>
      <c r="L356" s="19">
        <f>YEAR(Table1342[[#This Row],[Date]])</f>
        <v>2023</v>
      </c>
      <c r="M356" s="19">
        <f>MONTH(Table1342[[#This Row],[Date]])</f>
        <v>6</v>
      </c>
      <c r="N356" s="19">
        <f>DAY(Table1342[[#This Row],[Date]])</f>
        <v>10</v>
      </c>
      <c r="O356" s="19"/>
      <c r="P356" s="19" t="str">
        <f>TEXT(DATE(2023,Table1342[[#This Row],[MONTH]],1),"mmm")</f>
        <v>Jun</v>
      </c>
      <c r="Q356" s="19"/>
    </row>
    <row r="357" spans="1:17" x14ac:dyDescent="0.3">
      <c r="A357" s="19">
        <v>356</v>
      </c>
      <c r="B357" s="20">
        <v>44987</v>
      </c>
      <c r="C357" s="19" t="s">
        <v>18</v>
      </c>
      <c r="D357" s="19" t="s">
        <v>19</v>
      </c>
      <c r="E357" s="19" t="s">
        <v>12</v>
      </c>
      <c r="F357" s="19" t="s">
        <v>24</v>
      </c>
      <c r="G357" s="19" t="s">
        <v>28</v>
      </c>
      <c r="H357" s="21">
        <v>1320.69</v>
      </c>
      <c r="I357" s="19">
        <v>2</v>
      </c>
      <c r="J357" s="21">
        <v>152.43</v>
      </c>
      <c r="K357" s="19" t="str" cm="1">
        <f t="array" ref="K357">_xlfn.IFS(Table1342[[#This Row],[Sales]]&gt;40000,"Best Sales",Table1342[[#This Row],[Sales]]&gt;20000,"Average Sales",Table1342[[#This Row],[Sales]]&gt;0,"Poor Sales")</f>
        <v>Poor Sales</v>
      </c>
      <c r="L357" s="19">
        <f>YEAR(Table1342[[#This Row],[Date]])</f>
        <v>2023</v>
      </c>
      <c r="M357" s="19">
        <f>MONTH(Table1342[[#This Row],[Date]])</f>
        <v>3</v>
      </c>
      <c r="N357" s="19">
        <f>DAY(Table1342[[#This Row],[Date]])</f>
        <v>2</v>
      </c>
      <c r="O357" s="19"/>
      <c r="P357" s="19" t="str">
        <f>TEXT(DATE(2023,Table1342[[#This Row],[MONTH]],1),"mmm")</f>
        <v>Mar</v>
      </c>
      <c r="Q357" s="19"/>
    </row>
    <row r="358" spans="1:17" x14ac:dyDescent="0.3">
      <c r="A358" s="19">
        <v>357</v>
      </c>
      <c r="B358" s="20">
        <v>45093</v>
      </c>
      <c r="C358" s="19" t="s">
        <v>38</v>
      </c>
      <c r="D358" s="19" t="s">
        <v>27</v>
      </c>
      <c r="E358" s="19" t="s">
        <v>17</v>
      </c>
      <c r="F358" s="19" t="s">
        <v>31</v>
      </c>
      <c r="G358" s="19" t="s">
        <v>33</v>
      </c>
      <c r="H358" s="21">
        <v>27600.51</v>
      </c>
      <c r="I358" s="19">
        <v>4</v>
      </c>
      <c r="J358" s="21">
        <v>6255.76</v>
      </c>
      <c r="K358" s="19" t="str" cm="1">
        <f t="array" ref="K358">_xlfn.IFS(Table1342[[#This Row],[Sales]]&gt;40000,"Best Sales",Table1342[[#This Row],[Sales]]&gt;20000,"Average Sales",Table1342[[#This Row],[Sales]]&gt;0,"Poor Sales")</f>
        <v>Average Sales</v>
      </c>
      <c r="L358" s="19">
        <f>YEAR(Table1342[[#This Row],[Date]])</f>
        <v>2023</v>
      </c>
      <c r="M358" s="19">
        <f>MONTH(Table1342[[#This Row],[Date]])</f>
        <v>6</v>
      </c>
      <c r="N358" s="19">
        <f>DAY(Table1342[[#This Row],[Date]])</f>
        <v>16</v>
      </c>
      <c r="O358" s="19"/>
      <c r="P358" s="19" t="str">
        <f>TEXT(DATE(2023,Table1342[[#This Row],[MONTH]],1),"mmm")</f>
        <v>Jun</v>
      </c>
      <c r="Q358" s="19"/>
    </row>
    <row r="359" spans="1:17" x14ac:dyDescent="0.3">
      <c r="A359" s="19">
        <v>358</v>
      </c>
      <c r="B359" s="20">
        <v>44942</v>
      </c>
      <c r="C359" s="19" t="s">
        <v>15</v>
      </c>
      <c r="D359" s="19" t="s">
        <v>16</v>
      </c>
      <c r="E359" s="19" t="s">
        <v>12</v>
      </c>
      <c r="F359" s="19" t="s">
        <v>13</v>
      </c>
      <c r="G359" s="19" t="s">
        <v>21</v>
      </c>
      <c r="H359" s="21">
        <v>36776.78</v>
      </c>
      <c r="I359" s="19">
        <v>10</v>
      </c>
      <c r="J359" s="21">
        <v>9228.1200000000008</v>
      </c>
      <c r="K359" s="19" t="str" cm="1">
        <f t="array" ref="K359">_xlfn.IFS(Table1342[[#This Row],[Sales]]&gt;40000,"Best Sales",Table1342[[#This Row],[Sales]]&gt;20000,"Average Sales",Table1342[[#This Row],[Sales]]&gt;0,"Poor Sales")</f>
        <v>Average Sales</v>
      </c>
      <c r="L359" s="19">
        <f>YEAR(Table1342[[#This Row],[Date]])</f>
        <v>2023</v>
      </c>
      <c r="M359" s="19">
        <f>MONTH(Table1342[[#This Row],[Date]])</f>
        <v>1</v>
      </c>
      <c r="N359" s="19">
        <f>DAY(Table1342[[#This Row],[Date]])</f>
        <v>16</v>
      </c>
      <c r="O359" s="19"/>
      <c r="P359" s="19" t="str">
        <f>TEXT(DATE(2023,Table1342[[#This Row],[MONTH]],1),"mmm")</f>
        <v>Jan</v>
      </c>
      <c r="Q359" s="19"/>
    </row>
    <row r="360" spans="1:17" x14ac:dyDescent="0.3">
      <c r="A360" s="19">
        <v>359</v>
      </c>
      <c r="B360" s="20">
        <v>45214</v>
      </c>
      <c r="C360" s="19" t="s">
        <v>30</v>
      </c>
      <c r="D360" s="19" t="s">
        <v>16</v>
      </c>
      <c r="E360" s="19" t="s">
        <v>17</v>
      </c>
      <c r="F360" s="19" t="s">
        <v>31</v>
      </c>
      <c r="G360" s="19" t="s">
        <v>33</v>
      </c>
      <c r="H360" s="21">
        <v>23572.9</v>
      </c>
      <c r="I360" s="19">
        <v>9</v>
      </c>
      <c r="J360" s="21">
        <v>2990.66</v>
      </c>
      <c r="K360" s="19" t="str" cm="1">
        <f t="array" ref="K360">_xlfn.IFS(Table1342[[#This Row],[Sales]]&gt;40000,"Best Sales",Table1342[[#This Row],[Sales]]&gt;20000,"Average Sales",Table1342[[#This Row],[Sales]]&gt;0,"Poor Sales")</f>
        <v>Average Sales</v>
      </c>
      <c r="L360" s="19">
        <f>YEAR(Table1342[[#This Row],[Date]])</f>
        <v>2023</v>
      </c>
      <c r="M360" s="19">
        <f>MONTH(Table1342[[#This Row],[Date]])</f>
        <v>10</v>
      </c>
      <c r="N360" s="19">
        <f>DAY(Table1342[[#This Row],[Date]])</f>
        <v>15</v>
      </c>
      <c r="O360" s="19"/>
      <c r="P360" s="19" t="str">
        <f>TEXT(DATE(2023,Table1342[[#This Row],[MONTH]],1),"mmm")</f>
        <v>Oct</v>
      </c>
      <c r="Q360" s="19"/>
    </row>
    <row r="361" spans="1:17" x14ac:dyDescent="0.3">
      <c r="A361" s="19">
        <v>360</v>
      </c>
      <c r="B361" s="20">
        <v>45259</v>
      </c>
      <c r="C361" s="19" t="s">
        <v>30</v>
      </c>
      <c r="D361" s="19" t="s">
        <v>16</v>
      </c>
      <c r="E361" s="19" t="s">
        <v>20</v>
      </c>
      <c r="F361" s="19" t="s">
        <v>13</v>
      </c>
      <c r="G361" s="19" t="s">
        <v>21</v>
      </c>
      <c r="H361" s="21">
        <v>47935.1</v>
      </c>
      <c r="I361" s="19">
        <v>5</v>
      </c>
      <c r="J361" s="21">
        <v>13700.82</v>
      </c>
      <c r="K361" s="19" t="str" cm="1">
        <f t="array" ref="K361">_xlfn.IFS(Table1342[[#This Row],[Sales]]&gt;40000,"Best Sales",Table1342[[#This Row],[Sales]]&gt;20000,"Average Sales",Table1342[[#This Row],[Sales]]&gt;0,"Poor Sales")</f>
        <v>Best Sales</v>
      </c>
      <c r="L361" s="19">
        <f>YEAR(Table1342[[#This Row],[Date]])</f>
        <v>2023</v>
      </c>
      <c r="M361" s="19">
        <f>MONTH(Table1342[[#This Row],[Date]])</f>
        <v>11</v>
      </c>
      <c r="N361" s="19">
        <f>DAY(Table1342[[#This Row],[Date]])</f>
        <v>29</v>
      </c>
      <c r="O361" s="19"/>
      <c r="P361" s="19" t="str">
        <f>TEXT(DATE(2023,Table1342[[#This Row],[MONTH]],1),"mmm")</f>
        <v>Nov</v>
      </c>
      <c r="Q361" s="19"/>
    </row>
    <row r="362" spans="1:17" x14ac:dyDescent="0.3">
      <c r="A362" s="19">
        <v>361</v>
      </c>
      <c r="B362" s="20">
        <v>45227</v>
      </c>
      <c r="C362" s="19" t="s">
        <v>35</v>
      </c>
      <c r="D362" s="19" t="s">
        <v>36</v>
      </c>
      <c r="E362" s="19" t="s">
        <v>20</v>
      </c>
      <c r="F362" s="19" t="s">
        <v>24</v>
      </c>
      <c r="G362" s="19" t="s">
        <v>25</v>
      </c>
      <c r="H362" s="21">
        <v>48787.24</v>
      </c>
      <c r="I362" s="19">
        <v>5</v>
      </c>
      <c r="J362" s="21">
        <v>4438.05</v>
      </c>
      <c r="K362" s="19" t="str" cm="1">
        <f t="array" ref="K362">_xlfn.IFS(Table1342[[#This Row],[Sales]]&gt;40000,"Best Sales",Table1342[[#This Row],[Sales]]&gt;20000,"Average Sales",Table1342[[#This Row],[Sales]]&gt;0,"Poor Sales")</f>
        <v>Best Sales</v>
      </c>
      <c r="L362" s="19">
        <f>YEAR(Table1342[[#This Row],[Date]])</f>
        <v>2023</v>
      </c>
      <c r="M362" s="19">
        <f>MONTH(Table1342[[#This Row],[Date]])</f>
        <v>10</v>
      </c>
      <c r="N362" s="19">
        <f>DAY(Table1342[[#This Row],[Date]])</f>
        <v>28</v>
      </c>
      <c r="O362" s="19"/>
      <c r="P362" s="19" t="str">
        <f>TEXT(DATE(2023,Table1342[[#This Row],[MONTH]],1),"mmm")</f>
        <v>Oct</v>
      </c>
      <c r="Q362" s="19"/>
    </row>
    <row r="363" spans="1:17" x14ac:dyDescent="0.3">
      <c r="A363" s="19">
        <v>362</v>
      </c>
      <c r="B363" s="20">
        <v>45215</v>
      </c>
      <c r="C363" s="19" t="s">
        <v>38</v>
      </c>
      <c r="D363" s="19" t="s">
        <v>27</v>
      </c>
      <c r="E363" s="19" t="s">
        <v>12</v>
      </c>
      <c r="F363" s="19" t="s">
        <v>24</v>
      </c>
      <c r="G363" s="19" t="s">
        <v>29</v>
      </c>
      <c r="H363" s="21">
        <v>40509.99</v>
      </c>
      <c r="I363" s="19">
        <v>10</v>
      </c>
      <c r="J363" s="21">
        <v>9829.24</v>
      </c>
      <c r="K363" s="19" t="str" cm="1">
        <f t="array" ref="K363">_xlfn.IFS(Table1342[[#This Row],[Sales]]&gt;40000,"Best Sales",Table1342[[#This Row],[Sales]]&gt;20000,"Average Sales",Table1342[[#This Row],[Sales]]&gt;0,"Poor Sales")</f>
        <v>Best Sales</v>
      </c>
      <c r="L363" s="19">
        <f>YEAR(Table1342[[#This Row],[Date]])</f>
        <v>2023</v>
      </c>
      <c r="M363" s="19">
        <f>MONTH(Table1342[[#This Row],[Date]])</f>
        <v>10</v>
      </c>
      <c r="N363" s="19">
        <f>DAY(Table1342[[#This Row],[Date]])</f>
        <v>16</v>
      </c>
      <c r="O363" s="19"/>
      <c r="P363" s="19" t="str">
        <f>TEXT(DATE(2023,Table1342[[#This Row],[MONTH]],1),"mmm")</f>
        <v>Oct</v>
      </c>
      <c r="Q363" s="19"/>
    </row>
    <row r="364" spans="1:17" x14ac:dyDescent="0.3">
      <c r="A364" s="19">
        <v>363</v>
      </c>
      <c r="B364" s="20">
        <v>45006</v>
      </c>
      <c r="C364" s="19" t="s">
        <v>22</v>
      </c>
      <c r="D364" s="19" t="s">
        <v>22</v>
      </c>
      <c r="E364" s="19" t="s">
        <v>17</v>
      </c>
      <c r="F364" s="19" t="s">
        <v>13</v>
      </c>
      <c r="G364" s="19" t="s">
        <v>34</v>
      </c>
      <c r="H364" s="21">
        <v>48237.08</v>
      </c>
      <c r="I364" s="19">
        <v>4</v>
      </c>
      <c r="J364" s="21">
        <v>9886.32</v>
      </c>
      <c r="K364" s="19" t="str" cm="1">
        <f t="array" ref="K364">_xlfn.IFS(Table1342[[#This Row],[Sales]]&gt;40000,"Best Sales",Table1342[[#This Row],[Sales]]&gt;20000,"Average Sales",Table1342[[#This Row],[Sales]]&gt;0,"Poor Sales")</f>
        <v>Best Sales</v>
      </c>
      <c r="L364" s="19">
        <f>YEAR(Table1342[[#This Row],[Date]])</f>
        <v>2023</v>
      </c>
      <c r="M364" s="19">
        <f>MONTH(Table1342[[#This Row],[Date]])</f>
        <v>3</v>
      </c>
      <c r="N364" s="19">
        <f>DAY(Table1342[[#This Row],[Date]])</f>
        <v>21</v>
      </c>
      <c r="O364" s="19"/>
      <c r="P364" s="19" t="str">
        <f>TEXT(DATE(2023,Table1342[[#This Row],[MONTH]],1),"mmm")</f>
        <v>Mar</v>
      </c>
      <c r="Q364" s="19"/>
    </row>
    <row r="365" spans="1:17" x14ac:dyDescent="0.3">
      <c r="A365" s="19">
        <v>364</v>
      </c>
      <c r="B365" s="20">
        <v>45208</v>
      </c>
      <c r="C365" s="19" t="s">
        <v>38</v>
      </c>
      <c r="D365" s="19" t="s">
        <v>27</v>
      </c>
      <c r="E365" s="19" t="s">
        <v>12</v>
      </c>
      <c r="F365" s="19" t="s">
        <v>31</v>
      </c>
      <c r="G365" s="19" t="s">
        <v>33</v>
      </c>
      <c r="H365" s="21">
        <v>8457.08</v>
      </c>
      <c r="I365" s="19">
        <v>3</v>
      </c>
      <c r="J365" s="21">
        <v>618.28</v>
      </c>
      <c r="K365" s="19" t="str" cm="1">
        <f t="array" ref="K365">_xlfn.IFS(Table1342[[#This Row],[Sales]]&gt;40000,"Best Sales",Table1342[[#This Row],[Sales]]&gt;20000,"Average Sales",Table1342[[#This Row],[Sales]]&gt;0,"Poor Sales")</f>
        <v>Poor Sales</v>
      </c>
      <c r="L365" s="19">
        <f>YEAR(Table1342[[#This Row],[Date]])</f>
        <v>2023</v>
      </c>
      <c r="M365" s="19">
        <f>MONTH(Table1342[[#This Row],[Date]])</f>
        <v>10</v>
      </c>
      <c r="N365" s="19">
        <f>DAY(Table1342[[#This Row],[Date]])</f>
        <v>9</v>
      </c>
      <c r="O365" s="19"/>
      <c r="P365" s="19" t="str">
        <f>TEXT(DATE(2023,Table1342[[#This Row],[MONTH]],1),"mmm")</f>
        <v>Oct</v>
      </c>
      <c r="Q365" s="19"/>
    </row>
    <row r="366" spans="1:17" x14ac:dyDescent="0.3">
      <c r="A366" s="19">
        <v>365</v>
      </c>
      <c r="B366" s="20">
        <v>45110</v>
      </c>
      <c r="C366" s="19" t="s">
        <v>30</v>
      </c>
      <c r="D366" s="19" t="s">
        <v>16</v>
      </c>
      <c r="E366" s="19" t="s">
        <v>17</v>
      </c>
      <c r="F366" s="19" t="s">
        <v>31</v>
      </c>
      <c r="G366" s="19" t="s">
        <v>33</v>
      </c>
      <c r="H366" s="21">
        <v>38741.599999999999</v>
      </c>
      <c r="I366" s="19">
        <v>2</v>
      </c>
      <c r="J366" s="21">
        <v>3876.42</v>
      </c>
      <c r="K366" s="19" t="str" cm="1">
        <f t="array" ref="K366">_xlfn.IFS(Table1342[[#This Row],[Sales]]&gt;40000,"Best Sales",Table1342[[#This Row],[Sales]]&gt;20000,"Average Sales",Table1342[[#This Row],[Sales]]&gt;0,"Poor Sales")</f>
        <v>Average Sales</v>
      </c>
      <c r="L366" s="19">
        <f>YEAR(Table1342[[#This Row],[Date]])</f>
        <v>2023</v>
      </c>
      <c r="M366" s="19">
        <f>MONTH(Table1342[[#This Row],[Date]])</f>
        <v>7</v>
      </c>
      <c r="N366" s="19">
        <f>DAY(Table1342[[#This Row],[Date]])</f>
        <v>3</v>
      </c>
      <c r="O366" s="19"/>
      <c r="P366" s="19" t="str">
        <f>TEXT(DATE(2023,Table1342[[#This Row],[MONTH]],1),"mmm")</f>
        <v>Jul</v>
      </c>
      <c r="Q366" s="19"/>
    </row>
    <row r="367" spans="1:17" x14ac:dyDescent="0.3">
      <c r="A367" s="19">
        <v>366</v>
      </c>
      <c r="B367" s="20">
        <v>45185</v>
      </c>
      <c r="C367" s="19" t="s">
        <v>26</v>
      </c>
      <c r="D367" s="19" t="s">
        <v>27</v>
      </c>
      <c r="E367" s="19" t="s">
        <v>20</v>
      </c>
      <c r="F367" s="19" t="s">
        <v>13</v>
      </c>
      <c r="G367" s="19" t="s">
        <v>34</v>
      </c>
      <c r="H367" s="21">
        <v>2389.33</v>
      </c>
      <c r="I367" s="19">
        <v>2</v>
      </c>
      <c r="J367" s="21">
        <v>314.41000000000003</v>
      </c>
      <c r="K367" s="19" t="str" cm="1">
        <f t="array" ref="K367">_xlfn.IFS(Table1342[[#This Row],[Sales]]&gt;40000,"Best Sales",Table1342[[#This Row],[Sales]]&gt;20000,"Average Sales",Table1342[[#This Row],[Sales]]&gt;0,"Poor Sales")</f>
        <v>Poor Sales</v>
      </c>
      <c r="L367" s="19">
        <f>YEAR(Table1342[[#This Row],[Date]])</f>
        <v>2023</v>
      </c>
      <c r="M367" s="19">
        <f>MONTH(Table1342[[#This Row],[Date]])</f>
        <v>9</v>
      </c>
      <c r="N367" s="19">
        <f>DAY(Table1342[[#This Row],[Date]])</f>
        <v>16</v>
      </c>
      <c r="O367" s="19"/>
      <c r="P367" s="19" t="str">
        <f>TEXT(DATE(2023,Table1342[[#This Row],[MONTH]],1),"mmm")</f>
        <v>Sep</v>
      </c>
      <c r="Q367" s="19"/>
    </row>
    <row r="368" spans="1:17" x14ac:dyDescent="0.3">
      <c r="A368" s="19">
        <v>367</v>
      </c>
      <c r="B368" s="20">
        <v>45271</v>
      </c>
      <c r="C368" s="19" t="s">
        <v>18</v>
      </c>
      <c r="D368" s="19" t="s">
        <v>19</v>
      </c>
      <c r="E368" s="19" t="s">
        <v>20</v>
      </c>
      <c r="F368" s="19" t="s">
        <v>13</v>
      </c>
      <c r="G368" s="19" t="s">
        <v>21</v>
      </c>
      <c r="H368" s="21">
        <v>49373.38</v>
      </c>
      <c r="I368" s="19">
        <v>5</v>
      </c>
      <c r="J368" s="21">
        <v>3614.64</v>
      </c>
      <c r="K368" s="19" t="str" cm="1">
        <f t="array" ref="K368">_xlfn.IFS(Table1342[[#This Row],[Sales]]&gt;40000,"Best Sales",Table1342[[#This Row],[Sales]]&gt;20000,"Average Sales",Table1342[[#This Row],[Sales]]&gt;0,"Poor Sales")</f>
        <v>Best Sales</v>
      </c>
      <c r="L368" s="19">
        <f>YEAR(Table1342[[#This Row],[Date]])</f>
        <v>2023</v>
      </c>
      <c r="M368" s="19">
        <f>MONTH(Table1342[[#This Row],[Date]])</f>
        <v>12</v>
      </c>
      <c r="N368" s="19">
        <f>DAY(Table1342[[#This Row],[Date]])</f>
        <v>11</v>
      </c>
      <c r="O368" s="19"/>
      <c r="P368" s="19" t="str">
        <f>TEXT(DATE(2023,Table1342[[#This Row],[MONTH]],1),"mmm")</f>
        <v>Dec</v>
      </c>
      <c r="Q368" s="19"/>
    </row>
    <row r="369" spans="1:17" x14ac:dyDescent="0.3">
      <c r="A369" s="19">
        <v>368</v>
      </c>
      <c r="B369" s="20">
        <v>45039</v>
      </c>
      <c r="C369" s="19" t="s">
        <v>37</v>
      </c>
      <c r="D369" s="19" t="s">
        <v>27</v>
      </c>
      <c r="E369" s="19" t="s">
        <v>12</v>
      </c>
      <c r="F369" s="19" t="s">
        <v>24</v>
      </c>
      <c r="G369" s="19" t="s">
        <v>28</v>
      </c>
      <c r="H369" s="21">
        <v>8784.44</v>
      </c>
      <c r="I369" s="19">
        <v>3</v>
      </c>
      <c r="J369" s="21">
        <v>2460.11</v>
      </c>
      <c r="K369" s="19" t="str" cm="1">
        <f t="array" ref="K369">_xlfn.IFS(Table1342[[#This Row],[Sales]]&gt;40000,"Best Sales",Table1342[[#This Row],[Sales]]&gt;20000,"Average Sales",Table1342[[#This Row],[Sales]]&gt;0,"Poor Sales")</f>
        <v>Poor Sales</v>
      </c>
      <c r="L369" s="19">
        <f>YEAR(Table1342[[#This Row],[Date]])</f>
        <v>2023</v>
      </c>
      <c r="M369" s="19">
        <f>MONTH(Table1342[[#This Row],[Date]])</f>
        <v>4</v>
      </c>
      <c r="N369" s="19">
        <f>DAY(Table1342[[#This Row],[Date]])</f>
        <v>23</v>
      </c>
      <c r="O369" s="19"/>
      <c r="P369" s="19" t="str">
        <f>TEXT(DATE(2023,Table1342[[#This Row],[MONTH]],1),"mmm")</f>
        <v>Apr</v>
      </c>
      <c r="Q369" s="19"/>
    </row>
    <row r="370" spans="1:17" x14ac:dyDescent="0.3">
      <c r="A370" s="19">
        <v>369</v>
      </c>
      <c r="B370" s="20">
        <v>45104</v>
      </c>
      <c r="C370" s="19" t="s">
        <v>22</v>
      </c>
      <c r="D370" s="19" t="s">
        <v>22</v>
      </c>
      <c r="E370" s="19" t="s">
        <v>17</v>
      </c>
      <c r="F370" s="19" t="s">
        <v>24</v>
      </c>
      <c r="G370" s="19" t="s">
        <v>25</v>
      </c>
      <c r="H370" s="21">
        <v>23978.25</v>
      </c>
      <c r="I370" s="19">
        <v>2</v>
      </c>
      <c r="J370" s="21">
        <v>4700.3500000000004</v>
      </c>
      <c r="K370" s="19" t="str" cm="1">
        <f t="array" ref="K370">_xlfn.IFS(Table1342[[#This Row],[Sales]]&gt;40000,"Best Sales",Table1342[[#This Row],[Sales]]&gt;20000,"Average Sales",Table1342[[#This Row],[Sales]]&gt;0,"Poor Sales")</f>
        <v>Average Sales</v>
      </c>
      <c r="L370" s="19">
        <f>YEAR(Table1342[[#This Row],[Date]])</f>
        <v>2023</v>
      </c>
      <c r="M370" s="19">
        <f>MONTH(Table1342[[#This Row],[Date]])</f>
        <v>6</v>
      </c>
      <c r="N370" s="19">
        <f>DAY(Table1342[[#This Row],[Date]])</f>
        <v>27</v>
      </c>
      <c r="O370" s="19"/>
      <c r="P370" s="19" t="str">
        <f>TEXT(DATE(2023,Table1342[[#This Row],[MONTH]],1),"mmm")</f>
        <v>Jun</v>
      </c>
      <c r="Q370" s="19"/>
    </row>
    <row r="371" spans="1:17" x14ac:dyDescent="0.3">
      <c r="A371" s="19">
        <v>370</v>
      </c>
      <c r="B371" s="20">
        <v>45221</v>
      </c>
      <c r="C371" s="19" t="s">
        <v>10</v>
      </c>
      <c r="D371" s="19" t="s">
        <v>11</v>
      </c>
      <c r="E371" s="19" t="s">
        <v>12</v>
      </c>
      <c r="F371" s="19" t="s">
        <v>31</v>
      </c>
      <c r="G371" s="19" t="s">
        <v>39</v>
      </c>
      <c r="H371" s="21">
        <v>45270.46</v>
      </c>
      <c r="I371" s="19">
        <v>3</v>
      </c>
      <c r="J371" s="21">
        <v>8514.58</v>
      </c>
      <c r="K371" s="19" t="str" cm="1">
        <f t="array" ref="K371">_xlfn.IFS(Table1342[[#This Row],[Sales]]&gt;40000,"Best Sales",Table1342[[#This Row],[Sales]]&gt;20000,"Average Sales",Table1342[[#This Row],[Sales]]&gt;0,"Poor Sales")</f>
        <v>Best Sales</v>
      </c>
      <c r="L371" s="19">
        <f>YEAR(Table1342[[#This Row],[Date]])</f>
        <v>2023</v>
      </c>
      <c r="M371" s="19">
        <f>MONTH(Table1342[[#This Row],[Date]])</f>
        <v>10</v>
      </c>
      <c r="N371" s="19">
        <f>DAY(Table1342[[#This Row],[Date]])</f>
        <v>22</v>
      </c>
      <c r="O371" s="19"/>
      <c r="P371" s="19" t="str">
        <f>TEXT(DATE(2023,Table1342[[#This Row],[MONTH]],1),"mmm")</f>
        <v>Oct</v>
      </c>
      <c r="Q371" s="19"/>
    </row>
    <row r="372" spans="1:17" x14ac:dyDescent="0.3">
      <c r="A372" s="19">
        <v>371</v>
      </c>
      <c r="B372" s="20">
        <v>45023</v>
      </c>
      <c r="C372" s="19" t="s">
        <v>35</v>
      </c>
      <c r="D372" s="19" t="s">
        <v>36</v>
      </c>
      <c r="E372" s="19" t="s">
        <v>17</v>
      </c>
      <c r="F372" s="19" t="s">
        <v>13</v>
      </c>
      <c r="G372" s="19" t="s">
        <v>21</v>
      </c>
      <c r="H372" s="21">
        <v>45850.91</v>
      </c>
      <c r="I372" s="19">
        <v>2</v>
      </c>
      <c r="J372" s="21">
        <v>6963.28</v>
      </c>
      <c r="K372" s="19" t="str" cm="1">
        <f t="array" ref="K372">_xlfn.IFS(Table1342[[#This Row],[Sales]]&gt;40000,"Best Sales",Table1342[[#This Row],[Sales]]&gt;20000,"Average Sales",Table1342[[#This Row],[Sales]]&gt;0,"Poor Sales")</f>
        <v>Best Sales</v>
      </c>
      <c r="L372" s="19">
        <f>YEAR(Table1342[[#This Row],[Date]])</f>
        <v>2023</v>
      </c>
      <c r="M372" s="19">
        <f>MONTH(Table1342[[#This Row],[Date]])</f>
        <v>4</v>
      </c>
      <c r="N372" s="19">
        <f>DAY(Table1342[[#This Row],[Date]])</f>
        <v>7</v>
      </c>
      <c r="O372" s="19"/>
      <c r="P372" s="19" t="str">
        <f>TEXT(DATE(2023,Table1342[[#This Row],[MONTH]],1),"mmm")</f>
        <v>Apr</v>
      </c>
      <c r="Q372" s="19"/>
    </row>
    <row r="373" spans="1:17" x14ac:dyDescent="0.3">
      <c r="A373" s="19">
        <v>372</v>
      </c>
      <c r="B373" s="20">
        <v>44927</v>
      </c>
      <c r="C373" s="19" t="s">
        <v>22</v>
      </c>
      <c r="D373" s="19" t="s">
        <v>22</v>
      </c>
      <c r="E373" s="19" t="s">
        <v>20</v>
      </c>
      <c r="F373" s="19" t="s">
        <v>13</v>
      </c>
      <c r="G373" s="19" t="s">
        <v>34</v>
      </c>
      <c r="H373" s="21">
        <v>49704.45</v>
      </c>
      <c r="I373" s="19">
        <v>1</v>
      </c>
      <c r="J373" s="21">
        <v>6338.36</v>
      </c>
      <c r="K373" s="19" t="str" cm="1">
        <f t="array" ref="K373">_xlfn.IFS(Table1342[[#This Row],[Sales]]&gt;40000,"Best Sales",Table1342[[#This Row],[Sales]]&gt;20000,"Average Sales",Table1342[[#This Row],[Sales]]&gt;0,"Poor Sales")</f>
        <v>Best Sales</v>
      </c>
      <c r="L373" s="19">
        <f>YEAR(Table1342[[#This Row],[Date]])</f>
        <v>2023</v>
      </c>
      <c r="M373" s="19">
        <f>MONTH(Table1342[[#This Row],[Date]])</f>
        <v>1</v>
      </c>
      <c r="N373" s="19">
        <f>DAY(Table1342[[#This Row],[Date]])</f>
        <v>1</v>
      </c>
      <c r="O373" s="19"/>
      <c r="P373" s="19" t="str">
        <f>TEXT(DATE(2023,Table1342[[#This Row],[MONTH]],1),"mmm")</f>
        <v>Jan</v>
      </c>
      <c r="Q373" s="19"/>
    </row>
    <row r="374" spans="1:17" x14ac:dyDescent="0.3">
      <c r="A374" s="19">
        <v>373</v>
      </c>
      <c r="B374" s="20">
        <v>45100</v>
      </c>
      <c r="C374" s="19" t="s">
        <v>10</v>
      </c>
      <c r="D374" s="19" t="s">
        <v>11</v>
      </c>
      <c r="E374" s="19" t="s">
        <v>20</v>
      </c>
      <c r="F374" s="19" t="s">
        <v>24</v>
      </c>
      <c r="G374" s="19" t="s">
        <v>29</v>
      </c>
      <c r="H374" s="21">
        <v>7689.17</v>
      </c>
      <c r="I374" s="19">
        <v>2</v>
      </c>
      <c r="J374" s="21">
        <v>2073.4699999999998</v>
      </c>
      <c r="K374" s="19" t="str" cm="1">
        <f t="array" ref="K374">_xlfn.IFS(Table1342[[#This Row],[Sales]]&gt;40000,"Best Sales",Table1342[[#This Row],[Sales]]&gt;20000,"Average Sales",Table1342[[#This Row],[Sales]]&gt;0,"Poor Sales")</f>
        <v>Poor Sales</v>
      </c>
      <c r="L374" s="19">
        <f>YEAR(Table1342[[#This Row],[Date]])</f>
        <v>2023</v>
      </c>
      <c r="M374" s="19">
        <f>MONTH(Table1342[[#This Row],[Date]])</f>
        <v>6</v>
      </c>
      <c r="N374" s="19">
        <f>DAY(Table1342[[#This Row],[Date]])</f>
        <v>23</v>
      </c>
      <c r="O374" s="19"/>
      <c r="P374" s="19" t="str">
        <f>TEXT(DATE(2023,Table1342[[#This Row],[MONTH]],1),"mmm")</f>
        <v>Jun</v>
      </c>
      <c r="Q374" s="19"/>
    </row>
    <row r="375" spans="1:17" x14ac:dyDescent="0.3">
      <c r="A375" s="19">
        <v>374</v>
      </c>
      <c r="B375" s="20">
        <v>45020</v>
      </c>
      <c r="C375" s="19" t="s">
        <v>37</v>
      </c>
      <c r="D375" s="19" t="s">
        <v>27</v>
      </c>
      <c r="E375" s="19" t="s">
        <v>12</v>
      </c>
      <c r="F375" s="19" t="s">
        <v>13</v>
      </c>
      <c r="G375" s="19" t="s">
        <v>21</v>
      </c>
      <c r="H375" s="21">
        <v>11067.26</v>
      </c>
      <c r="I375" s="19">
        <v>3</v>
      </c>
      <c r="J375" s="21">
        <v>2295.61</v>
      </c>
      <c r="K375" s="19" t="str" cm="1">
        <f t="array" ref="K375">_xlfn.IFS(Table1342[[#This Row],[Sales]]&gt;40000,"Best Sales",Table1342[[#This Row],[Sales]]&gt;20000,"Average Sales",Table1342[[#This Row],[Sales]]&gt;0,"Poor Sales")</f>
        <v>Poor Sales</v>
      </c>
      <c r="L375" s="19">
        <f>YEAR(Table1342[[#This Row],[Date]])</f>
        <v>2023</v>
      </c>
      <c r="M375" s="19">
        <f>MONTH(Table1342[[#This Row],[Date]])</f>
        <v>4</v>
      </c>
      <c r="N375" s="19">
        <f>DAY(Table1342[[#This Row],[Date]])</f>
        <v>4</v>
      </c>
      <c r="O375" s="19"/>
      <c r="P375" s="19" t="str">
        <f>TEXT(DATE(2023,Table1342[[#This Row],[MONTH]],1),"mmm")</f>
        <v>Apr</v>
      </c>
      <c r="Q375" s="19"/>
    </row>
    <row r="376" spans="1:17" x14ac:dyDescent="0.3">
      <c r="A376" s="19">
        <v>375</v>
      </c>
      <c r="B376" s="20">
        <v>45220</v>
      </c>
      <c r="C376" s="19" t="s">
        <v>18</v>
      </c>
      <c r="D376" s="19" t="s">
        <v>19</v>
      </c>
      <c r="E376" s="19" t="s">
        <v>17</v>
      </c>
      <c r="F376" s="19" t="s">
        <v>13</v>
      </c>
      <c r="G376" s="19" t="s">
        <v>21</v>
      </c>
      <c r="H376" s="21">
        <v>4039.27</v>
      </c>
      <c r="I376" s="19">
        <v>4</v>
      </c>
      <c r="J376" s="21">
        <v>706.06</v>
      </c>
      <c r="K376" s="19" t="str" cm="1">
        <f t="array" ref="K376">_xlfn.IFS(Table1342[[#This Row],[Sales]]&gt;40000,"Best Sales",Table1342[[#This Row],[Sales]]&gt;20000,"Average Sales",Table1342[[#This Row],[Sales]]&gt;0,"Poor Sales")</f>
        <v>Poor Sales</v>
      </c>
      <c r="L376" s="19">
        <f>YEAR(Table1342[[#This Row],[Date]])</f>
        <v>2023</v>
      </c>
      <c r="M376" s="19">
        <f>MONTH(Table1342[[#This Row],[Date]])</f>
        <v>10</v>
      </c>
      <c r="N376" s="19">
        <f>DAY(Table1342[[#This Row],[Date]])</f>
        <v>21</v>
      </c>
      <c r="O376" s="19"/>
      <c r="P376" s="19" t="str">
        <f>TEXT(DATE(2023,Table1342[[#This Row],[MONTH]],1),"mmm")</f>
        <v>Oct</v>
      </c>
      <c r="Q376" s="19"/>
    </row>
    <row r="377" spans="1:17" x14ac:dyDescent="0.3">
      <c r="A377" s="19">
        <v>376</v>
      </c>
      <c r="B377" s="20">
        <v>45084</v>
      </c>
      <c r="C377" s="19" t="s">
        <v>22</v>
      </c>
      <c r="D377" s="19" t="s">
        <v>22</v>
      </c>
      <c r="E377" s="19" t="s">
        <v>12</v>
      </c>
      <c r="F377" s="19" t="s">
        <v>13</v>
      </c>
      <c r="G377" s="19" t="s">
        <v>34</v>
      </c>
      <c r="H377" s="21">
        <v>21927.99</v>
      </c>
      <c r="I377" s="19">
        <v>1</v>
      </c>
      <c r="J377" s="21">
        <v>3544.98</v>
      </c>
      <c r="K377" s="19" t="str" cm="1">
        <f t="array" ref="K377">_xlfn.IFS(Table1342[[#This Row],[Sales]]&gt;40000,"Best Sales",Table1342[[#This Row],[Sales]]&gt;20000,"Average Sales",Table1342[[#This Row],[Sales]]&gt;0,"Poor Sales")</f>
        <v>Average Sales</v>
      </c>
      <c r="L377" s="19">
        <f>YEAR(Table1342[[#This Row],[Date]])</f>
        <v>2023</v>
      </c>
      <c r="M377" s="19">
        <f>MONTH(Table1342[[#This Row],[Date]])</f>
        <v>6</v>
      </c>
      <c r="N377" s="19">
        <f>DAY(Table1342[[#This Row],[Date]])</f>
        <v>7</v>
      </c>
      <c r="O377" s="19"/>
      <c r="P377" s="19" t="str">
        <f>TEXT(DATE(2023,Table1342[[#This Row],[MONTH]],1),"mmm")</f>
        <v>Jun</v>
      </c>
      <c r="Q377" s="19"/>
    </row>
    <row r="378" spans="1:17" x14ac:dyDescent="0.3">
      <c r="A378" s="19">
        <v>377</v>
      </c>
      <c r="B378" s="20">
        <v>45057</v>
      </c>
      <c r="C378" s="19" t="s">
        <v>30</v>
      </c>
      <c r="D378" s="19" t="s">
        <v>16</v>
      </c>
      <c r="E378" s="19" t="s">
        <v>17</v>
      </c>
      <c r="F378" s="19" t="s">
        <v>31</v>
      </c>
      <c r="G378" s="19" t="s">
        <v>32</v>
      </c>
      <c r="H378" s="21">
        <v>5975.75</v>
      </c>
      <c r="I378" s="19">
        <v>2</v>
      </c>
      <c r="J378" s="21">
        <v>329.14</v>
      </c>
      <c r="K378" s="19" t="str" cm="1">
        <f t="array" ref="K378">_xlfn.IFS(Table1342[[#This Row],[Sales]]&gt;40000,"Best Sales",Table1342[[#This Row],[Sales]]&gt;20000,"Average Sales",Table1342[[#This Row],[Sales]]&gt;0,"Poor Sales")</f>
        <v>Poor Sales</v>
      </c>
      <c r="L378" s="19">
        <f>YEAR(Table1342[[#This Row],[Date]])</f>
        <v>2023</v>
      </c>
      <c r="M378" s="19">
        <f>MONTH(Table1342[[#This Row],[Date]])</f>
        <v>5</v>
      </c>
      <c r="N378" s="19">
        <f>DAY(Table1342[[#This Row],[Date]])</f>
        <v>11</v>
      </c>
      <c r="O378" s="19"/>
      <c r="P378" s="19" t="str">
        <f>TEXT(DATE(2023,Table1342[[#This Row],[MONTH]],1),"mmm")</f>
        <v>May</v>
      </c>
      <c r="Q378" s="19"/>
    </row>
    <row r="379" spans="1:17" x14ac:dyDescent="0.3">
      <c r="A379" s="19">
        <v>378</v>
      </c>
      <c r="B379" s="20">
        <v>45191</v>
      </c>
      <c r="C379" s="19" t="s">
        <v>10</v>
      </c>
      <c r="D379" s="19" t="s">
        <v>11</v>
      </c>
      <c r="E379" s="19" t="s">
        <v>20</v>
      </c>
      <c r="F379" s="19" t="s">
        <v>31</v>
      </c>
      <c r="G379" s="19" t="s">
        <v>33</v>
      </c>
      <c r="H379" s="21">
        <v>20190.7</v>
      </c>
      <c r="I379" s="19">
        <v>3</v>
      </c>
      <c r="J379" s="21">
        <v>2927.7</v>
      </c>
      <c r="K379" s="19" t="str" cm="1">
        <f t="array" ref="K379">_xlfn.IFS(Table1342[[#This Row],[Sales]]&gt;40000,"Best Sales",Table1342[[#This Row],[Sales]]&gt;20000,"Average Sales",Table1342[[#This Row],[Sales]]&gt;0,"Poor Sales")</f>
        <v>Average Sales</v>
      </c>
      <c r="L379" s="19">
        <f>YEAR(Table1342[[#This Row],[Date]])</f>
        <v>2023</v>
      </c>
      <c r="M379" s="19">
        <f>MONTH(Table1342[[#This Row],[Date]])</f>
        <v>9</v>
      </c>
      <c r="N379" s="19">
        <f>DAY(Table1342[[#This Row],[Date]])</f>
        <v>22</v>
      </c>
      <c r="O379" s="19"/>
      <c r="P379" s="19" t="str">
        <f>TEXT(DATE(2023,Table1342[[#This Row],[MONTH]],1),"mmm")</f>
        <v>Sep</v>
      </c>
      <c r="Q379" s="19"/>
    </row>
    <row r="380" spans="1:17" x14ac:dyDescent="0.3">
      <c r="A380" s="19">
        <v>379</v>
      </c>
      <c r="B380" s="20">
        <v>44967</v>
      </c>
      <c r="C380" s="19" t="s">
        <v>22</v>
      </c>
      <c r="D380" s="19" t="s">
        <v>22</v>
      </c>
      <c r="E380" s="19" t="s">
        <v>20</v>
      </c>
      <c r="F380" s="19" t="s">
        <v>31</v>
      </c>
      <c r="G380" s="19" t="s">
        <v>33</v>
      </c>
      <c r="H380" s="21">
        <v>13485.54</v>
      </c>
      <c r="I380" s="19">
        <v>7</v>
      </c>
      <c r="J380" s="21">
        <v>3010.14</v>
      </c>
      <c r="K380" s="19" t="str" cm="1">
        <f t="array" ref="K380">_xlfn.IFS(Table1342[[#This Row],[Sales]]&gt;40000,"Best Sales",Table1342[[#This Row],[Sales]]&gt;20000,"Average Sales",Table1342[[#This Row],[Sales]]&gt;0,"Poor Sales")</f>
        <v>Poor Sales</v>
      </c>
      <c r="L380" s="19">
        <f>YEAR(Table1342[[#This Row],[Date]])</f>
        <v>2023</v>
      </c>
      <c r="M380" s="19">
        <f>MONTH(Table1342[[#This Row],[Date]])</f>
        <v>2</v>
      </c>
      <c r="N380" s="19">
        <f>DAY(Table1342[[#This Row],[Date]])</f>
        <v>10</v>
      </c>
      <c r="O380" s="19"/>
      <c r="P380" s="19" t="str">
        <f>TEXT(DATE(2023,Table1342[[#This Row],[MONTH]],1),"mmm")</f>
        <v>Feb</v>
      </c>
      <c r="Q380" s="19"/>
    </row>
    <row r="381" spans="1:17" x14ac:dyDescent="0.3">
      <c r="A381" s="19">
        <v>380</v>
      </c>
      <c r="B381" s="20">
        <v>45087</v>
      </c>
      <c r="C381" s="19" t="s">
        <v>15</v>
      </c>
      <c r="D381" s="19" t="s">
        <v>16</v>
      </c>
      <c r="E381" s="19" t="s">
        <v>12</v>
      </c>
      <c r="F381" s="19" t="s">
        <v>13</v>
      </c>
      <c r="G381" s="19" t="s">
        <v>34</v>
      </c>
      <c r="H381" s="21">
        <v>21403.96</v>
      </c>
      <c r="I381" s="19">
        <v>2</v>
      </c>
      <c r="J381" s="21">
        <v>5457.97</v>
      </c>
      <c r="K381" s="19" t="str" cm="1">
        <f t="array" ref="K381">_xlfn.IFS(Table1342[[#This Row],[Sales]]&gt;40000,"Best Sales",Table1342[[#This Row],[Sales]]&gt;20000,"Average Sales",Table1342[[#This Row],[Sales]]&gt;0,"Poor Sales")</f>
        <v>Average Sales</v>
      </c>
      <c r="L381" s="19">
        <f>YEAR(Table1342[[#This Row],[Date]])</f>
        <v>2023</v>
      </c>
      <c r="M381" s="19">
        <f>MONTH(Table1342[[#This Row],[Date]])</f>
        <v>6</v>
      </c>
      <c r="N381" s="19">
        <f>DAY(Table1342[[#This Row],[Date]])</f>
        <v>10</v>
      </c>
      <c r="O381" s="19"/>
      <c r="P381" s="19" t="str">
        <f>TEXT(DATE(2023,Table1342[[#This Row],[MONTH]],1),"mmm")</f>
        <v>Jun</v>
      </c>
      <c r="Q381" s="19"/>
    </row>
    <row r="382" spans="1:17" x14ac:dyDescent="0.3">
      <c r="A382" s="19">
        <v>381</v>
      </c>
      <c r="B382" s="20">
        <v>45216</v>
      </c>
      <c r="C382" s="19" t="s">
        <v>22</v>
      </c>
      <c r="D382" s="19" t="s">
        <v>22</v>
      </c>
      <c r="E382" s="19" t="s">
        <v>17</v>
      </c>
      <c r="F382" s="19" t="s">
        <v>13</v>
      </c>
      <c r="G382" s="19" t="s">
        <v>14</v>
      </c>
      <c r="H382" s="21">
        <v>28745.93</v>
      </c>
      <c r="I382" s="19">
        <v>8</v>
      </c>
      <c r="J382" s="21">
        <v>6468.31</v>
      </c>
      <c r="K382" s="19" t="str" cm="1">
        <f t="array" ref="K382">_xlfn.IFS(Table1342[[#This Row],[Sales]]&gt;40000,"Best Sales",Table1342[[#This Row],[Sales]]&gt;20000,"Average Sales",Table1342[[#This Row],[Sales]]&gt;0,"Poor Sales")</f>
        <v>Average Sales</v>
      </c>
      <c r="L382" s="19">
        <f>YEAR(Table1342[[#This Row],[Date]])</f>
        <v>2023</v>
      </c>
      <c r="M382" s="19">
        <f>MONTH(Table1342[[#This Row],[Date]])</f>
        <v>10</v>
      </c>
      <c r="N382" s="19">
        <f>DAY(Table1342[[#This Row],[Date]])</f>
        <v>17</v>
      </c>
      <c r="O382" s="19"/>
      <c r="P382" s="19" t="str">
        <f>TEXT(DATE(2023,Table1342[[#This Row],[MONTH]],1),"mmm")</f>
        <v>Oct</v>
      </c>
      <c r="Q382" s="19"/>
    </row>
    <row r="383" spans="1:17" x14ac:dyDescent="0.3">
      <c r="A383" s="19">
        <v>382</v>
      </c>
      <c r="B383" s="20">
        <v>45116</v>
      </c>
      <c r="C383" s="19" t="s">
        <v>30</v>
      </c>
      <c r="D383" s="19" t="s">
        <v>16</v>
      </c>
      <c r="E383" s="19" t="s">
        <v>12</v>
      </c>
      <c r="F383" s="19" t="s">
        <v>24</v>
      </c>
      <c r="G383" s="19" t="s">
        <v>29</v>
      </c>
      <c r="H383" s="21">
        <v>7482.71</v>
      </c>
      <c r="I383" s="19">
        <v>5</v>
      </c>
      <c r="J383" s="21">
        <v>437.89</v>
      </c>
      <c r="K383" s="19" t="str" cm="1">
        <f t="array" ref="K383">_xlfn.IFS(Table1342[[#This Row],[Sales]]&gt;40000,"Best Sales",Table1342[[#This Row],[Sales]]&gt;20000,"Average Sales",Table1342[[#This Row],[Sales]]&gt;0,"Poor Sales")</f>
        <v>Poor Sales</v>
      </c>
      <c r="L383" s="19">
        <f>YEAR(Table1342[[#This Row],[Date]])</f>
        <v>2023</v>
      </c>
      <c r="M383" s="19">
        <f>MONTH(Table1342[[#This Row],[Date]])</f>
        <v>7</v>
      </c>
      <c r="N383" s="19">
        <f>DAY(Table1342[[#This Row],[Date]])</f>
        <v>9</v>
      </c>
      <c r="O383" s="19"/>
      <c r="P383" s="19" t="str">
        <f>TEXT(DATE(2023,Table1342[[#This Row],[MONTH]],1),"mmm")</f>
        <v>Jul</v>
      </c>
      <c r="Q383" s="19"/>
    </row>
    <row r="384" spans="1:17" x14ac:dyDescent="0.3">
      <c r="A384" s="19">
        <v>383</v>
      </c>
      <c r="B384" s="20">
        <v>45266</v>
      </c>
      <c r="C384" s="19" t="s">
        <v>37</v>
      </c>
      <c r="D384" s="19" t="s">
        <v>27</v>
      </c>
      <c r="E384" s="19" t="s">
        <v>17</v>
      </c>
      <c r="F384" s="19" t="s">
        <v>24</v>
      </c>
      <c r="G384" s="19" t="s">
        <v>25</v>
      </c>
      <c r="H384" s="21">
        <v>46251.07</v>
      </c>
      <c r="I384" s="19">
        <v>7</v>
      </c>
      <c r="J384" s="21">
        <v>2777.42</v>
      </c>
      <c r="K384" s="19" t="str" cm="1">
        <f t="array" ref="K384">_xlfn.IFS(Table1342[[#This Row],[Sales]]&gt;40000,"Best Sales",Table1342[[#This Row],[Sales]]&gt;20000,"Average Sales",Table1342[[#This Row],[Sales]]&gt;0,"Poor Sales")</f>
        <v>Best Sales</v>
      </c>
      <c r="L384" s="19">
        <f>YEAR(Table1342[[#This Row],[Date]])</f>
        <v>2023</v>
      </c>
      <c r="M384" s="19">
        <f>MONTH(Table1342[[#This Row],[Date]])</f>
        <v>12</v>
      </c>
      <c r="N384" s="19">
        <f>DAY(Table1342[[#This Row],[Date]])</f>
        <v>6</v>
      </c>
      <c r="O384" s="19"/>
      <c r="P384" s="19" t="str">
        <f>TEXT(DATE(2023,Table1342[[#This Row],[MONTH]],1),"mmm")</f>
        <v>Dec</v>
      </c>
      <c r="Q384" s="19"/>
    </row>
    <row r="385" spans="1:17" x14ac:dyDescent="0.3">
      <c r="A385" s="19">
        <v>384</v>
      </c>
      <c r="B385" s="20">
        <v>45207</v>
      </c>
      <c r="C385" s="19" t="s">
        <v>22</v>
      </c>
      <c r="D385" s="19" t="s">
        <v>22</v>
      </c>
      <c r="E385" s="19" t="s">
        <v>20</v>
      </c>
      <c r="F385" s="19" t="s">
        <v>24</v>
      </c>
      <c r="G385" s="19" t="s">
        <v>28</v>
      </c>
      <c r="H385" s="21">
        <v>19948.55</v>
      </c>
      <c r="I385" s="19">
        <v>4</v>
      </c>
      <c r="J385" s="21">
        <v>1195.3</v>
      </c>
      <c r="K385" s="19" t="str" cm="1">
        <f t="array" ref="K385">_xlfn.IFS(Table1342[[#This Row],[Sales]]&gt;40000,"Best Sales",Table1342[[#This Row],[Sales]]&gt;20000,"Average Sales",Table1342[[#This Row],[Sales]]&gt;0,"Poor Sales")</f>
        <v>Poor Sales</v>
      </c>
      <c r="L385" s="19">
        <f>YEAR(Table1342[[#This Row],[Date]])</f>
        <v>2023</v>
      </c>
      <c r="M385" s="19">
        <f>MONTH(Table1342[[#This Row],[Date]])</f>
        <v>10</v>
      </c>
      <c r="N385" s="19">
        <f>DAY(Table1342[[#This Row],[Date]])</f>
        <v>8</v>
      </c>
      <c r="O385" s="19"/>
      <c r="P385" s="19" t="str">
        <f>TEXT(DATE(2023,Table1342[[#This Row],[MONTH]],1),"mmm")</f>
        <v>Oct</v>
      </c>
      <c r="Q385" s="19"/>
    </row>
    <row r="386" spans="1:17" x14ac:dyDescent="0.3">
      <c r="A386" s="19">
        <v>385</v>
      </c>
      <c r="B386" s="20">
        <v>45085</v>
      </c>
      <c r="C386" s="19" t="s">
        <v>15</v>
      </c>
      <c r="D386" s="19" t="s">
        <v>16</v>
      </c>
      <c r="E386" s="19" t="s">
        <v>20</v>
      </c>
      <c r="F386" s="19" t="s">
        <v>24</v>
      </c>
      <c r="G386" s="19" t="s">
        <v>29</v>
      </c>
      <c r="H386" s="21">
        <v>5721.76</v>
      </c>
      <c r="I386" s="19">
        <v>7</v>
      </c>
      <c r="J386" s="21">
        <v>1413.25</v>
      </c>
      <c r="K386" s="19" t="str" cm="1">
        <f t="array" ref="K386">_xlfn.IFS(Table1342[[#This Row],[Sales]]&gt;40000,"Best Sales",Table1342[[#This Row],[Sales]]&gt;20000,"Average Sales",Table1342[[#This Row],[Sales]]&gt;0,"Poor Sales")</f>
        <v>Poor Sales</v>
      </c>
      <c r="L386" s="19">
        <f>YEAR(Table1342[[#This Row],[Date]])</f>
        <v>2023</v>
      </c>
      <c r="M386" s="19">
        <f>MONTH(Table1342[[#This Row],[Date]])</f>
        <v>6</v>
      </c>
      <c r="N386" s="19">
        <f>DAY(Table1342[[#This Row],[Date]])</f>
        <v>8</v>
      </c>
      <c r="O386" s="19"/>
      <c r="P386" s="19" t="str">
        <f>TEXT(DATE(2023,Table1342[[#This Row],[MONTH]],1),"mmm")</f>
        <v>Jun</v>
      </c>
      <c r="Q386" s="19"/>
    </row>
    <row r="387" spans="1:17" x14ac:dyDescent="0.3">
      <c r="A387" s="19">
        <v>386</v>
      </c>
      <c r="B387" s="20">
        <v>45204</v>
      </c>
      <c r="C387" s="19" t="s">
        <v>30</v>
      </c>
      <c r="D387" s="19" t="s">
        <v>16</v>
      </c>
      <c r="E387" s="19" t="s">
        <v>12</v>
      </c>
      <c r="F387" s="19" t="s">
        <v>24</v>
      </c>
      <c r="G387" s="19" t="s">
        <v>29</v>
      </c>
      <c r="H387" s="21">
        <v>20443.47</v>
      </c>
      <c r="I387" s="19">
        <v>4</v>
      </c>
      <c r="J387" s="21">
        <v>3275.27</v>
      </c>
      <c r="K387" s="19" t="str" cm="1">
        <f t="array" ref="K387">_xlfn.IFS(Table1342[[#This Row],[Sales]]&gt;40000,"Best Sales",Table1342[[#This Row],[Sales]]&gt;20000,"Average Sales",Table1342[[#This Row],[Sales]]&gt;0,"Poor Sales")</f>
        <v>Average Sales</v>
      </c>
      <c r="L387" s="19">
        <f>YEAR(Table1342[[#This Row],[Date]])</f>
        <v>2023</v>
      </c>
      <c r="M387" s="19">
        <f>MONTH(Table1342[[#This Row],[Date]])</f>
        <v>10</v>
      </c>
      <c r="N387" s="19">
        <f>DAY(Table1342[[#This Row],[Date]])</f>
        <v>5</v>
      </c>
      <c r="O387" s="19"/>
      <c r="P387" s="19" t="str">
        <f>TEXT(DATE(2023,Table1342[[#This Row],[MONTH]],1),"mmm")</f>
        <v>Oct</v>
      </c>
      <c r="Q387" s="19"/>
    </row>
    <row r="388" spans="1:17" x14ac:dyDescent="0.3">
      <c r="A388" s="19">
        <v>387</v>
      </c>
      <c r="B388" s="20">
        <v>45088</v>
      </c>
      <c r="C388" s="19" t="s">
        <v>18</v>
      </c>
      <c r="D388" s="19" t="s">
        <v>19</v>
      </c>
      <c r="E388" s="19" t="s">
        <v>17</v>
      </c>
      <c r="F388" s="19" t="s">
        <v>31</v>
      </c>
      <c r="G388" s="19" t="s">
        <v>39</v>
      </c>
      <c r="H388" s="21">
        <v>33096.26</v>
      </c>
      <c r="I388" s="19">
        <v>6</v>
      </c>
      <c r="J388" s="21">
        <v>3046.86</v>
      </c>
      <c r="K388" s="19" t="str" cm="1">
        <f t="array" ref="K388">_xlfn.IFS(Table1342[[#This Row],[Sales]]&gt;40000,"Best Sales",Table1342[[#This Row],[Sales]]&gt;20000,"Average Sales",Table1342[[#This Row],[Sales]]&gt;0,"Poor Sales")</f>
        <v>Average Sales</v>
      </c>
      <c r="L388" s="19">
        <f>YEAR(Table1342[[#This Row],[Date]])</f>
        <v>2023</v>
      </c>
      <c r="M388" s="19">
        <f>MONTH(Table1342[[#This Row],[Date]])</f>
        <v>6</v>
      </c>
      <c r="N388" s="19">
        <f>DAY(Table1342[[#This Row],[Date]])</f>
        <v>11</v>
      </c>
      <c r="O388" s="19"/>
      <c r="P388" s="19" t="str">
        <f>TEXT(DATE(2023,Table1342[[#This Row],[MONTH]],1),"mmm")</f>
        <v>Jun</v>
      </c>
      <c r="Q388" s="19"/>
    </row>
    <row r="389" spans="1:17" x14ac:dyDescent="0.3">
      <c r="A389" s="19">
        <v>388</v>
      </c>
      <c r="B389" s="20">
        <v>45146</v>
      </c>
      <c r="C389" s="19" t="s">
        <v>26</v>
      </c>
      <c r="D389" s="19" t="s">
        <v>27</v>
      </c>
      <c r="E389" s="19" t="s">
        <v>12</v>
      </c>
      <c r="F389" s="19" t="s">
        <v>24</v>
      </c>
      <c r="G389" s="19" t="s">
        <v>25</v>
      </c>
      <c r="H389" s="21">
        <v>48615.63</v>
      </c>
      <c r="I389" s="19">
        <v>4</v>
      </c>
      <c r="J389" s="21">
        <v>12402.67</v>
      </c>
      <c r="K389" s="19" t="str" cm="1">
        <f t="array" ref="K389">_xlfn.IFS(Table1342[[#This Row],[Sales]]&gt;40000,"Best Sales",Table1342[[#This Row],[Sales]]&gt;20000,"Average Sales",Table1342[[#This Row],[Sales]]&gt;0,"Poor Sales")</f>
        <v>Best Sales</v>
      </c>
      <c r="L389" s="19">
        <f>YEAR(Table1342[[#This Row],[Date]])</f>
        <v>2023</v>
      </c>
      <c r="M389" s="19">
        <f>MONTH(Table1342[[#This Row],[Date]])</f>
        <v>8</v>
      </c>
      <c r="N389" s="19">
        <f>DAY(Table1342[[#This Row],[Date]])</f>
        <v>8</v>
      </c>
      <c r="O389" s="19"/>
      <c r="P389" s="19" t="str">
        <f>TEXT(DATE(2023,Table1342[[#This Row],[MONTH]],1),"mmm")</f>
        <v>Aug</v>
      </c>
      <c r="Q389" s="19"/>
    </row>
    <row r="390" spans="1:17" x14ac:dyDescent="0.3">
      <c r="A390" s="19">
        <v>389</v>
      </c>
      <c r="B390" s="20">
        <v>44976</v>
      </c>
      <c r="C390" s="19" t="s">
        <v>22</v>
      </c>
      <c r="D390" s="19" t="s">
        <v>22</v>
      </c>
      <c r="E390" s="19" t="s">
        <v>17</v>
      </c>
      <c r="F390" s="19" t="s">
        <v>13</v>
      </c>
      <c r="G390" s="19" t="s">
        <v>14</v>
      </c>
      <c r="H390" s="21">
        <v>41877.24</v>
      </c>
      <c r="I390" s="19">
        <v>6</v>
      </c>
      <c r="J390" s="21">
        <v>12432.71</v>
      </c>
      <c r="K390" s="19" t="str" cm="1">
        <f t="array" ref="K390">_xlfn.IFS(Table1342[[#This Row],[Sales]]&gt;40000,"Best Sales",Table1342[[#This Row],[Sales]]&gt;20000,"Average Sales",Table1342[[#This Row],[Sales]]&gt;0,"Poor Sales")</f>
        <v>Best Sales</v>
      </c>
      <c r="L390" s="19">
        <f>YEAR(Table1342[[#This Row],[Date]])</f>
        <v>2023</v>
      </c>
      <c r="M390" s="19">
        <f>MONTH(Table1342[[#This Row],[Date]])</f>
        <v>2</v>
      </c>
      <c r="N390" s="19">
        <f>DAY(Table1342[[#This Row],[Date]])</f>
        <v>19</v>
      </c>
      <c r="O390" s="19"/>
      <c r="P390" s="19" t="str">
        <f>TEXT(DATE(2023,Table1342[[#This Row],[MONTH]],1),"mmm")</f>
        <v>Feb</v>
      </c>
      <c r="Q390" s="19"/>
    </row>
    <row r="391" spans="1:17" x14ac:dyDescent="0.3">
      <c r="A391" s="19">
        <v>390</v>
      </c>
      <c r="B391" s="20">
        <v>45129</v>
      </c>
      <c r="C391" s="19" t="s">
        <v>22</v>
      </c>
      <c r="D391" s="19" t="s">
        <v>22</v>
      </c>
      <c r="E391" s="19" t="s">
        <v>20</v>
      </c>
      <c r="F391" s="19" t="s">
        <v>31</v>
      </c>
      <c r="G391" s="19" t="s">
        <v>33</v>
      </c>
      <c r="H391" s="21">
        <v>21423.18</v>
      </c>
      <c r="I391" s="19">
        <v>6</v>
      </c>
      <c r="J391" s="21">
        <v>2642.67</v>
      </c>
      <c r="K391" s="19" t="str" cm="1">
        <f t="array" ref="K391">_xlfn.IFS(Table1342[[#This Row],[Sales]]&gt;40000,"Best Sales",Table1342[[#This Row],[Sales]]&gt;20000,"Average Sales",Table1342[[#This Row],[Sales]]&gt;0,"Poor Sales")</f>
        <v>Average Sales</v>
      </c>
      <c r="L391" s="19">
        <f>YEAR(Table1342[[#This Row],[Date]])</f>
        <v>2023</v>
      </c>
      <c r="M391" s="19">
        <f>MONTH(Table1342[[#This Row],[Date]])</f>
        <v>7</v>
      </c>
      <c r="N391" s="19">
        <f>DAY(Table1342[[#This Row],[Date]])</f>
        <v>22</v>
      </c>
      <c r="O391" s="19"/>
      <c r="P391" s="19" t="str">
        <f>TEXT(DATE(2023,Table1342[[#This Row],[MONTH]],1),"mmm")</f>
        <v>Jul</v>
      </c>
      <c r="Q391" s="19"/>
    </row>
    <row r="392" spans="1:17" x14ac:dyDescent="0.3">
      <c r="A392" s="19">
        <v>391</v>
      </c>
      <c r="B392" s="20">
        <v>44942</v>
      </c>
      <c r="C392" s="19" t="s">
        <v>30</v>
      </c>
      <c r="D392" s="19" t="s">
        <v>16</v>
      </c>
      <c r="E392" s="19" t="s">
        <v>20</v>
      </c>
      <c r="F392" s="19" t="s">
        <v>13</v>
      </c>
      <c r="G392" s="19" t="s">
        <v>14</v>
      </c>
      <c r="H392" s="21">
        <v>12449.38</v>
      </c>
      <c r="I392" s="19">
        <v>7</v>
      </c>
      <c r="J392" s="21">
        <v>786.53</v>
      </c>
      <c r="K392" s="19" t="str" cm="1">
        <f t="array" ref="K392">_xlfn.IFS(Table1342[[#This Row],[Sales]]&gt;40000,"Best Sales",Table1342[[#This Row],[Sales]]&gt;20000,"Average Sales",Table1342[[#This Row],[Sales]]&gt;0,"Poor Sales")</f>
        <v>Poor Sales</v>
      </c>
      <c r="L392" s="19">
        <f>YEAR(Table1342[[#This Row],[Date]])</f>
        <v>2023</v>
      </c>
      <c r="M392" s="19">
        <f>MONTH(Table1342[[#This Row],[Date]])</f>
        <v>1</v>
      </c>
      <c r="N392" s="19">
        <f>DAY(Table1342[[#This Row],[Date]])</f>
        <v>16</v>
      </c>
      <c r="O392" s="19"/>
      <c r="P392" s="19" t="str">
        <f>TEXT(DATE(2023,Table1342[[#This Row],[MONTH]],1),"mmm")</f>
        <v>Jan</v>
      </c>
      <c r="Q392" s="19"/>
    </row>
    <row r="393" spans="1:17" x14ac:dyDescent="0.3">
      <c r="A393" s="19">
        <v>392</v>
      </c>
      <c r="B393" s="20">
        <v>45211</v>
      </c>
      <c r="C393" s="19" t="s">
        <v>15</v>
      </c>
      <c r="D393" s="19" t="s">
        <v>16</v>
      </c>
      <c r="E393" s="19" t="s">
        <v>12</v>
      </c>
      <c r="F393" s="19" t="s">
        <v>24</v>
      </c>
      <c r="G393" s="19" t="s">
        <v>25</v>
      </c>
      <c r="H393" s="21">
        <v>12941.19</v>
      </c>
      <c r="I393" s="19">
        <v>4</v>
      </c>
      <c r="J393" s="21">
        <v>1257.8900000000001</v>
      </c>
      <c r="K393" s="19" t="str" cm="1">
        <f t="array" ref="K393">_xlfn.IFS(Table1342[[#This Row],[Sales]]&gt;40000,"Best Sales",Table1342[[#This Row],[Sales]]&gt;20000,"Average Sales",Table1342[[#This Row],[Sales]]&gt;0,"Poor Sales")</f>
        <v>Poor Sales</v>
      </c>
      <c r="L393" s="19">
        <f>YEAR(Table1342[[#This Row],[Date]])</f>
        <v>2023</v>
      </c>
      <c r="M393" s="19">
        <f>MONTH(Table1342[[#This Row],[Date]])</f>
        <v>10</v>
      </c>
      <c r="N393" s="19">
        <f>DAY(Table1342[[#This Row],[Date]])</f>
        <v>12</v>
      </c>
      <c r="O393" s="19"/>
      <c r="P393" s="19" t="str">
        <f>TEXT(DATE(2023,Table1342[[#This Row],[MONTH]],1),"mmm")</f>
        <v>Oct</v>
      </c>
      <c r="Q393" s="19"/>
    </row>
    <row r="394" spans="1:17" x14ac:dyDescent="0.3">
      <c r="A394" s="19">
        <v>393</v>
      </c>
      <c r="B394" s="20">
        <v>45166</v>
      </c>
      <c r="C394" s="19" t="s">
        <v>30</v>
      </c>
      <c r="D394" s="19" t="s">
        <v>16</v>
      </c>
      <c r="E394" s="19" t="s">
        <v>17</v>
      </c>
      <c r="F394" s="19" t="s">
        <v>24</v>
      </c>
      <c r="G394" s="19" t="s">
        <v>28</v>
      </c>
      <c r="H394" s="21">
        <v>22201.1</v>
      </c>
      <c r="I394" s="19">
        <v>6</v>
      </c>
      <c r="J394" s="21">
        <v>4513.6000000000004</v>
      </c>
      <c r="K394" s="19" t="str" cm="1">
        <f t="array" ref="K394">_xlfn.IFS(Table1342[[#This Row],[Sales]]&gt;40000,"Best Sales",Table1342[[#This Row],[Sales]]&gt;20000,"Average Sales",Table1342[[#This Row],[Sales]]&gt;0,"Poor Sales")</f>
        <v>Average Sales</v>
      </c>
      <c r="L394" s="19">
        <f>YEAR(Table1342[[#This Row],[Date]])</f>
        <v>2023</v>
      </c>
      <c r="M394" s="19">
        <f>MONTH(Table1342[[#This Row],[Date]])</f>
        <v>8</v>
      </c>
      <c r="N394" s="19">
        <f>DAY(Table1342[[#This Row],[Date]])</f>
        <v>28</v>
      </c>
      <c r="O394" s="19"/>
      <c r="P394" s="19" t="str">
        <f>TEXT(DATE(2023,Table1342[[#This Row],[MONTH]],1),"mmm")</f>
        <v>Aug</v>
      </c>
      <c r="Q394" s="19"/>
    </row>
    <row r="395" spans="1:17" x14ac:dyDescent="0.3">
      <c r="A395" s="19">
        <v>394</v>
      </c>
      <c r="B395" s="20">
        <v>45112</v>
      </c>
      <c r="C395" s="19" t="s">
        <v>37</v>
      </c>
      <c r="D395" s="19" t="s">
        <v>27</v>
      </c>
      <c r="E395" s="19" t="s">
        <v>12</v>
      </c>
      <c r="F395" s="19" t="s">
        <v>13</v>
      </c>
      <c r="G395" s="19" t="s">
        <v>14</v>
      </c>
      <c r="H395" s="21">
        <v>32017.52</v>
      </c>
      <c r="I395" s="19">
        <v>9</v>
      </c>
      <c r="J395" s="21">
        <v>6657.95</v>
      </c>
      <c r="K395" s="19" t="str" cm="1">
        <f t="array" ref="K395">_xlfn.IFS(Table1342[[#This Row],[Sales]]&gt;40000,"Best Sales",Table1342[[#This Row],[Sales]]&gt;20000,"Average Sales",Table1342[[#This Row],[Sales]]&gt;0,"Poor Sales")</f>
        <v>Average Sales</v>
      </c>
      <c r="L395" s="19">
        <f>YEAR(Table1342[[#This Row],[Date]])</f>
        <v>2023</v>
      </c>
      <c r="M395" s="19">
        <f>MONTH(Table1342[[#This Row],[Date]])</f>
        <v>7</v>
      </c>
      <c r="N395" s="19">
        <f>DAY(Table1342[[#This Row],[Date]])</f>
        <v>5</v>
      </c>
      <c r="O395" s="19"/>
      <c r="P395" s="19" t="str">
        <f>TEXT(DATE(2023,Table1342[[#This Row],[MONTH]],1),"mmm")</f>
        <v>Jul</v>
      </c>
      <c r="Q395" s="19"/>
    </row>
    <row r="396" spans="1:17" x14ac:dyDescent="0.3">
      <c r="A396" s="19">
        <v>395</v>
      </c>
      <c r="B396" s="20">
        <v>45042</v>
      </c>
      <c r="C396" s="19" t="s">
        <v>30</v>
      </c>
      <c r="D396" s="19" t="s">
        <v>16</v>
      </c>
      <c r="E396" s="19" t="s">
        <v>17</v>
      </c>
      <c r="F396" s="19" t="s">
        <v>13</v>
      </c>
      <c r="G396" s="19" t="s">
        <v>34</v>
      </c>
      <c r="H396" s="21">
        <v>9140.99</v>
      </c>
      <c r="I396" s="19">
        <v>9</v>
      </c>
      <c r="J396" s="21">
        <v>1852.84</v>
      </c>
      <c r="K396" s="19" t="str" cm="1">
        <f t="array" ref="K396">_xlfn.IFS(Table1342[[#This Row],[Sales]]&gt;40000,"Best Sales",Table1342[[#This Row],[Sales]]&gt;20000,"Average Sales",Table1342[[#This Row],[Sales]]&gt;0,"Poor Sales")</f>
        <v>Poor Sales</v>
      </c>
      <c r="L396" s="19">
        <f>YEAR(Table1342[[#This Row],[Date]])</f>
        <v>2023</v>
      </c>
      <c r="M396" s="19">
        <f>MONTH(Table1342[[#This Row],[Date]])</f>
        <v>4</v>
      </c>
      <c r="N396" s="19">
        <f>DAY(Table1342[[#This Row],[Date]])</f>
        <v>26</v>
      </c>
      <c r="O396" s="19"/>
      <c r="P396" s="19" t="str">
        <f>TEXT(DATE(2023,Table1342[[#This Row],[MONTH]],1),"mmm")</f>
        <v>Apr</v>
      </c>
      <c r="Q396" s="19"/>
    </row>
    <row r="397" spans="1:17" x14ac:dyDescent="0.3">
      <c r="A397" s="19">
        <v>396</v>
      </c>
      <c r="B397" s="20">
        <v>44996</v>
      </c>
      <c r="C397" s="19" t="s">
        <v>10</v>
      </c>
      <c r="D397" s="19" t="s">
        <v>11</v>
      </c>
      <c r="E397" s="19" t="s">
        <v>20</v>
      </c>
      <c r="F397" s="19" t="s">
        <v>24</v>
      </c>
      <c r="G397" s="19" t="s">
        <v>28</v>
      </c>
      <c r="H397" s="21">
        <v>31801.74</v>
      </c>
      <c r="I397" s="19">
        <v>5</v>
      </c>
      <c r="J397" s="21">
        <v>4975.09</v>
      </c>
      <c r="K397" s="19" t="str" cm="1">
        <f t="array" ref="K397">_xlfn.IFS(Table1342[[#This Row],[Sales]]&gt;40000,"Best Sales",Table1342[[#This Row],[Sales]]&gt;20000,"Average Sales",Table1342[[#This Row],[Sales]]&gt;0,"Poor Sales")</f>
        <v>Average Sales</v>
      </c>
      <c r="L397" s="19">
        <f>YEAR(Table1342[[#This Row],[Date]])</f>
        <v>2023</v>
      </c>
      <c r="M397" s="19">
        <f>MONTH(Table1342[[#This Row],[Date]])</f>
        <v>3</v>
      </c>
      <c r="N397" s="19">
        <f>DAY(Table1342[[#This Row],[Date]])</f>
        <v>11</v>
      </c>
      <c r="O397" s="19"/>
      <c r="P397" s="19" t="str">
        <f>TEXT(DATE(2023,Table1342[[#This Row],[MONTH]],1),"mmm")</f>
        <v>Mar</v>
      </c>
      <c r="Q397" s="19"/>
    </row>
    <row r="398" spans="1:17" x14ac:dyDescent="0.3">
      <c r="A398" s="19">
        <v>397</v>
      </c>
      <c r="B398" s="20">
        <v>45180</v>
      </c>
      <c r="C398" s="19" t="s">
        <v>22</v>
      </c>
      <c r="D398" s="19" t="s">
        <v>22</v>
      </c>
      <c r="E398" s="19" t="s">
        <v>20</v>
      </c>
      <c r="F398" s="19" t="s">
        <v>13</v>
      </c>
      <c r="G398" s="19" t="s">
        <v>34</v>
      </c>
      <c r="H398" s="21">
        <v>18034.93</v>
      </c>
      <c r="I398" s="19">
        <v>1</v>
      </c>
      <c r="J398" s="21">
        <v>2248.6999999999998</v>
      </c>
      <c r="K398" s="19" t="str" cm="1">
        <f t="array" ref="K398">_xlfn.IFS(Table1342[[#This Row],[Sales]]&gt;40000,"Best Sales",Table1342[[#This Row],[Sales]]&gt;20000,"Average Sales",Table1342[[#This Row],[Sales]]&gt;0,"Poor Sales")</f>
        <v>Poor Sales</v>
      </c>
      <c r="L398" s="19">
        <f>YEAR(Table1342[[#This Row],[Date]])</f>
        <v>2023</v>
      </c>
      <c r="M398" s="19">
        <f>MONTH(Table1342[[#This Row],[Date]])</f>
        <v>9</v>
      </c>
      <c r="N398" s="19">
        <f>DAY(Table1342[[#This Row],[Date]])</f>
        <v>11</v>
      </c>
      <c r="O398" s="19"/>
      <c r="P398" s="19" t="str">
        <f>TEXT(DATE(2023,Table1342[[#This Row],[MONTH]],1),"mmm")</f>
        <v>Sep</v>
      </c>
      <c r="Q398" s="19"/>
    </row>
    <row r="399" spans="1:17" x14ac:dyDescent="0.3">
      <c r="A399" s="19">
        <v>398</v>
      </c>
      <c r="B399" s="20">
        <v>44941</v>
      </c>
      <c r="C399" s="19" t="s">
        <v>37</v>
      </c>
      <c r="D399" s="19" t="s">
        <v>27</v>
      </c>
      <c r="E399" s="19" t="s">
        <v>12</v>
      </c>
      <c r="F399" s="19" t="s">
        <v>13</v>
      </c>
      <c r="G399" s="19" t="s">
        <v>21</v>
      </c>
      <c r="H399" s="21">
        <v>29008.89</v>
      </c>
      <c r="I399" s="19">
        <v>3</v>
      </c>
      <c r="J399" s="21">
        <v>6564.12</v>
      </c>
      <c r="K399" s="19" t="str" cm="1">
        <f t="array" ref="K399">_xlfn.IFS(Table1342[[#This Row],[Sales]]&gt;40000,"Best Sales",Table1342[[#This Row],[Sales]]&gt;20000,"Average Sales",Table1342[[#This Row],[Sales]]&gt;0,"Poor Sales")</f>
        <v>Average Sales</v>
      </c>
      <c r="L399" s="19">
        <f>YEAR(Table1342[[#This Row],[Date]])</f>
        <v>2023</v>
      </c>
      <c r="M399" s="19">
        <f>MONTH(Table1342[[#This Row],[Date]])</f>
        <v>1</v>
      </c>
      <c r="N399" s="19">
        <f>DAY(Table1342[[#This Row],[Date]])</f>
        <v>15</v>
      </c>
      <c r="O399" s="19"/>
      <c r="P399" s="19" t="str">
        <f>TEXT(DATE(2023,Table1342[[#This Row],[MONTH]],1),"mmm")</f>
        <v>Jan</v>
      </c>
      <c r="Q399" s="19"/>
    </row>
    <row r="400" spans="1:17" x14ac:dyDescent="0.3">
      <c r="A400" s="19">
        <v>399</v>
      </c>
      <c r="B400" s="20">
        <v>45171</v>
      </c>
      <c r="C400" s="19" t="s">
        <v>22</v>
      </c>
      <c r="D400" s="19" t="s">
        <v>22</v>
      </c>
      <c r="E400" s="19" t="s">
        <v>17</v>
      </c>
      <c r="F400" s="19" t="s">
        <v>13</v>
      </c>
      <c r="G400" s="19" t="s">
        <v>34</v>
      </c>
      <c r="H400" s="21">
        <v>23170.27</v>
      </c>
      <c r="I400" s="19">
        <v>7</v>
      </c>
      <c r="J400" s="21">
        <v>3487.51</v>
      </c>
      <c r="K400" s="19" t="str" cm="1">
        <f t="array" ref="K400">_xlfn.IFS(Table1342[[#This Row],[Sales]]&gt;40000,"Best Sales",Table1342[[#This Row],[Sales]]&gt;20000,"Average Sales",Table1342[[#This Row],[Sales]]&gt;0,"Poor Sales")</f>
        <v>Average Sales</v>
      </c>
      <c r="L400" s="19">
        <f>YEAR(Table1342[[#This Row],[Date]])</f>
        <v>2023</v>
      </c>
      <c r="M400" s="19">
        <f>MONTH(Table1342[[#This Row],[Date]])</f>
        <v>9</v>
      </c>
      <c r="N400" s="19">
        <f>DAY(Table1342[[#This Row],[Date]])</f>
        <v>2</v>
      </c>
      <c r="O400" s="19"/>
      <c r="P400" s="19" t="str">
        <f>TEXT(DATE(2023,Table1342[[#This Row],[MONTH]],1),"mmm")</f>
        <v>Sep</v>
      </c>
      <c r="Q400" s="19"/>
    </row>
    <row r="401" spans="1:17" x14ac:dyDescent="0.3">
      <c r="A401" s="19">
        <v>400</v>
      </c>
      <c r="B401" s="20">
        <v>45225</v>
      </c>
      <c r="C401" s="19" t="s">
        <v>22</v>
      </c>
      <c r="D401" s="19" t="s">
        <v>22</v>
      </c>
      <c r="E401" s="19" t="s">
        <v>12</v>
      </c>
      <c r="F401" s="19" t="s">
        <v>13</v>
      </c>
      <c r="G401" s="19" t="s">
        <v>14</v>
      </c>
      <c r="H401" s="21">
        <v>17142.79</v>
      </c>
      <c r="I401" s="19">
        <v>5</v>
      </c>
      <c r="J401" s="21">
        <v>4739.3999999999996</v>
      </c>
      <c r="K401" s="19" t="str" cm="1">
        <f t="array" ref="K401">_xlfn.IFS(Table1342[[#This Row],[Sales]]&gt;40000,"Best Sales",Table1342[[#This Row],[Sales]]&gt;20000,"Average Sales",Table1342[[#This Row],[Sales]]&gt;0,"Poor Sales")</f>
        <v>Poor Sales</v>
      </c>
      <c r="L401" s="19">
        <f>YEAR(Table1342[[#This Row],[Date]])</f>
        <v>2023</v>
      </c>
      <c r="M401" s="19">
        <f>MONTH(Table1342[[#This Row],[Date]])</f>
        <v>10</v>
      </c>
      <c r="N401" s="19">
        <f>DAY(Table1342[[#This Row],[Date]])</f>
        <v>26</v>
      </c>
      <c r="O401" s="19"/>
      <c r="P401" s="19" t="str">
        <f>TEXT(DATE(2023,Table1342[[#This Row],[MONTH]],1),"mmm")</f>
        <v>Oct</v>
      </c>
      <c r="Q401" s="19"/>
    </row>
    <row r="402" spans="1:17" x14ac:dyDescent="0.3">
      <c r="A402" s="19">
        <v>401</v>
      </c>
      <c r="B402" s="20">
        <v>45188</v>
      </c>
      <c r="C402" s="19" t="s">
        <v>22</v>
      </c>
      <c r="D402" s="19" t="s">
        <v>22</v>
      </c>
      <c r="E402" s="19" t="s">
        <v>17</v>
      </c>
      <c r="F402" s="19" t="s">
        <v>13</v>
      </c>
      <c r="G402" s="19" t="s">
        <v>34</v>
      </c>
      <c r="H402" s="21">
        <v>2524.96</v>
      </c>
      <c r="I402" s="19">
        <v>4</v>
      </c>
      <c r="J402" s="21">
        <v>350.09</v>
      </c>
      <c r="K402" s="19" t="str" cm="1">
        <f t="array" ref="K402">_xlfn.IFS(Table1342[[#This Row],[Sales]]&gt;40000,"Best Sales",Table1342[[#This Row],[Sales]]&gt;20000,"Average Sales",Table1342[[#This Row],[Sales]]&gt;0,"Poor Sales")</f>
        <v>Poor Sales</v>
      </c>
      <c r="L402" s="19">
        <f>YEAR(Table1342[[#This Row],[Date]])</f>
        <v>2023</v>
      </c>
      <c r="M402" s="19">
        <f>MONTH(Table1342[[#This Row],[Date]])</f>
        <v>9</v>
      </c>
      <c r="N402" s="19">
        <f>DAY(Table1342[[#This Row],[Date]])</f>
        <v>19</v>
      </c>
      <c r="O402" s="19"/>
      <c r="P402" s="19" t="str">
        <f>TEXT(DATE(2023,Table1342[[#This Row],[MONTH]],1),"mmm")</f>
        <v>Sep</v>
      </c>
      <c r="Q402" s="19"/>
    </row>
    <row r="403" spans="1:17" x14ac:dyDescent="0.3">
      <c r="A403" s="19">
        <v>402</v>
      </c>
      <c r="B403" s="20">
        <v>45155</v>
      </c>
      <c r="C403" s="19" t="s">
        <v>18</v>
      </c>
      <c r="D403" s="19" t="s">
        <v>19</v>
      </c>
      <c r="E403" s="19" t="s">
        <v>20</v>
      </c>
      <c r="F403" s="19" t="s">
        <v>24</v>
      </c>
      <c r="G403" s="19" t="s">
        <v>28</v>
      </c>
      <c r="H403" s="21">
        <v>42834.37</v>
      </c>
      <c r="I403" s="19">
        <v>4</v>
      </c>
      <c r="J403" s="21">
        <v>4416.7700000000004</v>
      </c>
      <c r="K403" s="19" t="str" cm="1">
        <f t="array" ref="K403">_xlfn.IFS(Table1342[[#This Row],[Sales]]&gt;40000,"Best Sales",Table1342[[#This Row],[Sales]]&gt;20000,"Average Sales",Table1342[[#This Row],[Sales]]&gt;0,"Poor Sales")</f>
        <v>Best Sales</v>
      </c>
      <c r="L403" s="19">
        <f>YEAR(Table1342[[#This Row],[Date]])</f>
        <v>2023</v>
      </c>
      <c r="M403" s="19">
        <f>MONTH(Table1342[[#This Row],[Date]])</f>
        <v>8</v>
      </c>
      <c r="N403" s="19">
        <f>DAY(Table1342[[#This Row],[Date]])</f>
        <v>17</v>
      </c>
      <c r="O403" s="19"/>
      <c r="P403" s="19" t="str">
        <f>TEXT(DATE(2023,Table1342[[#This Row],[MONTH]],1),"mmm")</f>
        <v>Aug</v>
      </c>
      <c r="Q403" s="19"/>
    </row>
    <row r="404" spans="1:17" x14ac:dyDescent="0.3">
      <c r="A404" s="19">
        <v>403</v>
      </c>
      <c r="B404" s="20">
        <v>44974</v>
      </c>
      <c r="C404" s="19" t="s">
        <v>37</v>
      </c>
      <c r="D404" s="19" t="s">
        <v>27</v>
      </c>
      <c r="E404" s="19" t="s">
        <v>20</v>
      </c>
      <c r="F404" s="19" t="s">
        <v>24</v>
      </c>
      <c r="G404" s="19" t="s">
        <v>29</v>
      </c>
      <c r="H404" s="21">
        <v>42841.86</v>
      </c>
      <c r="I404" s="19">
        <v>5</v>
      </c>
      <c r="J404" s="21">
        <v>9517.9500000000007</v>
      </c>
      <c r="K404" s="19" t="str" cm="1">
        <f t="array" ref="K404">_xlfn.IFS(Table1342[[#This Row],[Sales]]&gt;40000,"Best Sales",Table1342[[#This Row],[Sales]]&gt;20000,"Average Sales",Table1342[[#This Row],[Sales]]&gt;0,"Poor Sales")</f>
        <v>Best Sales</v>
      </c>
      <c r="L404" s="19">
        <f>YEAR(Table1342[[#This Row],[Date]])</f>
        <v>2023</v>
      </c>
      <c r="M404" s="19">
        <f>MONTH(Table1342[[#This Row],[Date]])</f>
        <v>2</v>
      </c>
      <c r="N404" s="19">
        <f>DAY(Table1342[[#This Row],[Date]])</f>
        <v>17</v>
      </c>
      <c r="O404" s="19"/>
      <c r="P404" s="19" t="str">
        <f>TEXT(DATE(2023,Table1342[[#This Row],[MONTH]],1),"mmm")</f>
        <v>Feb</v>
      </c>
      <c r="Q404" s="19"/>
    </row>
    <row r="405" spans="1:17" x14ac:dyDescent="0.3">
      <c r="A405" s="19">
        <v>404</v>
      </c>
      <c r="B405" s="20">
        <v>45135</v>
      </c>
      <c r="C405" s="19" t="s">
        <v>37</v>
      </c>
      <c r="D405" s="19" t="s">
        <v>27</v>
      </c>
      <c r="E405" s="19" t="s">
        <v>12</v>
      </c>
      <c r="F405" s="19" t="s">
        <v>13</v>
      </c>
      <c r="G405" s="19" t="s">
        <v>34</v>
      </c>
      <c r="H405" s="21">
        <v>11685.69</v>
      </c>
      <c r="I405" s="19">
        <v>7</v>
      </c>
      <c r="J405" s="21">
        <v>1915.68</v>
      </c>
      <c r="K405" s="19" t="str" cm="1">
        <f t="array" ref="K405">_xlfn.IFS(Table1342[[#This Row],[Sales]]&gt;40000,"Best Sales",Table1342[[#This Row],[Sales]]&gt;20000,"Average Sales",Table1342[[#This Row],[Sales]]&gt;0,"Poor Sales")</f>
        <v>Poor Sales</v>
      </c>
      <c r="L405" s="19">
        <f>YEAR(Table1342[[#This Row],[Date]])</f>
        <v>2023</v>
      </c>
      <c r="M405" s="19">
        <f>MONTH(Table1342[[#This Row],[Date]])</f>
        <v>7</v>
      </c>
      <c r="N405" s="19">
        <f>DAY(Table1342[[#This Row],[Date]])</f>
        <v>28</v>
      </c>
      <c r="O405" s="19"/>
      <c r="P405" s="19" t="str">
        <f>TEXT(DATE(2023,Table1342[[#This Row],[MONTH]],1),"mmm")</f>
        <v>Jul</v>
      </c>
      <c r="Q405" s="19"/>
    </row>
    <row r="406" spans="1:17" x14ac:dyDescent="0.3">
      <c r="A406" s="19">
        <v>405</v>
      </c>
      <c r="B406" s="20">
        <v>45181</v>
      </c>
      <c r="C406" s="19" t="s">
        <v>18</v>
      </c>
      <c r="D406" s="19" t="s">
        <v>19</v>
      </c>
      <c r="E406" s="19" t="s">
        <v>17</v>
      </c>
      <c r="F406" s="19" t="s">
        <v>24</v>
      </c>
      <c r="G406" s="19" t="s">
        <v>25</v>
      </c>
      <c r="H406" s="21">
        <v>19564.080000000002</v>
      </c>
      <c r="I406" s="19">
        <v>4</v>
      </c>
      <c r="J406" s="21">
        <v>5174.68</v>
      </c>
      <c r="K406" s="19" t="str" cm="1">
        <f t="array" ref="K406">_xlfn.IFS(Table1342[[#This Row],[Sales]]&gt;40000,"Best Sales",Table1342[[#This Row],[Sales]]&gt;20000,"Average Sales",Table1342[[#This Row],[Sales]]&gt;0,"Poor Sales")</f>
        <v>Poor Sales</v>
      </c>
      <c r="L406" s="19">
        <f>YEAR(Table1342[[#This Row],[Date]])</f>
        <v>2023</v>
      </c>
      <c r="M406" s="19">
        <f>MONTH(Table1342[[#This Row],[Date]])</f>
        <v>9</v>
      </c>
      <c r="N406" s="19">
        <f>DAY(Table1342[[#This Row],[Date]])</f>
        <v>12</v>
      </c>
      <c r="O406" s="19"/>
      <c r="P406" s="19" t="str">
        <f>TEXT(DATE(2023,Table1342[[#This Row],[MONTH]],1),"mmm")</f>
        <v>Sep</v>
      </c>
      <c r="Q406" s="19"/>
    </row>
    <row r="407" spans="1:17" x14ac:dyDescent="0.3">
      <c r="A407" s="19">
        <v>406</v>
      </c>
      <c r="B407" s="20">
        <v>45190</v>
      </c>
      <c r="C407" s="19" t="s">
        <v>30</v>
      </c>
      <c r="D407" s="19" t="s">
        <v>16</v>
      </c>
      <c r="E407" s="19" t="s">
        <v>12</v>
      </c>
      <c r="F407" s="19" t="s">
        <v>13</v>
      </c>
      <c r="G407" s="19" t="s">
        <v>34</v>
      </c>
      <c r="H407" s="21">
        <v>19188.95</v>
      </c>
      <c r="I407" s="19">
        <v>8</v>
      </c>
      <c r="J407" s="21">
        <v>4252.95</v>
      </c>
      <c r="K407" s="19" t="str" cm="1">
        <f t="array" ref="K407">_xlfn.IFS(Table1342[[#This Row],[Sales]]&gt;40000,"Best Sales",Table1342[[#This Row],[Sales]]&gt;20000,"Average Sales",Table1342[[#This Row],[Sales]]&gt;0,"Poor Sales")</f>
        <v>Poor Sales</v>
      </c>
      <c r="L407" s="19">
        <f>YEAR(Table1342[[#This Row],[Date]])</f>
        <v>2023</v>
      </c>
      <c r="M407" s="19">
        <f>MONTH(Table1342[[#This Row],[Date]])</f>
        <v>9</v>
      </c>
      <c r="N407" s="19">
        <f>DAY(Table1342[[#This Row],[Date]])</f>
        <v>21</v>
      </c>
      <c r="O407" s="19"/>
      <c r="P407" s="19" t="str">
        <f>TEXT(DATE(2023,Table1342[[#This Row],[MONTH]],1),"mmm")</f>
        <v>Sep</v>
      </c>
      <c r="Q407" s="19"/>
    </row>
    <row r="408" spans="1:17" x14ac:dyDescent="0.3">
      <c r="A408" s="19">
        <v>407</v>
      </c>
      <c r="B408" s="20">
        <v>45030</v>
      </c>
      <c r="C408" s="19" t="s">
        <v>35</v>
      </c>
      <c r="D408" s="19" t="s">
        <v>36</v>
      </c>
      <c r="E408" s="19" t="s">
        <v>17</v>
      </c>
      <c r="F408" s="19" t="s">
        <v>13</v>
      </c>
      <c r="G408" s="19" t="s">
        <v>14</v>
      </c>
      <c r="H408" s="21">
        <v>48474.84</v>
      </c>
      <c r="I408" s="19">
        <v>10</v>
      </c>
      <c r="J408" s="21">
        <v>4164.55</v>
      </c>
      <c r="K408" s="19" t="str" cm="1">
        <f t="array" ref="K408">_xlfn.IFS(Table1342[[#This Row],[Sales]]&gt;40000,"Best Sales",Table1342[[#This Row],[Sales]]&gt;20000,"Average Sales",Table1342[[#This Row],[Sales]]&gt;0,"Poor Sales")</f>
        <v>Best Sales</v>
      </c>
      <c r="L408" s="19">
        <f>YEAR(Table1342[[#This Row],[Date]])</f>
        <v>2023</v>
      </c>
      <c r="M408" s="19">
        <f>MONTH(Table1342[[#This Row],[Date]])</f>
        <v>4</v>
      </c>
      <c r="N408" s="19">
        <f>DAY(Table1342[[#This Row],[Date]])</f>
        <v>14</v>
      </c>
      <c r="O408" s="19"/>
      <c r="P408" s="19" t="str">
        <f>TEXT(DATE(2023,Table1342[[#This Row],[MONTH]],1),"mmm")</f>
        <v>Apr</v>
      </c>
      <c r="Q408" s="19"/>
    </row>
    <row r="409" spans="1:17" x14ac:dyDescent="0.3">
      <c r="A409" s="19">
        <v>408</v>
      </c>
      <c r="B409" s="20">
        <v>44933</v>
      </c>
      <c r="C409" s="19" t="s">
        <v>35</v>
      </c>
      <c r="D409" s="19" t="s">
        <v>36</v>
      </c>
      <c r="E409" s="19" t="s">
        <v>20</v>
      </c>
      <c r="F409" s="19" t="s">
        <v>13</v>
      </c>
      <c r="G409" s="19" t="s">
        <v>21</v>
      </c>
      <c r="H409" s="21">
        <v>36147.51</v>
      </c>
      <c r="I409" s="19">
        <v>8</v>
      </c>
      <c r="J409" s="21">
        <v>7327.76</v>
      </c>
      <c r="K409" s="19" t="str" cm="1">
        <f t="array" ref="K409">_xlfn.IFS(Table1342[[#This Row],[Sales]]&gt;40000,"Best Sales",Table1342[[#This Row],[Sales]]&gt;20000,"Average Sales",Table1342[[#This Row],[Sales]]&gt;0,"Poor Sales")</f>
        <v>Average Sales</v>
      </c>
      <c r="L409" s="19">
        <f>YEAR(Table1342[[#This Row],[Date]])</f>
        <v>2023</v>
      </c>
      <c r="M409" s="19">
        <f>MONTH(Table1342[[#This Row],[Date]])</f>
        <v>1</v>
      </c>
      <c r="N409" s="19">
        <f>DAY(Table1342[[#This Row],[Date]])</f>
        <v>7</v>
      </c>
      <c r="O409" s="19"/>
      <c r="P409" s="19" t="str">
        <f>TEXT(DATE(2023,Table1342[[#This Row],[MONTH]],1),"mmm")</f>
        <v>Jan</v>
      </c>
      <c r="Q409" s="19"/>
    </row>
    <row r="410" spans="1:17" x14ac:dyDescent="0.3">
      <c r="A410" s="19">
        <v>409</v>
      </c>
      <c r="B410" s="20">
        <v>45154</v>
      </c>
      <c r="C410" s="19" t="s">
        <v>15</v>
      </c>
      <c r="D410" s="19" t="s">
        <v>16</v>
      </c>
      <c r="E410" s="19" t="s">
        <v>20</v>
      </c>
      <c r="F410" s="19" t="s">
        <v>13</v>
      </c>
      <c r="G410" s="19" t="s">
        <v>21</v>
      </c>
      <c r="H410" s="21">
        <v>15852.65</v>
      </c>
      <c r="I410" s="19">
        <v>5</v>
      </c>
      <c r="J410" s="21">
        <v>1225.72</v>
      </c>
      <c r="K410" s="19" t="str" cm="1">
        <f t="array" ref="K410">_xlfn.IFS(Table1342[[#This Row],[Sales]]&gt;40000,"Best Sales",Table1342[[#This Row],[Sales]]&gt;20000,"Average Sales",Table1342[[#This Row],[Sales]]&gt;0,"Poor Sales")</f>
        <v>Poor Sales</v>
      </c>
      <c r="L410" s="19">
        <f>YEAR(Table1342[[#This Row],[Date]])</f>
        <v>2023</v>
      </c>
      <c r="M410" s="19">
        <f>MONTH(Table1342[[#This Row],[Date]])</f>
        <v>8</v>
      </c>
      <c r="N410" s="19">
        <f>DAY(Table1342[[#This Row],[Date]])</f>
        <v>16</v>
      </c>
      <c r="O410" s="19"/>
      <c r="P410" s="19" t="str">
        <f>TEXT(DATE(2023,Table1342[[#This Row],[MONTH]],1),"mmm")</f>
        <v>Aug</v>
      </c>
      <c r="Q410" s="19"/>
    </row>
    <row r="411" spans="1:17" x14ac:dyDescent="0.3">
      <c r="A411" s="19">
        <v>410</v>
      </c>
      <c r="B411" s="20">
        <v>45231</v>
      </c>
      <c r="C411" s="19" t="s">
        <v>26</v>
      </c>
      <c r="D411" s="19" t="s">
        <v>27</v>
      </c>
      <c r="E411" s="19" t="s">
        <v>12</v>
      </c>
      <c r="F411" s="19" t="s">
        <v>31</v>
      </c>
      <c r="G411" s="19" t="s">
        <v>32</v>
      </c>
      <c r="H411" s="21">
        <v>39386.74</v>
      </c>
      <c r="I411" s="19">
        <v>8</v>
      </c>
      <c r="J411" s="21">
        <v>5212.04</v>
      </c>
      <c r="K411" s="19" t="str" cm="1">
        <f t="array" ref="K411">_xlfn.IFS(Table1342[[#This Row],[Sales]]&gt;40000,"Best Sales",Table1342[[#This Row],[Sales]]&gt;20000,"Average Sales",Table1342[[#This Row],[Sales]]&gt;0,"Poor Sales")</f>
        <v>Average Sales</v>
      </c>
      <c r="L411" s="19">
        <f>YEAR(Table1342[[#This Row],[Date]])</f>
        <v>2023</v>
      </c>
      <c r="M411" s="19">
        <f>MONTH(Table1342[[#This Row],[Date]])</f>
        <v>11</v>
      </c>
      <c r="N411" s="19">
        <f>DAY(Table1342[[#This Row],[Date]])</f>
        <v>1</v>
      </c>
      <c r="O411" s="19"/>
      <c r="P411" s="19" t="str">
        <f>TEXT(DATE(2023,Table1342[[#This Row],[MONTH]],1),"mmm")</f>
        <v>Nov</v>
      </c>
      <c r="Q411" s="19"/>
    </row>
    <row r="412" spans="1:17" x14ac:dyDescent="0.3">
      <c r="A412" s="19">
        <v>411</v>
      </c>
      <c r="B412" s="20">
        <v>45234</v>
      </c>
      <c r="C412" s="19" t="s">
        <v>35</v>
      </c>
      <c r="D412" s="19" t="s">
        <v>36</v>
      </c>
      <c r="E412" s="19" t="s">
        <v>17</v>
      </c>
      <c r="F412" s="19" t="s">
        <v>31</v>
      </c>
      <c r="G412" s="19" t="s">
        <v>33</v>
      </c>
      <c r="H412" s="21">
        <v>1072.04</v>
      </c>
      <c r="I412" s="19">
        <v>1</v>
      </c>
      <c r="J412" s="21">
        <v>258.16000000000003</v>
      </c>
      <c r="K412" s="19" t="str" cm="1">
        <f t="array" ref="K412">_xlfn.IFS(Table1342[[#This Row],[Sales]]&gt;40000,"Best Sales",Table1342[[#This Row],[Sales]]&gt;20000,"Average Sales",Table1342[[#This Row],[Sales]]&gt;0,"Poor Sales")</f>
        <v>Poor Sales</v>
      </c>
      <c r="L412" s="19">
        <f>YEAR(Table1342[[#This Row],[Date]])</f>
        <v>2023</v>
      </c>
      <c r="M412" s="19">
        <f>MONTH(Table1342[[#This Row],[Date]])</f>
        <v>11</v>
      </c>
      <c r="N412" s="19">
        <f>DAY(Table1342[[#This Row],[Date]])</f>
        <v>4</v>
      </c>
      <c r="O412" s="19"/>
      <c r="P412" s="19" t="str">
        <f>TEXT(DATE(2023,Table1342[[#This Row],[MONTH]],1),"mmm")</f>
        <v>Nov</v>
      </c>
      <c r="Q412" s="19"/>
    </row>
    <row r="413" spans="1:17" x14ac:dyDescent="0.3">
      <c r="A413" s="19">
        <v>412</v>
      </c>
      <c r="B413" s="20">
        <v>45107</v>
      </c>
      <c r="C413" s="19" t="s">
        <v>30</v>
      </c>
      <c r="D413" s="19" t="s">
        <v>16</v>
      </c>
      <c r="E413" s="19" t="s">
        <v>12</v>
      </c>
      <c r="F413" s="19" t="s">
        <v>13</v>
      </c>
      <c r="G413" s="19" t="s">
        <v>21</v>
      </c>
      <c r="H413" s="21">
        <v>34096.050000000003</v>
      </c>
      <c r="I413" s="19">
        <v>5</v>
      </c>
      <c r="J413" s="21">
        <v>8352.9</v>
      </c>
      <c r="K413" s="19" t="str" cm="1">
        <f t="array" ref="K413">_xlfn.IFS(Table1342[[#This Row],[Sales]]&gt;40000,"Best Sales",Table1342[[#This Row],[Sales]]&gt;20000,"Average Sales",Table1342[[#This Row],[Sales]]&gt;0,"Poor Sales")</f>
        <v>Average Sales</v>
      </c>
      <c r="L413" s="19">
        <f>YEAR(Table1342[[#This Row],[Date]])</f>
        <v>2023</v>
      </c>
      <c r="M413" s="19">
        <f>MONTH(Table1342[[#This Row],[Date]])</f>
        <v>6</v>
      </c>
      <c r="N413" s="19">
        <f>DAY(Table1342[[#This Row],[Date]])</f>
        <v>30</v>
      </c>
      <c r="O413" s="19"/>
      <c r="P413" s="19" t="str">
        <f>TEXT(DATE(2023,Table1342[[#This Row],[MONTH]],1),"mmm")</f>
        <v>Jun</v>
      </c>
      <c r="Q413" s="19"/>
    </row>
    <row r="414" spans="1:17" x14ac:dyDescent="0.3">
      <c r="A414" s="19">
        <v>413</v>
      </c>
      <c r="B414" s="20">
        <v>44985</v>
      </c>
      <c r="C414" s="19" t="s">
        <v>38</v>
      </c>
      <c r="D414" s="19" t="s">
        <v>27</v>
      </c>
      <c r="E414" s="19" t="s">
        <v>17</v>
      </c>
      <c r="F414" s="19" t="s">
        <v>24</v>
      </c>
      <c r="G414" s="19" t="s">
        <v>29</v>
      </c>
      <c r="H414" s="21">
        <v>21431.4</v>
      </c>
      <c r="I414" s="19">
        <v>6</v>
      </c>
      <c r="J414" s="21">
        <v>3110.02</v>
      </c>
      <c r="K414" s="19" t="str" cm="1">
        <f t="array" ref="K414">_xlfn.IFS(Table1342[[#This Row],[Sales]]&gt;40000,"Best Sales",Table1342[[#This Row],[Sales]]&gt;20000,"Average Sales",Table1342[[#This Row],[Sales]]&gt;0,"Poor Sales")</f>
        <v>Average Sales</v>
      </c>
      <c r="L414" s="19">
        <f>YEAR(Table1342[[#This Row],[Date]])</f>
        <v>2023</v>
      </c>
      <c r="M414" s="19">
        <f>MONTH(Table1342[[#This Row],[Date]])</f>
        <v>2</v>
      </c>
      <c r="N414" s="19">
        <f>DAY(Table1342[[#This Row],[Date]])</f>
        <v>28</v>
      </c>
      <c r="O414" s="19"/>
      <c r="P414" s="19" t="str">
        <f>TEXT(DATE(2023,Table1342[[#This Row],[MONTH]],1),"mmm")</f>
        <v>Feb</v>
      </c>
      <c r="Q414" s="19"/>
    </row>
    <row r="415" spans="1:17" x14ac:dyDescent="0.3">
      <c r="A415" s="19">
        <v>414</v>
      </c>
      <c r="B415" s="20">
        <v>45197</v>
      </c>
      <c r="C415" s="19" t="s">
        <v>22</v>
      </c>
      <c r="D415" s="19" t="s">
        <v>22</v>
      </c>
      <c r="E415" s="19" t="s">
        <v>20</v>
      </c>
      <c r="F415" s="19" t="s">
        <v>31</v>
      </c>
      <c r="G415" s="19" t="s">
        <v>33</v>
      </c>
      <c r="H415" s="21">
        <v>49809.53</v>
      </c>
      <c r="I415" s="19">
        <v>10</v>
      </c>
      <c r="J415" s="21">
        <v>12615.9</v>
      </c>
      <c r="K415" s="19" t="str" cm="1">
        <f t="array" ref="K415">_xlfn.IFS(Table1342[[#This Row],[Sales]]&gt;40000,"Best Sales",Table1342[[#This Row],[Sales]]&gt;20000,"Average Sales",Table1342[[#This Row],[Sales]]&gt;0,"Poor Sales")</f>
        <v>Best Sales</v>
      </c>
      <c r="L415" s="19">
        <f>YEAR(Table1342[[#This Row],[Date]])</f>
        <v>2023</v>
      </c>
      <c r="M415" s="19">
        <f>MONTH(Table1342[[#This Row],[Date]])</f>
        <v>9</v>
      </c>
      <c r="N415" s="19">
        <f>DAY(Table1342[[#This Row],[Date]])</f>
        <v>28</v>
      </c>
      <c r="O415" s="19"/>
      <c r="P415" s="19" t="str">
        <f>TEXT(DATE(2023,Table1342[[#This Row],[MONTH]],1),"mmm")</f>
        <v>Sep</v>
      </c>
      <c r="Q415" s="19"/>
    </row>
    <row r="416" spans="1:17" x14ac:dyDescent="0.3">
      <c r="A416" s="19">
        <v>415</v>
      </c>
      <c r="B416" s="20">
        <v>45168</v>
      </c>
      <c r="C416" s="19" t="s">
        <v>10</v>
      </c>
      <c r="D416" s="19" t="s">
        <v>11</v>
      </c>
      <c r="E416" s="19" t="s">
        <v>20</v>
      </c>
      <c r="F416" s="19" t="s">
        <v>13</v>
      </c>
      <c r="G416" s="19" t="s">
        <v>21</v>
      </c>
      <c r="H416" s="21">
        <v>37457.269999999997</v>
      </c>
      <c r="I416" s="19">
        <v>2</v>
      </c>
      <c r="J416" s="21">
        <v>2038.02</v>
      </c>
      <c r="K416" s="19" t="str" cm="1">
        <f t="array" ref="K416">_xlfn.IFS(Table1342[[#This Row],[Sales]]&gt;40000,"Best Sales",Table1342[[#This Row],[Sales]]&gt;20000,"Average Sales",Table1342[[#This Row],[Sales]]&gt;0,"Poor Sales")</f>
        <v>Average Sales</v>
      </c>
      <c r="L416" s="19">
        <f>YEAR(Table1342[[#This Row],[Date]])</f>
        <v>2023</v>
      </c>
      <c r="M416" s="19">
        <f>MONTH(Table1342[[#This Row],[Date]])</f>
        <v>8</v>
      </c>
      <c r="N416" s="19">
        <f>DAY(Table1342[[#This Row],[Date]])</f>
        <v>30</v>
      </c>
      <c r="O416" s="19"/>
      <c r="P416" s="19" t="str">
        <f>TEXT(DATE(2023,Table1342[[#This Row],[MONTH]],1),"mmm")</f>
        <v>Aug</v>
      </c>
      <c r="Q416" s="19"/>
    </row>
    <row r="417" spans="1:17" x14ac:dyDescent="0.3">
      <c r="A417" s="19">
        <v>416</v>
      </c>
      <c r="B417" s="20">
        <v>45265</v>
      </c>
      <c r="C417" s="19" t="s">
        <v>18</v>
      </c>
      <c r="D417" s="19" t="s">
        <v>19</v>
      </c>
      <c r="E417" s="19" t="s">
        <v>12</v>
      </c>
      <c r="F417" s="19" t="s">
        <v>24</v>
      </c>
      <c r="G417" s="19" t="s">
        <v>25</v>
      </c>
      <c r="H417" s="21">
        <v>9482.2900000000009</v>
      </c>
      <c r="I417" s="19">
        <v>8</v>
      </c>
      <c r="J417" s="21">
        <v>1193.25</v>
      </c>
      <c r="K417" s="19" t="str" cm="1">
        <f t="array" ref="K417">_xlfn.IFS(Table1342[[#This Row],[Sales]]&gt;40000,"Best Sales",Table1342[[#This Row],[Sales]]&gt;20000,"Average Sales",Table1342[[#This Row],[Sales]]&gt;0,"Poor Sales")</f>
        <v>Poor Sales</v>
      </c>
      <c r="L417" s="19">
        <f>YEAR(Table1342[[#This Row],[Date]])</f>
        <v>2023</v>
      </c>
      <c r="M417" s="19">
        <f>MONTH(Table1342[[#This Row],[Date]])</f>
        <v>12</v>
      </c>
      <c r="N417" s="19">
        <f>DAY(Table1342[[#This Row],[Date]])</f>
        <v>5</v>
      </c>
      <c r="O417" s="19"/>
      <c r="P417" s="19" t="str">
        <f>TEXT(DATE(2023,Table1342[[#This Row],[MONTH]],1),"mmm")</f>
        <v>Dec</v>
      </c>
      <c r="Q417" s="19"/>
    </row>
    <row r="418" spans="1:17" x14ac:dyDescent="0.3">
      <c r="A418" s="19">
        <v>417</v>
      </c>
      <c r="B418" s="20">
        <v>45099</v>
      </c>
      <c r="C418" s="19" t="s">
        <v>26</v>
      </c>
      <c r="D418" s="19" t="s">
        <v>27</v>
      </c>
      <c r="E418" s="19" t="s">
        <v>17</v>
      </c>
      <c r="F418" s="19" t="s">
        <v>24</v>
      </c>
      <c r="G418" s="19" t="s">
        <v>28</v>
      </c>
      <c r="H418" s="21">
        <v>35623</v>
      </c>
      <c r="I418" s="19">
        <v>7</v>
      </c>
      <c r="J418" s="21">
        <v>6475.03</v>
      </c>
      <c r="K418" s="19" t="str" cm="1">
        <f t="array" ref="K418">_xlfn.IFS(Table1342[[#This Row],[Sales]]&gt;40000,"Best Sales",Table1342[[#This Row],[Sales]]&gt;20000,"Average Sales",Table1342[[#This Row],[Sales]]&gt;0,"Poor Sales")</f>
        <v>Average Sales</v>
      </c>
      <c r="L418" s="19">
        <f>YEAR(Table1342[[#This Row],[Date]])</f>
        <v>2023</v>
      </c>
      <c r="M418" s="19">
        <f>MONTH(Table1342[[#This Row],[Date]])</f>
        <v>6</v>
      </c>
      <c r="N418" s="19">
        <f>DAY(Table1342[[#This Row],[Date]])</f>
        <v>22</v>
      </c>
      <c r="O418" s="19"/>
      <c r="P418" s="19" t="str">
        <f>TEXT(DATE(2023,Table1342[[#This Row],[MONTH]],1),"mmm")</f>
        <v>Jun</v>
      </c>
      <c r="Q418" s="19"/>
    </row>
    <row r="419" spans="1:17" x14ac:dyDescent="0.3">
      <c r="A419" s="19">
        <v>418</v>
      </c>
      <c r="B419" s="20">
        <v>44953</v>
      </c>
      <c r="C419" s="19" t="s">
        <v>22</v>
      </c>
      <c r="D419" s="19" t="s">
        <v>22</v>
      </c>
      <c r="E419" s="19" t="s">
        <v>12</v>
      </c>
      <c r="F419" s="19" t="s">
        <v>31</v>
      </c>
      <c r="G419" s="19" t="s">
        <v>39</v>
      </c>
      <c r="H419" s="21">
        <v>46161.55</v>
      </c>
      <c r="I419" s="19">
        <v>8</v>
      </c>
      <c r="J419" s="21">
        <v>11578.56</v>
      </c>
      <c r="K419" s="19" t="str" cm="1">
        <f t="array" ref="K419">_xlfn.IFS(Table1342[[#This Row],[Sales]]&gt;40000,"Best Sales",Table1342[[#This Row],[Sales]]&gt;20000,"Average Sales",Table1342[[#This Row],[Sales]]&gt;0,"Poor Sales")</f>
        <v>Best Sales</v>
      </c>
      <c r="L419" s="19">
        <f>YEAR(Table1342[[#This Row],[Date]])</f>
        <v>2023</v>
      </c>
      <c r="M419" s="19">
        <f>MONTH(Table1342[[#This Row],[Date]])</f>
        <v>1</v>
      </c>
      <c r="N419" s="19">
        <f>DAY(Table1342[[#This Row],[Date]])</f>
        <v>27</v>
      </c>
      <c r="O419" s="19"/>
      <c r="P419" s="19" t="str">
        <f>TEXT(DATE(2023,Table1342[[#This Row],[MONTH]],1),"mmm")</f>
        <v>Jan</v>
      </c>
      <c r="Q419" s="19"/>
    </row>
    <row r="420" spans="1:17" x14ac:dyDescent="0.3">
      <c r="A420" s="19">
        <v>419</v>
      </c>
      <c r="B420" s="20">
        <v>45039</v>
      </c>
      <c r="C420" s="19" t="s">
        <v>15</v>
      </c>
      <c r="D420" s="19" t="s">
        <v>16</v>
      </c>
      <c r="E420" s="19" t="s">
        <v>17</v>
      </c>
      <c r="F420" s="19" t="s">
        <v>24</v>
      </c>
      <c r="G420" s="19" t="s">
        <v>25</v>
      </c>
      <c r="H420" s="21">
        <v>14247.34</v>
      </c>
      <c r="I420" s="19">
        <v>8</v>
      </c>
      <c r="J420" s="21">
        <v>837.69</v>
      </c>
      <c r="K420" s="19" t="str" cm="1">
        <f t="array" ref="K420">_xlfn.IFS(Table1342[[#This Row],[Sales]]&gt;40000,"Best Sales",Table1342[[#This Row],[Sales]]&gt;20000,"Average Sales",Table1342[[#This Row],[Sales]]&gt;0,"Poor Sales")</f>
        <v>Poor Sales</v>
      </c>
      <c r="L420" s="19">
        <f>YEAR(Table1342[[#This Row],[Date]])</f>
        <v>2023</v>
      </c>
      <c r="M420" s="19">
        <f>MONTH(Table1342[[#This Row],[Date]])</f>
        <v>4</v>
      </c>
      <c r="N420" s="19">
        <f>DAY(Table1342[[#This Row],[Date]])</f>
        <v>23</v>
      </c>
      <c r="O420" s="19"/>
      <c r="P420" s="19" t="str">
        <f>TEXT(DATE(2023,Table1342[[#This Row],[MONTH]],1),"mmm")</f>
        <v>Apr</v>
      </c>
      <c r="Q420" s="19"/>
    </row>
    <row r="421" spans="1:17" x14ac:dyDescent="0.3">
      <c r="A421" s="19">
        <v>420</v>
      </c>
      <c r="B421" s="20">
        <v>45292</v>
      </c>
      <c r="C421" s="19" t="s">
        <v>22</v>
      </c>
      <c r="D421" s="19" t="s">
        <v>22</v>
      </c>
      <c r="E421" s="19" t="s">
        <v>20</v>
      </c>
      <c r="F421" s="19" t="s">
        <v>31</v>
      </c>
      <c r="G421" s="19" t="s">
        <v>33</v>
      </c>
      <c r="H421" s="21">
        <v>2003.36</v>
      </c>
      <c r="I421" s="19">
        <v>5</v>
      </c>
      <c r="J421" s="21">
        <v>300.98</v>
      </c>
      <c r="K421" s="19" t="str" cm="1">
        <f t="array" ref="K421">_xlfn.IFS(Table1342[[#This Row],[Sales]]&gt;40000,"Best Sales",Table1342[[#This Row],[Sales]]&gt;20000,"Average Sales",Table1342[[#This Row],[Sales]]&gt;0,"Poor Sales")</f>
        <v>Poor Sales</v>
      </c>
      <c r="L421" s="19">
        <f>YEAR(Table1342[[#This Row],[Date]])</f>
        <v>2024</v>
      </c>
      <c r="M421" s="19">
        <f>MONTH(Table1342[[#This Row],[Date]])</f>
        <v>1</v>
      </c>
      <c r="N421" s="19">
        <f>DAY(Table1342[[#This Row],[Date]])</f>
        <v>1</v>
      </c>
      <c r="O421" s="19"/>
      <c r="P421" s="19" t="str">
        <f>TEXT(DATE(2023,Table1342[[#This Row],[MONTH]],1),"mmm")</f>
        <v>Jan</v>
      </c>
      <c r="Q421" s="19"/>
    </row>
    <row r="422" spans="1:17" x14ac:dyDescent="0.3">
      <c r="A422" s="19">
        <v>421</v>
      </c>
      <c r="B422" s="20">
        <v>45029</v>
      </c>
      <c r="C422" s="19" t="s">
        <v>35</v>
      </c>
      <c r="D422" s="19" t="s">
        <v>36</v>
      </c>
      <c r="E422" s="19" t="s">
        <v>20</v>
      </c>
      <c r="F422" s="19" t="s">
        <v>13</v>
      </c>
      <c r="G422" s="19" t="s">
        <v>14</v>
      </c>
      <c r="H422" s="21">
        <v>25271.97</v>
      </c>
      <c r="I422" s="19">
        <v>5</v>
      </c>
      <c r="J422" s="21">
        <v>7144.62</v>
      </c>
      <c r="K422" s="19" t="str" cm="1">
        <f t="array" ref="K422">_xlfn.IFS(Table1342[[#This Row],[Sales]]&gt;40000,"Best Sales",Table1342[[#This Row],[Sales]]&gt;20000,"Average Sales",Table1342[[#This Row],[Sales]]&gt;0,"Poor Sales")</f>
        <v>Average Sales</v>
      </c>
      <c r="L422" s="19">
        <f>YEAR(Table1342[[#This Row],[Date]])</f>
        <v>2023</v>
      </c>
      <c r="M422" s="19">
        <f>MONTH(Table1342[[#This Row],[Date]])</f>
        <v>4</v>
      </c>
      <c r="N422" s="19">
        <f>DAY(Table1342[[#This Row],[Date]])</f>
        <v>13</v>
      </c>
      <c r="O422" s="19"/>
      <c r="P422" s="19" t="str">
        <f>TEXT(DATE(2023,Table1342[[#This Row],[MONTH]],1),"mmm")</f>
        <v>Apr</v>
      </c>
      <c r="Q422" s="19"/>
    </row>
    <row r="423" spans="1:17" x14ac:dyDescent="0.3">
      <c r="A423" s="19">
        <v>422</v>
      </c>
      <c r="B423" s="20">
        <v>44987</v>
      </c>
      <c r="C423" s="19" t="s">
        <v>35</v>
      </c>
      <c r="D423" s="19" t="s">
        <v>36</v>
      </c>
      <c r="E423" s="19" t="s">
        <v>12</v>
      </c>
      <c r="F423" s="19" t="s">
        <v>24</v>
      </c>
      <c r="G423" s="19" t="s">
        <v>25</v>
      </c>
      <c r="H423" s="21">
        <v>37101.279999999999</v>
      </c>
      <c r="I423" s="19">
        <v>10</v>
      </c>
      <c r="J423" s="21">
        <v>7469.11</v>
      </c>
      <c r="K423" s="19" t="str" cm="1">
        <f t="array" ref="K423">_xlfn.IFS(Table1342[[#This Row],[Sales]]&gt;40000,"Best Sales",Table1342[[#This Row],[Sales]]&gt;20000,"Average Sales",Table1342[[#This Row],[Sales]]&gt;0,"Poor Sales")</f>
        <v>Average Sales</v>
      </c>
      <c r="L423" s="19">
        <f>YEAR(Table1342[[#This Row],[Date]])</f>
        <v>2023</v>
      </c>
      <c r="M423" s="19">
        <f>MONTH(Table1342[[#This Row],[Date]])</f>
        <v>3</v>
      </c>
      <c r="N423" s="19">
        <f>DAY(Table1342[[#This Row],[Date]])</f>
        <v>2</v>
      </c>
      <c r="O423" s="19"/>
      <c r="P423" s="19" t="str">
        <f>TEXT(DATE(2023,Table1342[[#This Row],[MONTH]],1),"mmm")</f>
        <v>Mar</v>
      </c>
      <c r="Q423" s="19"/>
    </row>
    <row r="424" spans="1:17" x14ac:dyDescent="0.3">
      <c r="A424" s="19">
        <v>423</v>
      </c>
      <c r="B424" s="20">
        <v>44979</v>
      </c>
      <c r="C424" s="19" t="s">
        <v>37</v>
      </c>
      <c r="D424" s="19" t="s">
        <v>27</v>
      </c>
      <c r="E424" s="19" t="s">
        <v>17</v>
      </c>
      <c r="F424" s="19" t="s">
        <v>31</v>
      </c>
      <c r="G424" s="19" t="s">
        <v>33</v>
      </c>
      <c r="H424" s="21">
        <v>42041.48</v>
      </c>
      <c r="I424" s="19">
        <v>3</v>
      </c>
      <c r="J424" s="21">
        <v>3319.44</v>
      </c>
      <c r="K424" s="19" t="str" cm="1">
        <f t="array" ref="K424">_xlfn.IFS(Table1342[[#This Row],[Sales]]&gt;40000,"Best Sales",Table1342[[#This Row],[Sales]]&gt;20000,"Average Sales",Table1342[[#This Row],[Sales]]&gt;0,"Poor Sales")</f>
        <v>Best Sales</v>
      </c>
      <c r="L424" s="19">
        <f>YEAR(Table1342[[#This Row],[Date]])</f>
        <v>2023</v>
      </c>
      <c r="M424" s="19">
        <f>MONTH(Table1342[[#This Row],[Date]])</f>
        <v>2</v>
      </c>
      <c r="N424" s="19">
        <f>DAY(Table1342[[#This Row],[Date]])</f>
        <v>22</v>
      </c>
      <c r="O424" s="19"/>
      <c r="P424" s="19" t="str">
        <f>TEXT(DATE(2023,Table1342[[#This Row],[MONTH]],1),"mmm")</f>
        <v>Feb</v>
      </c>
      <c r="Q424" s="19"/>
    </row>
    <row r="425" spans="1:17" x14ac:dyDescent="0.3">
      <c r="A425" s="19">
        <v>424</v>
      </c>
      <c r="B425" s="20">
        <v>45179</v>
      </c>
      <c r="C425" s="19" t="s">
        <v>18</v>
      </c>
      <c r="D425" s="19" t="s">
        <v>19</v>
      </c>
      <c r="E425" s="19" t="s">
        <v>12</v>
      </c>
      <c r="F425" s="19" t="s">
        <v>24</v>
      </c>
      <c r="G425" s="19" t="s">
        <v>28</v>
      </c>
      <c r="H425" s="21">
        <v>20704.54</v>
      </c>
      <c r="I425" s="19">
        <v>3</v>
      </c>
      <c r="J425" s="21">
        <v>2503.7199999999998</v>
      </c>
      <c r="K425" s="19" t="str" cm="1">
        <f t="array" ref="K425">_xlfn.IFS(Table1342[[#This Row],[Sales]]&gt;40000,"Best Sales",Table1342[[#This Row],[Sales]]&gt;20000,"Average Sales",Table1342[[#This Row],[Sales]]&gt;0,"Poor Sales")</f>
        <v>Average Sales</v>
      </c>
      <c r="L425" s="19">
        <f>YEAR(Table1342[[#This Row],[Date]])</f>
        <v>2023</v>
      </c>
      <c r="M425" s="19">
        <f>MONTH(Table1342[[#This Row],[Date]])</f>
        <v>9</v>
      </c>
      <c r="N425" s="19">
        <f>DAY(Table1342[[#This Row],[Date]])</f>
        <v>10</v>
      </c>
      <c r="O425" s="19"/>
      <c r="P425" s="19" t="str">
        <f>TEXT(DATE(2023,Table1342[[#This Row],[MONTH]],1),"mmm")</f>
        <v>Sep</v>
      </c>
      <c r="Q425" s="19"/>
    </row>
    <row r="426" spans="1:17" x14ac:dyDescent="0.3">
      <c r="A426" s="19">
        <v>425</v>
      </c>
      <c r="B426" s="20">
        <v>45045</v>
      </c>
      <c r="C426" s="19" t="s">
        <v>30</v>
      </c>
      <c r="D426" s="19" t="s">
        <v>16</v>
      </c>
      <c r="E426" s="19" t="s">
        <v>17</v>
      </c>
      <c r="F426" s="19" t="s">
        <v>24</v>
      </c>
      <c r="G426" s="19" t="s">
        <v>25</v>
      </c>
      <c r="H426" s="21">
        <v>22455.3</v>
      </c>
      <c r="I426" s="19">
        <v>10</v>
      </c>
      <c r="J426" s="21">
        <v>3904.62</v>
      </c>
      <c r="K426" s="19" t="str" cm="1">
        <f t="array" ref="K426">_xlfn.IFS(Table1342[[#This Row],[Sales]]&gt;40000,"Best Sales",Table1342[[#This Row],[Sales]]&gt;20000,"Average Sales",Table1342[[#This Row],[Sales]]&gt;0,"Poor Sales")</f>
        <v>Average Sales</v>
      </c>
      <c r="L426" s="19">
        <f>YEAR(Table1342[[#This Row],[Date]])</f>
        <v>2023</v>
      </c>
      <c r="M426" s="19">
        <f>MONTH(Table1342[[#This Row],[Date]])</f>
        <v>4</v>
      </c>
      <c r="N426" s="19">
        <f>DAY(Table1342[[#This Row],[Date]])</f>
        <v>29</v>
      </c>
      <c r="O426" s="19"/>
      <c r="P426" s="19" t="str">
        <f>TEXT(DATE(2023,Table1342[[#This Row],[MONTH]],1),"mmm")</f>
        <v>Apr</v>
      </c>
      <c r="Q426" s="19"/>
    </row>
    <row r="427" spans="1:17" x14ac:dyDescent="0.3">
      <c r="A427" s="19">
        <v>426</v>
      </c>
      <c r="B427" s="20">
        <v>44991</v>
      </c>
      <c r="C427" s="19" t="s">
        <v>35</v>
      </c>
      <c r="D427" s="19" t="s">
        <v>36</v>
      </c>
      <c r="E427" s="19" t="s">
        <v>20</v>
      </c>
      <c r="F427" s="19" t="s">
        <v>31</v>
      </c>
      <c r="G427" s="19" t="s">
        <v>33</v>
      </c>
      <c r="H427" s="21">
        <v>6038.12</v>
      </c>
      <c r="I427" s="19">
        <v>3</v>
      </c>
      <c r="J427" s="21">
        <v>525.65</v>
      </c>
      <c r="K427" s="19" t="str" cm="1">
        <f t="array" ref="K427">_xlfn.IFS(Table1342[[#This Row],[Sales]]&gt;40000,"Best Sales",Table1342[[#This Row],[Sales]]&gt;20000,"Average Sales",Table1342[[#This Row],[Sales]]&gt;0,"Poor Sales")</f>
        <v>Poor Sales</v>
      </c>
      <c r="L427" s="19">
        <f>YEAR(Table1342[[#This Row],[Date]])</f>
        <v>2023</v>
      </c>
      <c r="M427" s="19">
        <f>MONTH(Table1342[[#This Row],[Date]])</f>
        <v>3</v>
      </c>
      <c r="N427" s="19">
        <f>DAY(Table1342[[#This Row],[Date]])</f>
        <v>6</v>
      </c>
      <c r="O427" s="19"/>
      <c r="P427" s="19" t="str">
        <f>TEXT(DATE(2023,Table1342[[#This Row],[MONTH]],1),"mmm")</f>
        <v>Mar</v>
      </c>
      <c r="Q427" s="19"/>
    </row>
    <row r="428" spans="1:17" x14ac:dyDescent="0.3">
      <c r="A428" s="19">
        <v>427</v>
      </c>
      <c r="B428" s="20">
        <v>45058</v>
      </c>
      <c r="C428" s="19" t="s">
        <v>35</v>
      </c>
      <c r="D428" s="19" t="s">
        <v>36</v>
      </c>
      <c r="E428" s="19" t="s">
        <v>20</v>
      </c>
      <c r="F428" s="19" t="s">
        <v>31</v>
      </c>
      <c r="G428" s="19" t="s">
        <v>33</v>
      </c>
      <c r="H428" s="21">
        <v>48326.83</v>
      </c>
      <c r="I428" s="19">
        <v>4</v>
      </c>
      <c r="J428" s="21">
        <v>3436.06</v>
      </c>
      <c r="K428" s="19" t="str" cm="1">
        <f t="array" ref="K428">_xlfn.IFS(Table1342[[#This Row],[Sales]]&gt;40000,"Best Sales",Table1342[[#This Row],[Sales]]&gt;20000,"Average Sales",Table1342[[#This Row],[Sales]]&gt;0,"Poor Sales")</f>
        <v>Best Sales</v>
      </c>
      <c r="L428" s="19">
        <f>YEAR(Table1342[[#This Row],[Date]])</f>
        <v>2023</v>
      </c>
      <c r="M428" s="19">
        <f>MONTH(Table1342[[#This Row],[Date]])</f>
        <v>5</v>
      </c>
      <c r="N428" s="19">
        <f>DAY(Table1342[[#This Row],[Date]])</f>
        <v>12</v>
      </c>
      <c r="O428" s="19"/>
      <c r="P428" s="19" t="str">
        <f>TEXT(DATE(2023,Table1342[[#This Row],[MONTH]],1),"mmm")</f>
        <v>May</v>
      </c>
      <c r="Q428" s="19"/>
    </row>
    <row r="429" spans="1:17" x14ac:dyDescent="0.3">
      <c r="A429" s="19">
        <v>428</v>
      </c>
      <c r="B429" s="20">
        <v>45284</v>
      </c>
      <c r="C429" s="19" t="s">
        <v>30</v>
      </c>
      <c r="D429" s="19" t="s">
        <v>16</v>
      </c>
      <c r="E429" s="19" t="s">
        <v>12</v>
      </c>
      <c r="F429" s="19" t="s">
        <v>24</v>
      </c>
      <c r="G429" s="19" t="s">
        <v>25</v>
      </c>
      <c r="H429" s="21">
        <v>9672.61</v>
      </c>
      <c r="I429" s="19">
        <v>2</v>
      </c>
      <c r="J429" s="21">
        <v>984.08</v>
      </c>
      <c r="K429" s="19" t="str" cm="1">
        <f t="array" ref="K429">_xlfn.IFS(Table1342[[#This Row],[Sales]]&gt;40000,"Best Sales",Table1342[[#This Row],[Sales]]&gt;20000,"Average Sales",Table1342[[#This Row],[Sales]]&gt;0,"Poor Sales")</f>
        <v>Poor Sales</v>
      </c>
      <c r="L429" s="19">
        <f>YEAR(Table1342[[#This Row],[Date]])</f>
        <v>2023</v>
      </c>
      <c r="M429" s="19">
        <f>MONTH(Table1342[[#This Row],[Date]])</f>
        <v>12</v>
      </c>
      <c r="N429" s="19">
        <f>DAY(Table1342[[#This Row],[Date]])</f>
        <v>24</v>
      </c>
      <c r="O429" s="19"/>
      <c r="P429" s="19" t="str">
        <f>TEXT(DATE(2023,Table1342[[#This Row],[MONTH]],1),"mmm")</f>
        <v>Dec</v>
      </c>
      <c r="Q429" s="19"/>
    </row>
    <row r="430" spans="1:17" x14ac:dyDescent="0.3">
      <c r="A430" s="19">
        <v>429</v>
      </c>
      <c r="B430" s="20">
        <v>45247</v>
      </c>
      <c r="C430" s="19" t="s">
        <v>10</v>
      </c>
      <c r="D430" s="19" t="s">
        <v>11</v>
      </c>
      <c r="E430" s="19" t="s">
        <v>17</v>
      </c>
      <c r="F430" s="19" t="s">
        <v>31</v>
      </c>
      <c r="G430" s="19" t="s">
        <v>39</v>
      </c>
      <c r="H430" s="21">
        <v>19904.45</v>
      </c>
      <c r="I430" s="19">
        <v>9</v>
      </c>
      <c r="J430" s="21">
        <v>5096.17</v>
      </c>
      <c r="K430" s="19" t="str" cm="1">
        <f t="array" ref="K430">_xlfn.IFS(Table1342[[#This Row],[Sales]]&gt;40000,"Best Sales",Table1342[[#This Row],[Sales]]&gt;20000,"Average Sales",Table1342[[#This Row],[Sales]]&gt;0,"Poor Sales")</f>
        <v>Poor Sales</v>
      </c>
      <c r="L430" s="19">
        <f>YEAR(Table1342[[#This Row],[Date]])</f>
        <v>2023</v>
      </c>
      <c r="M430" s="19">
        <f>MONTH(Table1342[[#This Row],[Date]])</f>
        <v>11</v>
      </c>
      <c r="N430" s="19">
        <f>DAY(Table1342[[#This Row],[Date]])</f>
        <v>17</v>
      </c>
      <c r="O430" s="19"/>
      <c r="P430" s="19" t="str">
        <f>TEXT(DATE(2023,Table1342[[#This Row],[MONTH]],1),"mmm")</f>
        <v>Nov</v>
      </c>
      <c r="Q430" s="19"/>
    </row>
    <row r="431" spans="1:17" x14ac:dyDescent="0.3">
      <c r="A431" s="19">
        <v>430</v>
      </c>
      <c r="B431" s="20">
        <v>45076</v>
      </c>
      <c r="C431" s="19" t="s">
        <v>15</v>
      </c>
      <c r="D431" s="19" t="s">
        <v>16</v>
      </c>
      <c r="E431" s="19" t="s">
        <v>12</v>
      </c>
      <c r="F431" s="19" t="s">
        <v>31</v>
      </c>
      <c r="G431" s="19" t="s">
        <v>39</v>
      </c>
      <c r="H431" s="21">
        <v>16944.29</v>
      </c>
      <c r="I431" s="19">
        <v>4</v>
      </c>
      <c r="J431" s="21">
        <v>3322.86</v>
      </c>
      <c r="K431" s="19" t="str" cm="1">
        <f t="array" ref="K431">_xlfn.IFS(Table1342[[#This Row],[Sales]]&gt;40000,"Best Sales",Table1342[[#This Row],[Sales]]&gt;20000,"Average Sales",Table1342[[#This Row],[Sales]]&gt;0,"Poor Sales")</f>
        <v>Poor Sales</v>
      </c>
      <c r="L431" s="19">
        <f>YEAR(Table1342[[#This Row],[Date]])</f>
        <v>2023</v>
      </c>
      <c r="M431" s="19">
        <f>MONTH(Table1342[[#This Row],[Date]])</f>
        <v>5</v>
      </c>
      <c r="N431" s="19">
        <f>DAY(Table1342[[#This Row],[Date]])</f>
        <v>30</v>
      </c>
      <c r="O431" s="19"/>
      <c r="P431" s="19" t="str">
        <f>TEXT(DATE(2023,Table1342[[#This Row],[MONTH]],1),"mmm")</f>
        <v>May</v>
      </c>
      <c r="Q431" s="19"/>
    </row>
    <row r="432" spans="1:17" x14ac:dyDescent="0.3">
      <c r="A432" s="19">
        <v>431</v>
      </c>
      <c r="B432" s="20">
        <v>44987</v>
      </c>
      <c r="C432" s="19" t="s">
        <v>26</v>
      </c>
      <c r="D432" s="19" t="s">
        <v>27</v>
      </c>
      <c r="E432" s="19" t="s">
        <v>17</v>
      </c>
      <c r="F432" s="19" t="s">
        <v>31</v>
      </c>
      <c r="G432" s="19" t="s">
        <v>33</v>
      </c>
      <c r="H432" s="21">
        <v>26079.08</v>
      </c>
      <c r="I432" s="19">
        <v>4</v>
      </c>
      <c r="J432" s="21">
        <v>4882.3900000000003</v>
      </c>
      <c r="K432" s="19" t="str" cm="1">
        <f t="array" ref="K432">_xlfn.IFS(Table1342[[#This Row],[Sales]]&gt;40000,"Best Sales",Table1342[[#This Row],[Sales]]&gt;20000,"Average Sales",Table1342[[#This Row],[Sales]]&gt;0,"Poor Sales")</f>
        <v>Average Sales</v>
      </c>
      <c r="L432" s="19">
        <f>YEAR(Table1342[[#This Row],[Date]])</f>
        <v>2023</v>
      </c>
      <c r="M432" s="19">
        <f>MONTH(Table1342[[#This Row],[Date]])</f>
        <v>3</v>
      </c>
      <c r="N432" s="19">
        <f>DAY(Table1342[[#This Row],[Date]])</f>
        <v>2</v>
      </c>
      <c r="O432" s="19"/>
      <c r="P432" s="19" t="str">
        <f>TEXT(DATE(2023,Table1342[[#This Row],[MONTH]],1),"mmm")</f>
        <v>Mar</v>
      </c>
      <c r="Q432" s="19"/>
    </row>
    <row r="433" spans="1:17" x14ac:dyDescent="0.3">
      <c r="A433" s="19">
        <v>432</v>
      </c>
      <c r="B433" s="20">
        <v>45119</v>
      </c>
      <c r="C433" s="19" t="s">
        <v>38</v>
      </c>
      <c r="D433" s="19" t="s">
        <v>27</v>
      </c>
      <c r="E433" s="19" t="s">
        <v>20</v>
      </c>
      <c r="F433" s="19" t="s">
        <v>13</v>
      </c>
      <c r="G433" s="19" t="s">
        <v>21</v>
      </c>
      <c r="H433" s="21">
        <v>7671.29</v>
      </c>
      <c r="I433" s="19">
        <v>2</v>
      </c>
      <c r="J433" s="21">
        <v>1004.67</v>
      </c>
      <c r="K433" s="19" t="str" cm="1">
        <f t="array" ref="K433">_xlfn.IFS(Table1342[[#This Row],[Sales]]&gt;40000,"Best Sales",Table1342[[#This Row],[Sales]]&gt;20000,"Average Sales",Table1342[[#This Row],[Sales]]&gt;0,"Poor Sales")</f>
        <v>Poor Sales</v>
      </c>
      <c r="L433" s="19">
        <f>YEAR(Table1342[[#This Row],[Date]])</f>
        <v>2023</v>
      </c>
      <c r="M433" s="19">
        <f>MONTH(Table1342[[#This Row],[Date]])</f>
        <v>7</v>
      </c>
      <c r="N433" s="19">
        <f>DAY(Table1342[[#This Row],[Date]])</f>
        <v>12</v>
      </c>
      <c r="O433" s="19"/>
      <c r="P433" s="19" t="str">
        <f>TEXT(DATE(2023,Table1342[[#This Row],[MONTH]],1),"mmm")</f>
        <v>Jul</v>
      </c>
      <c r="Q433" s="19"/>
    </row>
    <row r="434" spans="1:17" x14ac:dyDescent="0.3">
      <c r="A434" s="19">
        <v>433</v>
      </c>
      <c r="B434" s="20">
        <v>45015</v>
      </c>
      <c r="C434" s="19" t="s">
        <v>38</v>
      </c>
      <c r="D434" s="19" t="s">
        <v>27</v>
      </c>
      <c r="E434" s="19" t="s">
        <v>20</v>
      </c>
      <c r="F434" s="19" t="s">
        <v>13</v>
      </c>
      <c r="G434" s="19" t="s">
        <v>34</v>
      </c>
      <c r="H434" s="21">
        <v>1166.95</v>
      </c>
      <c r="I434" s="19">
        <v>8</v>
      </c>
      <c r="J434" s="21">
        <v>238.76</v>
      </c>
      <c r="K434" s="19" t="str" cm="1">
        <f t="array" ref="K434">_xlfn.IFS(Table1342[[#This Row],[Sales]]&gt;40000,"Best Sales",Table1342[[#This Row],[Sales]]&gt;20000,"Average Sales",Table1342[[#This Row],[Sales]]&gt;0,"Poor Sales")</f>
        <v>Poor Sales</v>
      </c>
      <c r="L434" s="19">
        <f>YEAR(Table1342[[#This Row],[Date]])</f>
        <v>2023</v>
      </c>
      <c r="M434" s="19">
        <f>MONTH(Table1342[[#This Row],[Date]])</f>
        <v>3</v>
      </c>
      <c r="N434" s="19">
        <f>DAY(Table1342[[#This Row],[Date]])</f>
        <v>30</v>
      </c>
      <c r="O434" s="19"/>
      <c r="P434" s="19" t="str">
        <f>TEXT(DATE(2023,Table1342[[#This Row],[MONTH]],1),"mmm")</f>
        <v>Mar</v>
      </c>
      <c r="Q434" s="19"/>
    </row>
    <row r="435" spans="1:17" x14ac:dyDescent="0.3">
      <c r="A435" s="19">
        <v>434</v>
      </c>
      <c r="B435" s="20">
        <v>45026</v>
      </c>
      <c r="C435" s="19" t="s">
        <v>10</v>
      </c>
      <c r="D435" s="19" t="s">
        <v>11</v>
      </c>
      <c r="E435" s="19" t="s">
        <v>12</v>
      </c>
      <c r="F435" s="19" t="s">
        <v>24</v>
      </c>
      <c r="G435" s="19" t="s">
        <v>29</v>
      </c>
      <c r="H435" s="21">
        <v>35047.11</v>
      </c>
      <c r="I435" s="19">
        <v>5</v>
      </c>
      <c r="J435" s="21">
        <v>8499.74</v>
      </c>
      <c r="K435" s="19" t="str" cm="1">
        <f t="array" ref="K435">_xlfn.IFS(Table1342[[#This Row],[Sales]]&gt;40000,"Best Sales",Table1342[[#This Row],[Sales]]&gt;20000,"Average Sales",Table1342[[#This Row],[Sales]]&gt;0,"Poor Sales")</f>
        <v>Average Sales</v>
      </c>
      <c r="L435" s="19">
        <f>YEAR(Table1342[[#This Row],[Date]])</f>
        <v>2023</v>
      </c>
      <c r="M435" s="19">
        <f>MONTH(Table1342[[#This Row],[Date]])</f>
        <v>4</v>
      </c>
      <c r="N435" s="19">
        <f>DAY(Table1342[[#This Row],[Date]])</f>
        <v>10</v>
      </c>
      <c r="O435" s="19"/>
      <c r="P435" s="19" t="str">
        <f>TEXT(DATE(2023,Table1342[[#This Row],[MONTH]],1),"mmm")</f>
        <v>Apr</v>
      </c>
      <c r="Q435" s="19"/>
    </row>
    <row r="436" spans="1:17" x14ac:dyDescent="0.3">
      <c r="A436" s="19">
        <v>435</v>
      </c>
      <c r="B436" s="20">
        <v>45076</v>
      </c>
      <c r="C436" s="19" t="s">
        <v>30</v>
      </c>
      <c r="D436" s="19" t="s">
        <v>16</v>
      </c>
      <c r="E436" s="19" t="s">
        <v>17</v>
      </c>
      <c r="F436" s="19" t="s">
        <v>24</v>
      </c>
      <c r="G436" s="19" t="s">
        <v>25</v>
      </c>
      <c r="H436" s="21">
        <v>40670.42</v>
      </c>
      <c r="I436" s="19">
        <v>2</v>
      </c>
      <c r="J436" s="21">
        <v>2326.37</v>
      </c>
      <c r="K436" s="19" t="str" cm="1">
        <f t="array" ref="K436">_xlfn.IFS(Table1342[[#This Row],[Sales]]&gt;40000,"Best Sales",Table1342[[#This Row],[Sales]]&gt;20000,"Average Sales",Table1342[[#This Row],[Sales]]&gt;0,"Poor Sales")</f>
        <v>Best Sales</v>
      </c>
      <c r="L436" s="19">
        <f>YEAR(Table1342[[#This Row],[Date]])</f>
        <v>2023</v>
      </c>
      <c r="M436" s="19">
        <f>MONTH(Table1342[[#This Row],[Date]])</f>
        <v>5</v>
      </c>
      <c r="N436" s="19">
        <f>DAY(Table1342[[#This Row],[Date]])</f>
        <v>30</v>
      </c>
      <c r="O436" s="19"/>
      <c r="P436" s="19" t="str">
        <f>TEXT(DATE(2023,Table1342[[#This Row],[MONTH]],1),"mmm")</f>
        <v>May</v>
      </c>
      <c r="Q436" s="19"/>
    </row>
    <row r="437" spans="1:17" x14ac:dyDescent="0.3">
      <c r="A437" s="19">
        <v>436</v>
      </c>
      <c r="B437" s="20">
        <v>45269</v>
      </c>
      <c r="C437" s="19" t="s">
        <v>22</v>
      </c>
      <c r="D437" s="19" t="s">
        <v>22</v>
      </c>
      <c r="E437" s="19" t="s">
        <v>12</v>
      </c>
      <c r="F437" s="19" t="s">
        <v>24</v>
      </c>
      <c r="G437" s="19" t="s">
        <v>29</v>
      </c>
      <c r="H437" s="21">
        <v>24434.99</v>
      </c>
      <c r="I437" s="19">
        <v>6</v>
      </c>
      <c r="J437" s="21">
        <v>4352.29</v>
      </c>
      <c r="K437" s="19" t="str" cm="1">
        <f t="array" ref="K437">_xlfn.IFS(Table1342[[#This Row],[Sales]]&gt;40000,"Best Sales",Table1342[[#This Row],[Sales]]&gt;20000,"Average Sales",Table1342[[#This Row],[Sales]]&gt;0,"Poor Sales")</f>
        <v>Average Sales</v>
      </c>
      <c r="L437" s="19">
        <f>YEAR(Table1342[[#This Row],[Date]])</f>
        <v>2023</v>
      </c>
      <c r="M437" s="19">
        <f>MONTH(Table1342[[#This Row],[Date]])</f>
        <v>12</v>
      </c>
      <c r="N437" s="19">
        <f>DAY(Table1342[[#This Row],[Date]])</f>
        <v>9</v>
      </c>
      <c r="O437" s="19"/>
      <c r="P437" s="19" t="str">
        <f>TEXT(DATE(2023,Table1342[[#This Row],[MONTH]],1),"mmm")</f>
        <v>Dec</v>
      </c>
      <c r="Q437" s="19"/>
    </row>
    <row r="438" spans="1:17" x14ac:dyDescent="0.3">
      <c r="A438" s="19">
        <v>437</v>
      </c>
      <c r="B438" s="20">
        <v>45292</v>
      </c>
      <c r="C438" s="19" t="s">
        <v>35</v>
      </c>
      <c r="D438" s="19" t="s">
        <v>36</v>
      </c>
      <c r="E438" s="19" t="s">
        <v>17</v>
      </c>
      <c r="F438" s="19" t="s">
        <v>24</v>
      </c>
      <c r="G438" s="19" t="s">
        <v>25</v>
      </c>
      <c r="H438" s="21">
        <v>46015.08</v>
      </c>
      <c r="I438" s="19">
        <v>6</v>
      </c>
      <c r="J438" s="21">
        <v>11461.24</v>
      </c>
      <c r="K438" s="19" t="str" cm="1">
        <f t="array" ref="K438">_xlfn.IFS(Table1342[[#This Row],[Sales]]&gt;40000,"Best Sales",Table1342[[#This Row],[Sales]]&gt;20000,"Average Sales",Table1342[[#This Row],[Sales]]&gt;0,"Poor Sales")</f>
        <v>Best Sales</v>
      </c>
      <c r="L438" s="19">
        <f>YEAR(Table1342[[#This Row],[Date]])</f>
        <v>2024</v>
      </c>
      <c r="M438" s="19">
        <f>MONTH(Table1342[[#This Row],[Date]])</f>
        <v>1</v>
      </c>
      <c r="N438" s="19">
        <f>DAY(Table1342[[#This Row],[Date]])</f>
        <v>1</v>
      </c>
      <c r="O438" s="19"/>
      <c r="P438" s="19" t="str">
        <f>TEXT(DATE(2023,Table1342[[#This Row],[MONTH]],1),"mmm")</f>
        <v>Jan</v>
      </c>
      <c r="Q438" s="19"/>
    </row>
    <row r="439" spans="1:17" x14ac:dyDescent="0.3">
      <c r="A439" s="19">
        <v>438</v>
      </c>
      <c r="B439" s="20">
        <v>45219</v>
      </c>
      <c r="C439" s="19" t="s">
        <v>35</v>
      </c>
      <c r="D439" s="19" t="s">
        <v>36</v>
      </c>
      <c r="E439" s="19" t="s">
        <v>20</v>
      </c>
      <c r="F439" s="19" t="s">
        <v>31</v>
      </c>
      <c r="G439" s="19" t="s">
        <v>33</v>
      </c>
      <c r="H439" s="21">
        <v>1292.73</v>
      </c>
      <c r="I439" s="19">
        <v>7</v>
      </c>
      <c r="J439" s="21">
        <v>383.69</v>
      </c>
      <c r="K439" s="19" t="str" cm="1">
        <f t="array" ref="K439">_xlfn.IFS(Table1342[[#This Row],[Sales]]&gt;40000,"Best Sales",Table1342[[#This Row],[Sales]]&gt;20000,"Average Sales",Table1342[[#This Row],[Sales]]&gt;0,"Poor Sales")</f>
        <v>Poor Sales</v>
      </c>
      <c r="L439" s="19">
        <f>YEAR(Table1342[[#This Row],[Date]])</f>
        <v>2023</v>
      </c>
      <c r="M439" s="19">
        <f>MONTH(Table1342[[#This Row],[Date]])</f>
        <v>10</v>
      </c>
      <c r="N439" s="19">
        <f>DAY(Table1342[[#This Row],[Date]])</f>
        <v>20</v>
      </c>
      <c r="O439" s="19"/>
      <c r="P439" s="19" t="str">
        <f>TEXT(DATE(2023,Table1342[[#This Row],[MONTH]],1),"mmm")</f>
        <v>Oct</v>
      </c>
      <c r="Q439" s="19"/>
    </row>
    <row r="440" spans="1:17" x14ac:dyDescent="0.3">
      <c r="A440" s="19">
        <v>439</v>
      </c>
      <c r="B440" s="20">
        <v>45081</v>
      </c>
      <c r="C440" s="19" t="s">
        <v>30</v>
      </c>
      <c r="D440" s="19" t="s">
        <v>16</v>
      </c>
      <c r="E440" s="19" t="s">
        <v>20</v>
      </c>
      <c r="F440" s="19" t="s">
        <v>24</v>
      </c>
      <c r="G440" s="19" t="s">
        <v>29</v>
      </c>
      <c r="H440" s="21">
        <v>9874.76</v>
      </c>
      <c r="I440" s="19">
        <v>3</v>
      </c>
      <c r="J440" s="21">
        <v>1358.17</v>
      </c>
      <c r="K440" s="19" t="str" cm="1">
        <f t="array" ref="K440">_xlfn.IFS(Table1342[[#This Row],[Sales]]&gt;40000,"Best Sales",Table1342[[#This Row],[Sales]]&gt;20000,"Average Sales",Table1342[[#This Row],[Sales]]&gt;0,"Poor Sales")</f>
        <v>Poor Sales</v>
      </c>
      <c r="L440" s="19">
        <f>YEAR(Table1342[[#This Row],[Date]])</f>
        <v>2023</v>
      </c>
      <c r="M440" s="19">
        <f>MONTH(Table1342[[#This Row],[Date]])</f>
        <v>6</v>
      </c>
      <c r="N440" s="19">
        <f>DAY(Table1342[[#This Row],[Date]])</f>
        <v>4</v>
      </c>
      <c r="O440" s="19"/>
      <c r="P440" s="19" t="str">
        <f>TEXT(DATE(2023,Table1342[[#This Row],[MONTH]],1),"mmm")</f>
        <v>Jun</v>
      </c>
      <c r="Q440" s="19"/>
    </row>
    <row r="441" spans="1:17" x14ac:dyDescent="0.3">
      <c r="A441" s="19">
        <v>440</v>
      </c>
      <c r="B441" s="20">
        <v>45137</v>
      </c>
      <c r="C441" s="19" t="s">
        <v>22</v>
      </c>
      <c r="D441" s="19" t="s">
        <v>22</v>
      </c>
      <c r="E441" s="19" t="s">
        <v>12</v>
      </c>
      <c r="F441" s="19" t="s">
        <v>24</v>
      </c>
      <c r="G441" s="19" t="s">
        <v>29</v>
      </c>
      <c r="H441" s="21">
        <v>15146.54</v>
      </c>
      <c r="I441" s="19">
        <v>2</v>
      </c>
      <c r="J441" s="21">
        <v>2336.02</v>
      </c>
      <c r="K441" s="19" t="str" cm="1">
        <f t="array" ref="K441">_xlfn.IFS(Table1342[[#This Row],[Sales]]&gt;40000,"Best Sales",Table1342[[#This Row],[Sales]]&gt;20000,"Average Sales",Table1342[[#This Row],[Sales]]&gt;0,"Poor Sales")</f>
        <v>Poor Sales</v>
      </c>
      <c r="L441" s="19">
        <f>YEAR(Table1342[[#This Row],[Date]])</f>
        <v>2023</v>
      </c>
      <c r="M441" s="19">
        <f>MONTH(Table1342[[#This Row],[Date]])</f>
        <v>7</v>
      </c>
      <c r="N441" s="19">
        <f>DAY(Table1342[[#This Row],[Date]])</f>
        <v>30</v>
      </c>
      <c r="O441" s="19"/>
      <c r="P441" s="19" t="str">
        <f>TEXT(DATE(2023,Table1342[[#This Row],[MONTH]],1),"mmm")</f>
        <v>Jul</v>
      </c>
      <c r="Q441" s="19"/>
    </row>
    <row r="442" spans="1:17" x14ac:dyDescent="0.3">
      <c r="A442" s="19">
        <v>441</v>
      </c>
      <c r="B442" s="20">
        <v>44959</v>
      </c>
      <c r="C442" s="19" t="s">
        <v>38</v>
      </c>
      <c r="D442" s="19" t="s">
        <v>27</v>
      </c>
      <c r="E442" s="19" t="s">
        <v>17</v>
      </c>
      <c r="F442" s="19" t="s">
        <v>31</v>
      </c>
      <c r="G442" s="19" t="s">
        <v>32</v>
      </c>
      <c r="H442" s="21">
        <v>34618.480000000003</v>
      </c>
      <c r="I442" s="19">
        <v>3</v>
      </c>
      <c r="J442" s="21">
        <v>5814.36</v>
      </c>
      <c r="K442" s="19" t="str" cm="1">
        <f t="array" ref="K442">_xlfn.IFS(Table1342[[#This Row],[Sales]]&gt;40000,"Best Sales",Table1342[[#This Row],[Sales]]&gt;20000,"Average Sales",Table1342[[#This Row],[Sales]]&gt;0,"Poor Sales")</f>
        <v>Average Sales</v>
      </c>
      <c r="L442" s="19">
        <f>YEAR(Table1342[[#This Row],[Date]])</f>
        <v>2023</v>
      </c>
      <c r="M442" s="19">
        <f>MONTH(Table1342[[#This Row],[Date]])</f>
        <v>2</v>
      </c>
      <c r="N442" s="19">
        <f>DAY(Table1342[[#This Row],[Date]])</f>
        <v>2</v>
      </c>
      <c r="O442" s="19"/>
      <c r="P442" s="19" t="str">
        <f>TEXT(DATE(2023,Table1342[[#This Row],[MONTH]],1),"mmm")</f>
        <v>Feb</v>
      </c>
      <c r="Q442" s="19"/>
    </row>
    <row r="443" spans="1:17" x14ac:dyDescent="0.3">
      <c r="A443" s="19">
        <v>442</v>
      </c>
      <c r="B443" s="20">
        <v>45167</v>
      </c>
      <c r="C443" s="19" t="s">
        <v>22</v>
      </c>
      <c r="D443" s="19" t="s">
        <v>22</v>
      </c>
      <c r="E443" s="19" t="s">
        <v>12</v>
      </c>
      <c r="F443" s="19" t="s">
        <v>31</v>
      </c>
      <c r="G443" s="19" t="s">
        <v>39</v>
      </c>
      <c r="H443" s="21">
        <v>46015.64</v>
      </c>
      <c r="I443" s="19">
        <v>2</v>
      </c>
      <c r="J443" s="21">
        <v>6821.68</v>
      </c>
      <c r="K443" s="19" t="str" cm="1">
        <f t="array" ref="K443">_xlfn.IFS(Table1342[[#This Row],[Sales]]&gt;40000,"Best Sales",Table1342[[#This Row],[Sales]]&gt;20000,"Average Sales",Table1342[[#This Row],[Sales]]&gt;0,"Poor Sales")</f>
        <v>Best Sales</v>
      </c>
      <c r="L443" s="19">
        <f>YEAR(Table1342[[#This Row],[Date]])</f>
        <v>2023</v>
      </c>
      <c r="M443" s="19">
        <f>MONTH(Table1342[[#This Row],[Date]])</f>
        <v>8</v>
      </c>
      <c r="N443" s="19">
        <f>DAY(Table1342[[#This Row],[Date]])</f>
        <v>29</v>
      </c>
      <c r="O443" s="19"/>
      <c r="P443" s="19" t="str">
        <f>TEXT(DATE(2023,Table1342[[#This Row],[MONTH]],1),"mmm")</f>
        <v>Aug</v>
      </c>
      <c r="Q443" s="19"/>
    </row>
    <row r="444" spans="1:17" x14ac:dyDescent="0.3">
      <c r="A444" s="19">
        <v>443</v>
      </c>
      <c r="B444" s="20">
        <v>45056</v>
      </c>
      <c r="C444" s="19" t="s">
        <v>38</v>
      </c>
      <c r="D444" s="19" t="s">
        <v>27</v>
      </c>
      <c r="E444" s="19" t="s">
        <v>17</v>
      </c>
      <c r="F444" s="19" t="s">
        <v>24</v>
      </c>
      <c r="G444" s="19" t="s">
        <v>25</v>
      </c>
      <c r="H444" s="21">
        <v>43471.73</v>
      </c>
      <c r="I444" s="19">
        <v>4</v>
      </c>
      <c r="J444" s="21">
        <v>9929.52</v>
      </c>
      <c r="K444" s="19" t="str" cm="1">
        <f t="array" ref="K444">_xlfn.IFS(Table1342[[#This Row],[Sales]]&gt;40000,"Best Sales",Table1342[[#This Row],[Sales]]&gt;20000,"Average Sales",Table1342[[#This Row],[Sales]]&gt;0,"Poor Sales")</f>
        <v>Best Sales</v>
      </c>
      <c r="L444" s="19">
        <f>YEAR(Table1342[[#This Row],[Date]])</f>
        <v>2023</v>
      </c>
      <c r="M444" s="19">
        <f>MONTH(Table1342[[#This Row],[Date]])</f>
        <v>5</v>
      </c>
      <c r="N444" s="19">
        <f>DAY(Table1342[[#This Row],[Date]])</f>
        <v>10</v>
      </c>
      <c r="O444" s="19"/>
      <c r="P444" s="19" t="str">
        <f>TEXT(DATE(2023,Table1342[[#This Row],[MONTH]],1),"mmm")</f>
        <v>May</v>
      </c>
      <c r="Q444" s="19"/>
    </row>
    <row r="445" spans="1:17" x14ac:dyDescent="0.3">
      <c r="A445" s="19">
        <v>444</v>
      </c>
      <c r="B445" s="20">
        <v>45108</v>
      </c>
      <c r="C445" s="19" t="s">
        <v>10</v>
      </c>
      <c r="D445" s="19" t="s">
        <v>11</v>
      </c>
      <c r="E445" s="19" t="s">
        <v>20</v>
      </c>
      <c r="F445" s="19" t="s">
        <v>13</v>
      </c>
      <c r="G445" s="19" t="s">
        <v>14</v>
      </c>
      <c r="H445" s="21">
        <v>27516.51</v>
      </c>
      <c r="I445" s="19">
        <v>9</v>
      </c>
      <c r="J445" s="21">
        <v>3418.86</v>
      </c>
      <c r="K445" s="19" t="str" cm="1">
        <f t="array" ref="K445">_xlfn.IFS(Table1342[[#This Row],[Sales]]&gt;40000,"Best Sales",Table1342[[#This Row],[Sales]]&gt;20000,"Average Sales",Table1342[[#This Row],[Sales]]&gt;0,"Poor Sales")</f>
        <v>Average Sales</v>
      </c>
      <c r="L445" s="19">
        <f>YEAR(Table1342[[#This Row],[Date]])</f>
        <v>2023</v>
      </c>
      <c r="M445" s="19">
        <f>MONTH(Table1342[[#This Row],[Date]])</f>
        <v>7</v>
      </c>
      <c r="N445" s="19">
        <f>DAY(Table1342[[#This Row],[Date]])</f>
        <v>1</v>
      </c>
      <c r="O445" s="19"/>
      <c r="P445" s="19" t="str">
        <f>TEXT(DATE(2023,Table1342[[#This Row],[MONTH]],1),"mmm")</f>
        <v>Jul</v>
      </c>
      <c r="Q445" s="19"/>
    </row>
    <row r="446" spans="1:17" x14ac:dyDescent="0.3">
      <c r="A446" s="19">
        <v>445</v>
      </c>
      <c r="B446" s="20">
        <v>45260</v>
      </c>
      <c r="C446" s="19" t="s">
        <v>10</v>
      </c>
      <c r="D446" s="19" t="s">
        <v>11</v>
      </c>
      <c r="E446" s="19" t="s">
        <v>20</v>
      </c>
      <c r="F446" s="19" t="s">
        <v>13</v>
      </c>
      <c r="G446" s="19" t="s">
        <v>34</v>
      </c>
      <c r="H446" s="21">
        <v>48032.71</v>
      </c>
      <c r="I446" s="19">
        <v>4</v>
      </c>
      <c r="J446" s="21">
        <v>6135.71</v>
      </c>
      <c r="K446" s="19" t="str" cm="1">
        <f t="array" ref="K446">_xlfn.IFS(Table1342[[#This Row],[Sales]]&gt;40000,"Best Sales",Table1342[[#This Row],[Sales]]&gt;20000,"Average Sales",Table1342[[#This Row],[Sales]]&gt;0,"Poor Sales")</f>
        <v>Best Sales</v>
      </c>
      <c r="L446" s="19">
        <f>YEAR(Table1342[[#This Row],[Date]])</f>
        <v>2023</v>
      </c>
      <c r="M446" s="19">
        <f>MONTH(Table1342[[#This Row],[Date]])</f>
        <v>11</v>
      </c>
      <c r="N446" s="19">
        <f>DAY(Table1342[[#This Row],[Date]])</f>
        <v>30</v>
      </c>
      <c r="O446" s="19"/>
      <c r="P446" s="19" t="str">
        <f>TEXT(DATE(2023,Table1342[[#This Row],[MONTH]],1),"mmm")</f>
        <v>Nov</v>
      </c>
      <c r="Q446" s="19"/>
    </row>
    <row r="447" spans="1:17" x14ac:dyDescent="0.3">
      <c r="A447" s="19">
        <v>446</v>
      </c>
      <c r="B447" s="20">
        <v>44976</v>
      </c>
      <c r="C447" s="19" t="s">
        <v>35</v>
      </c>
      <c r="D447" s="19" t="s">
        <v>36</v>
      </c>
      <c r="E447" s="19" t="s">
        <v>12</v>
      </c>
      <c r="F447" s="19" t="s">
        <v>24</v>
      </c>
      <c r="G447" s="19" t="s">
        <v>28</v>
      </c>
      <c r="H447" s="21">
        <v>7864.34</v>
      </c>
      <c r="I447" s="19">
        <v>10</v>
      </c>
      <c r="J447" s="21">
        <v>820.53</v>
      </c>
      <c r="K447" s="19" t="str" cm="1">
        <f t="array" ref="K447">_xlfn.IFS(Table1342[[#This Row],[Sales]]&gt;40000,"Best Sales",Table1342[[#This Row],[Sales]]&gt;20000,"Average Sales",Table1342[[#This Row],[Sales]]&gt;0,"Poor Sales")</f>
        <v>Poor Sales</v>
      </c>
      <c r="L447" s="19">
        <f>YEAR(Table1342[[#This Row],[Date]])</f>
        <v>2023</v>
      </c>
      <c r="M447" s="19">
        <f>MONTH(Table1342[[#This Row],[Date]])</f>
        <v>2</v>
      </c>
      <c r="N447" s="19">
        <f>DAY(Table1342[[#This Row],[Date]])</f>
        <v>19</v>
      </c>
      <c r="O447" s="19"/>
      <c r="P447" s="19" t="str">
        <f>TEXT(DATE(2023,Table1342[[#This Row],[MONTH]],1),"mmm")</f>
        <v>Feb</v>
      </c>
      <c r="Q447" s="19"/>
    </row>
    <row r="448" spans="1:17" x14ac:dyDescent="0.3">
      <c r="A448" s="19">
        <v>447</v>
      </c>
      <c r="B448" s="20">
        <v>44953</v>
      </c>
      <c r="C448" s="19" t="s">
        <v>26</v>
      </c>
      <c r="D448" s="19" t="s">
        <v>27</v>
      </c>
      <c r="E448" s="19" t="s">
        <v>17</v>
      </c>
      <c r="F448" s="19" t="s">
        <v>13</v>
      </c>
      <c r="G448" s="19" t="s">
        <v>21</v>
      </c>
      <c r="H448" s="21">
        <v>27123.54</v>
      </c>
      <c r="I448" s="19">
        <v>2</v>
      </c>
      <c r="J448" s="21">
        <v>2817.45</v>
      </c>
      <c r="K448" s="19" t="str" cm="1">
        <f t="array" ref="K448">_xlfn.IFS(Table1342[[#This Row],[Sales]]&gt;40000,"Best Sales",Table1342[[#This Row],[Sales]]&gt;20000,"Average Sales",Table1342[[#This Row],[Sales]]&gt;0,"Poor Sales")</f>
        <v>Average Sales</v>
      </c>
      <c r="L448" s="19">
        <f>YEAR(Table1342[[#This Row],[Date]])</f>
        <v>2023</v>
      </c>
      <c r="M448" s="19">
        <f>MONTH(Table1342[[#This Row],[Date]])</f>
        <v>1</v>
      </c>
      <c r="N448" s="19">
        <f>DAY(Table1342[[#This Row],[Date]])</f>
        <v>27</v>
      </c>
      <c r="O448" s="19"/>
      <c r="P448" s="19" t="str">
        <f>TEXT(DATE(2023,Table1342[[#This Row],[MONTH]],1),"mmm")</f>
        <v>Jan</v>
      </c>
      <c r="Q448" s="19"/>
    </row>
    <row r="449" spans="1:17" x14ac:dyDescent="0.3">
      <c r="A449" s="19">
        <v>448</v>
      </c>
      <c r="B449" s="20">
        <v>45062</v>
      </c>
      <c r="C449" s="19" t="s">
        <v>26</v>
      </c>
      <c r="D449" s="19" t="s">
        <v>27</v>
      </c>
      <c r="E449" s="19" t="s">
        <v>12</v>
      </c>
      <c r="F449" s="19" t="s">
        <v>13</v>
      </c>
      <c r="G449" s="19" t="s">
        <v>34</v>
      </c>
      <c r="H449" s="21">
        <v>24573.8</v>
      </c>
      <c r="I449" s="19">
        <v>6</v>
      </c>
      <c r="J449" s="21">
        <v>3674.62</v>
      </c>
      <c r="K449" s="19" t="str" cm="1">
        <f t="array" ref="K449">_xlfn.IFS(Table1342[[#This Row],[Sales]]&gt;40000,"Best Sales",Table1342[[#This Row],[Sales]]&gt;20000,"Average Sales",Table1342[[#This Row],[Sales]]&gt;0,"Poor Sales")</f>
        <v>Average Sales</v>
      </c>
      <c r="L449" s="19">
        <f>YEAR(Table1342[[#This Row],[Date]])</f>
        <v>2023</v>
      </c>
      <c r="M449" s="19">
        <f>MONTH(Table1342[[#This Row],[Date]])</f>
        <v>5</v>
      </c>
      <c r="N449" s="19">
        <f>DAY(Table1342[[#This Row],[Date]])</f>
        <v>16</v>
      </c>
      <c r="O449" s="19"/>
      <c r="P449" s="19" t="str">
        <f>TEXT(DATE(2023,Table1342[[#This Row],[MONTH]],1),"mmm")</f>
        <v>May</v>
      </c>
      <c r="Q449" s="19"/>
    </row>
    <row r="450" spans="1:17" x14ac:dyDescent="0.3">
      <c r="A450" s="19">
        <v>449</v>
      </c>
      <c r="B450" s="20">
        <v>44978</v>
      </c>
      <c r="C450" s="19" t="s">
        <v>18</v>
      </c>
      <c r="D450" s="19" t="s">
        <v>19</v>
      </c>
      <c r="E450" s="19" t="s">
        <v>17</v>
      </c>
      <c r="F450" s="19" t="s">
        <v>24</v>
      </c>
      <c r="G450" s="19" t="s">
        <v>29</v>
      </c>
      <c r="H450" s="21">
        <v>24662.23</v>
      </c>
      <c r="I450" s="19">
        <v>3</v>
      </c>
      <c r="J450" s="21">
        <v>3744.45</v>
      </c>
      <c r="K450" s="19" t="str" cm="1">
        <f t="array" ref="K450">_xlfn.IFS(Table1342[[#This Row],[Sales]]&gt;40000,"Best Sales",Table1342[[#This Row],[Sales]]&gt;20000,"Average Sales",Table1342[[#This Row],[Sales]]&gt;0,"Poor Sales")</f>
        <v>Average Sales</v>
      </c>
      <c r="L450" s="19">
        <f>YEAR(Table1342[[#This Row],[Date]])</f>
        <v>2023</v>
      </c>
      <c r="M450" s="19">
        <f>MONTH(Table1342[[#This Row],[Date]])</f>
        <v>2</v>
      </c>
      <c r="N450" s="19">
        <f>DAY(Table1342[[#This Row],[Date]])</f>
        <v>21</v>
      </c>
      <c r="O450" s="19"/>
      <c r="P450" s="19" t="str">
        <f>TEXT(DATE(2023,Table1342[[#This Row],[MONTH]],1),"mmm")</f>
        <v>Feb</v>
      </c>
      <c r="Q450" s="19"/>
    </row>
    <row r="451" spans="1:17" x14ac:dyDescent="0.3">
      <c r="A451" s="19">
        <v>450</v>
      </c>
      <c r="B451" s="20">
        <v>45214</v>
      </c>
      <c r="C451" s="19" t="s">
        <v>30</v>
      </c>
      <c r="D451" s="19" t="s">
        <v>16</v>
      </c>
      <c r="E451" s="19" t="s">
        <v>20</v>
      </c>
      <c r="F451" s="19" t="s">
        <v>24</v>
      </c>
      <c r="G451" s="19" t="s">
        <v>25</v>
      </c>
      <c r="H451" s="21">
        <v>22932.71</v>
      </c>
      <c r="I451" s="19">
        <v>1</v>
      </c>
      <c r="J451" s="21">
        <v>1770.13</v>
      </c>
      <c r="K451" s="19" t="str" cm="1">
        <f t="array" ref="K451">_xlfn.IFS(Table1342[[#This Row],[Sales]]&gt;40000,"Best Sales",Table1342[[#This Row],[Sales]]&gt;20000,"Average Sales",Table1342[[#This Row],[Sales]]&gt;0,"Poor Sales")</f>
        <v>Average Sales</v>
      </c>
      <c r="L451" s="19">
        <f>YEAR(Table1342[[#This Row],[Date]])</f>
        <v>2023</v>
      </c>
      <c r="M451" s="19">
        <f>MONTH(Table1342[[#This Row],[Date]])</f>
        <v>10</v>
      </c>
      <c r="N451" s="19">
        <f>DAY(Table1342[[#This Row],[Date]])</f>
        <v>15</v>
      </c>
      <c r="O451" s="19"/>
      <c r="P451" s="19" t="str">
        <f>TEXT(DATE(2023,Table1342[[#This Row],[MONTH]],1),"mmm")</f>
        <v>Oct</v>
      </c>
      <c r="Q451" s="19"/>
    </row>
    <row r="452" spans="1:17" x14ac:dyDescent="0.3">
      <c r="A452" s="19">
        <v>451</v>
      </c>
      <c r="B452" s="20">
        <v>45241</v>
      </c>
      <c r="C452" s="19" t="s">
        <v>10</v>
      </c>
      <c r="D452" s="19" t="s">
        <v>11</v>
      </c>
      <c r="E452" s="19" t="s">
        <v>20</v>
      </c>
      <c r="F452" s="19" t="s">
        <v>31</v>
      </c>
      <c r="G452" s="19" t="s">
        <v>33</v>
      </c>
      <c r="H452" s="21">
        <v>2101.9299999999998</v>
      </c>
      <c r="I452" s="19">
        <v>6</v>
      </c>
      <c r="J452" s="21">
        <v>507.01</v>
      </c>
      <c r="K452" s="19" t="str" cm="1">
        <f t="array" ref="K452">_xlfn.IFS(Table1342[[#This Row],[Sales]]&gt;40000,"Best Sales",Table1342[[#This Row],[Sales]]&gt;20000,"Average Sales",Table1342[[#This Row],[Sales]]&gt;0,"Poor Sales")</f>
        <v>Poor Sales</v>
      </c>
      <c r="L452" s="19">
        <f>YEAR(Table1342[[#This Row],[Date]])</f>
        <v>2023</v>
      </c>
      <c r="M452" s="19">
        <f>MONTH(Table1342[[#This Row],[Date]])</f>
        <v>11</v>
      </c>
      <c r="N452" s="19">
        <f>DAY(Table1342[[#This Row],[Date]])</f>
        <v>11</v>
      </c>
      <c r="O452" s="19"/>
      <c r="P452" s="19" t="str">
        <f>TEXT(DATE(2023,Table1342[[#This Row],[MONTH]],1),"mmm")</f>
        <v>Nov</v>
      </c>
      <c r="Q452" s="19"/>
    </row>
    <row r="453" spans="1:17" x14ac:dyDescent="0.3">
      <c r="A453" s="19">
        <v>452</v>
      </c>
      <c r="B453" s="20">
        <v>45192</v>
      </c>
      <c r="C453" s="19" t="s">
        <v>26</v>
      </c>
      <c r="D453" s="19" t="s">
        <v>27</v>
      </c>
      <c r="E453" s="19" t="s">
        <v>12</v>
      </c>
      <c r="F453" s="19" t="s">
        <v>24</v>
      </c>
      <c r="G453" s="19" t="s">
        <v>29</v>
      </c>
      <c r="H453" s="21">
        <v>23897.96</v>
      </c>
      <c r="I453" s="19">
        <v>7</v>
      </c>
      <c r="J453" s="21">
        <v>4085.47</v>
      </c>
      <c r="K453" s="19" t="str" cm="1">
        <f t="array" ref="K453">_xlfn.IFS(Table1342[[#This Row],[Sales]]&gt;40000,"Best Sales",Table1342[[#This Row],[Sales]]&gt;20000,"Average Sales",Table1342[[#This Row],[Sales]]&gt;0,"Poor Sales")</f>
        <v>Average Sales</v>
      </c>
      <c r="L453" s="19">
        <f>YEAR(Table1342[[#This Row],[Date]])</f>
        <v>2023</v>
      </c>
      <c r="M453" s="19">
        <f>MONTH(Table1342[[#This Row],[Date]])</f>
        <v>9</v>
      </c>
      <c r="N453" s="19">
        <f>DAY(Table1342[[#This Row],[Date]])</f>
        <v>23</v>
      </c>
      <c r="O453" s="19"/>
      <c r="P453" s="19" t="str">
        <f>TEXT(DATE(2023,Table1342[[#This Row],[MONTH]],1),"mmm")</f>
        <v>Sep</v>
      </c>
      <c r="Q453" s="19"/>
    </row>
    <row r="454" spans="1:17" x14ac:dyDescent="0.3">
      <c r="A454" s="19">
        <v>453</v>
      </c>
      <c r="B454" s="20">
        <v>45018</v>
      </c>
      <c r="C454" s="19" t="s">
        <v>35</v>
      </c>
      <c r="D454" s="19" t="s">
        <v>36</v>
      </c>
      <c r="E454" s="19" t="s">
        <v>17</v>
      </c>
      <c r="F454" s="19" t="s">
        <v>24</v>
      </c>
      <c r="G454" s="19" t="s">
        <v>29</v>
      </c>
      <c r="H454" s="21">
        <v>32507.15</v>
      </c>
      <c r="I454" s="19">
        <v>10</v>
      </c>
      <c r="J454" s="21">
        <v>4890.71</v>
      </c>
      <c r="K454" s="19" t="str" cm="1">
        <f t="array" ref="K454">_xlfn.IFS(Table1342[[#This Row],[Sales]]&gt;40000,"Best Sales",Table1342[[#This Row],[Sales]]&gt;20000,"Average Sales",Table1342[[#This Row],[Sales]]&gt;0,"Poor Sales")</f>
        <v>Average Sales</v>
      </c>
      <c r="L454" s="19">
        <f>YEAR(Table1342[[#This Row],[Date]])</f>
        <v>2023</v>
      </c>
      <c r="M454" s="19">
        <f>MONTH(Table1342[[#This Row],[Date]])</f>
        <v>4</v>
      </c>
      <c r="N454" s="19">
        <f>DAY(Table1342[[#This Row],[Date]])</f>
        <v>2</v>
      </c>
      <c r="O454" s="19"/>
      <c r="P454" s="19" t="str">
        <f>TEXT(DATE(2023,Table1342[[#This Row],[MONTH]],1),"mmm")</f>
        <v>Apr</v>
      </c>
      <c r="Q454" s="19"/>
    </row>
    <row r="455" spans="1:17" x14ac:dyDescent="0.3">
      <c r="A455" s="19">
        <v>454</v>
      </c>
      <c r="B455" s="20">
        <v>45053</v>
      </c>
      <c r="C455" s="19" t="s">
        <v>30</v>
      </c>
      <c r="D455" s="19" t="s">
        <v>16</v>
      </c>
      <c r="E455" s="19" t="s">
        <v>12</v>
      </c>
      <c r="F455" s="19" t="s">
        <v>13</v>
      </c>
      <c r="G455" s="19" t="s">
        <v>14</v>
      </c>
      <c r="H455" s="21">
        <v>8584.92</v>
      </c>
      <c r="I455" s="19">
        <v>1</v>
      </c>
      <c r="J455" s="21">
        <v>2560.9699999999998</v>
      </c>
      <c r="K455" s="19" t="str" cm="1">
        <f t="array" ref="K455">_xlfn.IFS(Table1342[[#This Row],[Sales]]&gt;40000,"Best Sales",Table1342[[#This Row],[Sales]]&gt;20000,"Average Sales",Table1342[[#This Row],[Sales]]&gt;0,"Poor Sales")</f>
        <v>Poor Sales</v>
      </c>
      <c r="L455" s="19">
        <f>YEAR(Table1342[[#This Row],[Date]])</f>
        <v>2023</v>
      </c>
      <c r="M455" s="19">
        <f>MONTH(Table1342[[#This Row],[Date]])</f>
        <v>5</v>
      </c>
      <c r="N455" s="19">
        <f>DAY(Table1342[[#This Row],[Date]])</f>
        <v>7</v>
      </c>
      <c r="O455" s="19"/>
      <c r="P455" s="19" t="str">
        <f>TEXT(DATE(2023,Table1342[[#This Row],[MONTH]],1),"mmm")</f>
        <v>May</v>
      </c>
      <c r="Q455" s="19"/>
    </row>
    <row r="456" spans="1:17" x14ac:dyDescent="0.3">
      <c r="A456" s="19">
        <v>455</v>
      </c>
      <c r="B456" s="20">
        <v>45069</v>
      </c>
      <c r="C456" s="19" t="s">
        <v>22</v>
      </c>
      <c r="D456" s="19" t="s">
        <v>22</v>
      </c>
      <c r="E456" s="19" t="s">
        <v>17</v>
      </c>
      <c r="F456" s="19" t="s">
        <v>24</v>
      </c>
      <c r="G456" s="19" t="s">
        <v>28</v>
      </c>
      <c r="H456" s="21">
        <v>17850.810000000001</v>
      </c>
      <c r="I456" s="19">
        <v>9</v>
      </c>
      <c r="J456" s="21">
        <v>4605.67</v>
      </c>
      <c r="K456" s="19" t="str" cm="1">
        <f t="array" ref="K456">_xlfn.IFS(Table1342[[#This Row],[Sales]]&gt;40000,"Best Sales",Table1342[[#This Row],[Sales]]&gt;20000,"Average Sales",Table1342[[#This Row],[Sales]]&gt;0,"Poor Sales")</f>
        <v>Poor Sales</v>
      </c>
      <c r="L456" s="19">
        <f>YEAR(Table1342[[#This Row],[Date]])</f>
        <v>2023</v>
      </c>
      <c r="M456" s="19">
        <f>MONTH(Table1342[[#This Row],[Date]])</f>
        <v>5</v>
      </c>
      <c r="N456" s="19">
        <f>DAY(Table1342[[#This Row],[Date]])</f>
        <v>23</v>
      </c>
      <c r="O456" s="19"/>
      <c r="P456" s="19" t="str">
        <f>TEXT(DATE(2023,Table1342[[#This Row],[MONTH]],1),"mmm")</f>
        <v>May</v>
      </c>
      <c r="Q456" s="19"/>
    </row>
    <row r="457" spans="1:17" x14ac:dyDescent="0.3">
      <c r="A457" s="19">
        <v>456</v>
      </c>
      <c r="B457" s="20">
        <v>44976</v>
      </c>
      <c r="C457" s="19" t="s">
        <v>10</v>
      </c>
      <c r="D457" s="19" t="s">
        <v>11</v>
      </c>
      <c r="E457" s="19" t="s">
        <v>20</v>
      </c>
      <c r="F457" s="19" t="s">
        <v>13</v>
      </c>
      <c r="G457" s="19" t="s">
        <v>21</v>
      </c>
      <c r="H457" s="21">
        <v>33800.74</v>
      </c>
      <c r="I457" s="19">
        <v>2</v>
      </c>
      <c r="J457" s="21">
        <v>2747.6</v>
      </c>
      <c r="K457" s="19" t="str" cm="1">
        <f t="array" ref="K457">_xlfn.IFS(Table1342[[#This Row],[Sales]]&gt;40000,"Best Sales",Table1342[[#This Row],[Sales]]&gt;20000,"Average Sales",Table1342[[#This Row],[Sales]]&gt;0,"Poor Sales")</f>
        <v>Average Sales</v>
      </c>
      <c r="L457" s="19">
        <f>YEAR(Table1342[[#This Row],[Date]])</f>
        <v>2023</v>
      </c>
      <c r="M457" s="19">
        <f>MONTH(Table1342[[#This Row],[Date]])</f>
        <v>2</v>
      </c>
      <c r="N457" s="19">
        <f>DAY(Table1342[[#This Row],[Date]])</f>
        <v>19</v>
      </c>
      <c r="O457" s="19"/>
      <c r="P457" s="19" t="str">
        <f>TEXT(DATE(2023,Table1342[[#This Row],[MONTH]],1),"mmm")</f>
        <v>Feb</v>
      </c>
      <c r="Q457" s="19"/>
    </row>
    <row r="458" spans="1:17" x14ac:dyDescent="0.3">
      <c r="A458" s="19">
        <v>457</v>
      </c>
      <c r="B458" s="20">
        <v>45264</v>
      </c>
      <c r="C458" s="19" t="s">
        <v>15</v>
      </c>
      <c r="D458" s="19" t="s">
        <v>16</v>
      </c>
      <c r="E458" s="19" t="s">
        <v>20</v>
      </c>
      <c r="F458" s="19" t="s">
        <v>24</v>
      </c>
      <c r="G458" s="19" t="s">
        <v>25</v>
      </c>
      <c r="H458" s="21">
        <v>5414.74</v>
      </c>
      <c r="I458" s="19">
        <v>4</v>
      </c>
      <c r="J458" s="21">
        <v>976.86</v>
      </c>
      <c r="K458" s="19" t="str" cm="1">
        <f t="array" ref="K458">_xlfn.IFS(Table1342[[#This Row],[Sales]]&gt;40000,"Best Sales",Table1342[[#This Row],[Sales]]&gt;20000,"Average Sales",Table1342[[#This Row],[Sales]]&gt;0,"Poor Sales")</f>
        <v>Poor Sales</v>
      </c>
      <c r="L458" s="19">
        <f>YEAR(Table1342[[#This Row],[Date]])</f>
        <v>2023</v>
      </c>
      <c r="M458" s="19">
        <f>MONTH(Table1342[[#This Row],[Date]])</f>
        <v>12</v>
      </c>
      <c r="N458" s="19">
        <f>DAY(Table1342[[#This Row],[Date]])</f>
        <v>4</v>
      </c>
      <c r="O458" s="19"/>
      <c r="P458" s="19" t="str">
        <f>TEXT(DATE(2023,Table1342[[#This Row],[MONTH]],1),"mmm")</f>
        <v>Dec</v>
      </c>
      <c r="Q458" s="19"/>
    </row>
    <row r="459" spans="1:17" x14ac:dyDescent="0.3">
      <c r="A459" s="19">
        <v>458</v>
      </c>
      <c r="B459" s="20">
        <v>44952</v>
      </c>
      <c r="C459" s="19" t="s">
        <v>37</v>
      </c>
      <c r="D459" s="19" t="s">
        <v>27</v>
      </c>
      <c r="E459" s="19" t="s">
        <v>12</v>
      </c>
      <c r="F459" s="19" t="s">
        <v>24</v>
      </c>
      <c r="G459" s="19" t="s">
        <v>28</v>
      </c>
      <c r="H459" s="21">
        <v>12452.06</v>
      </c>
      <c r="I459" s="19">
        <v>2</v>
      </c>
      <c r="J459" s="21">
        <v>2412.8200000000002</v>
      </c>
      <c r="K459" s="19" t="str" cm="1">
        <f t="array" ref="K459">_xlfn.IFS(Table1342[[#This Row],[Sales]]&gt;40000,"Best Sales",Table1342[[#This Row],[Sales]]&gt;20000,"Average Sales",Table1342[[#This Row],[Sales]]&gt;0,"Poor Sales")</f>
        <v>Poor Sales</v>
      </c>
      <c r="L459" s="19">
        <f>YEAR(Table1342[[#This Row],[Date]])</f>
        <v>2023</v>
      </c>
      <c r="M459" s="19">
        <f>MONTH(Table1342[[#This Row],[Date]])</f>
        <v>1</v>
      </c>
      <c r="N459" s="19">
        <f>DAY(Table1342[[#This Row],[Date]])</f>
        <v>26</v>
      </c>
      <c r="O459" s="19"/>
      <c r="P459" s="19" t="str">
        <f>TEXT(DATE(2023,Table1342[[#This Row],[MONTH]],1),"mmm")</f>
        <v>Jan</v>
      </c>
      <c r="Q459" s="19"/>
    </row>
    <row r="460" spans="1:17" x14ac:dyDescent="0.3">
      <c r="A460" s="19">
        <v>459</v>
      </c>
      <c r="B460" s="20">
        <v>45132</v>
      </c>
      <c r="C460" s="19" t="s">
        <v>10</v>
      </c>
      <c r="D460" s="19" t="s">
        <v>11</v>
      </c>
      <c r="E460" s="19" t="s">
        <v>17</v>
      </c>
      <c r="F460" s="19" t="s">
        <v>24</v>
      </c>
      <c r="G460" s="19" t="s">
        <v>29</v>
      </c>
      <c r="H460" s="21">
        <v>15764.96</v>
      </c>
      <c r="I460" s="19">
        <v>4</v>
      </c>
      <c r="J460" s="21">
        <v>2352.7399999999998</v>
      </c>
      <c r="K460" s="19" t="str" cm="1">
        <f t="array" ref="K460">_xlfn.IFS(Table1342[[#This Row],[Sales]]&gt;40000,"Best Sales",Table1342[[#This Row],[Sales]]&gt;20000,"Average Sales",Table1342[[#This Row],[Sales]]&gt;0,"Poor Sales")</f>
        <v>Poor Sales</v>
      </c>
      <c r="L460" s="19">
        <f>YEAR(Table1342[[#This Row],[Date]])</f>
        <v>2023</v>
      </c>
      <c r="M460" s="19">
        <f>MONTH(Table1342[[#This Row],[Date]])</f>
        <v>7</v>
      </c>
      <c r="N460" s="19">
        <f>DAY(Table1342[[#This Row],[Date]])</f>
        <v>25</v>
      </c>
      <c r="O460" s="19"/>
      <c r="P460" s="19" t="str">
        <f>TEXT(DATE(2023,Table1342[[#This Row],[MONTH]],1),"mmm")</f>
        <v>Jul</v>
      </c>
      <c r="Q460" s="19"/>
    </row>
    <row r="461" spans="1:17" x14ac:dyDescent="0.3">
      <c r="A461" s="19">
        <v>460</v>
      </c>
      <c r="B461" s="20">
        <v>45239</v>
      </c>
      <c r="C461" s="19" t="s">
        <v>37</v>
      </c>
      <c r="D461" s="19" t="s">
        <v>27</v>
      </c>
      <c r="E461" s="19" t="s">
        <v>12</v>
      </c>
      <c r="F461" s="19" t="s">
        <v>24</v>
      </c>
      <c r="G461" s="19" t="s">
        <v>25</v>
      </c>
      <c r="H461" s="21">
        <v>41835.79</v>
      </c>
      <c r="I461" s="19">
        <v>1</v>
      </c>
      <c r="J461" s="21">
        <v>2744.23</v>
      </c>
      <c r="K461" s="19" t="str" cm="1">
        <f t="array" ref="K461">_xlfn.IFS(Table1342[[#This Row],[Sales]]&gt;40000,"Best Sales",Table1342[[#This Row],[Sales]]&gt;20000,"Average Sales",Table1342[[#This Row],[Sales]]&gt;0,"Poor Sales")</f>
        <v>Best Sales</v>
      </c>
      <c r="L461" s="19">
        <f>YEAR(Table1342[[#This Row],[Date]])</f>
        <v>2023</v>
      </c>
      <c r="M461" s="19">
        <f>MONTH(Table1342[[#This Row],[Date]])</f>
        <v>11</v>
      </c>
      <c r="N461" s="19">
        <f>DAY(Table1342[[#This Row],[Date]])</f>
        <v>9</v>
      </c>
      <c r="O461" s="19"/>
      <c r="P461" s="19" t="str">
        <f>TEXT(DATE(2023,Table1342[[#This Row],[MONTH]],1),"mmm")</f>
        <v>Nov</v>
      </c>
      <c r="Q461" s="19"/>
    </row>
    <row r="462" spans="1:17" x14ac:dyDescent="0.3">
      <c r="A462" s="19">
        <v>461</v>
      </c>
      <c r="B462" s="20">
        <v>45075</v>
      </c>
      <c r="C462" s="19" t="s">
        <v>18</v>
      </c>
      <c r="D462" s="19" t="s">
        <v>19</v>
      </c>
      <c r="E462" s="19" t="s">
        <v>17</v>
      </c>
      <c r="F462" s="19" t="s">
        <v>31</v>
      </c>
      <c r="G462" s="19" t="s">
        <v>33</v>
      </c>
      <c r="H462" s="21">
        <v>23801.25</v>
      </c>
      <c r="I462" s="19">
        <v>2</v>
      </c>
      <c r="J462" s="21">
        <v>6445.33</v>
      </c>
      <c r="K462" s="19" t="str" cm="1">
        <f t="array" ref="K462">_xlfn.IFS(Table1342[[#This Row],[Sales]]&gt;40000,"Best Sales",Table1342[[#This Row],[Sales]]&gt;20000,"Average Sales",Table1342[[#This Row],[Sales]]&gt;0,"Poor Sales")</f>
        <v>Average Sales</v>
      </c>
      <c r="L462" s="19">
        <f>YEAR(Table1342[[#This Row],[Date]])</f>
        <v>2023</v>
      </c>
      <c r="M462" s="19">
        <f>MONTH(Table1342[[#This Row],[Date]])</f>
        <v>5</v>
      </c>
      <c r="N462" s="19">
        <f>DAY(Table1342[[#This Row],[Date]])</f>
        <v>29</v>
      </c>
      <c r="O462" s="19"/>
      <c r="P462" s="19" t="str">
        <f>TEXT(DATE(2023,Table1342[[#This Row],[MONTH]],1),"mmm")</f>
        <v>May</v>
      </c>
      <c r="Q462" s="19"/>
    </row>
    <row r="463" spans="1:17" x14ac:dyDescent="0.3">
      <c r="A463" s="19">
        <v>462</v>
      </c>
      <c r="B463" s="20">
        <v>45252</v>
      </c>
      <c r="C463" s="19" t="s">
        <v>26</v>
      </c>
      <c r="D463" s="19" t="s">
        <v>27</v>
      </c>
      <c r="E463" s="19" t="s">
        <v>20</v>
      </c>
      <c r="F463" s="19" t="s">
        <v>24</v>
      </c>
      <c r="G463" s="19" t="s">
        <v>25</v>
      </c>
      <c r="H463" s="21">
        <v>15461.71</v>
      </c>
      <c r="I463" s="19">
        <v>3</v>
      </c>
      <c r="J463" s="21">
        <v>3314.59</v>
      </c>
      <c r="K463" s="19" t="str" cm="1">
        <f t="array" ref="K463">_xlfn.IFS(Table1342[[#This Row],[Sales]]&gt;40000,"Best Sales",Table1342[[#This Row],[Sales]]&gt;20000,"Average Sales",Table1342[[#This Row],[Sales]]&gt;0,"Poor Sales")</f>
        <v>Poor Sales</v>
      </c>
      <c r="L463" s="19">
        <f>YEAR(Table1342[[#This Row],[Date]])</f>
        <v>2023</v>
      </c>
      <c r="M463" s="19">
        <f>MONTH(Table1342[[#This Row],[Date]])</f>
        <v>11</v>
      </c>
      <c r="N463" s="19">
        <f>DAY(Table1342[[#This Row],[Date]])</f>
        <v>22</v>
      </c>
      <c r="O463" s="19"/>
      <c r="P463" s="19" t="str">
        <f>TEXT(DATE(2023,Table1342[[#This Row],[MONTH]],1),"mmm")</f>
        <v>Nov</v>
      </c>
      <c r="Q463" s="19"/>
    </row>
    <row r="464" spans="1:17" x14ac:dyDescent="0.3">
      <c r="A464" s="19">
        <v>463</v>
      </c>
      <c r="B464" s="20">
        <v>45076</v>
      </c>
      <c r="C464" s="19" t="s">
        <v>35</v>
      </c>
      <c r="D464" s="19" t="s">
        <v>36</v>
      </c>
      <c r="E464" s="19" t="s">
        <v>20</v>
      </c>
      <c r="F464" s="19" t="s">
        <v>24</v>
      </c>
      <c r="G464" s="19" t="s">
        <v>29</v>
      </c>
      <c r="H464" s="21">
        <v>45619.47</v>
      </c>
      <c r="I464" s="19">
        <v>10</v>
      </c>
      <c r="J464" s="21">
        <v>10134.75</v>
      </c>
      <c r="K464" s="19" t="str" cm="1">
        <f t="array" ref="K464">_xlfn.IFS(Table1342[[#This Row],[Sales]]&gt;40000,"Best Sales",Table1342[[#This Row],[Sales]]&gt;20000,"Average Sales",Table1342[[#This Row],[Sales]]&gt;0,"Poor Sales")</f>
        <v>Best Sales</v>
      </c>
      <c r="L464" s="19">
        <f>YEAR(Table1342[[#This Row],[Date]])</f>
        <v>2023</v>
      </c>
      <c r="M464" s="19">
        <f>MONTH(Table1342[[#This Row],[Date]])</f>
        <v>5</v>
      </c>
      <c r="N464" s="19">
        <f>DAY(Table1342[[#This Row],[Date]])</f>
        <v>30</v>
      </c>
      <c r="O464" s="19"/>
      <c r="P464" s="19" t="str">
        <f>TEXT(DATE(2023,Table1342[[#This Row],[MONTH]],1),"mmm")</f>
        <v>May</v>
      </c>
      <c r="Q464" s="19"/>
    </row>
    <row r="465" spans="1:17" x14ac:dyDescent="0.3">
      <c r="A465" s="19">
        <v>464</v>
      </c>
      <c r="B465" s="20">
        <v>45000</v>
      </c>
      <c r="C465" s="19" t="s">
        <v>10</v>
      </c>
      <c r="D465" s="19" t="s">
        <v>11</v>
      </c>
      <c r="E465" s="19" t="s">
        <v>12</v>
      </c>
      <c r="F465" s="19" t="s">
        <v>31</v>
      </c>
      <c r="G465" s="19" t="s">
        <v>33</v>
      </c>
      <c r="H465" s="21">
        <v>15028.38</v>
      </c>
      <c r="I465" s="19">
        <v>7</v>
      </c>
      <c r="J465" s="21">
        <v>2910.42</v>
      </c>
      <c r="K465" s="19" t="str" cm="1">
        <f t="array" ref="K465">_xlfn.IFS(Table1342[[#This Row],[Sales]]&gt;40000,"Best Sales",Table1342[[#This Row],[Sales]]&gt;20000,"Average Sales",Table1342[[#This Row],[Sales]]&gt;0,"Poor Sales")</f>
        <v>Poor Sales</v>
      </c>
      <c r="L465" s="19">
        <f>YEAR(Table1342[[#This Row],[Date]])</f>
        <v>2023</v>
      </c>
      <c r="M465" s="19">
        <f>MONTH(Table1342[[#This Row],[Date]])</f>
        <v>3</v>
      </c>
      <c r="N465" s="19">
        <f>DAY(Table1342[[#This Row],[Date]])</f>
        <v>15</v>
      </c>
      <c r="O465" s="19"/>
      <c r="P465" s="19" t="str">
        <f>TEXT(DATE(2023,Table1342[[#This Row],[MONTH]],1),"mmm")</f>
        <v>Mar</v>
      </c>
      <c r="Q465" s="19"/>
    </row>
    <row r="466" spans="1:17" x14ac:dyDescent="0.3">
      <c r="A466" s="19">
        <v>465</v>
      </c>
      <c r="B466" s="20">
        <v>45205</v>
      </c>
      <c r="C466" s="19" t="s">
        <v>22</v>
      </c>
      <c r="D466" s="19" t="s">
        <v>22</v>
      </c>
      <c r="E466" s="19" t="s">
        <v>17</v>
      </c>
      <c r="F466" s="19" t="s">
        <v>13</v>
      </c>
      <c r="G466" s="19" t="s">
        <v>34</v>
      </c>
      <c r="H466" s="21">
        <v>30842.46</v>
      </c>
      <c r="I466" s="19">
        <v>1</v>
      </c>
      <c r="J466" s="21">
        <v>3773.49</v>
      </c>
      <c r="K466" s="19" t="str" cm="1">
        <f t="array" ref="K466">_xlfn.IFS(Table1342[[#This Row],[Sales]]&gt;40000,"Best Sales",Table1342[[#This Row],[Sales]]&gt;20000,"Average Sales",Table1342[[#This Row],[Sales]]&gt;0,"Poor Sales")</f>
        <v>Average Sales</v>
      </c>
      <c r="L466" s="19">
        <f>YEAR(Table1342[[#This Row],[Date]])</f>
        <v>2023</v>
      </c>
      <c r="M466" s="19">
        <f>MONTH(Table1342[[#This Row],[Date]])</f>
        <v>10</v>
      </c>
      <c r="N466" s="19">
        <f>DAY(Table1342[[#This Row],[Date]])</f>
        <v>6</v>
      </c>
      <c r="O466" s="19"/>
      <c r="P466" s="19" t="str">
        <f>TEXT(DATE(2023,Table1342[[#This Row],[MONTH]],1),"mmm")</f>
        <v>Oct</v>
      </c>
      <c r="Q466" s="19"/>
    </row>
    <row r="467" spans="1:17" x14ac:dyDescent="0.3">
      <c r="A467" s="19">
        <v>466</v>
      </c>
      <c r="B467" s="20">
        <v>45222</v>
      </c>
      <c r="C467" s="19" t="s">
        <v>10</v>
      </c>
      <c r="D467" s="19" t="s">
        <v>11</v>
      </c>
      <c r="E467" s="19" t="s">
        <v>12</v>
      </c>
      <c r="F467" s="19" t="s">
        <v>13</v>
      </c>
      <c r="G467" s="19" t="s">
        <v>21</v>
      </c>
      <c r="H467" s="21">
        <v>6318.79</v>
      </c>
      <c r="I467" s="19">
        <v>4</v>
      </c>
      <c r="J467" s="21">
        <v>1551.93</v>
      </c>
      <c r="K467" s="19" t="str" cm="1">
        <f t="array" ref="K467">_xlfn.IFS(Table1342[[#This Row],[Sales]]&gt;40000,"Best Sales",Table1342[[#This Row],[Sales]]&gt;20000,"Average Sales",Table1342[[#This Row],[Sales]]&gt;0,"Poor Sales")</f>
        <v>Poor Sales</v>
      </c>
      <c r="L467" s="19">
        <f>YEAR(Table1342[[#This Row],[Date]])</f>
        <v>2023</v>
      </c>
      <c r="M467" s="19">
        <f>MONTH(Table1342[[#This Row],[Date]])</f>
        <v>10</v>
      </c>
      <c r="N467" s="19">
        <f>DAY(Table1342[[#This Row],[Date]])</f>
        <v>23</v>
      </c>
      <c r="O467" s="19"/>
      <c r="P467" s="19" t="str">
        <f>TEXT(DATE(2023,Table1342[[#This Row],[MONTH]],1),"mmm")</f>
        <v>Oct</v>
      </c>
      <c r="Q467" s="19"/>
    </row>
    <row r="468" spans="1:17" x14ac:dyDescent="0.3">
      <c r="A468" s="19">
        <v>467</v>
      </c>
      <c r="B468" s="20">
        <v>44974</v>
      </c>
      <c r="C468" s="19" t="s">
        <v>38</v>
      </c>
      <c r="D468" s="19" t="s">
        <v>27</v>
      </c>
      <c r="E468" s="19" t="s">
        <v>17</v>
      </c>
      <c r="F468" s="19" t="s">
        <v>31</v>
      </c>
      <c r="G468" s="19" t="s">
        <v>33</v>
      </c>
      <c r="H468" s="21">
        <v>14828.09</v>
      </c>
      <c r="I468" s="19">
        <v>7</v>
      </c>
      <c r="J468" s="21">
        <v>2884.42</v>
      </c>
      <c r="K468" s="19" t="str" cm="1">
        <f t="array" ref="K468">_xlfn.IFS(Table1342[[#This Row],[Sales]]&gt;40000,"Best Sales",Table1342[[#This Row],[Sales]]&gt;20000,"Average Sales",Table1342[[#This Row],[Sales]]&gt;0,"Poor Sales")</f>
        <v>Poor Sales</v>
      </c>
      <c r="L468" s="19">
        <f>YEAR(Table1342[[#This Row],[Date]])</f>
        <v>2023</v>
      </c>
      <c r="M468" s="19">
        <f>MONTH(Table1342[[#This Row],[Date]])</f>
        <v>2</v>
      </c>
      <c r="N468" s="19">
        <f>DAY(Table1342[[#This Row],[Date]])</f>
        <v>17</v>
      </c>
      <c r="O468" s="19"/>
      <c r="P468" s="19" t="str">
        <f>TEXT(DATE(2023,Table1342[[#This Row],[MONTH]],1),"mmm")</f>
        <v>Feb</v>
      </c>
      <c r="Q468" s="19"/>
    </row>
    <row r="469" spans="1:17" x14ac:dyDescent="0.3">
      <c r="A469" s="19">
        <v>468</v>
      </c>
      <c r="B469" s="20">
        <v>45137</v>
      </c>
      <c r="C469" s="19" t="s">
        <v>37</v>
      </c>
      <c r="D469" s="19" t="s">
        <v>27</v>
      </c>
      <c r="E469" s="19" t="s">
        <v>20</v>
      </c>
      <c r="F469" s="19" t="s">
        <v>24</v>
      </c>
      <c r="G469" s="19" t="s">
        <v>28</v>
      </c>
      <c r="H469" s="21">
        <v>16069.37</v>
      </c>
      <c r="I469" s="19">
        <v>2</v>
      </c>
      <c r="J469" s="21">
        <v>3976.35</v>
      </c>
      <c r="K469" s="19" t="str" cm="1">
        <f t="array" ref="K469">_xlfn.IFS(Table1342[[#This Row],[Sales]]&gt;40000,"Best Sales",Table1342[[#This Row],[Sales]]&gt;20000,"Average Sales",Table1342[[#This Row],[Sales]]&gt;0,"Poor Sales")</f>
        <v>Poor Sales</v>
      </c>
      <c r="L469" s="19">
        <f>YEAR(Table1342[[#This Row],[Date]])</f>
        <v>2023</v>
      </c>
      <c r="M469" s="19">
        <f>MONTH(Table1342[[#This Row],[Date]])</f>
        <v>7</v>
      </c>
      <c r="N469" s="19">
        <f>DAY(Table1342[[#This Row],[Date]])</f>
        <v>30</v>
      </c>
      <c r="O469" s="19"/>
      <c r="P469" s="19" t="str">
        <f>TEXT(DATE(2023,Table1342[[#This Row],[MONTH]],1),"mmm")</f>
        <v>Jul</v>
      </c>
      <c r="Q469" s="19"/>
    </row>
    <row r="470" spans="1:17" x14ac:dyDescent="0.3">
      <c r="A470" s="19">
        <v>469</v>
      </c>
      <c r="B470" s="20">
        <v>45213</v>
      </c>
      <c r="C470" s="19" t="s">
        <v>30</v>
      </c>
      <c r="D470" s="19" t="s">
        <v>16</v>
      </c>
      <c r="E470" s="19" t="s">
        <v>20</v>
      </c>
      <c r="F470" s="19" t="s">
        <v>13</v>
      </c>
      <c r="G470" s="19" t="s">
        <v>21</v>
      </c>
      <c r="H470" s="21">
        <v>13770.88</v>
      </c>
      <c r="I470" s="19">
        <v>9</v>
      </c>
      <c r="J470" s="21">
        <v>1110.72</v>
      </c>
      <c r="K470" s="19" t="str" cm="1">
        <f t="array" ref="K470">_xlfn.IFS(Table1342[[#This Row],[Sales]]&gt;40000,"Best Sales",Table1342[[#This Row],[Sales]]&gt;20000,"Average Sales",Table1342[[#This Row],[Sales]]&gt;0,"Poor Sales")</f>
        <v>Poor Sales</v>
      </c>
      <c r="L470" s="19">
        <f>YEAR(Table1342[[#This Row],[Date]])</f>
        <v>2023</v>
      </c>
      <c r="M470" s="19">
        <f>MONTH(Table1342[[#This Row],[Date]])</f>
        <v>10</v>
      </c>
      <c r="N470" s="19">
        <f>DAY(Table1342[[#This Row],[Date]])</f>
        <v>14</v>
      </c>
      <c r="O470" s="19"/>
      <c r="P470" s="19" t="str">
        <f>TEXT(DATE(2023,Table1342[[#This Row],[MONTH]],1),"mmm")</f>
        <v>Oct</v>
      </c>
      <c r="Q470" s="19"/>
    </row>
    <row r="471" spans="1:17" x14ac:dyDescent="0.3">
      <c r="A471" s="19">
        <v>470</v>
      </c>
      <c r="B471" s="20">
        <v>45016</v>
      </c>
      <c r="C471" s="19" t="s">
        <v>37</v>
      </c>
      <c r="D471" s="19" t="s">
        <v>27</v>
      </c>
      <c r="E471" s="19" t="s">
        <v>12</v>
      </c>
      <c r="F471" s="19" t="s">
        <v>24</v>
      </c>
      <c r="G471" s="19" t="s">
        <v>29</v>
      </c>
      <c r="H471" s="21">
        <v>24821.75</v>
      </c>
      <c r="I471" s="19">
        <v>4</v>
      </c>
      <c r="J471" s="21">
        <v>4789.5600000000004</v>
      </c>
      <c r="K471" s="19" t="str" cm="1">
        <f t="array" ref="K471">_xlfn.IFS(Table1342[[#This Row],[Sales]]&gt;40000,"Best Sales",Table1342[[#This Row],[Sales]]&gt;20000,"Average Sales",Table1342[[#This Row],[Sales]]&gt;0,"Poor Sales")</f>
        <v>Average Sales</v>
      </c>
      <c r="L471" s="19">
        <f>YEAR(Table1342[[#This Row],[Date]])</f>
        <v>2023</v>
      </c>
      <c r="M471" s="19">
        <f>MONTH(Table1342[[#This Row],[Date]])</f>
        <v>3</v>
      </c>
      <c r="N471" s="19">
        <f>DAY(Table1342[[#This Row],[Date]])</f>
        <v>31</v>
      </c>
      <c r="O471" s="19"/>
      <c r="P471" s="19" t="str">
        <f>TEXT(DATE(2023,Table1342[[#This Row],[MONTH]],1),"mmm")</f>
        <v>Mar</v>
      </c>
      <c r="Q471" s="19"/>
    </row>
    <row r="472" spans="1:17" x14ac:dyDescent="0.3">
      <c r="A472" s="19">
        <v>471</v>
      </c>
      <c r="B472" s="20">
        <v>45038</v>
      </c>
      <c r="C472" s="19" t="s">
        <v>15</v>
      </c>
      <c r="D472" s="19" t="s">
        <v>16</v>
      </c>
      <c r="E472" s="19" t="s">
        <v>17</v>
      </c>
      <c r="F472" s="19" t="s">
        <v>13</v>
      </c>
      <c r="G472" s="19" t="s">
        <v>14</v>
      </c>
      <c r="H472" s="21">
        <v>19819</v>
      </c>
      <c r="I472" s="19">
        <v>9</v>
      </c>
      <c r="J472" s="21">
        <v>4493.47</v>
      </c>
      <c r="K472" s="19" t="str" cm="1">
        <f t="array" ref="K472">_xlfn.IFS(Table1342[[#This Row],[Sales]]&gt;40000,"Best Sales",Table1342[[#This Row],[Sales]]&gt;20000,"Average Sales",Table1342[[#This Row],[Sales]]&gt;0,"Poor Sales")</f>
        <v>Poor Sales</v>
      </c>
      <c r="L472" s="19">
        <f>YEAR(Table1342[[#This Row],[Date]])</f>
        <v>2023</v>
      </c>
      <c r="M472" s="19">
        <f>MONTH(Table1342[[#This Row],[Date]])</f>
        <v>4</v>
      </c>
      <c r="N472" s="19">
        <f>DAY(Table1342[[#This Row],[Date]])</f>
        <v>22</v>
      </c>
      <c r="O472" s="19"/>
      <c r="P472" s="19" t="str">
        <f>TEXT(DATE(2023,Table1342[[#This Row],[MONTH]],1),"mmm")</f>
        <v>Apr</v>
      </c>
      <c r="Q472" s="19"/>
    </row>
    <row r="473" spans="1:17" x14ac:dyDescent="0.3">
      <c r="A473" s="19">
        <v>472</v>
      </c>
      <c r="B473" s="20">
        <v>45211</v>
      </c>
      <c r="C473" s="19" t="s">
        <v>37</v>
      </c>
      <c r="D473" s="19" t="s">
        <v>27</v>
      </c>
      <c r="E473" s="19" t="s">
        <v>12</v>
      </c>
      <c r="F473" s="19" t="s">
        <v>13</v>
      </c>
      <c r="G473" s="19" t="s">
        <v>21</v>
      </c>
      <c r="H473" s="21">
        <v>7807.18</v>
      </c>
      <c r="I473" s="19">
        <v>9</v>
      </c>
      <c r="J473" s="21">
        <v>893.09</v>
      </c>
      <c r="K473" s="19" t="str" cm="1">
        <f t="array" ref="K473">_xlfn.IFS(Table1342[[#This Row],[Sales]]&gt;40000,"Best Sales",Table1342[[#This Row],[Sales]]&gt;20000,"Average Sales",Table1342[[#This Row],[Sales]]&gt;0,"Poor Sales")</f>
        <v>Poor Sales</v>
      </c>
      <c r="L473" s="19">
        <f>YEAR(Table1342[[#This Row],[Date]])</f>
        <v>2023</v>
      </c>
      <c r="M473" s="19">
        <f>MONTH(Table1342[[#This Row],[Date]])</f>
        <v>10</v>
      </c>
      <c r="N473" s="19">
        <f>DAY(Table1342[[#This Row],[Date]])</f>
        <v>12</v>
      </c>
      <c r="O473" s="19"/>
      <c r="P473" s="19" t="str">
        <f>TEXT(DATE(2023,Table1342[[#This Row],[MONTH]],1),"mmm")</f>
        <v>Oct</v>
      </c>
      <c r="Q473" s="19"/>
    </row>
    <row r="474" spans="1:17" x14ac:dyDescent="0.3">
      <c r="A474" s="19">
        <v>473</v>
      </c>
      <c r="B474" s="20">
        <v>45158</v>
      </c>
      <c r="C474" s="19" t="s">
        <v>35</v>
      </c>
      <c r="D474" s="19" t="s">
        <v>36</v>
      </c>
      <c r="E474" s="19" t="s">
        <v>17</v>
      </c>
      <c r="F474" s="19" t="s">
        <v>13</v>
      </c>
      <c r="G474" s="19" t="s">
        <v>14</v>
      </c>
      <c r="H474" s="21">
        <v>29187.5</v>
      </c>
      <c r="I474" s="19">
        <v>3</v>
      </c>
      <c r="J474" s="21">
        <v>2048.9699999999998</v>
      </c>
      <c r="K474" s="19" t="str" cm="1">
        <f t="array" ref="K474">_xlfn.IFS(Table1342[[#This Row],[Sales]]&gt;40000,"Best Sales",Table1342[[#This Row],[Sales]]&gt;20000,"Average Sales",Table1342[[#This Row],[Sales]]&gt;0,"Poor Sales")</f>
        <v>Average Sales</v>
      </c>
      <c r="L474" s="19">
        <f>YEAR(Table1342[[#This Row],[Date]])</f>
        <v>2023</v>
      </c>
      <c r="M474" s="19">
        <f>MONTH(Table1342[[#This Row],[Date]])</f>
        <v>8</v>
      </c>
      <c r="N474" s="19">
        <f>DAY(Table1342[[#This Row],[Date]])</f>
        <v>20</v>
      </c>
      <c r="O474" s="19"/>
      <c r="P474" s="19" t="str">
        <f>TEXT(DATE(2023,Table1342[[#This Row],[MONTH]],1),"mmm")</f>
        <v>Aug</v>
      </c>
      <c r="Q474" s="19"/>
    </row>
    <row r="475" spans="1:17" x14ac:dyDescent="0.3">
      <c r="A475" s="19">
        <v>474</v>
      </c>
      <c r="B475" s="20">
        <v>45287</v>
      </c>
      <c r="C475" s="19" t="s">
        <v>10</v>
      </c>
      <c r="D475" s="19" t="s">
        <v>11</v>
      </c>
      <c r="E475" s="19" t="s">
        <v>20</v>
      </c>
      <c r="F475" s="19" t="s">
        <v>24</v>
      </c>
      <c r="G475" s="19" t="s">
        <v>28</v>
      </c>
      <c r="H475" s="21">
        <v>30736.28</v>
      </c>
      <c r="I475" s="19">
        <v>6</v>
      </c>
      <c r="J475" s="21">
        <v>6419.01</v>
      </c>
      <c r="K475" s="19" t="str" cm="1">
        <f t="array" ref="K475">_xlfn.IFS(Table1342[[#This Row],[Sales]]&gt;40000,"Best Sales",Table1342[[#This Row],[Sales]]&gt;20000,"Average Sales",Table1342[[#This Row],[Sales]]&gt;0,"Poor Sales")</f>
        <v>Average Sales</v>
      </c>
      <c r="L475" s="19">
        <f>YEAR(Table1342[[#This Row],[Date]])</f>
        <v>2023</v>
      </c>
      <c r="M475" s="19">
        <f>MONTH(Table1342[[#This Row],[Date]])</f>
        <v>12</v>
      </c>
      <c r="N475" s="19">
        <f>DAY(Table1342[[#This Row],[Date]])</f>
        <v>27</v>
      </c>
      <c r="O475" s="19"/>
      <c r="P475" s="19" t="str">
        <f>TEXT(DATE(2023,Table1342[[#This Row],[MONTH]],1),"mmm")</f>
        <v>Dec</v>
      </c>
      <c r="Q475" s="19"/>
    </row>
    <row r="476" spans="1:17" x14ac:dyDescent="0.3">
      <c r="A476" s="19">
        <v>475</v>
      </c>
      <c r="B476" s="20">
        <v>44988</v>
      </c>
      <c r="C476" s="19" t="s">
        <v>30</v>
      </c>
      <c r="D476" s="19" t="s">
        <v>16</v>
      </c>
      <c r="E476" s="19" t="s">
        <v>20</v>
      </c>
      <c r="F476" s="19" t="s">
        <v>24</v>
      </c>
      <c r="G476" s="19" t="s">
        <v>25</v>
      </c>
      <c r="H476" s="21">
        <v>14023.91</v>
      </c>
      <c r="I476" s="19">
        <v>7</v>
      </c>
      <c r="J476" s="21">
        <v>1687.3</v>
      </c>
      <c r="K476" s="19" t="str" cm="1">
        <f t="array" ref="K476">_xlfn.IFS(Table1342[[#This Row],[Sales]]&gt;40000,"Best Sales",Table1342[[#This Row],[Sales]]&gt;20000,"Average Sales",Table1342[[#This Row],[Sales]]&gt;0,"Poor Sales")</f>
        <v>Poor Sales</v>
      </c>
      <c r="L476" s="19">
        <f>YEAR(Table1342[[#This Row],[Date]])</f>
        <v>2023</v>
      </c>
      <c r="M476" s="19">
        <f>MONTH(Table1342[[#This Row],[Date]])</f>
        <v>3</v>
      </c>
      <c r="N476" s="19">
        <f>DAY(Table1342[[#This Row],[Date]])</f>
        <v>3</v>
      </c>
      <c r="O476" s="19"/>
      <c r="P476" s="19" t="str">
        <f>TEXT(DATE(2023,Table1342[[#This Row],[MONTH]],1),"mmm")</f>
        <v>Mar</v>
      </c>
      <c r="Q476" s="19"/>
    </row>
    <row r="477" spans="1:17" x14ac:dyDescent="0.3">
      <c r="A477" s="19">
        <v>476</v>
      </c>
      <c r="B477" s="20">
        <v>45029</v>
      </c>
      <c r="C477" s="19" t="s">
        <v>18</v>
      </c>
      <c r="D477" s="19" t="s">
        <v>19</v>
      </c>
      <c r="E477" s="19" t="s">
        <v>12</v>
      </c>
      <c r="F477" s="19" t="s">
        <v>24</v>
      </c>
      <c r="G477" s="19" t="s">
        <v>29</v>
      </c>
      <c r="H477" s="21">
        <v>16267.75</v>
      </c>
      <c r="I477" s="19">
        <v>3</v>
      </c>
      <c r="J477" s="21">
        <v>3928.17</v>
      </c>
      <c r="K477" s="19" t="str" cm="1">
        <f t="array" ref="K477">_xlfn.IFS(Table1342[[#This Row],[Sales]]&gt;40000,"Best Sales",Table1342[[#This Row],[Sales]]&gt;20000,"Average Sales",Table1342[[#This Row],[Sales]]&gt;0,"Poor Sales")</f>
        <v>Poor Sales</v>
      </c>
      <c r="L477" s="19">
        <f>YEAR(Table1342[[#This Row],[Date]])</f>
        <v>2023</v>
      </c>
      <c r="M477" s="19">
        <f>MONTH(Table1342[[#This Row],[Date]])</f>
        <v>4</v>
      </c>
      <c r="N477" s="19">
        <f>DAY(Table1342[[#This Row],[Date]])</f>
        <v>13</v>
      </c>
      <c r="O477" s="19"/>
      <c r="P477" s="19" t="str">
        <f>TEXT(DATE(2023,Table1342[[#This Row],[MONTH]],1),"mmm")</f>
        <v>Apr</v>
      </c>
      <c r="Q477" s="19"/>
    </row>
    <row r="478" spans="1:17" x14ac:dyDescent="0.3">
      <c r="A478" s="19">
        <v>477</v>
      </c>
      <c r="B478" s="20">
        <v>45129</v>
      </c>
      <c r="C478" s="19" t="s">
        <v>38</v>
      </c>
      <c r="D478" s="19" t="s">
        <v>27</v>
      </c>
      <c r="E478" s="19" t="s">
        <v>17</v>
      </c>
      <c r="F478" s="19" t="s">
        <v>31</v>
      </c>
      <c r="G478" s="19" t="s">
        <v>39</v>
      </c>
      <c r="H478" s="21">
        <v>17638.95</v>
      </c>
      <c r="I478" s="19">
        <v>1</v>
      </c>
      <c r="J478" s="21">
        <v>5267.64</v>
      </c>
      <c r="K478" s="19" t="str" cm="1">
        <f t="array" ref="K478">_xlfn.IFS(Table1342[[#This Row],[Sales]]&gt;40000,"Best Sales",Table1342[[#This Row],[Sales]]&gt;20000,"Average Sales",Table1342[[#This Row],[Sales]]&gt;0,"Poor Sales")</f>
        <v>Poor Sales</v>
      </c>
      <c r="L478" s="19">
        <f>YEAR(Table1342[[#This Row],[Date]])</f>
        <v>2023</v>
      </c>
      <c r="M478" s="19">
        <f>MONTH(Table1342[[#This Row],[Date]])</f>
        <v>7</v>
      </c>
      <c r="N478" s="19">
        <f>DAY(Table1342[[#This Row],[Date]])</f>
        <v>22</v>
      </c>
      <c r="O478" s="19"/>
      <c r="P478" s="19" t="str">
        <f>TEXT(DATE(2023,Table1342[[#This Row],[MONTH]],1),"mmm")</f>
        <v>Jul</v>
      </c>
      <c r="Q478" s="19"/>
    </row>
    <row r="479" spans="1:17" x14ac:dyDescent="0.3">
      <c r="A479" s="19">
        <v>478</v>
      </c>
      <c r="B479" s="20">
        <v>45019</v>
      </c>
      <c r="C479" s="19" t="s">
        <v>35</v>
      </c>
      <c r="D479" s="19" t="s">
        <v>36</v>
      </c>
      <c r="E479" s="19" t="s">
        <v>12</v>
      </c>
      <c r="F479" s="19" t="s">
        <v>31</v>
      </c>
      <c r="G479" s="19" t="s">
        <v>39</v>
      </c>
      <c r="H479" s="21">
        <v>4634.8100000000004</v>
      </c>
      <c r="I479" s="19">
        <v>5</v>
      </c>
      <c r="J479" s="21">
        <v>1129.28</v>
      </c>
      <c r="K479" s="19" t="str" cm="1">
        <f t="array" ref="K479">_xlfn.IFS(Table1342[[#This Row],[Sales]]&gt;40000,"Best Sales",Table1342[[#This Row],[Sales]]&gt;20000,"Average Sales",Table1342[[#This Row],[Sales]]&gt;0,"Poor Sales")</f>
        <v>Poor Sales</v>
      </c>
      <c r="L479" s="19">
        <f>YEAR(Table1342[[#This Row],[Date]])</f>
        <v>2023</v>
      </c>
      <c r="M479" s="19">
        <f>MONTH(Table1342[[#This Row],[Date]])</f>
        <v>4</v>
      </c>
      <c r="N479" s="19">
        <f>DAY(Table1342[[#This Row],[Date]])</f>
        <v>3</v>
      </c>
      <c r="O479" s="19"/>
      <c r="P479" s="19" t="str">
        <f>TEXT(DATE(2023,Table1342[[#This Row],[MONTH]],1),"mmm")</f>
        <v>Apr</v>
      </c>
      <c r="Q479" s="19"/>
    </row>
    <row r="480" spans="1:17" x14ac:dyDescent="0.3">
      <c r="A480" s="19">
        <v>479</v>
      </c>
      <c r="B480" s="20">
        <v>44994</v>
      </c>
      <c r="C480" s="19" t="s">
        <v>38</v>
      </c>
      <c r="D480" s="19" t="s">
        <v>27</v>
      </c>
      <c r="E480" s="19" t="s">
        <v>17</v>
      </c>
      <c r="F480" s="19" t="s">
        <v>31</v>
      </c>
      <c r="G480" s="19" t="s">
        <v>32</v>
      </c>
      <c r="H480" s="21">
        <v>38025.67</v>
      </c>
      <c r="I480" s="19">
        <v>8</v>
      </c>
      <c r="J480" s="21">
        <v>2827.8</v>
      </c>
      <c r="K480" s="19" t="str" cm="1">
        <f t="array" ref="K480">_xlfn.IFS(Table1342[[#This Row],[Sales]]&gt;40000,"Best Sales",Table1342[[#This Row],[Sales]]&gt;20000,"Average Sales",Table1342[[#This Row],[Sales]]&gt;0,"Poor Sales")</f>
        <v>Average Sales</v>
      </c>
      <c r="L480" s="19">
        <f>YEAR(Table1342[[#This Row],[Date]])</f>
        <v>2023</v>
      </c>
      <c r="M480" s="19">
        <f>MONTH(Table1342[[#This Row],[Date]])</f>
        <v>3</v>
      </c>
      <c r="N480" s="19">
        <f>DAY(Table1342[[#This Row],[Date]])</f>
        <v>9</v>
      </c>
      <c r="O480" s="19"/>
      <c r="P480" s="19" t="str">
        <f>TEXT(DATE(2023,Table1342[[#This Row],[MONTH]],1),"mmm")</f>
        <v>Mar</v>
      </c>
      <c r="Q480" s="19"/>
    </row>
    <row r="481" spans="1:17" x14ac:dyDescent="0.3">
      <c r="A481" s="19">
        <v>480</v>
      </c>
      <c r="B481" s="20">
        <v>45024</v>
      </c>
      <c r="C481" s="19" t="s">
        <v>38</v>
      </c>
      <c r="D481" s="19" t="s">
        <v>27</v>
      </c>
      <c r="E481" s="19" t="s">
        <v>20</v>
      </c>
      <c r="F481" s="19" t="s">
        <v>13</v>
      </c>
      <c r="G481" s="19" t="s">
        <v>34</v>
      </c>
      <c r="H481" s="21">
        <v>2127.65</v>
      </c>
      <c r="I481" s="19">
        <v>9</v>
      </c>
      <c r="J481" s="21">
        <v>181.46</v>
      </c>
      <c r="K481" s="19" t="str" cm="1">
        <f t="array" ref="K481">_xlfn.IFS(Table1342[[#This Row],[Sales]]&gt;40000,"Best Sales",Table1342[[#This Row],[Sales]]&gt;20000,"Average Sales",Table1342[[#This Row],[Sales]]&gt;0,"Poor Sales")</f>
        <v>Poor Sales</v>
      </c>
      <c r="L481" s="19">
        <f>YEAR(Table1342[[#This Row],[Date]])</f>
        <v>2023</v>
      </c>
      <c r="M481" s="19">
        <f>MONTH(Table1342[[#This Row],[Date]])</f>
        <v>4</v>
      </c>
      <c r="N481" s="19">
        <f>DAY(Table1342[[#This Row],[Date]])</f>
        <v>8</v>
      </c>
      <c r="O481" s="19"/>
      <c r="P481" s="19" t="str">
        <f>TEXT(DATE(2023,Table1342[[#This Row],[MONTH]],1),"mmm")</f>
        <v>Apr</v>
      </c>
      <c r="Q481" s="19"/>
    </row>
    <row r="482" spans="1:17" x14ac:dyDescent="0.3">
      <c r="A482" s="19">
        <v>481</v>
      </c>
      <c r="B482" s="20">
        <v>44936</v>
      </c>
      <c r="C482" s="19" t="s">
        <v>37</v>
      </c>
      <c r="D482" s="19" t="s">
        <v>27</v>
      </c>
      <c r="E482" s="19" t="s">
        <v>20</v>
      </c>
      <c r="F482" s="19" t="s">
        <v>31</v>
      </c>
      <c r="G482" s="19" t="s">
        <v>33</v>
      </c>
      <c r="H482" s="21">
        <v>45815.93</v>
      </c>
      <c r="I482" s="19">
        <v>8</v>
      </c>
      <c r="J482" s="21">
        <v>2496.91</v>
      </c>
      <c r="K482" s="19" t="str" cm="1">
        <f t="array" ref="K482">_xlfn.IFS(Table1342[[#This Row],[Sales]]&gt;40000,"Best Sales",Table1342[[#This Row],[Sales]]&gt;20000,"Average Sales",Table1342[[#This Row],[Sales]]&gt;0,"Poor Sales")</f>
        <v>Best Sales</v>
      </c>
      <c r="L482" s="19">
        <f>YEAR(Table1342[[#This Row],[Date]])</f>
        <v>2023</v>
      </c>
      <c r="M482" s="19">
        <f>MONTH(Table1342[[#This Row],[Date]])</f>
        <v>1</v>
      </c>
      <c r="N482" s="19">
        <f>DAY(Table1342[[#This Row],[Date]])</f>
        <v>10</v>
      </c>
      <c r="O482" s="19"/>
      <c r="P482" s="19" t="str">
        <f>TEXT(DATE(2023,Table1342[[#This Row],[MONTH]],1),"mmm")</f>
        <v>Jan</v>
      </c>
      <c r="Q482" s="19"/>
    </row>
    <row r="483" spans="1:17" x14ac:dyDescent="0.3">
      <c r="A483" s="19">
        <v>482</v>
      </c>
      <c r="B483" s="20">
        <v>45291</v>
      </c>
      <c r="C483" s="19" t="s">
        <v>22</v>
      </c>
      <c r="D483" s="19" t="s">
        <v>22</v>
      </c>
      <c r="E483" s="19" t="s">
        <v>12</v>
      </c>
      <c r="F483" s="19" t="s">
        <v>13</v>
      </c>
      <c r="G483" s="19" t="s">
        <v>14</v>
      </c>
      <c r="H483" s="21">
        <v>15944.17</v>
      </c>
      <c r="I483" s="19">
        <v>3</v>
      </c>
      <c r="J483" s="21">
        <v>1241.5</v>
      </c>
      <c r="K483" s="19" t="str" cm="1">
        <f t="array" ref="K483">_xlfn.IFS(Table1342[[#This Row],[Sales]]&gt;40000,"Best Sales",Table1342[[#This Row],[Sales]]&gt;20000,"Average Sales",Table1342[[#This Row],[Sales]]&gt;0,"Poor Sales")</f>
        <v>Poor Sales</v>
      </c>
      <c r="L483" s="19">
        <f>YEAR(Table1342[[#This Row],[Date]])</f>
        <v>2023</v>
      </c>
      <c r="M483" s="19">
        <f>MONTH(Table1342[[#This Row],[Date]])</f>
        <v>12</v>
      </c>
      <c r="N483" s="19">
        <f>DAY(Table1342[[#This Row],[Date]])</f>
        <v>31</v>
      </c>
      <c r="O483" s="19"/>
      <c r="P483" s="19" t="str">
        <f>TEXT(DATE(2023,Table1342[[#This Row],[MONTH]],1),"mmm")</f>
        <v>Dec</v>
      </c>
      <c r="Q483" s="19"/>
    </row>
    <row r="484" spans="1:17" x14ac:dyDescent="0.3">
      <c r="A484" s="19">
        <v>483</v>
      </c>
      <c r="B484" s="20">
        <v>45127</v>
      </c>
      <c r="C484" s="19" t="s">
        <v>30</v>
      </c>
      <c r="D484" s="19" t="s">
        <v>16</v>
      </c>
      <c r="E484" s="19" t="s">
        <v>17</v>
      </c>
      <c r="F484" s="19" t="s">
        <v>31</v>
      </c>
      <c r="G484" s="19" t="s">
        <v>39</v>
      </c>
      <c r="H484" s="21">
        <v>13865.4</v>
      </c>
      <c r="I484" s="19">
        <v>7</v>
      </c>
      <c r="J484" s="21">
        <v>1146.8599999999999</v>
      </c>
      <c r="K484" s="19" t="str" cm="1">
        <f t="array" ref="K484">_xlfn.IFS(Table1342[[#This Row],[Sales]]&gt;40000,"Best Sales",Table1342[[#This Row],[Sales]]&gt;20000,"Average Sales",Table1342[[#This Row],[Sales]]&gt;0,"Poor Sales")</f>
        <v>Poor Sales</v>
      </c>
      <c r="L484" s="19">
        <f>YEAR(Table1342[[#This Row],[Date]])</f>
        <v>2023</v>
      </c>
      <c r="M484" s="19">
        <f>MONTH(Table1342[[#This Row],[Date]])</f>
        <v>7</v>
      </c>
      <c r="N484" s="19">
        <f>DAY(Table1342[[#This Row],[Date]])</f>
        <v>20</v>
      </c>
      <c r="O484" s="19"/>
      <c r="P484" s="19" t="str">
        <f>TEXT(DATE(2023,Table1342[[#This Row],[MONTH]],1),"mmm")</f>
        <v>Jul</v>
      </c>
      <c r="Q484" s="19"/>
    </row>
    <row r="485" spans="1:17" x14ac:dyDescent="0.3">
      <c r="A485" s="19">
        <v>484</v>
      </c>
      <c r="B485" s="20">
        <v>45219</v>
      </c>
      <c r="C485" s="19" t="s">
        <v>10</v>
      </c>
      <c r="D485" s="19" t="s">
        <v>11</v>
      </c>
      <c r="E485" s="19" t="s">
        <v>12</v>
      </c>
      <c r="F485" s="19" t="s">
        <v>31</v>
      </c>
      <c r="G485" s="19" t="s">
        <v>33</v>
      </c>
      <c r="H485" s="21">
        <v>49401.07</v>
      </c>
      <c r="I485" s="19">
        <v>7</v>
      </c>
      <c r="J485" s="21">
        <v>13668.97</v>
      </c>
      <c r="K485" s="19" t="str" cm="1">
        <f t="array" ref="K485">_xlfn.IFS(Table1342[[#This Row],[Sales]]&gt;40000,"Best Sales",Table1342[[#This Row],[Sales]]&gt;20000,"Average Sales",Table1342[[#This Row],[Sales]]&gt;0,"Poor Sales")</f>
        <v>Best Sales</v>
      </c>
      <c r="L485" s="19">
        <f>YEAR(Table1342[[#This Row],[Date]])</f>
        <v>2023</v>
      </c>
      <c r="M485" s="19">
        <f>MONTH(Table1342[[#This Row],[Date]])</f>
        <v>10</v>
      </c>
      <c r="N485" s="19">
        <f>DAY(Table1342[[#This Row],[Date]])</f>
        <v>20</v>
      </c>
      <c r="O485" s="19"/>
      <c r="P485" s="19" t="str">
        <f>TEXT(DATE(2023,Table1342[[#This Row],[MONTH]],1),"mmm")</f>
        <v>Oct</v>
      </c>
      <c r="Q485" s="19"/>
    </row>
    <row r="486" spans="1:17" x14ac:dyDescent="0.3">
      <c r="A486" s="19">
        <v>485</v>
      </c>
      <c r="B486" s="20">
        <v>45222</v>
      </c>
      <c r="C486" s="19" t="s">
        <v>38</v>
      </c>
      <c r="D486" s="19" t="s">
        <v>27</v>
      </c>
      <c r="E486" s="19" t="s">
        <v>17</v>
      </c>
      <c r="F486" s="19" t="s">
        <v>24</v>
      </c>
      <c r="G486" s="19" t="s">
        <v>28</v>
      </c>
      <c r="H486" s="21">
        <v>6564.48</v>
      </c>
      <c r="I486" s="19">
        <v>1</v>
      </c>
      <c r="J486" s="21">
        <v>522.54999999999995</v>
      </c>
      <c r="K486" s="19" t="str" cm="1">
        <f t="array" ref="K486">_xlfn.IFS(Table1342[[#This Row],[Sales]]&gt;40000,"Best Sales",Table1342[[#This Row],[Sales]]&gt;20000,"Average Sales",Table1342[[#This Row],[Sales]]&gt;0,"Poor Sales")</f>
        <v>Poor Sales</v>
      </c>
      <c r="L486" s="19">
        <f>YEAR(Table1342[[#This Row],[Date]])</f>
        <v>2023</v>
      </c>
      <c r="M486" s="19">
        <f>MONTH(Table1342[[#This Row],[Date]])</f>
        <v>10</v>
      </c>
      <c r="N486" s="19">
        <f>DAY(Table1342[[#This Row],[Date]])</f>
        <v>23</v>
      </c>
      <c r="O486" s="19"/>
      <c r="P486" s="19" t="str">
        <f>TEXT(DATE(2023,Table1342[[#This Row],[MONTH]],1),"mmm")</f>
        <v>Oct</v>
      </c>
      <c r="Q486" s="19"/>
    </row>
    <row r="487" spans="1:17" x14ac:dyDescent="0.3">
      <c r="A487" s="19">
        <v>486</v>
      </c>
      <c r="B487" s="20">
        <v>45109</v>
      </c>
      <c r="C487" s="19" t="s">
        <v>37</v>
      </c>
      <c r="D487" s="19" t="s">
        <v>27</v>
      </c>
      <c r="E487" s="19" t="s">
        <v>20</v>
      </c>
      <c r="F487" s="19" t="s">
        <v>13</v>
      </c>
      <c r="G487" s="19" t="s">
        <v>14</v>
      </c>
      <c r="H487" s="21">
        <v>5283.9</v>
      </c>
      <c r="I487" s="19">
        <v>9</v>
      </c>
      <c r="J487" s="21">
        <v>1226.3399999999999</v>
      </c>
      <c r="K487" s="19" t="str" cm="1">
        <f t="array" ref="K487">_xlfn.IFS(Table1342[[#This Row],[Sales]]&gt;40000,"Best Sales",Table1342[[#This Row],[Sales]]&gt;20000,"Average Sales",Table1342[[#This Row],[Sales]]&gt;0,"Poor Sales")</f>
        <v>Poor Sales</v>
      </c>
      <c r="L487" s="19">
        <f>YEAR(Table1342[[#This Row],[Date]])</f>
        <v>2023</v>
      </c>
      <c r="M487" s="19">
        <f>MONTH(Table1342[[#This Row],[Date]])</f>
        <v>7</v>
      </c>
      <c r="N487" s="19">
        <f>DAY(Table1342[[#This Row],[Date]])</f>
        <v>2</v>
      </c>
      <c r="O487" s="19"/>
      <c r="P487" s="19" t="str">
        <f>TEXT(DATE(2023,Table1342[[#This Row],[MONTH]],1),"mmm")</f>
        <v>Jul</v>
      </c>
      <c r="Q487" s="19"/>
    </row>
    <row r="488" spans="1:17" x14ac:dyDescent="0.3">
      <c r="A488" s="19">
        <v>487</v>
      </c>
      <c r="B488" s="20">
        <v>45011</v>
      </c>
      <c r="C488" s="19" t="s">
        <v>15</v>
      </c>
      <c r="D488" s="19" t="s">
        <v>16</v>
      </c>
      <c r="E488" s="19" t="s">
        <v>20</v>
      </c>
      <c r="F488" s="19" t="s">
        <v>24</v>
      </c>
      <c r="G488" s="19" t="s">
        <v>29</v>
      </c>
      <c r="H488" s="21">
        <v>36607.199999999997</v>
      </c>
      <c r="I488" s="19">
        <v>7</v>
      </c>
      <c r="J488" s="21">
        <v>3454.39</v>
      </c>
      <c r="K488" s="19" t="str" cm="1">
        <f t="array" ref="K488">_xlfn.IFS(Table1342[[#This Row],[Sales]]&gt;40000,"Best Sales",Table1342[[#This Row],[Sales]]&gt;20000,"Average Sales",Table1342[[#This Row],[Sales]]&gt;0,"Poor Sales")</f>
        <v>Average Sales</v>
      </c>
      <c r="L488" s="19">
        <f>YEAR(Table1342[[#This Row],[Date]])</f>
        <v>2023</v>
      </c>
      <c r="M488" s="19">
        <f>MONTH(Table1342[[#This Row],[Date]])</f>
        <v>3</v>
      </c>
      <c r="N488" s="19">
        <f>DAY(Table1342[[#This Row],[Date]])</f>
        <v>26</v>
      </c>
      <c r="O488" s="19"/>
      <c r="P488" s="19" t="str">
        <f>TEXT(DATE(2023,Table1342[[#This Row],[MONTH]],1),"mmm")</f>
        <v>Mar</v>
      </c>
      <c r="Q488" s="19"/>
    </row>
    <row r="489" spans="1:17" x14ac:dyDescent="0.3">
      <c r="A489" s="19">
        <v>488</v>
      </c>
      <c r="B489" s="20">
        <v>44986</v>
      </c>
      <c r="C489" s="19" t="s">
        <v>37</v>
      </c>
      <c r="D489" s="19" t="s">
        <v>27</v>
      </c>
      <c r="E489" s="19" t="s">
        <v>12</v>
      </c>
      <c r="F489" s="19" t="s">
        <v>24</v>
      </c>
      <c r="G489" s="19" t="s">
        <v>28</v>
      </c>
      <c r="H489" s="21">
        <v>17654.32</v>
      </c>
      <c r="I489" s="19">
        <v>9</v>
      </c>
      <c r="J489" s="21">
        <v>1231.93</v>
      </c>
      <c r="K489" s="19" t="str" cm="1">
        <f t="array" ref="K489">_xlfn.IFS(Table1342[[#This Row],[Sales]]&gt;40000,"Best Sales",Table1342[[#This Row],[Sales]]&gt;20000,"Average Sales",Table1342[[#This Row],[Sales]]&gt;0,"Poor Sales")</f>
        <v>Poor Sales</v>
      </c>
      <c r="L489" s="19">
        <f>YEAR(Table1342[[#This Row],[Date]])</f>
        <v>2023</v>
      </c>
      <c r="M489" s="19">
        <f>MONTH(Table1342[[#This Row],[Date]])</f>
        <v>3</v>
      </c>
      <c r="N489" s="19">
        <f>DAY(Table1342[[#This Row],[Date]])</f>
        <v>1</v>
      </c>
      <c r="O489" s="19"/>
      <c r="P489" s="19" t="str">
        <f>TEXT(DATE(2023,Table1342[[#This Row],[MONTH]],1),"mmm")</f>
        <v>Mar</v>
      </c>
      <c r="Q489" s="19"/>
    </row>
    <row r="490" spans="1:17" x14ac:dyDescent="0.3">
      <c r="A490" s="19">
        <v>489</v>
      </c>
      <c r="B490" s="20">
        <v>45143</v>
      </c>
      <c r="C490" s="19" t="s">
        <v>26</v>
      </c>
      <c r="D490" s="19" t="s">
        <v>27</v>
      </c>
      <c r="E490" s="19" t="s">
        <v>17</v>
      </c>
      <c r="F490" s="19" t="s">
        <v>31</v>
      </c>
      <c r="G490" s="19" t="s">
        <v>39</v>
      </c>
      <c r="H490" s="21">
        <v>9433.0400000000009</v>
      </c>
      <c r="I490" s="19">
        <v>8</v>
      </c>
      <c r="J490" s="21">
        <v>2046</v>
      </c>
      <c r="K490" s="19" t="str" cm="1">
        <f t="array" ref="K490">_xlfn.IFS(Table1342[[#This Row],[Sales]]&gt;40000,"Best Sales",Table1342[[#This Row],[Sales]]&gt;20000,"Average Sales",Table1342[[#This Row],[Sales]]&gt;0,"Poor Sales")</f>
        <v>Poor Sales</v>
      </c>
      <c r="L490" s="19">
        <f>YEAR(Table1342[[#This Row],[Date]])</f>
        <v>2023</v>
      </c>
      <c r="M490" s="19">
        <f>MONTH(Table1342[[#This Row],[Date]])</f>
        <v>8</v>
      </c>
      <c r="N490" s="19">
        <f>DAY(Table1342[[#This Row],[Date]])</f>
        <v>5</v>
      </c>
      <c r="O490" s="19"/>
      <c r="P490" s="19" t="str">
        <f>TEXT(DATE(2023,Table1342[[#This Row],[MONTH]],1),"mmm")</f>
        <v>Aug</v>
      </c>
      <c r="Q490" s="19"/>
    </row>
    <row r="491" spans="1:17" x14ac:dyDescent="0.3">
      <c r="A491" s="19">
        <v>490</v>
      </c>
      <c r="B491" s="20">
        <v>45217</v>
      </c>
      <c r="C491" s="19" t="s">
        <v>37</v>
      </c>
      <c r="D491" s="19" t="s">
        <v>27</v>
      </c>
      <c r="E491" s="19" t="s">
        <v>12</v>
      </c>
      <c r="F491" s="19" t="s">
        <v>24</v>
      </c>
      <c r="G491" s="19" t="s">
        <v>28</v>
      </c>
      <c r="H491" s="21">
        <v>2839.73</v>
      </c>
      <c r="I491" s="19">
        <v>9</v>
      </c>
      <c r="J491" s="21">
        <v>780.48</v>
      </c>
      <c r="K491" s="19" t="str" cm="1">
        <f t="array" ref="K491">_xlfn.IFS(Table1342[[#This Row],[Sales]]&gt;40000,"Best Sales",Table1342[[#This Row],[Sales]]&gt;20000,"Average Sales",Table1342[[#This Row],[Sales]]&gt;0,"Poor Sales")</f>
        <v>Poor Sales</v>
      </c>
      <c r="L491" s="19">
        <f>YEAR(Table1342[[#This Row],[Date]])</f>
        <v>2023</v>
      </c>
      <c r="M491" s="19">
        <f>MONTH(Table1342[[#This Row],[Date]])</f>
        <v>10</v>
      </c>
      <c r="N491" s="19">
        <f>DAY(Table1342[[#This Row],[Date]])</f>
        <v>18</v>
      </c>
      <c r="O491" s="19"/>
      <c r="P491" s="19" t="str">
        <f>TEXT(DATE(2023,Table1342[[#This Row],[MONTH]],1),"mmm")</f>
        <v>Oct</v>
      </c>
      <c r="Q491" s="19"/>
    </row>
    <row r="492" spans="1:17" x14ac:dyDescent="0.3">
      <c r="A492" s="19">
        <v>491</v>
      </c>
      <c r="B492" s="20">
        <v>45187</v>
      </c>
      <c r="C492" s="19" t="s">
        <v>26</v>
      </c>
      <c r="D492" s="19" t="s">
        <v>27</v>
      </c>
      <c r="E492" s="19" t="s">
        <v>17</v>
      </c>
      <c r="F492" s="19" t="s">
        <v>31</v>
      </c>
      <c r="G492" s="19" t="s">
        <v>39</v>
      </c>
      <c r="H492" s="21">
        <v>37729.72</v>
      </c>
      <c r="I492" s="19">
        <v>8</v>
      </c>
      <c r="J492" s="21">
        <v>7417.54</v>
      </c>
      <c r="K492" s="19" t="str" cm="1">
        <f t="array" ref="K492">_xlfn.IFS(Table1342[[#This Row],[Sales]]&gt;40000,"Best Sales",Table1342[[#This Row],[Sales]]&gt;20000,"Average Sales",Table1342[[#This Row],[Sales]]&gt;0,"Poor Sales")</f>
        <v>Average Sales</v>
      </c>
      <c r="L492" s="19">
        <f>YEAR(Table1342[[#This Row],[Date]])</f>
        <v>2023</v>
      </c>
      <c r="M492" s="19">
        <f>MONTH(Table1342[[#This Row],[Date]])</f>
        <v>9</v>
      </c>
      <c r="N492" s="19">
        <f>DAY(Table1342[[#This Row],[Date]])</f>
        <v>18</v>
      </c>
      <c r="O492" s="19"/>
      <c r="P492" s="19" t="str">
        <f>TEXT(DATE(2023,Table1342[[#This Row],[MONTH]],1),"mmm")</f>
        <v>Sep</v>
      </c>
      <c r="Q492" s="19"/>
    </row>
    <row r="493" spans="1:17" x14ac:dyDescent="0.3">
      <c r="A493" s="19">
        <v>492</v>
      </c>
      <c r="B493" s="20">
        <v>45082</v>
      </c>
      <c r="C493" s="19" t="s">
        <v>35</v>
      </c>
      <c r="D493" s="19" t="s">
        <v>36</v>
      </c>
      <c r="E493" s="19" t="s">
        <v>20</v>
      </c>
      <c r="F493" s="19" t="s">
        <v>13</v>
      </c>
      <c r="G493" s="19" t="s">
        <v>14</v>
      </c>
      <c r="H493" s="21">
        <v>42195.65</v>
      </c>
      <c r="I493" s="19">
        <v>8</v>
      </c>
      <c r="J493" s="21">
        <v>7879.74</v>
      </c>
      <c r="K493" s="19" t="str" cm="1">
        <f t="array" ref="K493">_xlfn.IFS(Table1342[[#This Row],[Sales]]&gt;40000,"Best Sales",Table1342[[#This Row],[Sales]]&gt;20000,"Average Sales",Table1342[[#This Row],[Sales]]&gt;0,"Poor Sales")</f>
        <v>Best Sales</v>
      </c>
      <c r="L493" s="19">
        <f>YEAR(Table1342[[#This Row],[Date]])</f>
        <v>2023</v>
      </c>
      <c r="M493" s="19">
        <f>MONTH(Table1342[[#This Row],[Date]])</f>
        <v>6</v>
      </c>
      <c r="N493" s="19">
        <f>DAY(Table1342[[#This Row],[Date]])</f>
        <v>5</v>
      </c>
      <c r="O493" s="19"/>
      <c r="P493" s="19" t="str">
        <f>TEXT(DATE(2023,Table1342[[#This Row],[MONTH]],1),"mmm")</f>
        <v>Jun</v>
      </c>
      <c r="Q493" s="19"/>
    </row>
    <row r="494" spans="1:17" x14ac:dyDescent="0.3">
      <c r="A494" s="19">
        <v>493</v>
      </c>
      <c r="B494" s="20">
        <v>45163</v>
      </c>
      <c r="C494" s="19" t="s">
        <v>18</v>
      </c>
      <c r="D494" s="19" t="s">
        <v>19</v>
      </c>
      <c r="E494" s="19" t="s">
        <v>20</v>
      </c>
      <c r="F494" s="19" t="s">
        <v>24</v>
      </c>
      <c r="G494" s="19" t="s">
        <v>28</v>
      </c>
      <c r="H494" s="21">
        <v>43878.42</v>
      </c>
      <c r="I494" s="19">
        <v>7</v>
      </c>
      <c r="J494" s="21">
        <v>6784.49</v>
      </c>
      <c r="K494" s="19" t="str" cm="1">
        <f t="array" ref="K494">_xlfn.IFS(Table1342[[#This Row],[Sales]]&gt;40000,"Best Sales",Table1342[[#This Row],[Sales]]&gt;20000,"Average Sales",Table1342[[#This Row],[Sales]]&gt;0,"Poor Sales")</f>
        <v>Best Sales</v>
      </c>
      <c r="L494" s="19">
        <f>YEAR(Table1342[[#This Row],[Date]])</f>
        <v>2023</v>
      </c>
      <c r="M494" s="19">
        <f>MONTH(Table1342[[#This Row],[Date]])</f>
        <v>8</v>
      </c>
      <c r="N494" s="19">
        <f>DAY(Table1342[[#This Row],[Date]])</f>
        <v>25</v>
      </c>
      <c r="O494" s="19"/>
      <c r="P494" s="19" t="str">
        <f>TEXT(DATE(2023,Table1342[[#This Row],[MONTH]],1),"mmm")</f>
        <v>Aug</v>
      </c>
      <c r="Q494" s="19"/>
    </row>
    <row r="495" spans="1:17" x14ac:dyDescent="0.3">
      <c r="A495" s="19">
        <v>494</v>
      </c>
      <c r="B495" s="20">
        <v>45203</v>
      </c>
      <c r="C495" s="19" t="s">
        <v>22</v>
      </c>
      <c r="D495" s="19" t="s">
        <v>22</v>
      </c>
      <c r="E495" s="19" t="s">
        <v>12</v>
      </c>
      <c r="F495" s="19" t="s">
        <v>24</v>
      </c>
      <c r="G495" s="19" t="s">
        <v>29</v>
      </c>
      <c r="H495" s="21">
        <v>38660.239999999998</v>
      </c>
      <c r="I495" s="19">
        <v>10</v>
      </c>
      <c r="J495" s="21">
        <v>4376.5</v>
      </c>
      <c r="K495" s="19" t="str" cm="1">
        <f t="array" ref="K495">_xlfn.IFS(Table1342[[#This Row],[Sales]]&gt;40000,"Best Sales",Table1342[[#This Row],[Sales]]&gt;20000,"Average Sales",Table1342[[#This Row],[Sales]]&gt;0,"Poor Sales")</f>
        <v>Average Sales</v>
      </c>
      <c r="L495" s="19">
        <f>YEAR(Table1342[[#This Row],[Date]])</f>
        <v>2023</v>
      </c>
      <c r="M495" s="19">
        <f>MONTH(Table1342[[#This Row],[Date]])</f>
        <v>10</v>
      </c>
      <c r="N495" s="19">
        <f>DAY(Table1342[[#This Row],[Date]])</f>
        <v>4</v>
      </c>
      <c r="O495" s="19"/>
      <c r="P495" s="19" t="str">
        <f>TEXT(DATE(2023,Table1342[[#This Row],[MONTH]],1),"mmm")</f>
        <v>Oct</v>
      </c>
      <c r="Q495" s="19"/>
    </row>
    <row r="496" spans="1:17" x14ac:dyDescent="0.3">
      <c r="A496" s="19">
        <v>495</v>
      </c>
      <c r="B496" s="20">
        <v>45086</v>
      </c>
      <c r="C496" s="19" t="s">
        <v>38</v>
      </c>
      <c r="D496" s="19" t="s">
        <v>27</v>
      </c>
      <c r="E496" s="19" t="s">
        <v>17</v>
      </c>
      <c r="F496" s="19" t="s">
        <v>31</v>
      </c>
      <c r="G496" s="19" t="s">
        <v>32</v>
      </c>
      <c r="H496" s="21">
        <v>21116.26</v>
      </c>
      <c r="I496" s="19">
        <v>4</v>
      </c>
      <c r="J496" s="21">
        <v>5256.29</v>
      </c>
      <c r="K496" s="19" t="str" cm="1">
        <f t="array" ref="K496">_xlfn.IFS(Table1342[[#This Row],[Sales]]&gt;40000,"Best Sales",Table1342[[#This Row],[Sales]]&gt;20000,"Average Sales",Table1342[[#This Row],[Sales]]&gt;0,"Poor Sales")</f>
        <v>Average Sales</v>
      </c>
      <c r="L496" s="19">
        <f>YEAR(Table1342[[#This Row],[Date]])</f>
        <v>2023</v>
      </c>
      <c r="M496" s="19">
        <f>MONTH(Table1342[[#This Row],[Date]])</f>
        <v>6</v>
      </c>
      <c r="N496" s="19">
        <f>DAY(Table1342[[#This Row],[Date]])</f>
        <v>9</v>
      </c>
      <c r="O496" s="19"/>
      <c r="P496" s="19" t="str">
        <f>TEXT(DATE(2023,Table1342[[#This Row],[MONTH]],1),"mmm")</f>
        <v>Jun</v>
      </c>
      <c r="Q496" s="19"/>
    </row>
    <row r="497" spans="1:17" x14ac:dyDescent="0.3">
      <c r="A497" s="19">
        <v>496</v>
      </c>
      <c r="B497" s="20">
        <v>45079</v>
      </c>
      <c r="C497" s="19" t="s">
        <v>38</v>
      </c>
      <c r="D497" s="19" t="s">
        <v>27</v>
      </c>
      <c r="E497" s="19" t="s">
        <v>12</v>
      </c>
      <c r="F497" s="19" t="s">
        <v>24</v>
      </c>
      <c r="G497" s="19" t="s">
        <v>29</v>
      </c>
      <c r="H497" s="21">
        <v>4757.99</v>
      </c>
      <c r="I497" s="19">
        <v>10</v>
      </c>
      <c r="J497" s="21">
        <v>1164.3900000000001</v>
      </c>
      <c r="K497" s="19" t="str" cm="1">
        <f t="array" ref="K497">_xlfn.IFS(Table1342[[#This Row],[Sales]]&gt;40000,"Best Sales",Table1342[[#This Row],[Sales]]&gt;20000,"Average Sales",Table1342[[#This Row],[Sales]]&gt;0,"Poor Sales")</f>
        <v>Poor Sales</v>
      </c>
      <c r="L497" s="19">
        <f>YEAR(Table1342[[#This Row],[Date]])</f>
        <v>2023</v>
      </c>
      <c r="M497" s="19">
        <f>MONTH(Table1342[[#This Row],[Date]])</f>
        <v>6</v>
      </c>
      <c r="N497" s="19">
        <f>DAY(Table1342[[#This Row],[Date]])</f>
        <v>2</v>
      </c>
      <c r="O497" s="19"/>
      <c r="P497" s="19" t="str">
        <f>TEXT(DATE(2023,Table1342[[#This Row],[MONTH]],1),"mmm")</f>
        <v>Jun</v>
      </c>
      <c r="Q497" s="19"/>
    </row>
    <row r="498" spans="1:17" x14ac:dyDescent="0.3">
      <c r="A498" s="19">
        <v>497</v>
      </c>
      <c r="B498" s="20">
        <v>45195</v>
      </c>
      <c r="C498" s="19" t="s">
        <v>30</v>
      </c>
      <c r="D498" s="19" t="s">
        <v>16</v>
      </c>
      <c r="E498" s="19" t="s">
        <v>17</v>
      </c>
      <c r="F498" s="19" t="s">
        <v>31</v>
      </c>
      <c r="G498" s="19" t="s">
        <v>33</v>
      </c>
      <c r="H498" s="21">
        <v>8870.2800000000007</v>
      </c>
      <c r="I498" s="19">
        <v>2</v>
      </c>
      <c r="J498" s="21">
        <v>1105.6300000000001</v>
      </c>
      <c r="K498" s="19" t="str" cm="1">
        <f t="array" ref="K498">_xlfn.IFS(Table1342[[#This Row],[Sales]]&gt;40000,"Best Sales",Table1342[[#This Row],[Sales]]&gt;20000,"Average Sales",Table1342[[#This Row],[Sales]]&gt;0,"Poor Sales")</f>
        <v>Poor Sales</v>
      </c>
      <c r="L498" s="19">
        <f>YEAR(Table1342[[#This Row],[Date]])</f>
        <v>2023</v>
      </c>
      <c r="M498" s="19">
        <f>MONTH(Table1342[[#This Row],[Date]])</f>
        <v>9</v>
      </c>
      <c r="N498" s="19">
        <f>DAY(Table1342[[#This Row],[Date]])</f>
        <v>26</v>
      </c>
      <c r="O498" s="19"/>
      <c r="P498" s="19" t="str">
        <f>TEXT(DATE(2023,Table1342[[#This Row],[MONTH]],1),"mmm")</f>
        <v>Sep</v>
      </c>
      <c r="Q498" s="19"/>
    </row>
    <row r="499" spans="1:17" x14ac:dyDescent="0.3">
      <c r="A499" s="19">
        <v>498</v>
      </c>
      <c r="B499" s="20">
        <v>45252</v>
      </c>
      <c r="C499" s="19" t="s">
        <v>30</v>
      </c>
      <c r="D499" s="19" t="s">
        <v>16</v>
      </c>
      <c r="E499" s="19" t="s">
        <v>20</v>
      </c>
      <c r="F499" s="19" t="s">
        <v>31</v>
      </c>
      <c r="G499" s="19" t="s">
        <v>33</v>
      </c>
      <c r="H499" s="21">
        <v>46482.94</v>
      </c>
      <c r="I499" s="19">
        <v>10</v>
      </c>
      <c r="J499" s="21">
        <v>7712.88</v>
      </c>
      <c r="K499" s="19" t="str" cm="1">
        <f t="array" ref="K499">_xlfn.IFS(Table1342[[#This Row],[Sales]]&gt;40000,"Best Sales",Table1342[[#This Row],[Sales]]&gt;20000,"Average Sales",Table1342[[#This Row],[Sales]]&gt;0,"Poor Sales")</f>
        <v>Best Sales</v>
      </c>
      <c r="L499" s="19">
        <f>YEAR(Table1342[[#This Row],[Date]])</f>
        <v>2023</v>
      </c>
      <c r="M499" s="19">
        <f>MONTH(Table1342[[#This Row],[Date]])</f>
        <v>11</v>
      </c>
      <c r="N499" s="19">
        <f>DAY(Table1342[[#This Row],[Date]])</f>
        <v>22</v>
      </c>
      <c r="O499" s="19"/>
      <c r="P499" s="19" t="str">
        <f>TEXT(DATE(2023,Table1342[[#This Row],[MONTH]],1),"mmm")</f>
        <v>Nov</v>
      </c>
      <c r="Q499" s="19"/>
    </row>
    <row r="500" spans="1:17" x14ac:dyDescent="0.3">
      <c r="A500" s="19">
        <v>499</v>
      </c>
      <c r="B500" s="20">
        <v>45042</v>
      </c>
      <c r="C500" s="19" t="s">
        <v>30</v>
      </c>
      <c r="D500" s="19" t="s">
        <v>16</v>
      </c>
      <c r="E500" s="19" t="s">
        <v>20</v>
      </c>
      <c r="F500" s="19" t="s">
        <v>13</v>
      </c>
      <c r="G500" s="19" t="s">
        <v>14</v>
      </c>
      <c r="H500" s="21">
        <v>43505.83</v>
      </c>
      <c r="I500" s="19">
        <v>7</v>
      </c>
      <c r="J500" s="21">
        <v>7809.91</v>
      </c>
      <c r="K500" s="19" t="str" cm="1">
        <f t="array" ref="K500">_xlfn.IFS(Table1342[[#This Row],[Sales]]&gt;40000,"Best Sales",Table1342[[#This Row],[Sales]]&gt;20000,"Average Sales",Table1342[[#This Row],[Sales]]&gt;0,"Poor Sales")</f>
        <v>Best Sales</v>
      </c>
      <c r="L500" s="19">
        <f>YEAR(Table1342[[#This Row],[Date]])</f>
        <v>2023</v>
      </c>
      <c r="M500" s="19">
        <f>MONTH(Table1342[[#This Row],[Date]])</f>
        <v>4</v>
      </c>
      <c r="N500" s="19">
        <f>DAY(Table1342[[#This Row],[Date]])</f>
        <v>26</v>
      </c>
      <c r="O500" s="19"/>
      <c r="P500" s="19" t="str">
        <f>TEXT(DATE(2023,Table1342[[#This Row],[MONTH]],1),"mmm")</f>
        <v>Apr</v>
      </c>
      <c r="Q500" s="19"/>
    </row>
    <row r="501" spans="1:17" x14ac:dyDescent="0.3">
      <c r="A501" s="19">
        <v>500</v>
      </c>
      <c r="B501" s="20">
        <v>45224</v>
      </c>
      <c r="C501" s="19" t="s">
        <v>15</v>
      </c>
      <c r="D501" s="19" t="s">
        <v>16</v>
      </c>
      <c r="E501" s="19" t="s">
        <v>12</v>
      </c>
      <c r="F501" s="19" t="s">
        <v>31</v>
      </c>
      <c r="G501" s="19" t="s">
        <v>32</v>
      </c>
      <c r="H501" s="21">
        <v>33463.57</v>
      </c>
      <c r="I501" s="19">
        <v>6</v>
      </c>
      <c r="J501" s="21">
        <v>6469.01</v>
      </c>
      <c r="K501" s="19" t="str" cm="1">
        <f t="array" ref="K501">_xlfn.IFS(Table1342[[#This Row],[Sales]]&gt;40000,"Best Sales",Table1342[[#This Row],[Sales]]&gt;20000,"Average Sales",Table1342[[#This Row],[Sales]]&gt;0,"Poor Sales")</f>
        <v>Average Sales</v>
      </c>
      <c r="L501" s="19">
        <f>YEAR(Table1342[[#This Row],[Date]])</f>
        <v>2023</v>
      </c>
      <c r="M501" s="19">
        <f>MONTH(Table1342[[#This Row],[Date]])</f>
        <v>10</v>
      </c>
      <c r="N501" s="19">
        <f>DAY(Table1342[[#This Row],[Date]])</f>
        <v>25</v>
      </c>
      <c r="O501" s="19"/>
      <c r="P501" s="19" t="str">
        <f>TEXT(DATE(2023,Table1342[[#This Row],[MONTH]],1),"mmm")</f>
        <v>Oct</v>
      </c>
      <c r="Q501" s="19"/>
    </row>
  </sheetData>
  <mergeCells count="9">
    <mergeCell ref="R11:V11"/>
    <mergeCell ref="AF8:AJ14"/>
    <mergeCell ref="AF16:AJ22"/>
    <mergeCell ref="R6:V6"/>
    <mergeCell ref="R7:V7"/>
    <mergeCell ref="R8:V8"/>
    <mergeCell ref="R9:V9"/>
    <mergeCell ref="R10:V10"/>
    <mergeCell ref="R14:AA14"/>
  </mergeCell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CAD2B6A6-952B-4E77-A2ED-6014C853BD9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'ADD COLUMN + SPARKLINES'!H2:H3</xm:f>
              <xm:sqref>Q2</xm:sqref>
            </x14:sparkline>
            <x14:sparkline>
              <xm:f>'ADD COLUMN + SPARKLINES'!H3:H4</xm:f>
              <xm:sqref>Q3</xm:sqref>
            </x14:sparkline>
            <x14:sparkline>
              <xm:f>'ADD COLUMN + SPARKLINES'!H4:H5</xm:f>
              <xm:sqref>Q4</xm:sqref>
            </x14:sparkline>
            <x14:sparkline>
              <xm:f>'ADD COLUMN + SPARKLINES'!H5:H6</xm:f>
              <xm:sqref>Q5</xm:sqref>
            </x14:sparkline>
            <x14:sparkline>
              <xm:f>'ADD COLUMN + SPARKLINES'!H6:H7</xm:f>
              <xm:sqref>Q6</xm:sqref>
            </x14:sparkline>
            <x14:sparkline>
              <xm:f>'ADD COLUMN + SPARKLINES'!H7:H8</xm:f>
              <xm:sqref>Q7</xm:sqref>
            </x14:sparkline>
            <x14:sparkline>
              <xm:f>'ADD COLUMN + SPARKLINES'!H8:H9</xm:f>
              <xm:sqref>Q8</xm:sqref>
            </x14:sparkline>
            <x14:sparkline>
              <xm:f>'ADD COLUMN + SPARKLINES'!H9:H10</xm:f>
              <xm:sqref>Q9</xm:sqref>
            </x14:sparkline>
            <x14:sparkline>
              <xm:f>'ADD COLUMN + SPARKLINES'!H10:H11</xm:f>
              <xm:sqref>Q10</xm:sqref>
            </x14:sparkline>
            <x14:sparkline>
              <xm:f>'ADD COLUMN + SPARKLINES'!H11:H12</xm:f>
              <xm:sqref>Q11</xm:sqref>
            </x14:sparkline>
            <x14:sparkline>
              <xm:f>'ADD COLUMN + SPARKLINES'!H12:H13</xm:f>
              <xm:sqref>Q12</xm:sqref>
            </x14:sparkline>
            <x14:sparkline>
              <xm:f>'ADD COLUMN + SPARKLINES'!H13:H14</xm:f>
              <xm:sqref>Q13</xm:sqref>
            </x14:sparkline>
            <x14:sparkline>
              <xm:f>'ADD COLUMN + SPARKLINES'!H14:H15</xm:f>
              <xm:sqref>Q14</xm:sqref>
            </x14:sparkline>
            <x14:sparkline>
              <xm:f>'ADD COLUMN + SPARKLINES'!H15:H16</xm:f>
              <xm:sqref>Q15</xm:sqref>
            </x14:sparkline>
            <x14:sparkline>
              <xm:f>'ADD COLUMN + SPARKLINES'!H16:H17</xm:f>
              <xm:sqref>Q16</xm:sqref>
            </x14:sparkline>
            <x14:sparkline>
              <xm:f>'ADD COLUMN + SPARKLINES'!H17:H18</xm:f>
              <xm:sqref>Q17</xm:sqref>
            </x14:sparkline>
            <x14:sparkline>
              <xm:f>'ADD COLUMN + SPARKLINES'!H18:H19</xm:f>
              <xm:sqref>Q18</xm:sqref>
            </x14:sparkline>
            <x14:sparkline>
              <xm:f>'ADD COLUMN + SPARKLINES'!H19:H20</xm:f>
              <xm:sqref>Q19</xm:sqref>
            </x14:sparkline>
            <x14:sparkline>
              <xm:f>'ADD COLUMN + SPARKLINES'!H20:H21</xm:f>
              <xm:sqref>Q20</xm:sqref>
            </x14:sparkline>
            <x14:sparkline>
              <xm:f>'ADD COLUMN + SPARKLINES'!H21:H22</xm:f>
              <xm:sqref>Q21</xm:sqref>
            </x14:sparkline>
            <x14:sparkline>
              <xm:f>'ADD COLUMN + SPARKLINES'!H22:H23</xm:f>
              <xm:sqref>Q22</xm:sqref>
            </x14:sparkline>
            <x14:sparkline>
              <xm:f>'ADD COLUMN + SPARKLINES'!H23:H24</xm:f>
              <xm:sqref>Q23</xm:sqref>
            </x14:sparkline>
            <x14:sparkline>
              <xm:f>'ADD COLUMN + SPARKLINES'!H24:H25</xm:f>
              <xm:sqref>Q24</xm:sqref>
            </x14:sparkline>
            <x14:sparkline>
              <xm:f>'ADD COLUMN + SPARKLINES'!H25:H26</xm:f>
              <xm:sqref>Q25</xm:sqref>
            </x14:sparkline>
            <x14:sparkline>
              <xm:f>'ADD COLUMN + SPARKLINES'!H26:H27</xm:f>
              <xm:sqref>Q26</xm:sqref>
            </x14:sparkline>
            <x14:sparkline>
              <xm:f>'ADD COLUMN + SPARKLINES'!H27:H28</xm:f>
              <xm:sqref>Q27</xm:sqref>
            </x14:sparkline>
            <x14:sparkline>
              <xm:f>'ADD COLUMN + SPARKLINES'!H28:H29</xm:f>
              <xm:sqref>Q28</xm:sqref>
            </x14:sparkline>
            <x14:sparkline>
              <xm:f>'ADD COLUMN + SPARKLINES'!H29:H30</xm:f>
              <xm:sqref>Q29</xm:sqref>
            </x14:sparkline>
            <x14:sparkline>
              <xm:f>'ADD COLUMN + SPARKLINES'!H30:H31</xm:f>
              <xm:sqref>Q30</xm:sqref>
            </x14:sparkline>
            <x14:sparkline>
              <xm:f>'ADD COLUMN + SPARKLINES'!H31:H32</xm:f>
              <xm:sqref>Q31</xm:sqref>
            </x14:sparkline>
            <x14:sparkline>
              <xm:f>'ADD COLUMN + SPARKLINES'!H32:H33</xm:f>
              <xm:sqref>Q32</xm:sqref>
            </x14:sparkline>
            <x14:sparkline>
              <xm:f>'ADD COLUMN + SPARKLINES'!H33:H34</xm:f>
              <xm:sqref>Q33</xm:sqref>
            </x14:sparkline>
            <x14:sparkline>
              <xm:f>'ADD COLUMN + SPARKLINES'!H34:H35</xm:f>
              <xm:sqref>Q34</xm:sqref>
            </x14:sparkline>
            <x14:sparkline>
              <xm:f>'ADD COLUMN + SPARKLINES'!H35:H36</xm:f>
              <xm:sqref>Q35</xm:sqref>
            </x14:sparkline>
            <x14:sparkline>
              <xm:f>'ADD COLUMN + SPARKLINES'!H36:H37</xm:f>
              <xm:sqref>Q36</xm:sqref>
            </x14:sparkline>
            <x14:sparkline>
              <xm:f>'ADD COLUMN + SPARKLINES'!H37:H38</xm:f>
              <xm:sqref>Q37</xm:sqref>
            </x14:sparkline>
            <x14:sparkline>
              <xm:f>'ADD COLUMN + SPARKLINES'!H38:H39</xm:f>
              <xm:sqref>Q38</xm:sqref>
            </x14:sparkline>
            <x14:sparkline>
              <xm:f>'ADD COLUMN + SPARKLINES'!H39:H40</xm:f>
              <xm:sqref>Q39</xm:sqref>
            </x14:sparkline>
            <x14:sparkline>
              <xm:f>'ADD COLUMN + SPARKLINES'!H40:H41</xm:f>
              <xm:sqref>Q40</xm:sqref>
            </x14:sparkline>
            <x14:sparkline>
              <xm:f>'ADD COLUMN + SPARKLINES'!H41:H42</xm:f>
              <xm:sqref>Q41</xm:sqref>
            </x14:sparkline>
            <x14:sparkline>
              <xm:f>'ADD COLUMN + SPARKLINES'!H42:H43</xm:f>
              <xm:sqref>Q42</xm:sqref>
            </x14:sparkline>
            <x14:sparkline>
              <xm:f>'ADD COLUMN + SPARKLINES'!H43:H44</xm:f>
              <xm:sqref>Q43</xm:sqref>
            </x14:sparkline>
            <x14:sparkline>
              <xm:f>'ADD COLUMN + SPARKLINES'!H44:H45</xm:f>
              <xm:sqref>Q44</xm:sqref>
            </x14:sparkline>
            <x14:sparkline>
              <xm:f>'ADD COLUMN + SPARKLINES'!H45:H46</xm:f>
              <xm:sqref>Q45</xm:sqref>
            </x14:sparkline>
            <x14:sparkline>
              <xm:f>'ADD COLUMN + SPARKLINES'!H46:H47</xm:f>
              <xm:sqref>Q46</xm:sqref>
            </x14:sparkline>
            <x14:sparkline>
              <xm:f>'ADD COLUMN + SPARKLINES'!H47:H48</xm:f>
              <xm:sqref>Q47</xm:sqref>
            </x14:sparkline>
            <x14:sparkline>
              <xm:f>'ADD COLUMN + SPARKLINES'!H48:H49</xm:f>
              <xm:sqref>Q48</xm:sqref>
            </x14:sparkline>
            <x14:sparkline>
              <xm:f>'ADD COLUMN + SPARKLINES'!H49:H50</xm:f>
              <xm:sqref>Q49</xm:sqref>
            </x14:sparkline>
            <x14:sparkline>
              <xm:f>'ADD COLUMN + SPARKLINES'!H50:H51</xm:f>
              <xm:sqref>Q50</xm:sqref>
            </x14:sparkline>
            <x14:sparkline>
              <xm:f>'ADD COLUMN + SPARKLINES'!H51:H52</xm:f>
              <xm:sqref>Q51</xm:sqref>
            </x14:sparkline>
            <x14:sparkline>
              <xm:f>'ADD COLUMN + SPARKLINES'!H52:H53</xm:f>
              <xm:sqref>Q52</xm:sqref>
            </x14:sparkline>
            <x14:sparkline>
              <xm:f>'ADD COLUMN + SPARKLINES'!H53:H54</xm:f>
              <xm:sqref>Q53</xm:sqref>
            </x14:sparkline>
            <x14:sparkline>
              <xm:f>'ADD COLUMN + SPARKLINES'!H54:H55</xm:f>
              <xm:sqref>Q54</xm:sqref>
            </x14:sparkline>
            <x14:sparkline>
              <xm:f>'ADD COLUMN + SPARKLINES'!H55:H56</xm:f>
              <xm:sqref>Q55</xm:sqref>
            </x14:sparkline>
            <x14:sparkline>
              <xm:f>'ADD COLUMN + SPARKLINES'!H56:H57</xm:f>
              <xm:sqref>Q56</xm:sqref>
            </x14:sparkline>
            <x14:sparkline>
              <xm:f>'ADD COLUMN + SPARKLINES'!H57:H58</xm:f>
              <xm:sqref>Q57</xm:sqref>
            </x14:sparkline>
            <x14:sparkline>
              <xm:f>'ADD COLUMN + SPARKLINES'!H58:H59</xm:f>
              <xm:sqref>Q58</xm:sqref>
            </x14:sparkline>
            <x14:sparkline>
              <xm:f>'ADD COLUMN + SPARKLINES'!H59:H60</xm:f>
              <xm:sqref>Q59</xm:sqref>
            </x14:sparkline>
            <x14:sparkline>
              <xm:f>'ADD COLUMN + SPARKLINES'!H60:H61</xm:f>
              <xm:sqref>Q60</xm:sqref>
            </x14:sparkline>
            <x14:sparkline>
              <xm:f>'ADD COLUMN + SPARKLINES'!H61:H62</xm:f>
              <xm:sqref>Q61</xm:sqref>
            </x14:sparkline>
            <x14:sparkline>
              <xm:f>'ADD COLUMN + SPARKLINES'!H62:H63</xm:f>
              <xm:sqref>Q62</xm:sqref>
            </x14:sparkline>
            <x14:sparkline>
              <xm:f>'ADD COLUMN + SPARKLINES'!H63:H64</xm:f>
              <xm:sqref>Q63</xm:sqref>
            </x14:sparkline>
            <x14:sparkline>
              <xm:f>'ADD COLUMN + SPARKLINES'!H64:H65</xm:f>
              <xm:sqref>Q64</xm:sqref>
            </x14:sparkline>
            <x14:sparkline>
              <xm:f>'ADD COLUMN + SPARKLINES'!H65:H66</xm:f>
              <xm:sqref>Q65</xm:sqref>
            </x14:sparkline>
            <x14:sparkline>
              <xm:f>'ADD COLUMN + SPARKLINES'!H66:H67</xm:f>
              <xm:sqref>Q66</xm:sqref>
            </x14:sparkline>
            <x14:sparkline>
              <xm:f>'ADD COLUMN + SPARKLINES'!H67:H68</xm:f>
              <xm:sqref>Q67</xm:sqref>
            </x14:sparkline>
            <x14:sparkline>
              <xm:f>'ADD COLUMN + SPARKLINES'!H68:H69</xm:f>
              <xm:sqref>Q68</xm:sqref>
            </x14:sparkline>
            <x14:sparkline>
              <xm:f>'ADD COLUMN + SPARKLINES'!H69:H70</xm:f>
              <xm:sqref>Q69</xm:sqref>
            </x14:sparkline>
            <x14:sparkline>
              <xm:f>'ADD COLUMN + SPARKLINES'!H70:H71</xm:f>
              <xm:sqref>Q70</xm:sqref>
            </x14:sparkline>
            <x14:sparkline>
              <xm:f>'ADD COLUMN + SPARKLINES'!H71:H72</xm:f>
              <xm:sqref>Q71</xm:sqref>
            </x14:sparkline>
            <x14:sparkline>
              <xm:f>'ADD COLUMN + SPARKLINES'!H72:H73</xm:f>
              <xm:sqref>Q72</xm:sqref>
            </x14:sparkline>
            <x14:sparkline>
              <xm:f>'ADD COLUMN + SPARKLINES'!H73:H74</xm:f>
              <xm:sqref>Q73</xm:sqref>
            </x14:sparkline>
            <x14:sparkline>
              <xm:f>'ADD COLUMN + SPARKLINES'!H74:H75</xm:f>
              <xm:sqref>Q74</xm:sqref>
            </x14:sparkline>
            <x14:sparkline>
              <xm:f>'ADD COLUMN + SPARKLINES'!H75:H76</xm:f>
              <xm:sqref>Q75</xm:sqref>
            </x14:sparkline>
            <x14:sparkline>
              <xm:f>'ADD COLUMN + SPARKLINES'!H76:H77</xm:f>
              <xm:sqref>Q76</xm:sqref>
            </x14:sparkline>
            <x14:sparkline>
              <xm:f>'ADD COLUMN + SPARKLINES'!H77:H78</xm:f>
              <xm:sqref>Q77</xm:sqref>
            </x14:sparkline>
            <x14:sparkline>
              <xm:f>'ADD COLUMN + SPARKLINES'!H78:H79</xm:f>
              <xm:sqref>Q78</xm:sqref>
            </x14:sparkline>
            <x14:sparkline>
              <xm:f>'ADD COLUMN + SPARKLINES'!H79:H80</xm:f>
              <xm:sqref>Q79</xm:sqref>
            </x14:sparkline>
            <x14:sparkline>
              <xm:f>'ADD COLUMN + SPARKLINES'!H80:H81</xm:f>
              <xm:sqref>Q80</xm:sqref>
            </x14:sparkline>
            <x14:sparkline>
              <xm:f>'ADD COLUMN + SPARKLINES'!H81:H82</xm:f>
              <xm:sqref>Q81</xm:sqref>
            </x14:sparkline>
            <x14:sparkline>
              <xm:f>'ADD COLUMN + SPARKLINES'!H82:H83</xm:f>
              <xm:sqref>Q82</xm:sqref>
            </x14:sparkline>
            <x14:sparkline>
              <xm:f>'ADD COLUMN + SPARKLINES'!H83:H84</xm:f>
              <xm:sqref>Q83</xm:sqref>
            </x14:sparkline>
            <x14:sparkline>
              <xm:f>'ADD COLUMN + SPARKLINES'!H84:H85</xm:f>
              <xm:sqref>Q84</xm:sqref>
            </x14:sparkline>
            <x14:sparkline>
              <xm:f>'ADD COLUMN + SPARKLINES'!H85:H86</xm:f>
              <xm:sqref>Q85</xm:sqref>
            </x14:sparkline>
            <x14:sparkline>
              <xm:f>'ADD COLUMN + SPARKLINES'!H86:H87</xm:f>
              <xm:sqref>Q86</xm:sqref>
            </x14:sparkline>
            <x14:sparkline>
              <xm:f>'ADD COLUMN + SPARKLINES'!H87:H88</xm:f>
              <xm:sqref>Q87</xm:sqref>
            </x14:sparkline>
            <x14:sparkline>
              <xm:f>'ADD COLUMN + SPARKLINES'!H88:H89</xm:f>
              <xm:sqref>Q88</xm:sqref>
            </x14:sparkline>
            <x14:sparkline>
              <xm:f>'ADD COLUMN + SPARKLINES'!H89:H90</xm:f>
              <xm:sqref>Q89</xm:sqref>
            </x14:sparkline>
            <x14:sparkline>
              <xm:f>'ADD COLUMN + SPARKLINES'!H90:H91</xm:f>
              <xm:sqref>Q90</xm:sqref>
            </x14:sparkline>
            <x14:sparkline>
              <xm:f>'ADD COLUMN + SPARKLINES'!H91:H92</xm:f>
              <xm:sqref>Q91</xm:sqref>
            </x14:sparkline>
            <x14:sparkline>
              <xm:f>'ADD COLUMN + SPARKLINES'!H92:H93</xm:f>
              <xm:sqref>Q92</xm:sqref>
            </x14:sparkline>
            <x14:sparkline>
              <xm:f>'ADD COLUMN + SPARKLINES'!H93:H94</xm:f>
              <xm:sqref>Q93</xm:sqref>
            </x14:sparkline>
            <x14:sparkline>
              <xm:f>'ADD COLUMN + SPARKLINES'!H94:H95</xm:f>
              <xm:sqref>Q94</xm:sqref>
            </x14:sparkline>
            <x14:sparkline>
              <xm:f>'ADD COLUMN + SPARKLINES'!H95:H96</xm:f>
              <xm:sqref>Q95</xm:sqref>
            </x14:sparkline>
            <x14:sparkline>
              <xm:f>'ADD COLUMN + SPARKLINES'!H96:H97</xm:f>
              <xm:sqref>Q96</xm:sqref>
            </x14:sparkline>
            <x14:sparkline>
              <xm:f>'ADD COLUMN + SPARKLINES'!H97:H98</xm:f>
              <xm:sqref>Q97</xm:sqref>
            </x14:sparkline>
            <x14:sparkline>
              <xm:f>'ADD COLUMN + SPARKLINES'!H98:H99</xm:f>
              <xm:sqref>Q98</xm:sqref>
            </x14:sparkline>
            <x14:sparkline>
              <xm:f>'ADD COLUMN + SPARKLINES'!H99:H100</xm:f>
              <xm:sqref>Q99</xm:sqref>
            </x14:sparkline>
            <x14:sparkline>
              <xm:f>'ADD COLUMN + SPARKLINES'!H100:H101</xm:f>
              <xm:sqref>Q100</xm:sqref>
            </x14:sparkline>
            <x14:sparkline>
              <xm:f>'ADD COLUMN + SPARKLINES'!H101:H102</xm:f>
              <xm:sqref>Q101</xm:sqref>
            </x14:sparkline>
            <x14:sparkline>
              <xm:f>'ADD COLUMN + SPARKLINES'!H102:H103</xm:f>
              <xm:sqref>Q102</xm:sqref>
            </x14:sparkline>
            <x14:sparkline>
              <xm:f>'ADD COLUMN + SPARKLINES'!H103:H104</xm:f>
              <xm:sqref>Q103</xm:sqref>
            </x14:sparkline>
            <x14:sparkline>
              <xm:f>'ADD COLUMN + SPARKLINES'!H104:H105</xm:f>
              <xm:sqref>Q104</xm:sqref>
            </x14:sparkline>
            <x14:sparkline>
              <xm:f>'ADD COLUMN + SPARKLINES'!H105:H106</xm:f>
              <xm:sqref>Q105</xm:sqref>
            </x14:sparkline>
            <x14:sparkline>
              <xm:f>'ADD COLUMN + SPARKLINES'!H106:H107</xm:f>
              <xm:sqref>Q106</xm:sqref>
            </x14:sparkline>
            <x14:sparkline>
              <xm:f>'ADD COLUMN + SPARKLINES'!H107:H108</xm:f>
              <xm:sqref>Q107</xm:sqref>
            </x14:sparkline>
            <x14:sparkline>
              <xm:f>'ADD COLUMN + SPARKLINES'!H108:H109</xm:f>
              <xm:sqref>Q108</xm:sqref>
            </x14:sparkline>
            <x14:sparkline>
              <xm:f>'ADD COLUMN + SPARKLINES'!H109:H110</xm:f>
              <xm:sqref>Q109</xm:sqref>
            </x14:sparkline>
            <x14:sparkline>
              <xm:f>'ADD COLUMN + SPARKLINES'!H110:H111</xm:f>
              <xm:sqref>Q110</xm:sqref>
            </x14:sparkline>
            <x14:sparkline>
              <xm:f>'ADD COLUMN + SPARKLINES'!H111:H112</xm:f>
              <xm:sqref>Q111</xm:sqref>
            </x14:sparkline>
            <x14:sparkline>
              <xm:f>'ADD COLUMN + SPARKLINES'!H112:H113</xm:f>
              <xm:sqref>Q112</xm:sqref>
            </x14:sparkline>
            <x14:sparkline>
              <xm:f>'ADD COLUMN + SPARKLINES'!H113:H114</xm:f>
              <xm:sqref>Q113</xm:sqref>
            </x14:sparkline>
            <x14:sparkline>
              <xm:f>'ADD COLUMN + SPARKLINES'!H114:H115</xm:f>
              <xm:sqref>Q114</xm:sqref>
            </x14:sparkline>
            <x14:sparkline>
              <xm:f>'ADD COLUMN + SPARKLINES'!H115:H116</xm:f>
              <xm:sqref>Q115</xm:sqref>
            </x14:sparkline>
            <x14:sparkline>
              <xm:f>'ADD COLUMN + SPARKLINES'!H116:H117</xm:f>
              <xm:sqref>Q116</xm:sqref>
            </x14:sparkline>
            <x14:sparkline>
              <xm:f>'ADD COLUMN + SPARKLINES'!H117:H118</xm:f>
              <xm:sqref>Q117</xm:sqref>
            </x14:sparkline>
            <x14:sparkline>
              <xm:f>'ADD COLUMN + SPARKLINES'!H118:H119</xm:f>
              <xm:sqref>Q118</xm:sqref>
            </x14:sparkline>
            <x14:sparkline>
              <xm:f>'ADD COLUMN + SPARKLINES'!H119:H120</xm:f>
              <xm:sqref>Q119</xm:sqref>
            </x14:sparkline>
            <x14:sparkline>
              <xm:f>'ADD COLUMN + SPARKLINES'!H120:H121</xm:f>
              <xm:sqref>Q120</xm:sqref>
            </x14:sparkline>
            <x14:sparkline>
              <xm:f>'ADD COLUMN + SPARKLINES'!H121:H122</xm:f>
              <xm:sqref>Q121</xm:sqref>
            </x14:sparkline>
            <x14:sparkline>
              <xm:f>'ADD COLUMN + SPARKLINES'!H122:H123</xm:f>
              <xm:sqref>Q122</xm:sqref>
            </x14:sparkline>
            <x14:sparkline>
              <xm:f>'ADD COLUMN + SPARKLINES'!H123:H124</xm:f>
              <xm:sqref>Q123</xm:sqref>
            </x14:sparkline>
            <x14:sparkline>
              <xm:f>'ADD COLUMN + SPARKLINES'!H124:H125</xm:f>
              <xm:sqref>Q124</xm:sqref>
            </x14:sparkline>
            <x14:sparkline>
              <xm:f>'ADD COLUMN + SPARKLINES'!H125:H126</xm:f>
              <xm:sqref>Q125</xm:sqref>
            </x14:sparkline>
            <x14:sparkline>
              <xm:f>'ADD COLUMN + SPARKLINES'!H126:H127</xm:f>
              <xm:sqref>Q126</xm:sqref>
            </x14:sparkline>
            <x14:sparkline>
              <xm:f>'ADD COLUMN + SPARKLINES'!H127:H128</xm:f>
              <xm:sqref>Q127</xm:sqref>
            </x14:sparkline>
            <x14:sparkline>
              <xm:f>'ADD COLUMN + SPARKLINES'!H128:H129</xm:f>
              <xm:sqref>Q128</xm:sqref>
            </x14:sparkline>
            <x14:sparkline>
              <xm:f>'ADD COLUMN + SPARKLINES'!H129:H130</xm:f>
              <xm:sqref>Q129</xm:sqref>
            </x14:sparkline>
            <x14:sparkline>
              <xm:f>'ADD COLUMN + SPARKLINES'!H130:H131</xm:f>
              <xm:sqref>Q130</xm:sqref>
            </x14:sparkline>
            <x14:sparkline>
              <xm:f>'ADD COLUMN + SPARKLINES'!H131:H132</xm:f>
              <xm:sqref>Q131</xm:sqref>
            </x14:sparkline>
            <x14:sparkline>
              <xm:f>'ADD COLUMN + SPARKLINES'!H132:H133</xm:f>
              <xm:sqref>Q132</xm:sqref>
            </x14:sparkline>
            <x14:sparkline>
              <xm:f>'ADD COLUMN + SPARKLINES'!H133:H134</xm:f>
              <xm:sqref>Q133</xm:sqref>
            </x14:sparkline>
            <x14:sparkline>
              <xm:f>'ADD COLUMN + SPARKLINES'!H134:H135</xm:f>
              <xm:sqref>Q134</xm:sqref>
            </x14:sparkline>
            <x14:sparkline>
              <xm:f>'ADD COLUMN + SPARKLINES'!H135:H136</xm:f>
              <xm:sqref>Q135</xm:sqref>
            </x14:sparkline>
            <x14:sparkline>
              <xm:f>'ADD COLUMN + SPARKLINES'!H136:H137</xm:f>
              <xm:sqref>Q136</xm:sqref>
            </x14:sparkline>
            <x14:sparkline>
              <xm:f>'ADD COLUMN + SPARKLINES'!H137:H138</xm:f>
              <xm:sqref>Q137</xm:sqref>
            </x14:sparkline>
            <x14:sparkline>
              <xm:f>'ADD COLUMN + SPARKLINES'!H138:H139</xm:f>
              <xm:sqref>Q138</xm:sqref>
            </x14:sparkline>
            <x14:sparkline>
              <xm:f>'ADD COLUMN + SPARKLINES'!H139:H140</xm:f>
              <xm:sqref>Q139</xm:sqref>
            </x14:sparkline>
            <x14:sparkline>
              <xm:f>'ADD COLUMN + SPARKLINES'!H140:H141</xm:f>
              <xm:sqref>Q140</xm:sqref>
            </x14:sparkline>
            <x14:sparkline>
              <xm:f>'ADD COLUMN + SPARKLINES'!H141:H142</xm:f>
              <xm:sqref>Q141</xm:sqref>
            </x14:sparkline>
            <x14:sparkline>
              <xm:f>'ADD COLUMN + SPARKLINES'!H142:H143</xm:f>
              <xm:sqref>Q142</xm:sqref>
            </x14:sparkline>
            <x14:sparkline>
              <xm:f>'ADD COLUMN + SPARKLINES'!H143:H144</xm:f>
              <xm:sqref>Q143</xm:sqref>
            </x14:sparkline>
            <x14:sparkline>
              <xm:f>'ADD COLUMN + SPARKLINES'!H144:H145</xm:f>
              <xm:sqref>Q144</xm:sqref>
            </x14:sparkline>
            <x14:sparkline>
              <xm:f>'ADD COLUMN + SPARKLINES'!H145:H146</xm:f>
              <xm:sqref>Q145</xm:sqref>
            </x14:sparkline>
            <x14:sparkline>
              <xm:f>'ADD COLUMN + SPARKLINES'!H146:H147</xm:f>
              <xm:sqref>Q146</xm:sqref>
            </x14:sparkline>
            <x14:sparkline>
              <xm:f>'ADD COLUMN + SPARKLINES'!H147:H148</xm:f>
              <xm:sqref>Q147</xm:sqref>
            </x14:sparkline>
            <x14:sparkline>
              <xm:f>'ADD COLUMN + SPARKLINES'!H148:H149</xm:f>
              <xm:sqref>Q148</xm:sqref>
            </x14:sparkline>
            <x14:sparkline>
              <xm:f>'ADD COLUMN + SPARKLINES'!H149:H150</xm:f>
              <xm:sqref>Q149</xm:sqref>
            </x14:sparkline>
            <x14:sparkline>
              <xm:f>'ADD COLUMN + SPARKLINES'!H150:H151</xm:f>
              <xm:sqref>Q150</xm:sqref>
            </x14:sparkline>
            <x14:sparkline>
              <xm:f>'ADD COLUMN + SPARKLINES'!H151:H152</xm:f>
              <xm:sqref>Q151</xm:sqref>
            </x14:sparkline>
            <x14:sparkline>
              <xm:f>'ADD COLUMN + SPARKLINES'!H152:H153</xm:f>
              <xm:sqref>Q152</xm:sqref>
            </x14:sparkline>
            <x14:sparkline>
              <xm:f>'ADD COLUMN + SPARKLINES'!H153:H154</xm:f>
              <xm:sqref>Q153</xm:sqref>
            </x14:sparkline>
            <x14:sparkline>
              <xm:f>'ADD COLUMN + SPARKLINES'!H154:H155</xm:f>
              <xm:sqref>Q154</xm:sqref>
            </x14:sparkline>
            <x14:sparkline>
              <xm:f>'ADD COLUMN + SPARKLINES'!H155:H156</xm:f>
              <xm:sqref>Q155</xm:sqref>
            </x14:sparkline>
            <x14:sparkline>
              <xm:f>'ADD COLUMN + SPARKLINES'!H156:H157</xm:f>
              <xm:sqref>Q156</xm:sqref>
            </x14:sparkline>
            <x14:sparkline>
              <xm:f>'ADD COLUMN + SPARKLINES'!H157:H158</xm:f>
              <xm:sqref>Q157</xm:sqref>
            </x14:sparkline>
            <x14:sparkline>
              <xm:f>'ADD COLUMN + SPARKLINES'!H158:H159</xm:f>
              <xm:sqref>Q158</xm:sqref>
            </x14:sparkline>
            <x14:sparkline>
              <xm:f>'ADD COLUMN + SPARKLINES'!H159:H160</xm:f>
              <xm:sqref>Q159</xm:sqref>
            </x14:sparkline>
            <x14:sparkline>
              <xm:f>'ADD COLUMN + SPARKLINES'!H160:H161</xm:f>
              <xm:sqref>Q160</xm:sqref>
            </x14:sparkline>
            <x14:sparkline>
              <xm:f>'ADD COLUMN + SPARKLINES'!H161:H162</xm:f>
              <xm:sqref>Q161</xm:sqref>
            </x14:sparkline>
            <x14:sparkline>
              <xm:f>'ADD COLUMN + SPARKLINES'!H162:H163</xm:f>
              <xm:sqref>Q162</xm:sqref>
            </x14:sparkline>
            <x14:sparkline>
              <xm:f>'ADD COLUMN + SPARKLINES'!H163:H164</xm:f>
              <xm:sqref>Q163</xm:sqref>
            </x14:sparkline>
            <x14:sparkline>
              <xm:f>'ADD COLUMN + SPARKLINES'!H164:H165</xm:f>
              <xm:sqref>Q164</xm:sqref>
            </x14:sparkline>
            <x14:sparkline>
              <xm:f>'ADD COLUMN + SPARKLINES'!H165:H166</xm:f>
              <xm:sqref>Q165</xm:sqref>
            </x14:sparkline>
            <x14:sparkline>
              <xm:f>'ADD COLUMN + SPARKLINES'!H166:H167</xm:f>
              <xm:sqref>Q166</xm:sqref>
            </x14:sparkline>
            <x14:sparkline>
              <xm:f>'ADD COLUMN + SPARKLINES'!H167:H168</xm:f>
              <xm:sqref>Q167</xm:sqref>
            </x14:sparkline>
            <x14:sparkline>
              <xm:f>'ADD COLUMN + SPARKLINES'!H168:H169</xm:f>
              <xm:sqref>Q168</xm:sqref>
            </x14:sparkline>
            <x14:sparkline>
              <xm:f>'ADD COLUMN + SPARKLINES'!H169:H170</xm:f>
              <xm:sqref>Q169</xm:sqref>
            </x14:sparkline>
            <x14:sparkline>
              <xm:f>'ADD COLUMN + SPARKLINES'!H170:H171</xm:f>
              <xm:sqref>Q170</xm:sqref>
            </x14:sparkline>
            <x14:sparkline>
              <xm:f>'ADD COLUMN + SPARKLINES'!H171:H172</xm:f>
              <xm:sqref>Q171</xm:sqref>
            </x14:sparkline>
            <x14:sparkline>
              <xm:f>'ADD COLUMN + SPARKLINES'!H172:H173</xm:f>
              <xm:sqref>Q172</xm:sqref>
            </x14:sparkline>
            <x14:sparkline>
              <xm:f>'ADD COLUMN + SPARKLINES'!H173:H174</xm:f>
              <xm:sqref>Q173</xm:sqref>
            </x14:sparkline>
            <x14:sparkline>
              <xm:f>'ADD COLUMN + SPARKLINES'!H174:H175</xm:f>
              <xm:sqref>Q174</xm:sqref>
            </x14:sparkline>
            <x14:sparkline>
              <xm:f>'ADD COLUMN + SPARKLINES'!H175:H176</xm:f>
              <xm:sqref>Q175</xm:sqref>
            </x14:sparkline>
            <x14:sparkline>
              <xm:f>'ADD COLUMN + SPARKLINES'!H176:H177</xm:f>
              <xm:sqref>Q176</xm:sqref>
            </x14:sparkline>
            <x14:sparkline>
              <xm:f>'ADD COLUMN + SPARKLINES'!H177:H178</xm:f>
              <xm:sqref>Q177</xm:sqref>
            </x14:sparkline>
            <x14:sparkline>
              <xm:f>'ADD COLUMN + SPARKLINES'!H178:H179</xm:f>
              <xm:sqref>Q178</xm:sqref>
            </x14:sparkline>
            <x14:sparkline>
              <xm:f>'ADD COLUMN + SPARKLINES'!H179:H180</xm:f>
              <xm:sqref>Q179</xm:sqref>
            </x14:sparkline>
            <x14:sparkline>
              <xm:f>'ADD COLUMN + SPARKLINES'!H180:H181</xm:f>
              <xm:sqref>Q180</xm:sqref>
            </x14:sparkline>
            <x14:sparkline>
              <xm:f>'ADD COLUMN + SPARKLINES'!H181:H182</xm:f>
              <xm:sqref>Q181</xm:sqref>
            </x14:sparkline>
            <x14:sparkline>
              <xm:f>'ADD COLUMN + SPARKLINES'!H182:H183</xm:f>
              <xm:sqref>Q182</xm:sqref>
            </x14:sparkline>
            <x14:sparkline>
              <xm:f>'ADD COLUMN + SPARKLINES'!H183:H184</xm:f>
              <xm:sqref>Q183</xm:sqref>
            </x14:sparkline>
            <x14:sparkline>
              <xm:f>'ADD COLUMN + SPARKLINES'!H184:H185</xm:f>
              <xm:sqref>Q184</xm:sqref>
            </x14:sparkline>
            <x14:sparkline>
              <xm:f>'ADD COLUMN + SPARKLINES'!H185:H186</xm:f>
              <xm:sqref>Q185</xm:sqref>
            </x14:sparkline>
            <x14:sparkline>
              <xm:f>'ADD COLUMN + SPARKLINES'!H186:H187</xm:f>
              <xm:sqref>Q186</xm:sqref>
            </x14:sparkline>
            <x14:sparkline>
              <xm:f>'ADD COLUMN + SPARKLINES'!H187:H188</xm:f>
              <xm:sqref>Q187</xm:sqref>
            </x14:sparkline>
            <x14:sparkline>
              <xm:f>'ADD COLUMN + SPARKLINES'!H188:H189</xm:f>
              <xm:sqref>Q188</xm:sqref>
            </x14:sparkline>
            <x14:sparkline>
              <xm:f>'ADD COLUMN + SPARKLINES'!H189:H190</xm:f>
              <xm:sqref>Q189</xm:sqref>
            </x14:sparkline>
            <x14:sparkline>
              <xm:f>'ADD COLUMN + SPARKLINES'!H190:H191</xm:f>
              <xm:sqref>Q190</xm:sqref>
            </x14:sparkline>
            <x14:sparkline>
              <xm:f>'ADD COLUMN + SPARKLINES'!H191:H192</xm:f>
              <xm:sqref>Q191</xm:sqref>
            </x14:sparkline>
            <x14:sparkline>
              <xm:f>'ADD COLUMN + SPARKLINES'!H192:H193</xm:f>
              <xm:sqref>Q192</xm:sqref>
            </x14:sparkline>
            <x14:sparkline>
              <xm:f>'ADD COLUMN + SPARKLINES'!H193:H194</xm:f>
              <xm:sqref>Q193</xm:sqref>
            </x14:sparkline>
            <x14:sparkline>
              <xm:f>'ADD COLUMN + SPARKLINES'!H194:H195</xm:f>
              <xm:sqref>Q194</xm:sqref>
            </x14:sparkline>
            <x14:sparkline>
              <xm:f>'ADD COLUMN + SPARKLINES'!H195:H196</xm:f>
              <xm:sqref>Q195</xm:sqref>
            </x14:sparkline>
            <x14:sparkline>
              <xm:f>'ADD COLUMN + SPARKLINES'!H196:H197</xm:f>
              <xm:sqref>Q196</xm:sqref>
            </x14:sparkline>
            <x14:sparkline>
              <xm:f>'ADD COLUMN + SPARKLINES'!H197:H198</xm:f>
              <xm:sqref>Q197</xm:sqref>
            </x14:sparkline>
            <x14:sparkline>
              <xm:f>'ADD COLUMN + SPARKLINES'!H198:H199</xm:f>
              <xm:sqref>Q198</xm:sqref>
            </x14:sparkline>
            <x14:sparkline>
              <xm:f>'ADD COLUMN + SPARKLINES'!H199:H200</xm:f>
              <xm:sqref>Q199</xm:sqref>
            </x14:sparkline>
            <x14:sparkline>
              <xm:f>'ADD COLUMN + SPARKLINES'!H200:H201</xm:f>
              <xm:sqref>Q200</xm:sqref>
            </x14:sparkline>
            <x14:sparkline>
              <xm:f>'ADD COLUMN + SPARKLINES'!H201:H202</xm:f>
              <xm:sqref>Q201</xm:sqref>
            </x14:sparkline>
            <x14:sparkline>
              <xm:f>'ADD COLUMN + SPARKLINES'!H202:H203</xm:f>
              <xm:sqref>Q202</xm:sqref>
            </x14:sparkline>
            <x14:sparkline>
              <xm:f>'ADD COLUMN + SPARKLINES'!H203:H204</xm:f>
              <xm:sqref>Q203</xm:sqref>
            </x14:sparkline>
            <x14:sparkline>
              <xm:f>'ADD COLUMN + SPARKLINES'!H204:H205</xm:f>
              <xm:sqref>Q204</xm:sqref>
            </x14:sparkline>
            <x14:sparkline>
              <xm:f>'ADD COLUMN + SPARKLINES'!H205:H206</xm:f>
              <xm:sqref>Q205</xm:sqref>
            </x14:sparkline>
            <x14:sparkline>
              <xm:f>'ADD COLUMN + SPARKLINES'!H206:H207</xm:f>
              <xm:sqref>Q206</xm:sqref>
            </x14:sparkline>
            <x14:sparkline>
              <xm:f>'ADD COLUMN + SPARKLINES'!H207:H208</xm:f>
              <xm:sqref>Q207</xm:sqref>
            </x14:sparkline>
            <x14:sparkline>
              <xm:f>'ADD COLUMN + SPARKLINES'!H208:H209</xm:f>
              <xm:sqref>Q208</xm:sqref>
            </x14:sparkline>
            <x14:sparkline>
              <xm:f>'ADD COLUMN + SPARKLINES'!H209:H210</xm:f>
              <xm:sqref>Q209</xm:sqref>
            </x14:sparkline>
            <x14:sparkline>
              <xm:f>'ADD COLUMN + SPARKLINES'!H210:H211</xm:f>
              <xm:sqref>Q210</xm:sqref>
            </x14:sparkline>
            <x14:sparkline>
              <xm:f>'ADD COLUMN + SPARKLINES'!H211:H212</xm:f>
              <xm:sqref>Q211</xm:sqref>
            </x14:sparkline>
            <x14:sparkline>
              <xm:f>'ADD COLUMN + SPARKLINES'!H212:H213</xm:f>
              <xm:sqref>Q212</xm:sqref>
            </x14:sparkline>
            <x14:sparkline>
              <xm:f>'ADD COLUMN + SPARKLINES'!H213:H214</xm:f>
              <xm:sqref>Q213</xm:sqref>
            </x14:sparkline>
            <x14:sparkline>
              <xm:f>'ADD COLUMN + SPARKLINES'!H214:H215</xm:f>
              <xm:sqref>Q214</xm:sqref>
            </x14:sparkline>
            <x14:sparkline>
              <xm:f>'ADD COLUMN + SPARKLINES'!H215:H216</xm:f>
              <xm:sqref>Q215</xm:sqref>
            </x14:sparkline>
            <x14:sparkline>
              <xm:f>'ADD COLUMN + SPARKLINES'!H216:H217</xm:f>
              <xm:sqref>Q216</xm:sqref>
            </x14:sparkline>
            <x14:sparkline>
              <xm:f>'ADD COLUMN + SPARKLINES'!H217:H218</xm:f>
              <xm:sqref>Q217</xm:sqref>
            </x14:sparkline>
            <x14:sparkline>
              <xm:f>'ADD COLUMN + SPARKLINES'!H218:H219</xm:f>
              <xm:sqref>Q218</xm:sqref>
            </x14:sparkline>
            <x14:sparkline>
              <xm:f>'ADD COLUMN + SPARKLINES'!H219:H220</xm:f>
              <xm:sqref>Q219</xm:sqref>
            </x14:sparkline>
            <x14:sparkline>
              <xm:f>'ADD COLUMN + SPARKLINES'!H220:H221</xm:f>
              <xm:sqref>Q220</xm:sqref>
            </x14:sparkline>
            <x14:sparkline>
              <xm:f>'ADD COLUMN + SPARKLINES'!H221:H222</xm:f>
              <xm:sqref>Q221</xm:sqref>
            </x14:sparkline>
            <x14:sparkline>
              <xm:f>'ADD COLUMN + SPARKLINES'!H222:H223</xm:f>
              <xm:sqref>Q222</xm:sqref>
            </x14:sparkline>
            <x14:sparkline>
              <xm:f>'ADD COLUMN + SPARKLINES'!H223:H224</xm:f>
              <xm:sqref>Q223</xm:sqref>
            </x14:sparkline>
            <x14:sparkline>
              <xm:f>'ADD COLUMN + SPARKLINES'!H224:H225</xm:f>
              <xm:sqref>Q224</xm:sqref>
            </x14:sparkline>
            <x14:sparkline>
              <xm:f>'ADD COLUMN + SPARKLINES'!H225:H226</xm:f>
              <xm:sqref>Q225</xm:sqref>
            </x14:sparkline>
            <x14:sparkline>
              <xm:f>'ADD COLUMN + SPARKLINES'!H226:H227</xm:f>
              <xm:sqref>Q226</xm:sqref>
            </x14:sparkline>
            <x14:sparkline>
              <xm:f>'ADD COLUMN + SPARKLINES'!H227:H228</xm:f>
              <xm:sqref>Q227</xm:sqref>
            </x14:sparkline>
            <x14:sparkline>
              <xm:f>'ADD COLUMN + SPARKLINES'!H228:H229</xm:f>
              <xm:sqref>Q228</xm:sqref>
            </x14:sparkline>
            <x14:sparkline>
              <xm:f>'ADD COLUMN + SPARKLINES'!H229:H230</xm:f>
              <xm:sqref>Q229</xm:sqref>
            </x14:sparkline>
            <x14:sparkline>
              <xm:f>'ADD COLUMN + SPARKLINES'!H230:H231</xm:f>
              <xm:sqref>Q230</xm:sqref>
            </x14:sparkline>
            <x14:sparkline>
              <xm:f>'ADD COLUMN + SPARKLINES'!H231:H232</xm:f>
              <xm:sqref>Q231</xm:sqref>
            </x14:sparkline>
            <x14:sparkline>
              <xm:f>'ADD COLUMN + SPARKLINES'!H232:H233</xm:f>
              <xm:sqref>Q232</xm:sqref>
            </x14:sparkline>
            <x14:sparkline>
              <xm:f>'ADD COLUMN + SPARKLINES'!H233:H234</xm:f>
              <xm:sqref>Q233</xm:sqref>
            </x14:sparkline>
            <x14:sparkline>
              <xm:f>'ADD COLUMN + SPARKLINES'!H234:H235</xm:f>
              <xm:sqref>Q234</xm:sqref>
            </x14:sparkline>
            <x14:sparkline>
              <xm:f>'ADD COLUMN + SPARKLINES'!H235:H236</xm:f>
              <xm:sqref>Q235</xm:sqref>
            </x14:sparkline>
            <x14:sparkline>
              <xm:f>'ADD COLUMN + SPARKLINES'!H236:H237</xm:f>
              <xm:sqref>Q236</xm:sqref>
            </x14:sparkline>
            <x14:sparkline>
              <xm:f>'ADD COLUMN + SPARKLINES'!H237:H238</xm:f>
              <xm:sqref>Q237</xm:sqref>
            </x14:sparkline>
            <x14:sparkline>
              <xm:f>'ADD COLUMN + SPARKLINES'!H238:H239</xm:f>
              <xm:sqref>Q238</xm:sqref>
            </x14:sparkline>
            <x14:sparkline>
              <xm:f>'ADD COLUMN + SPARKLINES'!H239:H240</xm:f>
              <xm:sqref>Q239</xm:sqref>
            </x14:sparkline>
            <x14:sparkline>
              <xm:f>'ADD COLUMN + SPARKLINES'!H240:H241</xm:f>
              <xm:sqref>Q240</xm:sqref>
            </x14:sparkline>
            <x14:sparkline>
              <xm:f>'ADD COLUMN + SPARKLINES'!H241:H242</xm:f>
              <xm:sqref>Q241</xm:sqref>
            </x14:sparkline>
            <x14:sparkline>
              <xm:f>'ADD COLUMN + SPARKLINES'!H242:H243</xm:f>
              <xm:sqref>Q242</xm:sqref>
            </x14:sparkline>
            <x14:sparkline>
              <xm:f>'ADD COLUMN + SPARKLINES'!H243:H244</xm:f>
              <xm:sqref>Q243</xm:sqref>
            </x14:sparkline>
            <x14:sparkline>
              <xm:f>'ADD COLUMN + SPARKLINES'!H244:H245</xm:f>
              <xm:sqref>Q244</xm:sqref>
            </x14:sparkline>
            <x14:sparkline>
              <xm:f>'ADD COLUMN + SPARKLINES'!H245:H246</xm:f>
              <xm:sqref>Q245</xm:sqref>
            </x14:sparkline>
            <x14:sparkline>
              <xm:f>'ADD COLUMN + SPARKLINES'!H246:H247</xm:f>
              <xm:sqref>Q246</xm:sqref>
            </x14:sparkline>
            <x14:sparkline>
              <xm:f>'ADD COLUMN + SPARKLINES'!H247:H248</xm:f>
              <xm:sqref>Q247</xm:sqref>
            </x14:sparkline>
            <x14:sparkline>
              <xm:f>'ADD COLUMN + SPARKLINES'!H248:H249</xm:f>
              <xm:sqref>Q248</xm:sqref>
            </x14:sparkline>
            <x14:sparkline>
              <xm:f>'ADD COLUMN + SPARKLINES'!H249:H250</xm:f>
              <xm:sqref>Q249</xm:sqref>
            </x14:sparkline>
            <x14:sparkline>
              <xm:f>'ADD COLUMN + SPARKLINES'!H250:H251</xm:f>
              <xm:sqref>Q250</xm:sqref>
            </x14:sparkline>
            <x14:sparkline>
              <xm:f>'ADD COLUMN + SPARKLINES'!H251:H252</xm:f>
              <xm:sqref>Q251</xm:sqref>
            </x14:sparkline>
            <x14:sparkline>
              <xm:f>'ADD COLUMN + SPARKLINES'!H252:H253</xm:f>
              <xm:sqref>Q252</xm:sqref>
            </x14:sparkline>
            <x14:sparkline>
              <xm:f>'ADD COLUMN + SPARKLINES'!H253:H254</xm:f>
              <xm:sqref>Q253</xm:sqref>
            </x14:sparkline>
            <x14:sparkline>
              <xm:f>'ADD COLUMN + SPARKLINES'!H254:H255</xm:f>
              <xm:sqref>Q254</xm:sqref>
            </x14:sparkline>
            <x14:sparkline>
              <xm:f>'ADD COLUMN + SPARKLINES'!H255:H256</xm:f>
              <xm:sqref>Q255</xm:sqref>
            </x14:sparkline>
            <x14:sparkline>
              <xm:f>'ADD COLUMN + SPARKLINES'!H256:H257</xm:f>
              <xm:sqref>Q256</xm:sqref>
            </x14:sparkline>
            <x14:sparkline>
              <xm:f>'ADD COLUMN + SPARKLINES'!H257:H258</xm:f>
              <xm:sqref>Q257</xm:sqref>
            </x14:sparkline>
            <x14:sparkline>
              <xm:f>'ADD COLUMN + SPARKLINES'!H258:H259</xm:f>
              <xm:sqref>Q258</xm:sqref>
            </x14:sparkline>
            <x14:sparkline>
              <xm:f>'ADD COLUMN + SPARKLINES'!H259:H260</xm:f>
              <xm:sqref>Q259</xm:sqref>
            </x14:sparkline>
            <x14:sparkline>
              <xm:f>'ADD COLUMN + SPARKLINES'!H260:H261</xm:f>
              <xm:sqref>Q260</xm:sqref>
            </x14:sparkline>
            <x14:sparkline>
              <xm:f>'ADD COLUMN + SPARKLINES'!H261:H262</xm:f>
              <xm:sqref>Q261</xm:sqref>
            </x14:sparkline>
            <x14:sparkline>
              <xm:f>'ADD COLUMN + SPARKLINES'!H262:H263</xm:f>
              <xm:sqref>Q262</xm:sqref>
            </x14:sparkline>
            <x14:sparkline>
              <xm:f>'ADD COLUMN + SPARKLINES'!H263:H264</xm:f>
              <xm:sqref>Q263</xm:sqref>
            </x14:sparkline>
            <x14:sparkline>
              <xm:f>'ADD COLUMN + SPARKLINES'!H264:H265</xm:f>
              <xm:sqref>Q264</xm:sqref>
            </x14:sparkline>
            <x14:sparkline>
              <xm:f>'ADD COLUMN + SPARKLINES'!H265:H266</xm:f>
              <xm:sqref>Q265</xm:sqref>
            </x14:sparkline>
            <x14:sparkline>
              <xm:f>'ADD COLUMN + SPARKLINES'!H266:H267</xm:f>
              <xm:sqref>Q266</xm:sqref>
            </x14:sparkline>
            <x14:sparkline>
              <xm:f>'ADD COLUMN + SPARKLINES'!H267:H268</xm:f>
              <xm:sqref>Q267</xm:sqref>
            </x14:sparkline>
            <x14:sparkline>
              <xm:f>'ADD COLUMN + SPARKLINES'!H268:H269</xm:f>
              <xm:sqref>Q268</xm:sqref>
            </x14:sparkline>
            <x14:sparkline>
              <xm:f>'ADD COLUMN + SPARKLINES'!H269:H270</xm:f>
              <xm:sqref>Q269</xm:sqref>
            </x14:sparkline>
            <x14:sparkline>
              <xm:f>'ADD COLUMN + SPARKLINES'!H270:H271</xm:f>
              <xm:sqref>Q270</xm:sqref>
            </x14:sparkline>
            <x14:sparkline>
              <xm:f>'ADD COLUMN + SPARKLINES'!H271:H272</xm:f>
              <xm:sqref>Q271</xm:sqref>
            </x14:sparkline>
            <x14:sparkline>
              <xm:f>'ADD COLUMN + SPARKLINES'!H272:H273</xm:f>
              <xm:sqref>Q272</xm:sqref>
            </x14:sparkline>
            <x14:sparkline>
              <xm:f>'ADD COLUMN + SPARKLINES'!H273:H274</xm:f>
              <xm:sqref>Q273</xm:sqref>
            </x14:sparkline>
            <x14:sparkline>
              <xm:f>'ADD COLUMN + SPARKLINES'!H274:H275</xm:f>
              <xm:sqref>Q274</xm:sqref>
            </x14:sparkline>
            <x14:sparkline>
              <xm:f>'ADD COLUMN + SPARKLINES'!H275:H276</xm:f>
              <xm:sqref>Q275</xm:sqref>
            </x14:sparkline>
            <x14:sparkline>
              <xm:f>'ADD COLUMN + SPARKLINES'!H276:H277</xm:f>
              <xm:sqref>Q276</xm:sqref>
            </x14:sparkline>
            <x14:sparkline>
              <xm:f>'ADD COLUMN + SPARKLINES'!H277:H278</xm:f>
              <xm:sqref>Q277</xm:sqref>
            </x14:sparkline>
            <x14:sparkline>
              <xm:f>'ADD COLUMN + SPARKLINES'!H278:H279</xm:f>
              <xm:sqref>Q278</xm:sqref>
            </x14:sparkline>
            <x14:sparkline>
              <xm:f>'ADD COLUMN + SPARKLINES'!H279:H280</xm:f>
              <xm:sqref>Q279</xm:sqref>
            </x14:sparkline>
            <x14:sparkline>
              <xm:f>'ADD COLUMN + SPARKLINES'!H280:H281</xm:f>
              <xm:sqref>Q280</xm:sqref>
            </x14:sparkline>
            <x14:sparkline>
              <xm:f>'ADD COLUMN + SPARKLINES'!H281:H282</xm:f>
              <xm:sqref>Q281</xm:sqref>
            </x14:sparkline>
            <x14:sparkline>
              <xm:f>'ADD COLUMN + SPARKLINES'!H282:H283</xm:f>
              <xm:sqref>Q282</xm:sqref>
            </x14:sparkline>
            <x14:sparkline>
              <xm:f>'ADD COLUMN + SPARKLINES'!H283:H284</xm:f>
              <xm:sqref>Q283</xm:sqref>
            </x14:sparkline>
            <x14:sparkline>
              <xm:f>'ADD COLUMN + SPARKLINES'!H284:H285</xm:f>
              <xm:sqref>Q284</xm:sqref>
            </x14:sparkline>
            <x14:sparkline>
              <xm:f>'ADD COLUMN + SPARKLINES'!H285:H286</xm:f>
              <xm:sqref>Q285</xm:sqref>
            </x14:sparkline>
            <x14:sparkline>
              <xm:f>'ADD COLUMN + SPARKLINES'!H286:H287</xm:f>
              <xm:sqref>Q286</xm:sqref>
            </x14:sparkline>
            <x14:sparkline>
              <xm:f>'ADD COLUMN + SPARKLINES'!H287:H288</xm:f>
              <xm:sqref>Q287</xm:sqref>
            </x14:sparkline>
            <x14:sparkline>
              <xm:f>'ADD COLUMN + SPARKLINES'!H288:H289</xm:f>
              <xm:sqref>Q288</xm:sqref>
            </x14:sparkline>
            <x14:sparkline>
              <xm:f>'ADD COLUMN + SPARKLINES'!H289:H290</xm:f>
              <xm:sqref>Q289</xm:sqref>
            </x14:sparkline>
            <x14:sparkline>
              <xm:f>'ADD COLUMN + SPARKLINES'!H290:H291</xm:f>
              <xm:sqref>Q290</xm:sqref>
            </x14:sparkline>
            <x14:sparkline>
              <xm:f>'ADD COLUMN + SPARKLINES'!H291:H292</xm:f>
              <xm:sqref>Q291</xm:sqref>
            </x14:sparkline>
            <x14:sparkline>
              <xm:f>'ADD COLUMN + SPARKLINES'!H292:H293</xm:f>
              <xm:sqref>Q292</xm:sqref>
            </x14:sparkline>
            <x14:sparkline>
              <xm:f>'ADD COLUMN + SPARKLINES'!H293:H294</xm:f>
              <xm:sqref>Q293</xm:sqref>
            </x14:sparkline>
            <x14:sparkline>
              <xm:f>'ADD COLUMN + SPARKLINES'!H294:H295</xm:f>
              <xm:sqref>Q294</xm:sqref>
            </x14:sparkline>
            <x14:sparkline>
              <xm:f>'ADD COLUMN + SPARKLINES'!H295:H296</xm:f>
              <xm:sqref>Q295</xm:sqref>
            </x14:sparkline>
            <x14:sparkline>
              <xm:f>'ADD COLUMN + SPARKLINES'!H296:H297</xm:f>
              <xm:sqref>Q296</xm:sqref>
            </x14:sparkline>
            <x14:sparkline>
              <xm:f>'ADD COLUMN + SPARKLINES'!H297:H298</xm:f>
              <xm:sqref>Q297</xm:sqref>
            </x14:sparkline>
            <x14:sparkline>
              <xm:f>'ADD COLUMN + SPARKLINES'!H298:H299</xm:f>
              <xm:sqref>Q298</xm:sqref>
            </x14:sparkline>
            <x14:sparkline>
              <xm:f>'ADD COLUMN + SPARKLINES'!H299:H300</xm:f>
              <xm:sqref>Q299</xm:sqref>
            </x14:sparkline>
            <x14:sparkline>
              <xm:f>'ADD COLUMN + SPARKLINES'!H300:H301</xm:f>
              <xm:sqref>Q300</xm:sqref>
            </x14:sparkline>
            <x14:sparkline>
              <xm:f>'ADD COLUMN + SPARKLINES'!H301:H302</xm:f>
              <xm:sqref>Q301</xm:sqref>
            </x14:sparkline>
            <x14:sparkline>
              <xm:f>'ADD COLUMN + SPARKLINES'!H302:H303</xm:f>
              <xm:sqref>Q302</xm:sqref>
            </x14:sparkline>
            <x14:sparkline>
              <xm:f>'ADD COLUMN + SPARKLINES'!H303:H304</xm:f>
              <xm:sqref>Q303</xm:sqref>
            </x14:sparkline>
            <x14:sparkline>
              <xm:f>'ADD COLUMN + SPARKLINES'!H304:H305</xm:f>
              <xm:sqref>Q304</xm:sqref>
            </x14:sparkline>
            <x14:sparkline>
              <xm:f>'ADD COLUMN + SPARKLINES'!H305:H306</xm:f>
              <xm:sqref>Q305</xm:sqref>
            </x14:sparkline>
            <x14:sparkline>
              <xm:f>'ADD COLUMN + SPARKLINES'!H306:H307</xm:f>
              <xm:sqref>Q306</xm:sqref>
            </x14:sparkline>
            <x14:sparkline>
              <xm:f>'ADD COLUMN + SPARKLINES'!H307:H308</xm:f>
              <xm:sqref>Q307</xm:sqref>
            </x14:sparkline>
            <x14:sparkline>
              <xm:f>'ADD COLUMN + SPARKLINES'!H308:H309</xm:f>
              <xm:sqref>Q308</xm:sqref>
            </x14:sparkline>
            <x14:sparkline>
              <xm:f>'ADD COLUMN + SPARKLINES'!H309:H310</xm:f>
              <xm:sqref>Q309</xm:sqref>
            </x14:sparkline>
            <x14:sparkline>
              <xm:f>'ADD COLUMN + SPARKLINES'!H310:H311</xm:f>
              <xm:sqref>Q310</xm:sqref>
            </x14:sparkline>
            <x14:sparkline>
              <xm:f>'ADD COLUMN + SPARKLINES'!H311:H312</xm:f>
              <xm:sqref>Q311</xm:sqref>
            </x14:sparkline>
            <x14:sparkline>
              <xm:f>'ADD COLUMN + SPARKLINES'!H312:H313</xm:f>
              <xm:sqref>Q312</xm:sqref>
            </x14:sparkline>
            <x14:sparkline>
              <xm:f>'ADD COLUMN + SPARKLINES'!H313:H314</xm:f>
              <xm:sqref>Q313</xm:sqref>
            </x14:sparkline>
            <x14:sparkline>
              <xm:f>'ADD COLUMN + SPARKLINES'!H314:H315</xm:f>
              <xm:sqref>Q314</xm:sqref>
            </x14:sparkline>
            <x14:sparkline>
              <xm:f>'ADD COLUMN + SPARKLINES'!H315:H316</xm:f>
              <xm:sqref>Q315</xm:sqref>
            </x14:sparkline>
            <x14:sparkline>
              <xm:f>'ADD COLUMN + SPARKLINES'!H316:H317</xm:f>
              <xm:sqref>Q316</xm:sqref>
            </x14:sparkline>
            <x14:sparkline>
              <xm:f>'ADD COLUMN + SPARKLINES'!H317:H318</xm:f>
              <xm:sqref>Q317</xm:sqref>
            </x14:sparkline>
            <x14:sparkline>
              <xm:f>'ADD COLUMN + SPARKLINES'!H318:H319</xm:f>
              <xm:sqref>Q318</xm:sqref>
            </x14:sparkline>
            <x14:sparkline>
              <xm:f>'ADD COLUMN + SPARKLINES'!H319:H320</xm:f>
              <xm:sqref>Q319</xm:sqref>
            </x14:sparkline>
            <x14:sparkline>
              <xm:f>'ADD COLUMN + SPARKLINES'!H320:H321</xm:f>
              <xm:sqref>Q320</xm:sqref>
            </x14:sparkline>
            <x14:sparkline>
              <xm:f>'ADD COLUMN + SPARKLINES'!H321:H322</xm:f>
              <xm:sqref>Q321</xm:sqref>
            </x14:sparkline>
            <x14:sparkline>
              <xm:f>'ADD COLUMN + SPARKLINES'!H322:H323</xm:f>
              <xm:sqref>Q322</xm:sqref>
            </x14:sparkline>
            <x14:sparkline>
              <xm:f>'ADD COLUMN + SPARKLINES'!H323:H324</xm:f>
              <xm:sqref>Q323</xm:sqref>
            </x14:sparkline>
            <x14:sparkline>
              <xm:f>'ADD COLUMN + SPARKLINES'!H324:H325</xm:f>
              <xm:sqref>Q324</xm:sqref>
            </x14:sparkline>
            <x14:sparkline>
              <xm:f>'ADD COLUMN + SPARKLINES'!H325:H326</xm:f>
              <xm:sqref>Q325</xm:sqref>
            </x14:sparkline>
            <x14:sparkline>
              <xm:f>'ADD COLUMN + SPARKLINES'!H326:H327</xm:f>
              <xm:sqref>Q326</xm:sqref>
            </x14:sparkline>
            <x14:sparkline>
              <xm:f>'ADD COLUMN + SPARKLINES'!H327:H328</xm:f>
              <xm:sqref>Q327</xm:sqref>
            </x14:sparkline>
            <x14:sparkline>
              <xm:f>'ADD COLUMN + SPARKLINES'!H328:H329</xm:f>
              <xm:sqref>Q328</xm:sqref>
            </x14:sparkline>
            <x14:sparkline>
              <xm:f>'ADD COLUMN + SPARKLINES'!H329:H330</xm:f>
              <xm:sqref>Q329</xm:sqref>
            </x14:sparkline>
            <x14:sparkline>
              <xm:f>'ADD COLUMN + SPARKLINES'!H330:H331</xm:f>
              <xm:sqref>Q330</xm:sqref>
            </x14:sparkline>
            <x14:sparkline>
              <xm:f>'ADD COLUMN + SPARKLINES'!H331:H332</xm:f>
              <xm:sqref>Q331</xm:sqref>
            </x14:sparkline>
            <x14:sparkline>
              <xm:f>'ADD COLUMN + SPARKLINES'!H332:H333</xm:f>
              <xm:sqref>Q332</xm:sqref>
            </x14:sparkline>
            <x14:sparkline>
              <xm:f>'ADD COLUMN + SPARKLINES'!H333:H334</xm:f>
              <xm:sqref>Q333</xm:sqref>
            </x14:sparkline>
            <x14:sparkline>
              <xm:f>'ADD COLUMN + SPARKLINES'!H334:H335</xm:f>
              <xm:sqref>Q334</xm:sqref>
            </x14:sparkline>
            <x14:sparkline>
              <xm:f>'ADD COLUMN + SPARKLINES'!H335:H336</xm:f>
              <xm:sqref>Q335</xm:sqref>
            </x14:sparkline>
            <x14:sparkline>
              <xm:f>'ADD COLUMN + SPARKLINES'!H336:H337</xm:f>
              <xm:sqref>Q336</xm:sqref>
            </x14:sparkline>
            <x14:sparkline>
              <xm:f>'ADD COLUMN + SPARKLINES'!H337:H338</xm:f>
              <xm:sqref>Q337</xm:sqref>
            </x14:sparkline>
            <x14:sparkline>
              <xm:f>'ADD COLUMN + SPARKLINES'!H338:H339</xm:f>
              <xm:sqref>Q338</xm:sqref>
            </x14:sparkline>
            <x14:sparkline>
              <xm:f>'ADD COLUMN + SPARKLINES'!H339:H340</xm:f>
              <xm:sqref>Q339</xm:sqref>
            </x14:sparkline>
            <x14:sparkline>
              <xm:f>'ADD COLUMN + SPARKLINES'!H340:H341</xm:f>
              <xm:sqref>Q340</xm:sqref>
            </x14:sparkline>
            <x14:sparkline>
              <xm:f>'ADD COLUMN + SPARKLINES'!H341:H342</xm:f>
              <xm:sqref>Q341</xm:sqref>
            </x14:sparkline>
            <x14:sparkline>
              <xm:f>'ADD COLUMN + SPARKLINES'!H342:H343</xm:f>
              <xm:sqref>Q342</xm:sqref>
            </x14:sparkline>
            <x14:sparkline>
              <xm:f>'ADD COLUMN + SPARKLINES'!H343:H344</xm:f>
              <xm:sqref>Q343</xm:sqref>
            </x14:sparkline>
            <x14:sparkline>
              <xm:f>'ADD COLUMN + SPARKLINES'!H344:H345</xm:f>
              <xm:sqref>Q344</xm:sqref>
            </x14:sparkline>
            <x14:sparkline>
              <xm:f>'ADD COLUMN + SPARKLINES'!H345:H346</xm:f>
              <xm:sqref>Q345</xm:sqref>
            </x14:sparkline>
            <x14:sparkline>
              <xm:f>'ADD COLUMN + SPARKLINES'!H346:H347</xm:f>
              <xm:sqref>Q346</xm:sqref>
            </x14:sparkline>
            <x14:sparkline>
              <xm:f>'ADD COLUMN + SPARKLINES'!H347:H348</xm:f>
              <xm:sqref>Q347</xm:sqref>
            </x14:sparkline>
            <x14:sparkline>
              <xm:f>'ADD COLUMN + SPARKLINES'!H348:H349</xm:f>
              <xm:sqref>Q348</xm:sqref>
            </x14:sparkline>
            <x14:sparkline>
              <xm:f>'ADD COLUMN + SPARKLINES'!H349:H350</xm:f>
              <xm:sqref>Q349</xm:sqref>
            </x14:sparkline>
            <x14:sparkline>
              <xm:f>'ADD COLUMN + SPARKLINES'!H350:H351</xm:f>
              <xm:sqref>Q350</xm:sqref>
            </x14:sparkline>
            <x14:sparkline>
              <xm:f>'ADD COLUMN + SPARKLINES'!H351:H352</xm:f>
              <xm:sqref>Q351</xm:sqref>
            </x14:sparkline>
            <x14:sparkline>
              <xm:f>'ADD COLUMN + SPARKLINES'!H352:H353</xm:f>
              <xm:sqref>Q352</xm:sqref>
            </x14:sparkline>
            <x14:sparkline>
              <xm:f>'ADD COLUMN + SPARKLINES'!H353:H354</xm:f>
              <xm:sqref>Q353</xm:sqref>
            </x14:sparkline>
            <x14:sparkline>
              <xm:f>'ADD COLUMN + SPARKLINES'!H354:H355</xm:f>
              <xm:sqref>Q354</xm:sqref>
            </x14:sparkline>
            <x14:sparkline>
              <xm:f>'ADD COLUMN + SPARKLINES'!H355:H356</xm:f>
              <xm:sqref>Q355</xm:sqref>
            </x14:sparkline>
            <x14:sparkline>
              <xm:f>'ADD COLUMN + SPARKLINES'!H356:H357</xm:f>
              <xm:sqref>Q356</xm:sqref>
            </x14:sparkline>
            <x14:sparkline>
              <xm:f>'ADD COLUMN + SPARKLINES'!H357:H358</xm:f>
              <xm:sqref>Q357</xm:sqref>
            </x14:sparkline>
            <x14:sparkline>
              <xm:f>'ADD COLUMN + SPARKLINES'!H358:H359</xm:f>
              <xm:sqref>Q358</xm:sqref>
            </x14:sparkline>
            <x14:sparkline>
              <xm:f>'ADD COLUMN + SPARKLINES'!H359:H360</xm:f>
              <xm:sqref>Q359</xm:sqref>
            </x14:sparkline>
            <x14:sparkline>
              <xm:f>'ADD COLUMN + SPARKLINES'!H360:H361</xm:f>
              <xm:sqref>Q360</xm:sqref>
            </x14:sparkline>
            <x14:sparkline>
              <xm:f>'ADD COLUMN + SPARKLINES'!H361:H362</xm:f>
              <xm:sqref>Q361</xm:sqref>
            </x14:sparkline>
            <x14:sparkline>
              <xm:f>'ADD COLUMN + SPARKLINES'!H362:H363</xm:f>
              <xm:sqref>Q362</xm:sqref>
            </x14:sparkline>
            <x14:sparkline>
              <xm:f>'ADD COLUMN + SPARKLINES'!H363:H364</xm:f>
              <xm:sqref>Q363</xm:sqref>
            </x14:sparkline>
            <x14:sparkline>
              <xm:f>'ADD COLUMN + SPARKLINES'!H364:H365</xm:f>
              <xm:sqref>Q364</xm:sqref>
            </x14:sparkline>
            <x14:sparkline>
              <xm:f>'ADD COLUMN + SPARKLINES'!H365:H366</xm:f>
              <xm:sqref>Q365</xm:sqref>
            </x14:sparkline>
            <x14:sparkline>
              <xm:f>'ADD COLUMN + SPARKLINES'!H366:H367</xm:f>
              <xm:sqref>Q366</xm:sqref>
            </x14:sparkline>
            <x14:sparkline>
              <xm:f>'ADD COLUMN + SPARKLINES'!H367:H368</xm:f>
              <xm:sqref>Q367</xm:sqref>
            </x14:sparkline>
            <x14:sparkline>
              <xm:f>'ADD COLUMN + SPARKLINES'!H368:H369</xm:f>
              <xm:sqref>Q368</xm:sqref>
            </x14:sparkline>
            <x14:sparkline>
              <xm:f>'ADD COLUMN + SPARKLINES'!H369:H370</xm:f>
              <xm:sqref>Q369</xm:sqref>
            </x14:sparkline>
            <x14:sparkline>
              <xm:f>'ADD COLUMN + SPARKLINES'!H370:H371</xm:f>
              <xm:sqref>Q370</xm:sqref>
            </x14:sparkline>
            <x14:sparkline>
              <xm:f>'ADD COLUMN + SPARKLINES'!H371:H372</xm:f>
              <xm:sqref>Q371</xm:sqref>
            </x14:sparkline>
            <x14:sparkline>
              <xm:f>'ADD COLUMN + SPARKLINES'!H372:H373</xm:f>
              <xm:sqref>Q372</xm:sqref>
            </x14:sparkline>
            <x14:sparkline>
              <xm:f>'ADD COLUMN + SPARKLINES'!H373:H374</xm:f>
              <xm:sqref>Q373</xm:sqref>
            </x14:sparkline>
            <x14:sparkline>
              <xm:f>'ADD COLUMN + SPARKLINES'!H374:H375</xm:f>
              <xm:sqref>Q374</xm:sqref>
            </x14:sparkline>
            <x14:sparkline>
              <xm:f>'ADD COLUMN + SPARKLINES'!H375:H376</xm:f>
              <xm:sqref>Q375</xm:sqref>
            </x14:sparkline>
            <x14:sparkline>
              <xm:f>'ADD COLUMN + SPARKLINES'!H376:H377</xm:f>
              <xm:sqref>Q376</xm:sqref>
            </x14:sparkline>
            <x14:sparkline>
              <xm:f>'ADD COLUMN + SPARKLINES'!H377:H378</xm:f>
              <xm:sqref>Q377</xm:sqref>
            </x14:sparkline>
            <x14:sparkline>
              <xm:f>'ADD COLUMN + SPARKLINES'!H378:H379</xm:f>
              <xm:sqref>Q378</xm:sqref>
            </x14:sparkline>
            <x14:sparkline>
              <xm:f>'ADD COLUMN + SPARKLINES'!H379:H380</xm:f>
              <xm:sqref>Q379</xm:sqref>
            </x14:sparkline>
            <x14:sparkline>
              <xm:f>'ADD COLUMN + SPARKLINES'!H380:H381</xm:f>
              <xm:sqref>Q380</xm:sqref>
            </x14:sparkline>
            <x14:sparkline>
              <xm:f>'ADD COLUMN + SPARKLINES'!H381:H382</xm:f>
              <xm:sqref>Q381</xm:sqref>
            </x14:sparkline>
            <x14:sparkline>
              <xm:f>'ADD COLUMN + SPARKLINES'!H382:H383</xm:f>
              <xm:sqref>Q382</xm:sqref>
            </x14:sparkline>
            <x14:sparkline>
              <xm:f>'ADD COLUMN + SPARKLINES'!H383:H384</xm:f>
              <xm:sqref>Q383</xm:sqref>
            </x14:sparkline>
            <x14:sparkline>
              <xm:f>'ADD COLUMN + SPARKLINES'!H384:H385</xm:f>
              <xm:sqref>Q384</xm:sqref>
            </x14:sparkline>
            <x14:sparkline>
              <xm:f>'ADD COLUMN + SPARKLINES'!H385:H386</xm:f>
              <xm:sqref>Q385</xm:sqref>
            </x14:sparkline>
            <x14:sparkline>
              <xm:f>'ADD COLUMN + SPARKLINES'!H386:H387</xm:f>
              <xm:sqref>Q386</xm:sqref>
            </x14:sparkline>
            <x14:sparkline>
              <xm:f>'ADD COLUMN + SPARKLINES'!H387:H388</xm:f>
              <xm:sqref>Q387</xm:sqref>
            </x14:sparkline>
            <x14:sparkline>
              <xm:f>'ADD COLUMN + SPARKLINES'!H388:H389</xm:f>
              <xm:sqref>Q388</xm:sqref>
            </x14:sparkline>
            <x14:sparkline>
              <xm:f>'ADD COLUMN + SPARKLINES'!H389:H390</xm:f>
              <xm:sqref>Q389</xm:sqref>
            </x14:sparkline>
            <x14:sparkline>
              <xm:f>'ADD COLUMN + SPARKLINES'!H390:H391</xm:f>
              <xm:sqref>Q390</xm:sqref>
            </x14:sparkline>
            <x14:sparkline>
              <xm:f>'ADD COLUMN + SPARKLINES'!H391:H392</xm:f>
              <xm:sqref>Q391</xm:sqref>
            </x14:sparkline>
            <x14:sparkline>
              <xm:f>'ADD COLUMN + SPARKLINES'!H392:H393</xm:f>
              <xm:sqref>Q392</xm:sqref>
            </x14:sparkline>
            <x14:sparkline>
              <xm:f>'ADD COLUMN + SPARKLINES'!H393:H394</xm:f>
              <xm:sqref>Q393</xm:sqref>
            </x14:sparkline>
            <x14:sparkline>
              <xm:f>'ADD COLUMN + SPARKLINES'!H394:H395</xm:f>
              <xm:sqref>Q394</xm:sqref>
            </x14:sparkline>
            <x14:sparkline>
              <xm:f>'ADD COLUMN + SPARKLINES'!H395:H396</xm:f>
              <xm:sqref>Q395</xm:sqref>
            </x14:sparkline>
            <x14:sparkline>
              <xm:f>'ADD COLUMN + SPARKLINES'!H396:H397</xm:f>
              <xm:sqref>Q396</xm:sqref>
            </x14:sparkline>
            <x14:sparkline>
              <xm:f>'ADD COLUMN + SPARKLINES'!H397:H398</xm:f>
              <xm:sqref>Q397</xm:sqref>
            </x14:sparkline>
            <x14:sparkline>
              <xm:f>'ADD COLUMN + SPARKLINES'!H398:H399</xm:f>
              <xm:sqref>Q398</xm:sqref>
            </x14:sparkline>
            <x14:sparkline>
              <xm:f>'ADD COLUMN + SPARKLINES'!H399:H400</xm:f>
              <xm:sqref>Q399</xm:sqref>
            </x14:sparkline>
            <x14:sparkline>
              <xm:f>'ADD COLUMN + SPARKLINES'!H400:H401</xm:f>
              <xm:sqref>Q400</xm:sqref>
            </x14:sparkline>
            <x14:sparkline>
              <xm:f>'ADD COLUMN + SPARKLINES'!H401:H402</xm:f>
              <xm:sqref>Q401</xm:sqref>
            </x14:sparkline>
            <x14:sparkline>
              <xm:f>'ADD COLUMN + SPARKLINES'!H402:H403</xm:f>
              <xm:sqref>Q402</xm:sqref>
            </x14:sparkline>
            <x14:sparkline>
              <xm:f>'ADD COLUMN + SPARKLINES'!H403:H404</xm:f>
              <xm:sqref>Q403</xm:sqref>
            </x14:sparkline>
            <x14:sparkline>
              <xm:f>'ADD COLUMN + SPARKLINES'!H404:H405</xm:f>
              <xm:sqref>Q404</xm:sqref>
            </x14:sparkline>
            <x14:sparkline>
              <xm:f>'ADD COLUMN + SPARKLINES'!H405:H406</xm:f>
              <xm:sqref>Q405</xm:sqref>
            </x14:sparkline>
            <x14:sparkline>
              <xm:f>'ADD COLUMN + SPARKLINES'!H406:H407</xm:f>
              <xm:sqref>Q406</xm:sqref>
            </x14:sparkline>
            <x14:sparkline>
              <xm:f>'ADD COLUMN + SPARKLINES'!H407:H408</xm:f>
              <xm:sqref>Q407</xm:sqref>
            </x14:sparkline>
            <x14:sparkline>
              <xm:f>'ADD COLUMN + SPARKLINES'!H408:H409</xm:f>
              <xm:sqref>Q408</xm:sqref>
            </x14:sparkline>
            <x14:sparkline>
              <xm:f>'ADD COLUMN + SPARKLINES'!H409:H410</xm:f>
              <xm:sqref>Q409</xm:sqref>
            </x14:sparkline>
            <x14:sparkline>
              <xm:f>'ADD COLUMN + SPARKLINES'!H410:H411</xm:f>
              <xm:sqref>Q410</xm:sqref>
            </x14:sparkline>
            <x14:sparkline>
              <xm:f>'ADD COLUMN + SPARKLINES'!H411:H412</xm:f>
              <xm:sqref>Q411</xm:sqref>
            </x14:sparkline>
            <x14:sparkline>
              <xm:f>'ADD COLUMN + SPARKLINES'!H412:H413</xm:f>
              <xm:sqref>Q412</xm:sqref>
            </x14:sparkline>
            <x14:sparkline>
              <xm:f>'ADD COLUMN + SPARKLINES'!H413:H414</xm:f>
              <xm:sqref>Q413</xm:sqref>
            </x14:sparkline>
            <x14:sparkline>
              <xm:f>'ADD COLUMN + SPARKLINES'!H414:H415</xm:f>
              <xm:sqref>Q414</xm:sqref>
            </x14:sparkline>
            <x14:sparkline>
              <xm:f>'ADD COLUMN + SPARKLINES'!H415:H416</xm:f>
              <xm:sqref>Q415</xm:sqref>
            </x14:sparkline>
            <x14:sparkline>
              <xm:f>'ADD COLUMN + SPARKLINES'!H416:H417</xm:f>
              <xm:sqref>Q416</xm:sqref>
            </x14:sparkline>
            <x14:sparkline>
              <xm:f>'ADD COLUMN + SPARKLINES'!H417:H418</xm:f>
              <xm:sqref>Q417</xm:sqref>
            </x14:sparkline>
            <x14:sparkline>
              <xm:f>'ADD COLUMN + SPARKLINES'!H418:H419</xm:f>
              <xm:sqref>Q418</xm:sqref>
            </x14:sparkline>
            <x14:sparkline>
              <xm:f>'ADD COLUMN + SPARKLINES'!H419:H420</xm:f>
              <xm:sqref>Q419</xm:sqref>
            </x14:sparkline>
            <x14:sparkline>
              <xm:f>'ADD COLUMN + SPARKLINES'!H420:H421</xm:f>
              <xm:sqref>Q420</xm:sqref>
            </x14:sparkline>
            <x14:sparkline>
              <xm:f>'ADD COLUMN + SPARKLINES'!H421:H422</xm:f>
              <xm:sqref>Q421</xm:sqref>
            </x14:sparkline>
            <x14:sparkline>
              <xm:f>'ADD COLUMN + SPARKLINES'!H422:H423</xm:f>
              <xm:sqref>Q422</xm:sqref>
            </x14:sparkline>
            <x14:sparkline>
              <xm:f>'ADD COLUMN + SPARKLINES'!H423:H424</xm:f>
              <xm:sqref>Q423</xm:sqref>
            </x14:sparkline>
            <x14:sparkline>
              <xm:f>'ADD COLUMN + SPARKLINES'!H424:H425</xm:f>
              <xm:sqref>Q424</xm:sqref>
            </x14:sparkline>
            <x14:sparkline>
              <xm:f>'ADD COLUMN + SPARKLINES'!H425:H426</xm:f>
              <xm:sqref>Q425</xm:sqref>
            </x14:sparkline>
            <x14:sparkline>
              <xm:f>'ADD COLUMN + SPARKLINES'!H426:H427</xm:f>
              <xm:sqref>Q426</xm:sqref>
            </x14:sparkline>
            <x14:sparkline>
              <xm:f>'ADD COLUMN + SPARKLINES'!H427:H428</xm:f>
              <xm:sqref>Q427</xm:sqref>
            </x14:sparkline>
            <x14:sparkline>
              <xm:f>'ADD COLUMN + SPARKLINES'!H428:H429</xm:f>
              <xm:sqref>Q428</xm:sqref>
            </x14:sparkline>
            <x14:sparkline>
              <xm:f>'ADD COLUMN + SPARKLINES'!H429:H430</xm:f>
              <xm:sqref>Q429</xm:sqref>
            </x14:sparkline>
            <x14:sparkline>
              <xm:f>'ADD COLUMN + SPARKLINES'!H430:H431</xm:f>
              <xm:sqref>Q430</xm:sqref>
            </x14:sparkline>
            <x14:sparkline>
              <xm:f>'ADD COLUMN + SPARKLINES'!H431:H432</xm:f>
              <xm:sqref>Q431</xm:sqref>
            </x14:sparkline>
            <x14:sparkline>
              <xm:f>'ADD COLUMN + SPARKLINES'!H432:H433</xm:f>
              <xm:sqref>Q432</xm:sqref>
            </x14:sparkline>
            <x14:sparkline>
              <xm:f>'ADD COLUMN + SPARKLINES'!H433:H434</xm:f>
              <xm:sqref>Q433</xm:sqref>
            </x14:sparkline>
            <x14:sparkline>
              <xm:f>'ADD COLUMN + SPARKLINES'!H434:H435</xm:f>
              <xm:sqref>Q434</xm:sqref>
            </x14:sparkline>
            <x14:sparkline>
              <xm:f>'ADD COLUMN + SPARKLINES'!H435:H436</xm:f>
              <xm:sqref>Q435</xm:sqref>
            </x14:sparkline>
            <x14:sparkline>
              <xm:f>'ADD COLUMN + SPARKLINES'!H436:H437</xm:f>
              <xm:sqref>Q436</xm:sqref>
            </x14:sparkline>
            <x14:sparkline>
              <xm:f>'ADD COLUMN + SPARKLINES'!H437:H438</xm:f>
              <xm:sqref>Q437</xm:sqref>
            </x14:sparkline>
            <x14:sparkline>
              <xm:f>'ADD COLUMN + SPARKLINES'!H438:H439</xm:f>
              <xm:sqref>Q438</xm:sqref>
            </x14:sparkline>
            <x14:sparkline>
              <xm:f>'ADD COLUMN + SPARKLINES'!H439:H440</xm:f>
              <xm:sqref>Q439</xm:sqref>
            </x14:sparkline>
            <x14:sparkline>
              <xm:f>'ADD COLUMN + SPARKLINES'!H440:H441</xm:f>
              <xm:sqref>Q440</xm:sqref>
            </x14:sparkline>
            <x14:sparkline>
              <xm:f>'ADD COLUMN + SPARKLINES'!H441:H442</xm:f>
              <xm:sqref>Q441</xm:sqref>
            </x14:sparkline>
            <x14:sparkline>
              <xm:f>'ADD COLUMN + SPARKLINES'!H442:H443</xm:f>
              <xm:sqref>Q442</xm:sqref>
            </x14:sparkline>
            <x14:sparkline>
              <xm:f>'ADD COLUMN + SPARKLINES'!H443:H444</xm:f>
              <xm:sqref>Q443</xm:sqref>
            </x14:sparkline>
            <x14:sparkline>
              <xm:f>'ADD COLUMN + SPARKLINES'!H444:H445</xm:f>
              <xm:sqref>Q444</xm:sqref>
            </x14:sparkline>
            <x14:sparkline>
              <xm:f>'ADD COLUMN + SPARKLINES'!H445:H446</xm:f>
              <xm:sqref>Q445</xm:sqref>
            </x14:sparkline>
            <x14:sparkline>
              <xm:f>'ADD COLUMN + SPARKLINES'!H446:H447</xm:f>
              <xm:sqref>Q446</xm:sqref>
            </x14:sparkline>
            <x14:sparkline>
              <xm:f>'ADD COLUMN + SPARKLINES'!H447:H448</xm:f>
              <xm:sqref>Q447</xm:sqref>
            </x14:sparkline>
            <x14:sparkline>
              <xm:f>'ADD COLUMN + SPARKLINES'!H448:H449</xm:f>
              <xm:sqref>Q448</xm:sqref>
            </x14:sparkline>
            <x14:sparkline>
              <xm:f>'ADD COLUMN + SPARKLINES'!H449:H450</xm:f>
              <xm:sqref>Q449</xm:sqref>
            </x14:sparkline>
            <x14:sparkline>
              <xm:f>'ADD COLUMN + SPARKLINES'!H450:H451</xm:f>
              <xm:sqref>Q450</xm:sqref>
            </x14:sparkline>
            <x14:sparkline>
              <xm:f>'ADD COLUMN + SPARKLINES'!H451:H452</xm:f>
              <xm:sqref>Q451</xm:sqref>
            </x14:sparkline>
            <x14:sparkline>
              <xm:f>'ADD COLUMN + SPARKLINES'!H452:H453</xm:f>
              <xm:sqref>Q452</xm:sqref>
            </x14:sparkline>
            <x14:sparkline>
              <xm:f>'ADD COLUMN + SPARKLINES'!H453:H454</xm:f>
              <xm:sqref>Q453</xm:sqref>
            </x14:sparkline>
            <x14:sparkline>
              <xm:f>'ADD COLUMN + SPARKLINES'!H454:H455</xm:f>
              <xm:sqref>Q454</xm:sqref>
            </x14:sparkline>
            <x14:sparkline>
              <xm:f>'ADD COLUMN + SPARKLINES'!H455:H456</xm:f>
              <xm:sqref>Q455</xm:sqref>
            </x14:sparkline>
            <x14:sparkline>
              <xm:f>'ADD COLUMN + SPARKLINES'!H456:H457</xm:f>
              <xm:sqref>Q456</xm:sqref>
            </x14:sparkline>
            <x14:sparkline>
              <xm:f>'ADD COLUMN + SPARKLINES'!H457:H458</xm:f>
              <xm:sqref>Q457</xm:sqref>
            </x14:sparkline>
            <x14:sparkline>
              <xm:f>'ADD COLUMN + SPARKLINES'!H458:H459</xm:f>
              <xm:sqref>Q458</xm:sqref>
            </x14:sparkline>
            <x14:sparkline>
              <xm:f>'ADD COLUMN + SPARKLINES'!H459:H460</xm:f>
              <xm:sqref>Q459</xm:sqref>
            </x14:sparkline>
            <x14:sparkline>
              <xm:f>'ADD COLUMN + SPARKLINES'!H460:H461</xm:f>
              <xm:sqref>Q460</xm:sqref>
            </x14:sparkline>
            <x14:sparkline>
              <xm:f>'ADD COLUMN + SPARKLINES'!H461:H462</xm:f>
              <xm:sqref>Q461</xm:sqref>
            </x14:sparkline>
            <x14:sparkline>
              <xm:f>'ADD COLUMN + SPARKLINES'!H462:H463</xm:f>
              <xm:sqref>Q462</xm:sqref>
            </x14:sparkline>
            <x14:sparkline>
              <xm:f>'ADD COLUMN + SPARKLINES'!H463:H464</xm:f>
              <xm:sqref>Q463</xm:sqref>
            </x14:sparkline>
            <x14:sparkline>
              <xm:f>'ADD COLUMN + SPARKLINES'!H464:H465</xm:f>
              <xm:sqref>Q464</xm:sqref>
            </x14:sparkline>
            <x14:sparkline>
              <xm:f>'ADD COLUMN + SPARKLINES'!H465:H466</xm:f>
              <xm:sqref>Q465</xm:sqref>
            </x14:sparkline>
            <x14:sparkline>
              <xm:f>'ADD COLUMN + SPARKLINES'!H466:H467</xm:f>
              <xm:sqref>Q466</xm:sqref>
            </x14:sparkline>
            <x14:sparkline>
              <xm:f>'ADD COLUMN + SPARKLINES'!H467:H468</xm:f>
              <xm:sqref>Q467</xm:sqref>
            </x14:sparkline>
            <x14:sparkline>
              <xm:f>'ADD COLUMN + SPARKLINES'!H468:H469</xm:f>
              <xm:sqref>Q468</xm:sqref>
            </x14:sparkline>
            <x14:sparkline>
              <xm:f>'ADD COLUMN + SPARKLINES'!H469:H470</xm:f>
              <xm:sqref>Q469</xm:sqref>
            </x14:sparkline>
            <x14:sparkline>
              <xm:f>'ADD COLUMN + SPARKLINES'!H470:H471</xm:f>
              <xm:sqref>Q470</xm:sqref>
            </x14:sparkline>
            <x14:sparkline>
              <xm:f>'ADD COLUMN + SPARKLINES'!H471:H472</xm:f>
              <xm:sqref>Q471</xm:sqref>
            </x14:sparkline>
            <x14:sparkline>
              <xm:f>'ADD COLUMN + SPARKLINES'!H472:H473</xm:f>
              <xm:sqref>Q472</xm:sqref>
            </x14:sparkline>
            <x14:sparkline>
              <xm:f>'ADD COLUMN + SPARKLINES'!H473:H474</xm:f>
              <xm:sqref>Q473</xm:sqref>
            </x14:sparkline>
            <x14:sparkline>
              <xm:f>'ADD COLUMN + SPARKLINES'!H474:H475</xm:f>
              <xm:sqref>Q474</xm:sqref>
            </x14:sparkline>
            <x14:sparkline>
              <xm:f>'ADD COLUMN + SPARKLINES'!H475:H476</xm:f>
              <xm:sqref>Q475</xm:sqref>
            </x14:sparkline>
            <x14:sparkline>
              <xm:f>'ADD COLUMN + SPARKLINES'!H476:H477</xm:f>
              <xm:sqref>Q476</xm:sqref>
            </x14:sparkline>
            <x14:sparkline>
              <xm:f>'ADD COLUMN + SPARKLINES'!H477:H478</xm:f>
              <xm:sqref>Q477</xm:sqref>
            </x14:sparkline>
            <x14:sparkline>
              <xm:f>'ADD COLUMN + SPARKLINES'!H478:H479</xm:f>
              <xm:sqref>Q478</xm:sqref>
            </x14:sparkline>
            <x14:sparkline>
              <xm:f>'ADD COLUMN + SPARKLINES'!H479:H480</xm:f>
              <xm:sqref>Q479</xm:sqref>
            </x14:sparkline>
            <x14:sparkline>
              <xm:f>'ADD COLUMN + SPARKLINES'!H480:H481</xm:f>
              <xm:sqref>Q480</xm:sqref>
            </x14:sparkline>
            <x14:sparkline>
              <xm:f>'ADD COLUMN + SPARKLINES'!H481:H482</xm:f>
              <xm:sqref>Q481</xm:sqref>
            </x14:sparkline>
            <x14:sparkline>
              <xm:f>'ADD COLUMN + SPARKLINES'!H482:H483</xm:f>
              <xm:sqref>Q482</xm:sqref>
            </x14:sparkline>
            <x14:sparkline>
              <xm:f>'ADD COLUMN + SPARKLINES'!H483:H484</xm:f>
              <xm:sqref>Q483</xm:sqref>
            </x14:sparkline>
            <x14:sparkline>
              <xm:f>'ADD COLUMN + SPARKLINES'!H484:H485</xm:f>
              <xm:sqref>Q484</xm:sqref>
            </x14:sparkline>
            <x14:sparkline>
              <xm:f>'ADD COLUMN + SPARKLINES'!H485:H486</xm:f>
              <xm:sqref>Q485</xm:sqref>
            </x14:sparkline>
            <x14:sparkline>
              <xm:f>'ADD COLUMN + SPARKLINES'!H486:H487</xm:f>
              <xm:sqref>Q486</xm:sqref>
            </x14:sparkline>
            <x14:sparkline>
              <xm:f>'ADD COLUMN + SPARKLINES'!H487:H488</xm:f>
              <xm:sqref>Q487</xm:sqref>
            </x14:sparkline>
            <x14:sparkline>
              <xm:f>'ADD COLUMN + SPARKLINES'!H488:H489</xm:f>
              <xm:sqref>Q488</xm:sqref>
            </x14:sparkline>
            <x14:sparkline>
              <xm:f>'ADD COLUMN + SPARKLINES'!H489:H490</xm:f>
              <xm:sqref>Q489</xm:sqref>
            </x14:sparkline>
            <x14:sparkline>
              <xm:f>'ADD COLUMN + SPARKLINES'!H490:H491</xm:f>
              <xm:sqref>Q490</xm:sqref>
            </x14:sparkline>
            <x14:sparkline>
              <xm:f>'ADD COLUMN + SPARKLINES'!H491:H492</xm:f>
              <xm:sqref>Q491</xm:sqref>
            </x14:sparkline>
            <x14:sparkline>
              <xm:f>'ADD COLUMN + SPARKLINES'!H492:H493</xm:f>
              <xm:sqref>Q492</xm:sqref>
            </x14:sparkline>
            <x14:sparkline>
              <xm:f>'ADD COLUMN + SPARKLINES'!H493:H494</xm:f>
              <xm:sqref>Q493</xm:sqref>
            </x14:sparkline>
            <x14:sparkline>
              <xm:f>'ADD COLUMN + SPARKLINES'!H494:H495</xm:f>
              <xm:sqref>Q494</xm:sqref>
            </x14:sparkline>
            <x14:sparkline>
              <xm:f>'ADD COLUMN + SPARKLINES'!H495:H496</xm:f>
              <xm:sqref>Q495</xm:sqref>
            </x14:sparkline>
            <x14:sparkline>
              <xm:f>'ADD COLUMN + SPARKLINES'!H496:H497</xm:f>
              <xm:sqref>Q496</xm:sqref>
            </x14:sparkline>
            <x14:sparkline>
              <xm:f>'ADD COLUMN + SPARKLINES'!H497:H498</xm:f>
              <xm:sqref>Q497</xm:sqref>
            </x14:sparkline>
            <x14:sparkline>
              <xm:f>'ADD COLUMN + SPARKLINES'!H498:H499</xm:f>
              <xm:sqref>Q498</xm:sqref>
            </x14:sparkline>
            <x14:sparkline>
              <xm:f>'ADD COLUMN + SPARKLINES'!H499:H500</xm:f>
              <xm:sqref>Q499</xm:sqref>
            </x14:sparkline>
            <x14:sparkline>
              <xm:f>'ADD COLUMN + SPARKLINES'!H500:H501</xm:f>
              <xm:sqref>Q500</xm:sqref>
            </x14:sparkline>
            <x14:sparkline>
              <xm:f>'ADD COLUMN + SPARKLINES'!H501:H502</xm:f>
              <xm:sqref>Q501</xm:sqref>
            </x14:sparkline>
          </x14:sparklines>
        </x14:sparklineGroup>
        <x14:sparklineGroup type="column" displayEmptyCellsAs="gap" high="1" low="1" xr2:uid="{128A841F-5A54-44E6-AFF9-D7EF4D5A69C8}">
          <x14:colorSeries theme="1" tint="0.34998626667073579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'ADD COLUMN + SPARKLINES'!S17:S26</xm:f>
              <xm:sqref>AF16</xm:sqref>
            </x14:sparkline>
          </x14:sparklines>
        </x14:sparklineGroup>
        <x14:sparklineGroup displayEmptyCellsAs="gap" xr2:uid="{15876E43-4A3F-4306-9DA9-3652B465091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'ADD COLUMN + SPARKLINES'!AF3:AF12</xm:f>
              <xm:sqref>AH5</xm:sqref>
            </x14:sparkline>
          </x14:sparklines>
        </x14:sparklineGroup>
        <x14:sparklineGroup displayEmptyCellsAs="gap" xr2:uid="{9DFFB5D5-F160-4C61-8AC3-04CDF930909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'ADD COLUMN + SPARKLINES'!B2:B3</xm:f>
              <xm:sqref>O2</xm:sqref>
            </x14:sparkline>
            <x14:sparkline>
              <xm:f>'ADD COLUMN + SPARKLINES'!B3:B4</xm:f>
              <xm:sqref>O3</xm:sqref>
            </x14:sparkline>
            <x14:sparkline>
              <xm:f>'ADD COLUMN + SPARKLINES'!B4:B5</xm:f>
              <xm:sqref>O4</xm:sqref>
            </x14:sparkline>
            <x14:sparkline>
              <xm:f>'ADD COLUMN + SPARKLINES'!B5:B6</xm:f>
              <xm:sqref>O5</xm:sqref>
            </x14:sparkline>
            <x14:sparkline>
              <xm:f>'ADD COLUMN + SPARKLINES'!B6:B7</xm:f>
              <xm:sqref>O6</xm:sqref>
            </x14:sparkline>
            <x14:sparkline>
              <xm:f>'ADD COLUMN + SPARKLINES'!B7:B8</xm:f>
              <xm:sqref>O7</xm:sqref>
            </x14:sparkline>
            <x14:sparkline>
              <xm:f>'ADD COLUMN + SPARKLINES'!B8:B9</xm:f>
              <xm:sqref>O8</xm:sqref>
            </x14:sparkline>
            <x14:sparkline>
              <xm:f>'ADD COLUMN + SPARKLINES'!B9:B10</xm:f>
              <xm:sqref>O9</xm:sqref>
            </x14:sparkline>
            <x14:sparkline>
              <xm:f>'ADD COLUMN + SPARKLINES'!B10:B11</xm:f>
              <xm:sqref>O10</xm:sqref>
            </x14:sparkline>
            <x14:sparkline>
              <xm:f>'ADD COLUMN + SPARKLINES'!B11:B12</xm:f>
              <xm:sqref>O11</xm:sqref>
            </x14:sparkline>
            <x14:sparkline>
              <xm:f>'ADD COLUMN + SPARKLINES'!B12:B13</xm:f>
              <xm:sqref>O12</xm:sqref>
            </x14:sparkline>
            <x14:sparkline>
              <xm:f>'ADD COLUMN + SPARKLINES'!B13:B14</xm:f>
              <xm:sqref>O13</xm:sqref>
            </x14:sparkline>
            <x14:sparkline>
              <xm:f>'ADD COLUMN + SPARKLINES'!B14:B15</xm:f>
              <xm:sqref>O14</xm:sqref>
            </x14:sparkline>
            <x14:sparkline>
              <xm:f>'ADD COLUMN + SPARKLINES'!B15:B16</xm:f>
              <xm:sqref>O15</xm:sqref>
            </x14:sparkline>
            <x14:sparkline>
              <xm:f>'ADD COLUMN + SPARKLINES'!B16:B17</xm:f>
              <xm:sqref>O16</xm:sqref>
            </x14:sparkline>
            <x14:sparkline>
              <xm:f>'ADD COLUMN + SPARKLINES'!B17:B18</xm:f>
              <xm:sqref>O17</xm:sqref>
            </x14:sparkline>
            <x14:sparkline>
              <xm:f>'ADD COLUMN + SPARKLINES'!B18:B19</xm:f>
              <xm:sqref>O18</xm:sqref>
            </x14:sparkline>
            <x14:sparkline>
              <xm:f>'ADD COLUMN + SPARKLINES'!B19:B20</xm:f>
              <xm:sqref>O19</xm:sqref>
            </x14:sparkline>
            <x14:sparkline>
              <xm:f>'ADD COLUMN + SPARKLINES'!B20:B21</xm:f>
              <xm:sqref>O20</xm:sqref>
            </x14:sparkline>
            <x14:sparkline>
              <xm:f>'ADD COLUMN + SPARKLINES'!B21:B22</xm:f>
              <xm:sqref>O21</xm:sqref>
            </x14:sparkline>
            <x14:sparkline>
              <xm:f>'ADD COLUMN + SPARKLINES'!B22:B23</xm:f>
              <xm:sqref>O22</xm:sqref>
            </x14:sparkline>
            <x14:sparkline>
              <xm:f>'ADD COLUMN + SPARKLINES'!B23:B24</xm:f>
              <xm:sqref>O23</xm:sqref>
            </x14:sparkline>
            <x14:sparkline>
              <xm:f>'ADD COLUMN + SPARKLINES'!B24:B25</xm:f>
              <xm:sqref>O24</xm:sqref>
            </x14:sparkline>
            <x14:sparkline>
              <xm:f>'ADD COLUMN + SPARKLINES'!B25:B26</xm:f>
              <xm:sqref>O25</xm:sqref>
            </x14:sparkline>
            <x14:sparkline>
              <xm:f>'ADD COLUMN + SPARKLINES'!B26:B27</xm:f>
              <xm:sqref>O26</xm:sqref>
            </x14:sparkline>
            <x14:sparkline>
              <xm:f>'ADD COLUMN + SPARKLINES'!B27:B28</xm:f>
              <xm:sqref>O27</xm:sqref>
            </x14:sparkline>
            <x14:sparkline>
              <xm:f>'ADD COLUMN + SPARKLINES'!B28:B29</xm:f>
              <xm:sqref>O28</xm:sqref>
            </x14:sparkline>
            <x14:sparkline>
              <xm:f>'ADD COLUMN + SPARKLINES'!B29:B30</xm:f>
              <xm:sqref>O29</xm:sqref>
            </x14:sparkline>
            <x14:sparkline>
              <xm:f>'ADD COLUMN + SPARKLINES'!B30:B31</xm:f>
              <xm:sqref>O30</xm:sqref>
            </x14:sparkline>
            <x14:sparkline>
              <xm:f>'ADD COLUMN + SPARKLINES'!B31:B32</xm:f>
              <xm:sqref>O31</xm:sqref>
            </x14:sparkline>
            <x14:sparkline>
              <xm:f>'ADD COLUMN + SPARKLINES'!B32:B33</xm:f>
              <xm:sqref>O32</xm:sqref>
            </x14:sparkline>
            <x14:sparkline>
              <xm:f>'ADD COLUMN + SPARKLINES'!B33:B34</xm:f>
              <xm:sqref>O33</xm:sqref>
            </x14:sparkline>
            <x14:sparkline>
              <xm:f>'ADD COLUMN + SPARKLINES'!B34:B35</xm:f>
              <xm:sqref>O34</xm:sqref>
            </x14:sparkline>
            <x14:sparkline>
              <xm:f>'ADD COLUMN + SPARKLINES'!B35:B36</xm:f>
              <xm:sqref>O35</xm:sqref>
            </x14:sparkline>
            <x14:sparkline>
              <xm:f>'ADD COLUMN + SPARKLINES'!B36:B37</xm:f>
              <xm:sqref>O36</xm:sqref>
            </x14:sparkline>
            <x14:sparkline>
              <xm:f>'ADD COLUMN + SPARKLINES'!B37:B38</xm:f>
              <xm:sqref>O37</xm:sqref>
            </x14:sparkline>
            <x14:sparkline>
              <xm:f>'ADD COLUMN + SPARKLINES'!B38:B39</xm:f>
              <xm:sqref>O38</xm:sqref>
            </x14:sparkline>
            <x14:sparkline>
              <xm:f>'ADD COLUMN + SPARKLINES'!B39:B40</xm:f>
              <xm:sqref>O39</xm:sqref>
            </x14:sparkline>
            <x14:sparkline>
              <xm:f>'ADD COLUMN + SPARKLINES'!B40:B41</xm:f>
              <xm:sqref>O40</xm:sqref>
            </x14:sparkline>
            <x14:sparkline>
              <xm:f>'ADD COLUMN + SPARKLINES'!B41:B42</xm:f>
              <xm:sqref>O41</xm:sqref>
            </x14:sparkline>
            <x14:sparkline>
              <xm:f>'ADD COLUMN + SPARKLINES'!B42:B43</xm:f>
              <xm:sqref>O42</xm:sqref>
            </x14:sparkline>
            <x14:sparkline>
              <xm:f>'ADD COLUMN + SPARKLINES'!B43:B44</xm:f>
              <xm:sqref>O43</xm:sqref>
            </x14:sparkline>
            <x14:sparkline>
              <xm:f>'ADD COLUMN + SPARKLINES'!B44:B45</xm:f>
              <xm:sqref>O44</xm:sqref>
            </x14:sparkline>
            <x14:sparkline>
              <xm:f>'ADD COLUMN + SPARKLINES'!B45:B46</xm:f>
              <xm:sqref>O45</xm:sqref>
            </x14:sparkline>
            <x14:sparkline>
              <xm:f>'ADD COLUMN + SPARKLINES'!B46:B47</xm:f>
              <xm:sqref>O46</xm:sqref>
            </x14:sparkline>
            <x14:sparkline>
              <xm:f>'ADD COLUMN + SPARKLINES'!B47:B48</xm:f>
              <xm:sqref>O47</xm:sqref>
            </x14:sparkline>
            <x14:sparkline>
              <xm:f>'ADD COLUMN + SPARKLINES'!B48:B49</xm:f>
              <xm:sqref>O48</xm:sqref>
            </x14:sparkline>
            <x14:sparkline>
              <xm:f>'ADD COLUMN + SPARKLINES'!B49:B50</xm:f>
              <xm:sqref>O49</xm:sqref>
            </x14:sparkline>
            <x14:sparkline>
              <xm:f>'ADD COLUMN + SPARKLINES'!B50:B51</xm:f>
              <xm:sqref>O50</xm:sqref>
            </x14:sparkline>
            <x14:sparkline>
              <xm:f>'ADD COLUMN + SPARKLINES'!B51:B52</xm:f>
              <xm:sqref>O51</xm:sqref>
            </x14:sparkline>
            <x14:sparkline>
              <xm:f>'ADD COLUMN + SPARKLINES'!B52:B53</xm:f>
              <xm:sqref>O52</xm:sqref>
            </x14:sparkline>
            <x14:sparkline>
              <xm:f>'ADD COLUMN + SPARKLINES'!B53:B54</xm:f>
              <xm:sqref>O53</xm:sqref>
            </x14:sparkline>
            <x14:sparkline>
              <xm:f>'ADD COLUMN + SPARKLINES'!B54:B55</xm:f>
              <xm:sqref>O54</xm:sqref>
            </x14:sparkline>
            <x14:sparkline>
              <xm:f>'ADD COLUMN + SPARKLINES'!B55:B56</xm:f>
              <xm:sqref>O55</xm:sqref>
            </x14:sparkline>
            <x14:sparkline>
              <xm:f>'ADD COLUMN + SPARKLINES'!B56:B57</xm:f>
              <xm:sqref>O56</xm:sqref>
            </x14:sparkline>
            <x14:sparkline>
              <xm:f>'ADD COLUMN + SPARKLINES'!B57:B58</xm:f>
              <xm:sqref>O57</xm:sqref>
            </x14:sparkline>
            <x14:sparkline>
              <xm:f>'ADD COLUMN + SPARKLINES'!B58:B59</xm:f>
              <xm:sqref>O58</xm:sqref>
            </x14:sparkline>
            <x14:sparkline>
              <xm:f>'ADD COLUMN + SPARKLINES'!B59:B60</xm:f>
              <xm:sqref>O59</xm:sqref>
            </x14:sparkline>
            <x14:sparkline>
              <xm:f>'ADD COLUMN + SPARKLINES'!B60:B61</xm:f>
              <xm:sqref>O60</xm:sqref>
            </x14:sparkline>
            <x14:sparkline>
              <xm:f>'ADD COLUMN + SPARKLINES'!B61:B62</xm:f>
              <xm:sqref>O61</xm:sqref>
            </x14:sparkline>
            <x14:sparkline>
              <xm:f>'ADD COLUMN + SPARKLINES'!B62:B63</xm:f>
              <xm:sqref>O62</xm:sqref>
            </x14:sparkline>
            <x14:sparkline>
              <xm:f>'ADD COLUMN + SPARKLINES'!B63:B64</xm:f>
              <xm:sqref>O63</xm:sqref>
            </x14:sparkline>
            <x14:sparkline>
              <xm:f>'ADD COLUMN + SPARKLINES'!B64:B65</xm:f>
              <xm:sqref>O64</xm:sqref>
            </x14:sparkline>
            <x14:sparkline>
              <xm:f>'ADD COLUMN + SPARKLINES'!B65:B66</xm:f>
              <xm:sqref>O65</xm:sqref>
            </x14:sparkline>
            <x14:sparkline>
              <xm:f>'ADD COLUMN + SPARKLINES'!B66:B67</xm:f>
              <xm:sqref>O66</xm:sqref>
            </x14:sparkline>
            <x14:sparkline>
              <xm:f>'ADD COLUMN + SPARKLINES'!B67:B68</xm:f>
              <xm:sqref>O67</xm:sqref>
            </x14:sparkline>
            <x14:sparkline>
              <xm:f>'ADD COLUMN + SPARKLINES'!B68:B69</xm:f>
              <xm:sqref>O68</xm:sqref>
            </x14:sparkline>
            <x14:sparkline>
              <xm:f>'ADD COLUMN + SPARKLINES'!B69:B70</xm:f>
              <xm:sqref>O69</xm:sqref>
            </x14:sparkline>
            <x14:sparkline>
              <xm:f>'ADD COLUMN + SPARKLINES'!B70:B71</xm:f>
              <xm:sqref>O70</xm:sqref>
            </x14:sparkline>
            <x14:sparkline>
              <xm:f>'ADD COLUMN + SPARKLINES'!B71:B72</xm:f>
              <xm:sqref>O71</xm:sqref>
            </x14:sparkline>
            <x14:sparkline>
              <xm:f>'ADD COLUMN + SPARKLINES'!B72:B73</xm:f>
              <xm:sqref>O72</xm:sqref>
            </x14:sparkline>
            <x14:sparkline>
              <xm:f>'ADD COLUMN + SPARKLINES'!B73:B74</xm:f>
              <xm:sqref>O73</xm:sqref>
            </x14:sparkline>
            <x14:sparkline>
              <xm:f>'ADD COLUMN + SPARKLINES'!B74:B75</xm:f>
              <xm:sqref>O74</xm:sqref>
            </x14:sparkline>
            <x14:sparkline>
              <xm:f>'ADD COLUMN + SPARKLINES'!B75:B76</xm:f>
              <xm:sqref>O75</xm:sqref>
            </x14:sparkline>
            <x14:sparkline>
              <xm:f>'ADD COLUMN + SPARKLINES'!B76:B77</xm:f>
              <xm:sqref>O76</xm:sqref>
            </x14:sparkline>
            <x14:sparkline>
              <xm:f>'ADD COLUMN + SPARKLINES'!B77:B78</xm:f>
              <xm:sqref>O77</xm:sqref>
            </x14:sparkline>
            <x14:sparkline>
              <xm:f>'ADD COLUMN + SPARKLINES'!B78:B79</xm:f>
              <xm:sqref>O78</xm:sqref>
            </x14:sparkline>
            <x14:sparkline>
              <xm:f>'ADD COLUMN + SPARKLINES'!B79:B80</xm:f>
              <xm:sqref>O79</xm:sqref>
            </x14:sparkline>
            <x14:sparkline>
              <xm:f>'ADD COLUMN + SPARKLINES'!B80:B81</xm:f>
              <xm:sqref>O80</xm:sqref>
            </x14:sparkline>
            <x14:sparkline>
              <xm:f>'ADD COLUMN + SPARKLINES'!B81:B82</xm:f>
              <xm:sqref>O81</xm:sqref>
            </x14:sparkline>
            <x14:sparkline>
              <xm:f>'ADD COLUMN + SPARKLINES'!B82:B83</xm:f>
              <xm:sqref>O82</xm:sqref>
            </x14:sparkline>
            <x14:sparkline>
              <xm:f>'ADD COLUMN + SPARKLINES'!B83:B84</xm:f>
              <xm:sqref>O83</xm:sqref>
            </x14:sparkline>
            <x14:sparkline>
              <xm:f>'ADD COLUMN + SPARKLINES'!B84:B85</xm:f>
              <xm:sqref>O84</xm:sqref>
            </x14:sparkline>
            <x14:sparkline>
              <xm:f>'ADD COLUMN + SPARKLINES'!B85:B86</xm:f>
              <xm:sqref>O85</xm:sqref>
            </x14:sparkline>
            <x14:sparkline>
              <xm:f>'ADD COLUMN + SPARKLINES'!B86:B87</xm:f>
              <xm:sqref>O86</xm:sqref>
            </x14:sparkline>
            <x14:sparkline>
              <xm:f>'ADD COLUMN + SPARKLINES'!B87:B88</xm:f>
              <xm:sqref>O87</xm:sqref>
            </x14:sparkline>
            <x14:sparkline>
              <xm:f>'ADD COLUMN + SPARKLINES'!B88:B89</xm:f>
              <xm:sqref>O88</xm:sqref>
            </x14:sparkline>
            <x14:sparkline>
              <xm:f>'ADD COLUMN + SPARKLINES'!B89:B90</xm:f>
              <xm:sqref>O89</xm:sqref>
            </x14:sparkline>
            <x14:sparkline>
              <xm:f>'ADD COLUMN + SPARKLINES'!B90:B91</xm:f>
              <xm:sqref>O90</xm:sqref>
            </x14:sparkline>
            <x14:sparkline>
              <xm:f>'ADD COLUMN + SPARKLINES'!B91:B92</xm:f>
              <xm:sqref>O91</xm:sqref>
            </x14:sparkline>
            <x14:sparkline>
              <xm:f>'ADD COLUMN + SPARKLINES'!B92:B93</xm:f>
              <xm:sqref>O92</xm:sqref>
            </x14:sparkline>
            <x14:sparkline>
              <xm:f>'ADD COLUMN + SPARKLINES'!B93:B94</xm:f>
              <xm:sqref>O93</xm:sqref>
            </x14:sparkline>
            <x14:sparkline>
              <xm:f>'ADD COLUMN + SPARKLINES'!B94:B95</xm:f>
              <xm:sqref>O94</xm:sqref>
            </x14:sparkline>
            <x14:sparkline>
              <xm:f>'ADD COLUMN + SPARKLINES'!B95:B96</xm:f>
              <xm:sqref>O95</xm:sqref>
            </x14:sparkline>
            <x14:sparkline>
              <xm:f>'ADD COLUMN + SPARKLINES'!B96:B97</xm:f>
              <xm:sqref>O96</xm:sqref>
            </x14:sparkline>
            <x14:sparkline>
              <xm:f>'ADD COLUMN + SPARKLINES'!B97:B98</xm:f>
              <xm:sqref>O97</xm:sqref>
            </x14:sparkline>
            <x14:sparkline>
              <xm:f>'ADD COLUMN + SPARKLINES'!B98:B99</xm:f>
              <xm:sqref>O98</xm:sqref>
            </x14:sparkline>
            <x14:sparkline>
              <xm:f>'ADD COLUMN + SPARKLINES'!B99:B100</xm:f>
              <xm:sqref>O99</xm:sqref>
            </x14:sparkline>
            <x14:sparkline>
              <xm:f>'ADD COLUMN + SPARKLINES'!B100:B101</xm:f>
              <xm:sqref>O100</xm:sqref>
            </x14:sparkline>
            <x14:sparkline>
              <xm:f>'ADD COLUMN + SPARKLINES'!B101:B102</xm:f>
              <xm:sqref>O101</xm:sqref>
            </x14:sparkline>
            <x14:sparkline>
              <xm:f>'ADD COLUMN + SPARKLINES'!B102:B103</xm:f>
              <xm:sqref>O102</xm:sqref>
            </x14:sparkline>
            <x14:sparkline>
              <xm:f>'ADD COLUMN + SPARKLINES'!B103:B104</xm:f>
              <xm:sqref>O103</xm:sqref>
            </x14:sparkline>
            <x14:sparkline>
              <xm:f>'ADD COLUMN + SPARKLINES'!B104:B105</xm:f>
              <xm:sqref>O104</xm:sqref>
            </x14:sparkline>
            <x14:sparkline>
              <xm:f>'ADD COLUMN + SPARKLINES'!B105:B106</xm:f>
              <xm:sqref>O105</xm:sqref>
            </x14:sparkline>
            <x14:sparkline>
              <xm:f>'ADD COLUMN + SPARKLINES'!B106:B107</xm:f>
              <xm:sqref>O106</xm:sqref>
            </x14:sparkline>
            <x14:sparkline>
              <xm:f>'ADD COLUMN + SPARKLINES'!B107:B108</xm:f>
              <xm:sqref>O107</xm:sqref>
            </x14:sparkline>
            <x14:sparkline>
              <xm:f>'ADD COLUMN + SPARKLINES'!B108:B109</xm:f>
              <xm:sqref>O108</xm:sqref>
            </x14:sparkline>
            <x14:sparkline>
              <xm:f>'ADD COLUMN + SPARKLINES'!B109:B110</xm:f>
              <xm:sqref>O109</xm:sqref>
            </x14:sparkline>
            <x14:sparkline>
              <xm:f>'ADD COLUMN + SPARKLINES'!B110:B111</xm:f>
              <xm:sqref>O110</xm:sqref>
            </x14:sparkline>
            <x14:sparkline>
              <xm:f>'ADD COLUMN + SPARKLINES'!B111:B112</xm:f>
              <xm:sqref>O111</xm:sqref>
            </x14:sparkline>
            <x14:sparkline>
              <xm:f>'ADD COLUMN + SPARKLINES'!B112:B113</xm:f>
              <xm:sqref>O112</xm:sqref>
            </x14:sparkline>
            <x14:sparkline>
              <xm:f>'ADD COLUMN + SPARKLINES'!B113:B114</xm:f>
              <xm:sqref>O113</xm:sqref>
            </x14:sparkline>
            <x14:sparkline>
              <xm:f>'ADD COLUMN + SPARKLINES'!B114:B115</xm:f>
              <xm:sqref>O114</xm:sqref>
            </x14:sparkline>
            <x14:sparkline>
              <xm:f>'ADD COLUMN + SPARKLINES'!B115:B116</xm:f>
              <xm:sqref>O115</xm:sqref>
            </x14:sparkline>
            <x14:sparkline>
              <xm:f>'ADD COLUMN + SPARKLINES'!B116:B117</xm:f>
              <xm:sqref>O116</xm:sqref>
            </x14:sparkline>
            <x14:sparkline>
              <xm:f>'ADD COLUMN + SPARKLINES'!B117:B118</xm:f>
              <xm:sqref>O117</xm:sqref>
            </x14:sparkline>
            <x14:sparkline>
              <xm:f>'ADD COLUMN + SPARKLINES'!B118:B119</xm:f>
              <xm:sqref>O118</xm:sqref>
            </x14:sparkline>
            <x14:sparkline>
              <xm:f>'ADD COLUMN + SPARKLINES'!B119:B120</xm:f>
              <xm:sqref>O119</xm:sqref>
            </x14:sparkline>
            <x14:sparkline>
              <xm:f>'ADD COLUMN + SPARKLINES'!B120:B121</xm:f>
              <xm:sqref>O120</xm:sqref>
            </x14:sparkline>
            <x14:sparkline>
              <xm:f>'ADD COLUMN + SPARKLINES'!B121:B122</xm:f>
              <xm:sqref>O121</xm:sqref>
            </x14:sparkline>
            <x14:sparkline>
              <xm:f>'ADD COLUMN + SPARKLINES'!B122:B123</xm:f>
              <xm:sqref>O122</xm:sqref>
            </x14:sparkline>
            <x14:sparkline>
              <xm:f>'ADD COLUMN + SPARKLINES'!B123:B124</xm:f>
              <xm:sqref>O123</xm:sqref>
            </x14:sparkline>
            <x14:sparkline>
              <xm:f>'ADD COLUMN + SPARKLINES'!B124:B125</xm:f>
              <xm:sqref>O124</xm:sqref>
            </x14:sparkline>
            <x14:sparkline>
              <xm:f>'ADD COLUMN + SPARKLINES'!B125:B126</xm:f>
              <xm:sqref>O125</xm:sqref>
            </x14:sparkline>
            <x14:sparkline>
              <xm:f>'ADD COLUMN + SPARKLINES'!B126:B127</xm:f>
              <xm:sqref>O126</xm:sqref>
            </x14:sparkline>
            <x14:sparkline>
              <xm:f>'ADD COLUMN + SPARKLINES'!B127:B128</xm:f>
              <xm:sqref>O127</xm:sqref>
            </x14:sparkline>
            <x14:sparkline>
              <xm:f>'ADD COLUMN + SPARKLINES'!B128:B129</xm:f>
              <xm:sqref>O128</xm:sqref>
            </x14:sparkline>
            <x14:sparkline>
              <xm:f>'ADD COLUMN + SPARKLINES'!B129:B130</xm:f>
              <xm:sqref>O129</xm:sqref>
            </x14:sparkline>
            <x14:sparkline>
              <xm:f>'ADD COLUMN + SPARKLINES'!B130:B131</xm:f>
              <xm:sqref>O130</xm:sqref>
            </x14:sparkline>
            <x14:sparkline>
              <xm:f>'ADD COLUMN + SPARKLINES'!B131:B132</xm:f>
              <xm:sqref>O131</xm:sqref>
            </x14:sparkline>
            <x14:sparkline>
              <xm:f>'ADD COLUMN + SPARKLINES'!B132:B133</xm:f>
              <xm:sqref>O132</xm:sqref>
            </x14:sparkline>
            <x14:sparkline>
              <xm:f>'ADD COLUMN + SPARKLINES'!B133:B134</xm:f>
              <xm:sqref>O133</xm:sqref>
            </x14:sparkline>
            <x14:sparkline>
              <xm:f>'ADD COLUMN + SPARKLINES'!B134:B135</xm:f>
              <xm:sqref>O134</xm:sqref>
            </x14:sparkline>
            <x14:sparkline>
              <xm:f>'ADD COLUMN + SPARKLINES'!B135:B136</xm:f>
              <xm:sqref>O135</xm:sqref>
            </x14:sparkline>
            <x14:sparkline>
              <xm:f>'ADD COLUMN + SPARKLINES'!B136:B137</xm:f>
              <xm:sqref>O136</xm:sqref>
            </x14:sparkline>
            <x14:sparkline>
              <xm:f>'ADD COLUMN + SPARKLINES'!B137:B138</xm:f>
              <xm:sqref>O137</xm:sqref>
            </x14:sparkline>
            <x14:sparkline>
              <xm:f>'ADD COLUMN + SPARKLINES'!B138:B139</xm:f>
              <xm:sqref>O138</xm:sqref>
            </x14:sparkline>
            <x14:sparkline>
              <xm:f>'ADD COLUMN + SPARKLINES'!B139:B140</xm:f>
              <xm:sqref>O139</xm:sqref>
            </x14:sparkline>
            <x14:sparkline>
              <xm:f>'ADD COLUMN + SPARKLINES'!B140:B141</xm:f>
              <xm:sqref>O140</xm:sqref>
            </x14:sparkline>
            <x14:sparkline>
              <xm:f>'ADD COLUMN + SPARKLINES'!B141:B142</xm:f>
              <xm:sqref>O141</xm:sqref>
            </x14:sparkline>
            <x14:sparkline>
              <xm:f>'ADD COLUMN + SPARKLINES'!B142:B143</xm:f>
              <xm:sqref>O142</xm:sqref>
            </x14:sparkline>
            <x14:sparkline>
              <xm:f>'ADD COLUMN + SPARKLINES'!B143:B144</xm:f>
              <xm:sqref>O143</xm:sqref>
            </x14:sparkline>
            <x14:sparkline>
              <xm:f>'ADD COLUMN + SPARKLINES'!B144:B145</xm:f>
              <xm:sqref>O144</xm:sqref>
            </x14:sparkline>
            <x14:sparkline>
              <xm:f>'ADD COLUMN + SPARKLINES'!B145:B146</xm:f>
              <xm:sqref>O145</xm:sqref>
            </x14:sparkline>
            <x14:sparkline>
              <xm:f>'ADD COLUMN + SPARKLINES'!B146:B147</xm:f>
              <xm:sqref>O146</xm:sqref>
            </x14:sparkline>
            <x14:sparkline>
              <xm:f>'ADD COLUMN + SPARKLINES'!B147:B148</xm:f>
              <xm:sqref>O147</xm:sqref>
            </x14:sparkline>
            <x14:sparkline>
              <xm:f>'ADD COLUMN + SPARKLINES'!B148:B149</xm:f>
              <xm:sqref>O148</xm:sqref>
            </x14:sparkline>
            <x14:sparkline>
              <xm:f>'ADD COLUMN + SPARKLINES'!B149:B150</xm:f>
              <xm:sqref>O149</xm:sqref>
            </x14:sparkline>
            <x14:sparkline>
              <xm:f>'ADD COLUMN + SPARKLINES'!B150:B151</xm:f>
              <xm:sqref>O150</xm:sqref>
            </x14:sparkline>
            <x14:sparkline>
              <xm:f>'ADD COLUMN + SPARKLINES'!B151:B152</xm:f>
              <xm:sqref>O151</xm:sqref>
            </x14:sparkline>
            <x14:sparkline>
              <xm:f>'ADD COLUMN + SPARKLINES'!B152:B153</xm:f>
              <xm:sqref>O152</xm:sqref>
            </x14:sparkline>
            <x14:sparkline>
              <xm:f>'ADD COLUMN + SPARKLINES'!B153:B154</xm:f>
              <xm:sqref>O153</xm:sqref>
            </x14:sparkline>
            <x14:sparkline>
              <xm:f>'ADD COLUMN + SPARKLINES'!B154:B155</xm:f>
              <xm:sqref>O154</xm:sqref>
            </x14:sparkline>
            <x14:sparkline>
              <xm:f>'ADD COLUMN + SPARKLINES'!B155:B156</xm:f>
              <xm:sqref>O155</xm:sqref>
            </x14:sparkline>
            <x14:sparkline>
              <xm:f>'ADD COLUMN + SPARKLINES'!B156:B157</xm:f>
              <xm:sqref>O156</xm:sqref>
            </x14:sparkline>
            <x14:sparkline>
              <xm:f>'ADD COLUMN + SPARKLINES'!B157:B158</xm:f>
              <xm:sqref>O157</xm:sqref>
            </x14:sparkline>
            <x14:sparkline>
              <xm:f>'ADD COLUMN + SPARKLINES'!B158:B159</xm:f>
              <xm:sqref>O158</xm:sqref>
            </x14:sparkline>
            <x14:sparkline>
              <xm:f>'ADD COLUMN + SPARKLINES'!B159:B160</xm:f>
              <xm:sqref>O159</xm:sqref>
            </x14:sparkline>
            <x14:sparkline>
              <xm:f>'ADD COLUMN + SPARKLINES'!B160:B161</xm:f>
              <xm:sqref>O160</xm:sqref>
            </x14:sparkline>
            <x14:sparkline>
              <xm:f>'ADD COLUMN + SPARKLINES'!B161:B162</xm:f>
              <xm:sqref>O161</xm:sqref>
            </x14:sparkline>
            <x14:sparkline>
              <xm:f>'ADD COLUMN + SPARKLINES'!B162:B163</xm:f>
              <xm:sqref>O162</xm:sqref>
            </x14:sparkline>
            <x14:sparkline>
              <xm:f>'ADD COLUMN + SPARKLINES'!B163:B164</xm:f>
              <xm:sqref>O163</xm:sqref>
            </x14:sparkline>
            <x14:sparkline>
              <xm:f>'ADD COLUMN + SPARKLINES'!B164:B165</xm:f>
              <xm:sqref>O164</xm:sqref>
            </x14:sparkline>
            <x14:sparkline>
              <xm:f>'ADD COLUMN + SPARKLINES'!B165:B166</xm:f>
              <xm:sqref>O165</xm:sqref>
            </x14:sparkline>
            <x14:sparkline>
              <xm:f>'ADD COLUMN + SPARKLINES'!B166:B167</xm:f>
              <xm:sqref>O166</xm:sqref>
            </x14:sparkline>
            <x14:sparkline>
              <xm:f>'ADD COLUMN + SPARKLINES'!B167:B168</xm:f>
              <xm:sqref>O167</xm:sqref>
            </x14:sparkline>
            <x14:sparkline>
              <xm:f>'ADD COLUMN + SPARKLINES'!B168:B169</xm:f>
              <xm:sqref>O168</xm:sqref>
            </x14:sparkline>
            <x14:sparkline>
              <xm:f>'ADD COLUMN + SPARKLINES'!B169:B170</xm:f>
              <xm:sqref>O169</xm:sqref>
            </x14:sparkline>
            <x14:sparkline>
              <xm:f>'ADD COLUMN + SPARKLINES'!B170:B171</xm:f>
              <xm:sqref>O170</xm:sqref>
            </x14:sparkline>
            <x14:sparkline>
              <xm:f>'ADD COLUMN + SPARKLINES'!B171:B172</xm:f>
              <xm:sqref>O171</xm:sqref>
            </x14:sparkline>
            <x14:sparkline>
              <xm:f>'ADD COLUMN + SPARKLINES'!B172:B173</xm:f>
              <xm:sqref>O172</xm:sqref>
            </x14:sparkline>
            <x14:sparkline>
              <xm:f>'ADD COLUMN + SPARKLINES'!B173:B174</xm:f>
              <xm:sqref>O173</xm:sqref>
            </x14:sparkline>
            <x14:sparkline>
              <xm:f>'ADD COLUMN + SPARKLINES'!B174:B175</xm:f>
              <xm:sqref>O174</xm:sqref>
            </x14:sparkline>
            <x14:sparkline>
              <xm:f>'ADD COLUMN + SPARKLINES'!B175:B176</xm:f>
              <xm:sqref>O175</xm:sqref>
            </x14:sparkline>
            <x14:sparkline>
              <xm:f>'ADD COLUMN + SPARKLINES'!B176:B177</xm:f>
              <xm:sqref>O176</xm:sqref>
            </x14:sparkline>
            <x14:sparkline>
              <xm:f>'ADD COLUMN + SPARKLINES'!B177:B178</xm:f>
              <xm:sqref>O177</xm:sqref>
            </x14:sparkline>
            <x14:sparkline>
              <xm:f>'ADD COLUMN + SPARKLINES'!B178:B179</xm:f>
              <xm:sqref>O178</xm:sqref>
            </x14:sparkline>
            <x14:sparkline>
              <xm:f>'ADD COLUMN + SPARKLINES'!B179:B180</xm:f>
              <xm:sqref>O179</xm:sqref>
            </x14:sparkline>
            <x14:sparkline>
              <xm:f>'ADD COLUMN + SPARKLINES'!B180:B181</xm:f>
              <xm:sqref>O180</xm:sqref>
            </x14:sparkline>
            <x14:sparkline>
              <xm:f>'ADD COLUMN + SPARKLINES'!B181:B182</xm:f>
              <xm:sqref>O181</xm:sqref>
            </x14:sparkline>
            <x14:sparkline>
              <xm:f>'ADD COLUMN + SPARKLINES'!B182:B183</xm:f>
              <xm:sqref>O182</xm:sqref>
            </x14:sparkline>
            <x14:sparkline>
              <xm:f>'ADD COLUMN + SPARKLINES'!B183:B184</xm:f>
              <xm:sqref>O183</xm:sqref>
            </x14:sparkline>
            <x14:sparkline>
              <xm:f>'ADD COLUMN + SPARKLINES'!B184:B185</xm:f>
              <xm:sqref>O184</xm:sqref>
            </x14:sparkline>
            <x14:sparkline>
              <xm:f>'ADD COLUMN + SPARKLINES'!B185:B186</xm:f>
              <xm:sqref>O185</xm:sqref>
            </x14:sparkline>
            <x14:sparkline>
              <xm:f>'ADD COLUMN + SPARKLINES'!B186:B187</xm:f>
              <xm:sqref>O186</xm:sqref>
            </x14:sparkline>
            <x14:sparkline>
              <xm:f>'ADD COLUMN + SPARKLINES'!B187:B188</xm:f>
              <xm:sqref>O187</xm:sqref>
            </x14:sparkline>
            <x14:sparkline>
              <xm:f>'ADD COLUMN + SPARKLINES'!B188:B189</xm:f>
              <xm:sqref>O188</xm:sqref>
            </x14:sparkline>
            <x14:sparkline>
              <xm:f>'ADD COLUMN + SPARKLINES'!B189:B190</xm:f>
              <xm:sqref>O189</xm:sqref>
            </x14:sparkline>
            <x14:sparkline>
              <xm:f>'ADD COLUMN + SPARKLINES'!B190:B191</xm:f>
              <xm:sqref>O190</xm:sqref>
            </x14:sparkline>
            <x14:sparkline>
              <xm:f>'ADD COLUMN + SPARKLINES'!B191:B192</xm:f>
              <xm:sqref>O191</xm:sqref>
            </x14:sparkline>
            <x14:sparkline>
              <xm:f>'ADD COLUMN + SPARKLINES'!B192:B193</xm:f>
              <xm:sqref>O192</xm:sqref>
            </x14:sparkline>
            <x14:sparkline>
              <xm:f>'ADD COLUMN + SPARKLINES'!B193:B194</xm:f>
              <xm:sqref>O193</xm:sqref>
            </x14:sparkline>
            <x14:sparkline>
              <xm:f>'ADD COLUMN + SPARKLINES'!B194:B195</xm:f>
              <xm:sqref>O194</xm:sqref>
            </x14:sparkline>
            <x14:sparkline>
              <xm:f>'ADD COLUMN + SPARKLINES'!B195:B196</xm:f>
              <xm:sqref>O195</xm:sqref>
            </x14:sparkline>
            <x14:sparkline>
              <xm:f>'ADD COLUMN + SPARKLINES'!B196:B197</xm:f>
              <xm:sqref>O196</xm:sqref>
            </x14:sparkline>
            <x14:sparkline>
              <xm:f>'ADD COLUMN + SPARKLINES'!B197:B198</xm:f>
              <xm:sqref>O197</xm:sqref>
            </x14:sparkline>
            <x14:sparkline>
              <xm:f>'ADD COLUMN + SPARKLINES'!B198:B199</xm:f>
              <xm:sqref>O198</xm:sqref>
            </x14:sparkline>
            <x14:sparkline>
              <xm:f>'ADD COLUMN + SPARKLINES'!B199:B200</xm:f>
              <xm:sqref>O199</xm:sqref>
            </x14:sparkline>
            <x14:sparkline>
              <xm:f>'ADD COLUMN + SPARKLINES'!B200:B201</xm:f>
              <xm:sqref>O200</xm:sqref>
            </x14:sparkline>
            <x14:sparkline>
              <xm:f>'ADD COLUMN + SPARKLINES'!B201:B202</xm:f>
              <xm:sqref>O201</xm:sqref>
            </x14:sparkline>
            <x14:sparkline>
              <xm:f>'ADD COLUMN + SPARKLINES'!B202:B203</xm:f>
              <xm:sqref>O202</xm:sqref>
            </x14:sparkline>
            <x14:sparkline>
              <xm:f>'ADD COLUMN + SPARKLINES'!B203:B204</xm:f>
              <xm:sqref>O203</xm:sqref>
            </x14:sparkline>
            <x14:sparkline>
              <xm:f>'ADD COLUMN + SPARKLINES'!B204:B205</xm:f>
              <xm:sqref>O204</xm:sqref>
            </x14:sparkline>
            <x14:sparkline>
              <xm:f>'ADD COLUMN + SPARKLINES'!B205:B206</xm:f>
              <xm:sqref>O205</xm:sqref>
            </x14:sparkline>
            <x14:sparkline>
              <xm:f>'ADD COLUMN + SPARKLINES'!B206:B207</xm:f>
              <xm:sqref>O206</xm:sqref>
            </x14:sparkline>
            <x14:sparkline>
              <xm:f>'ADD COLUMN + SPARKLINES'!B207:B208</xm:f>
              <xm:sqref>O207</xm:sqref>
            </x14:sparkline>
            <x14:sparkline>
              <xm:f>'ADD COLUMN + SPARKLINES'!B208:B209</xm:f>
              <xm:sqref>O208</xm:sqref>
            </x14:sparkline>
            <x14:sparkline>
              <xm:f>'ADD COLUMN + SPARKLINES'!B209:B210</xm:f>
              <xm:sqref>O209</xm:sqref>
            </x14:sparkline>
            <x14:sparkline>
              <xm:f>'ADD COLUMN + SPARKLINES'!B210:B211</xm:f>
              <xm:sqref>O210</xm:sqref>
            </x14:sparkline>
            <x14:sparkline>
              <xm:f>'ADD COLUMN + SPARKLINES'!B211:B212</xm:f>
              <xm:sqref>O211</xm:sqref>
            </x14:sparkline>
            <x14:sparkline>
              <xm:f>'ADD COLUMN + SPARKLINES'!B212:B213</xm:f>
              <xm:sqref>O212</xm:sqref>
            </x14:sparkline>
            <x14:sparkline>
              <xm:f>'ADD COLUMN + SPARKLINES'!B213:B214</xm:f>
              <xm:sqref>O213</xm:sqref>
            </x14:sparkline>
            <x14:sparkline>
              <xm:f>'ADD COLUMN + SPARKLINES'!B214:B215</xm:f>
              <xm:sqref>O214</xm:sqref>
            </x14:sparkline>
            <x14:sparkline>
              <xm:f>'ADD COLUMN + SPARKLINES'!B215:B216</xm:f>
              <xm:sqref>O215</xm:sqref>
            </x14:sparkline>
            <x14:sparkline>
              <xm:f>'ADD COLUMN + SPARKLINES'!B216:B217</xm:f>
              <xm:sqref>O216</xm:sqref>
            </x14:sparkline>
            <x14:sparkline>
              <xm:f>'ADD COLUMN + SPARKLINES'!B217:B218</xm:f>
              <xm:sqref>O217</xm:sqref>
            </x14:sparkline>
            <x14:sparkline>
              <xm:f>'ADD COLUMN + SPARKLINES'!B218:B219</xm:f>
              <xm:sqref>O218</xm:sqref>
            </x14:sparkline>
            <x14:sparkline>
              <xm:f>'ADD COLUMN + SPARKLINES'!B219:B220</xm:f>
              <xm:sqref>O219</xm:sqref>
            </x14:sparkline>
            <x14:sparkline>
              <xm:f>'ADD COLUMN + SPARKLINES'!B220:B221</xm:f>
              <xm:sqref>O220</xm:sqref>
            </x14:sparkline>
            <x14:sparkline>
              <xm:f>'ADD COLUMN + SPARKLINES'!B221:B222</xm:f>
              <xm:sqref>O221</xm:sqref>
            </x14:sparkline>
            <x14:sparkline>
              <xm:f>'ADD COLUMN + SPARKLINES'!B222:B223</xm:f>
              <xm:sqref>O222</xm:sqref>
            </x14:sparkline>
            <x14:sparkline>
              <xm:f>'ADD COLUMN + SPARKLINES'!B223:B224</xm:f>
              <xm:sqref>O223</xm:sqref>
            </x14:sparkline>
            <x14:sparkline>
              <xm:f>'ADD COLUMN + SPARKLINES'!B224:B225</xm:f>
              <xm:sqref>O224</xm:sqref>
            </x14:sparkline>
            <x14:sparkline>
              <xm:f>'ADD COLUMN + SPARKLINES'!B225:B226</xm:f>
              <xm:sqref>O225</xm:sqref>
            </x14:sparkline>
            <x14:sparkline>
              <xm:f>'ADD COLUMN + SPARKLINES'!B226:B227</xm:f>
              <xm:sqref>O226</xm:sqref>
            </x14:sparkline>
            <x14:sparkline>
              <xm:f>'ADD COLUMN + SPARKLINES'!B227:B228</xm:f>
              <xm:sqref>O227</xm:sqref>
            </x14:sparkline>
            <x14:sparkline>
              <xm:f>'ADD COLUMN + SPARKLINES'!B228:B229</xm:f>
              <xm:sqref>O228</xm:sqref>
            </x14:sparkline>
            <x14:sparkline>
              <xm:f>'ADD COLUMN + SPARKLINES'!B229:B230</xm:f>
              <xm:sqref>O229</xm:sqref>
            </x14:sparkline>
            <x14:sparkline>
              <xm:f>'ADD COLUMN + SPARKLINES'!B230:B231</xm:f>
              <xm:sqref>O230</xm:sqref>
            </x14:sparkline>
            <x14:sparkline>
              <xm:f>'ADD COLUMN + SPARKLINES'!B231:B232</xm:f>
              <xm:sqref>O231</xm:sqref>
            </x14:sparkline>
            <x14:sparkline>
              <xm:f>'ADD COLUMN + SPARKLINES'!B232:B233</xm:f>
              <xm:sqref>O232</xm:sqref>
            </x14:sparkline>
            <x14:sparkline>
              <xm:f>'ADD COLUMN + SPARKLINES'!B233:B234</xm:f>
              <xm:sqref>O233</xm:sqref>
            </x14:sparkline>
            <x14:sparkline>
              <xm:f>'ADD COLUMN + SPARKLINES'!B234:B235</xm:f>
              <xm:sqref>O234</xm:sqref>
            </x14:sparkline>
            <x14:sparkline>
              <xm:f>'ADD COLUMN + SPARKLINES'!B235:B236</xm:f>
              <xm:sqref>O235</xm:sqref>
            </x14:sparkline>
            <x14:sparkline>
              <xm:f>'ADD COLUMN + SPARKLINES'!B236:B237</xm:f>
              <xm:sqref>O236</xm:sqref>
            </x14:sparkline>
            <x14:sparkline>
              <xm:f>'ADD COLUMN + SPARKLINES'!B237:B238</xm:f>
              <xm:sqref>O237</xm:sqref>
            </x14:sparkline>
            <x14:sparkline>
              <xm:f>'ADD COLUMN + SPARKLINES'!B238:B239</xm:f>
              <xm:sqref>O238</xm:sqref>
            </x14:sparkline>
            <x14:sparkline>
              <xm:f>'ADD COLUMN + SPARKLINES'!B239:B240</xm:f>
              <xm:sqref>O239</xm:sqref>
            </x14:sparkline>
            <x14:sparkline>
              <xm:f>'ADD COLUMN + SPARKLINES'!B240:B241</xm:f>
              <xm:sqref>O240</xm:sqref>
            </x14:sparkline>
            <x14:sparkline>
              <xm:f>'ADD COLUMN + SPARKLINES'!B241:B242</xm:f>
              <xm:sqref>O241</xm:sqref>
            </x14:sparkline>
            <x14:sparkline>
              <xm:f>'ADD COLUMN + SPARKLINES'!B242:B243</xm:f>
              <xm:sqref>O242</xm:sqref>
            </x14:sparkline>
            <x14:sparkline>
              <xm:f>'ADD COLUMN + SPARKLINES'!B243:B244</xm:f>
              <xm:sqref>O243</xm:sqref>
            </x14:sparkline>
            <x14:sparkline>
              <xm:f>'ADD COLUMN + SPARKLINES'!B244:B245</xm:f>
              <xm:sqref>O244</xm:sqref>
            </x14:sparkline>
            <x14:sparkline>
              <xm:f>'ADD COLUMN + SPARKLINES'!B245:B246</xm:f>
              <xm:sqref>O245</xm:sqref>
            </x14:sparkline>
            <x14:sparkline>
              <xm:f>'ADD COLUMN + SPARKLINES'!B246:B247</xm:f>
              <xm:sqref>O246</xm:sqref>
            </x14:sparkline>
            <x14:sparkline>
              <xm:f>'ADD COLUMN + SPARKLINES'!B247:B248</xm:f>
              <xm:sqref>O247</xm:sqref>
            </x14:sparkline>
            <x14:sparkline>
              <xm:f>'ADD COLUMN + SPARKLINES'!B248:B249</xm:f>
              <xm:sqref>O248</xm:sqref>
            </x14:sparkline>
            <x14:sparkline>
              <xm:f>'ADD COLUMN + SPARKLINES'!B249:B250</xm:f>
              <xm:sqref>O249</xm:sqref>
            </x14:sparkline>
            <x14:sparkline>
              <xm:f>'ADD COLUMN + SPARKLINES'!B250:B251</xm:f>
              <xm:sqref>O250</xm:sqref>
            </x14:sparkline>
            <x14:sparkline>
              <xm:f>'ADD COLUMN + SPARKLINES'!B251:B252</xm:f>
              <xm:sqref>O251</xm:sqref>
            </x14:sparkline>
            <x14:sparkline>
              <xm:f>'ADD COLUMN + SPARKLINES'!B252:B253</xm:f>
              <xm:sqref>O252</xm:sqref>
            </x14:sparkline>
            <x14:sparkline>
              <xm:f>'ADD COLUMN + SPARKLINES'!B253:B254</xm:f>
              <xm:sqref>O253</xm:sqref>
            </x14:sparkline>
            <x14:sparkline>
              <xm:f>'ADD COLUMN + SPARKLINES'!B254:B255</xm:f>
              <xm:sqref>O254</xm:sqref>
            </x14:sparkline>
            <x14:sparkline>
              <xm:f>'ADD COLUMN + SPARKLINES'!B255:B256</xm:f>
              <xm:sqref>O255</xm:sqref>
            </x14:sparkline>
            <x14:sparkline>
              <xm:f>'ADD COLUMN + SPARKLINES'!B256:B257</xm:f>
              <xm:sqref>O256</xm:sqref>
            </x14:sparkline>
            <x14:sparkline>
              <xm:f>'ADD COLUMN + SPARKLINES'!B257:B258</xm:f>
              <xm:sqref>O257</xm:sqref>
            </x14:sparkline>
            <x14:sparkline>
              <xm:f>'ADD COLUMN + SPARKLINES'!B258:B259</xm:f>
              <xm:sqref>O258</xm:sqref>
            </x14:sparkline>
            <x14:sparkline>
              <xm:f>'ADD COLUMN + SPARKLINES'!B259:B260</xm:f>
              <xm:sqref>O259</xm:sqref>
            </x14:sparkline>
            <x14:sparkline>
              <xm:f>'ADD COLUMN + SPARKLINES'!B260:B261</xm:f>
              <xm:sqref>O260</xm:sqref>
            </x14:sparkline>
            <x14:sparkline>
              <xm:f>'ADD COLUMN + SPARKLINES'!B261:B262</xm:f>
              <xm:sqref>O261</xm:sqref>
            </x14:sparkline>
            <x14:sparkline>
              <xm:f>'ADD COLUMN + SPARKLINES'!B262:B263</xm:f>
              <xm:sqref>O262</xm:sqref>
            </x14:sparkline>
            <x14:sparkline>
              <xm:f>'ADD COLUMN + SPARKLINES'!B263:B264</xm:f>
              <xm:sqref>O263</xm:sqref>
            </x14:sparkline>
            <x14:sparkline>
              <xm:f>'ADD COLUMN + SPARKLINES'!B264:B265</xm:f>
              <xm:sqref>O264</xm:sqref>
            </x14:sparkline>
            <x14:sparkline>
              <xm:f>'ADD COLUMN + SPARKLINES'!B265:B266</xm:f>
              <xm:sqref>O265</xm:sqref>
            </x14:sparkline>
            <x14:sparkline>
              <xm:f>'ADD COLUMN + SPARKLINES'!B266:B267</xm:f>
              <xm:sqref>O266</xm:sqref>
            </x14:sparkline>
            <x14:sparkline>
              <xm:f>'ADD COLUMN + SPARKLINES'!B267:B268</xm:f>
              <xm:sqref>O267</xm:sqref>
            </x14:sparkline>
            <x14:sparkline>
              <xm:f>'ADD COLUMN + SPARKLINES'!B268:B269</xm:f>
              <xm:sqref>O268</xm:sqref>
            </x14:sparkline>
            <x14:sparkline>
              <xm:f>'ADD COLUMN + SPARKLINES'!B269:B270</xm:f>
              <xm:sqref>O269</xm:sqref>
            </x14:sparkline>
            <x14:sparkline>
              <xm:f>'ADD COLUMN + SPARKLINES'!B270:B271</xm:f>
              <xm:sqref>O270</xm:sqref>
            </x14:sparkline>
            <x14:sparkline>
              <xm:f>'ADD COLUMN + SPARKLINES'!B271:B272</xm:f>
              <xm:sqref>O271</xm:sqref>
            </x14:sparkline>
            <x14:sparkline>
              <xm:f>'ADD COLUMN + SPARKLINES'!B272:B273</xm:f>
              <xm:sqref>O272</xm:sqref>
            </x14:sparkline>
            <x14:sparkline>
              <xm:f>'ADD COLUMN + SPARKLINES'!B273:B274</xm:f>
              <xm:sqref>O273</xm:sqref>
            </x14:sparkline>
            <x14:sparkline>
              <xm:f>'ADD COLUMN + SPARKLINES'!B274:B275</xm:f>
              <xm:sqref>O274</xm:sqref>
            </x14:sparkline>
            <x14:sparkline>
              <xm:f>'ADD COLUMN + SPARKLINES'!B275:B276</xm:f>
              <xm:sqref>O275</xm:sqref>
            </x14:sparkline>
            <x14:sparkline>
              <xm:f>'ADD COLUMN + SPARKLINES'!B276:B277</xm:f>
              <xm:sqref>O276</xm:sqref>
            </x14:sparkline>
            <x14:sparkline>
              <xm:f>'ADD COLUMN + SPARKLINES'!B277:B278</xm:f>
              <xm:sqref>O277</xm:sqref>
            </x14:sparkline>
            <x14:sparkline>
              <xm:f>'ADD COLUMN + SPARKLINES'!B278:B279</xm:f>
              <xm:sqref>O278</xm:sqref>
            </x14:sparkline>
            <x14:sparkline>
              <xm:f>'ADD COLUMN + SPARKLINES'!B279:B280</xm:f>
              <xm:sqref>O279</xm:sqref>
            </x14:sparkline>
            <x14:sparkline>
              <xm:f>'ADD COLUMN + SPARKLINES'!B280:B281</xm:f>
              <xm:sqref>O280</xm:sqref>
            </x14:sparkline>
            <x14:sparkline>
              <xm:f>'ADD COLUMN + SPARKLINES'!B281:B282</xm:f>
              <xm:sqref>O281</xm:sqref>
            </x14:sparkline>
            <x14:sparkline>
              <xm:f>'ADD COLUMN + SPARKLINES'!B282:B283</xm:f>
              <xm:sqref>O282</xm:sqref>
            </x14:sparkline>
            <x14:sparkline>
              <xm:f>'ADD COLUMN + SPARKLINES'!B283:B284</xm:f>
              <xm:sqref>O283</xm:sqref>
            </x14:sparkline>
            <x14:sparkline>
              <xm:f>'ADD COLUMN + SPARKLINES'!B284:B285</xm:f>
              <xm:sqref>O284</xm:sqref>
            </x14:sparkline>
            <x14:sparkline>
              <xm:f>'ADD COLUMN + SPARKLINES'!B285:B286</xm:f>
              <xm:sqref>O285</xm:sqref>
            </x14:sparkline>
            <x14:sparkline>
              <xm:f>'ADD COLUMN + SPARKLINES'!B286:B287</xm:f>
              <xm:sqref>O286</xm:sqref>
            </x14:sparkline>
            <x14:sparkline>
              <xm:f>'ADD COLUMN + SPARKLINES'!B287:B288</xm:f>
              <xm:sqref>O287</xm:sqref>
            </x14:sparkline>
            <x14:sparkline>
              <xm:f>'ADD COLUMN + SPARKLINES'!B288:B289</xm:f>
              <xm:sqref>O288</xm:sqref>
            </x14:sparkline>
            <x14:sparkline>
              <xm:f>'ADD COLUMN + SPARKLINES'!B289:B290</xm:f>
              <xm:sqref>O289</xm:sqref>
            </x14:sparkline>
            <x14:sparkline>
              <xm:f>'ADD COLUMN + SPARKLINES'!B290:B291</xm:f>
              <xm:sqref>O290</xm:sqref>
            </x14:sparkline>
            <x14:sparkline>
              <xm:f>'ADD COLUMN + SPARKLINES'!B291:B292</xm:f>
              <xm:sqref>O291</xm:sqref>
            </x14:sparkline>
            <x14:sparkline>
              <xm:f>'ADD COLUMN + SPARKLINES'!B292:B293</xm:f>
              <xm:sqref>O292</xm:sqref>
            </x14:sparkline>
            <x14:sparkline>
              <xm:f>'ADD COLUMN + SPARKLINES'!B293:B294</xm:f>
              <xm:sqref>O293</xm:sqref>
            </x14:sparkline>
            <x14:sparkline>
              <xm:f>'ADD COLUMN + SPARKLINES'!B294:B295</xm:f>
              <xm:sqref>O294</xm:sqref>
            </x14:sparkline>
            <x14:sparkline>
              <xm:f>'ADD COLUMN + SPARKLINES'!B295:B296</xm:f>
              <xm:sqref>O295</xm:sqref>
            </x14:sparkline>
            <x14:sparkline>
              <xm:f>'ADD COLUMN + SPARKLINES'!B296:B297</xm:f>
              <xm:sqref>O296</xm:sqref>
            </x14:sparkline>
            <x14:sparkline>
              <xm:f>'ADD COLUMN + SPARKLINES'!B297:B298</xm:f>
              <xm:sqref>O297</xm:sqref>
            </x14:sparkline>
            <x14:sparkline>
              <xm:f>'ADD COLUMN + SPARKLINES'!B298:B299</xm:f>
              <xm:sqref>O298</xm:sqref>
            </x14:sparkline>
            <x14:sparkline>
              <xm:f>'ADD COLUMN + SPARKLINES'!B299:B300</xm:f>
              <xm:sqref>O299</xm:sqref>
            </x14:sparkline>
            <x14:sparkline>
              <xm:f>'ADD COLUMN + SPARKLINES'!B300:B301</xm:f>
              <xm:sqref>O300</xm:sqref>
            </x14:sparkline>
            <x14:sparkline>
              <xm:f>'ADD COLUMN + SPARKLINES'!B301:B302</xm:f>
              <xm:sqref>O301</xm:sqref>
            </x14:sparkline>
            <x14:sparkline>
              <xm:f>'ADD COLUMN + SPARKLINES'!B302:B303</xm:f>
              <xm:sqref>O302</xm:sqref>
            </x14:sparkline>
            <x14:sparkline>
              <xm:f>'ADD COLUMN + SPARKLINES'!B303:B304</xm:f>
              <xm:sqref>O303</xm:sqref>
            </x14:sparkline>
            <x14:sparkline>
              <xm:f>'ADD COLUMN + SPARKLINES'!B304:B305</xm:f>
              <xm:sqref>O304</xm:sqref>
            </x14:sparkline>
            <x14:sparkline>
              <xm:f>'ADD COLUMN + SPARKLINES'!B305:B306</xm:f>
              <xm:sqref>O305</xm:sqref>
            </x14:sparkline>
            <x14:sparkline>
              <xm:f>'ADD COLUMN + SPARKLINES'!B306:B307</xm:f>
              <xm:sqref>O306</xm:sqref>
            </x14:sparkline>
            <x14:sparkline>
              <xm:f>'ADD COLUMN + SPARKLINES'!B307:B308</xm:f>
              <xm:sqref>O307</xm:sqref>
            </x14:sparkline>
            <x14:sparkline>
              <xm:f>'ADD COLUMN + SPARKLINES'!B308:B309</xm:f>
              <xm:sqref>O308</xm:sqref>
            </x14:sparkline>
            <x14:sparkline>
              <xm:f>'ADD COLUMN + SPARKLINES'!B309:B310</xm:f>
              <xm:sqref>O309</xm:sqref>
            </x14:sparkline>
            <x14:sparkline>
              <xm:f>'ADD COLUMN + SPARKLINES'!B310:B311</xm:f>
              <xm:sqref>O310</xm:sqref>
            </x14:sparkline>
            <x14:sparkline>
              <xm:f>'ADD COLUMN + SPARKLINES'!B311:B312</xm:f>
              <xm:sqref>O311</xm:sqref>
            </x14:sparkline>
            <x14:sparkline>
              <xm:f>'ADD COLUMN + SPARKLINES'!B312:B313</xm:f>
              <xm:sqref>O312</xm:sqref>
            </x14:sparkline>
            <x14:sparkline>
              <xm:f>'ADD COLUMN + SPARKLINES'!B313:B314</xm:f>
              <xm:sqref>O313</xm:sqref>
            </x14:sparkline>
            <x14:sparkline>
              <xm:f>'ADD COLUMN + SPARKLINES'!B314:B315</xm:f>
              <xm:sqref>O314</xm:sqref>
            </x14:sparkline>
            <x14:sparkline>
              <xm:f>'ADD COLUMN + SPARKLINES'!B315:B316</xm:f>
              <xm:sqref>O315</xm:sqref>
            </x14:sparkline>
            <x14:sparkline>
              <xm:f>'ADD COLUMN + SPARKLINES'!B316:B317</xm:f>
              <xm:sqref>O316</xm:sqref>
            </x14:sparkline>
            <x14:sparkline>
              <xm:f>'ADD COLUMN + SPARKLINES'!B317:B318</xm:f>
              <xm:sqref>O317</xm:sqref>
            </x14:sparkline>
            <x14:sparkline>
              <xm:f>'ADD COLUMN + SPARKLINES'!B318:B319</xm:f>
              <xm:sqref>O318</xm:sqref>
            </x14:sparkline>
            <x14:sparkline>
              <xm:f>'ADD COLUMN + SPARKLINES'!B319:B320</xm:f>
              <xm:sqref>O319</xm:sqref>
            </x14:sparkline>
            <x14:sparkline>
              <xm:f>'ADD COLUMN + SPARKLINES'!B320:B321</xm:f>
              <xm:sqref>O320</xm:sqref>
            </x14:sparkline>
            <x14:sparkline>
              <xm:f>'ADD COLUMN + SPARKLINES'!B321:B322</xm:f>
              <xm:sqref>O321</xm:sqref>
            </x14:sparkline>
            <x14:sparkline>
              <xm:f>'ADD COLUMN + SPARKLINES'!B322:B323</xm:f>
              <xm:sqref>O322</xm:sqref>
            </x14:sparkline>
            <x14:sparkline>
              <xm:f>'ADD COLUMN + SPARKLINES'!B323:B324</xm:f>
              <xm:sqref>O323</xm:sqref>
            </x14:sparkline>
            <x14:sparkline>
              <xm:f>'ADD COLUMN + SPARKLINES'!B324:B325</xm:f>
              <xm:sqref>O324</xm:sqref>
            </x14:sparkline>
            <x14:sparkline>
              <xm:f>'ADD COLUMN + SPARKLINES'!B325:B326</xm:f>
              <xm:sqref>O325</xm:sqref>
            </x14:sparkline>
            <x14:sparkline>
              <xm:f>'ADD COLUMN + SPARKLINES'!B326:B327</xm:f>
              <xm:sqref>O326</xm:sqref>
            </x14:sparkline>
            <x14:sparkline>
              <xm:f>'ADD COLUMN + SPARKLINES'!B327:B328</xm:f>
              <xm:sqref>O327</xm:sqref>
            </x14:sparkline>
            <x14:sparkline>
              <xm:f>'ADD COLUMN + SPARKLINES'!B328:B329</xm:f>
              <xm:sqref>O328</xm:sqref>
            </x14:sparkline>
            <x14:sparkline>
              <xm:f>'ADD COLUMN + SPARKLINES'!B329:B330</xm:f>
              <xm:sqref>O329</xm:sqref>
            </x14:sparkline>
            <x14:sparkline>
              <xm:f>'ADD COLUMN + SPARKLINES'!B330:B331</xm:f>
              <xm:sqref>O330</xm:sqref>
            </x14:sparkline>
            <x14:sparkline>
              <xm:f>'ADD COLUMN + SPARKLINES'!B331:B332</xm:f>
              <xm:sqref>O331</xm:sqref>
            </x14:sparkline>
            <x14:sparkline>
              <xm:f>'ADD COLUMN + SPARKLINES'!B332:B333</xm:f>
              <xm:sqref>O332</xm:sqref>
            </x14:sparkline>
            <x14:sparkline>
              <xm:f>'ADD COLUMN + SPARKLINES'!B333:B334</xm:f>
              <xm:sqref>O333</xm:sqref>
            </x14:sparkline>
            <x14:sparkline>
              <xm:f>'ADD COLUMN + SPARKLINES'!B334:B335</xm:f>
              <xm:sqref>O334</xm:sqref>
            </x14:sparkline>
            <x14:sparkline>
              <xm:f>'ADD COLUMN + SPARKLINES'!B335:B336</xm:f>
              <xm:sqref>O335</xm:sqref>
            </x14:sparkline>
            <x14:sparkline>
              <xm:f>'ADD COLUMN + SPARKLINES'!B336:B337</xm:f>
              <xm:sqref>O336</xm:sqref>
            </x14:sparkline>
            <x14:sparkline>
              <xm:f>'ADD COLUMN + SPARKLINES'!B337:B338</xm:f>
              <xm:sqref>O337</xm:sqref>
            </x14:sparkline>
            <x14:sparkline>
              <xm:f>'ADD COLUMN + SPARKLINES'!B338:B339</xm:f>
              <xm:sqref>O338</xm:sqref>
            </x14:sparkline>
            <x14:sparkline>
              <xm:f>'ADD COLUMN + SPARKLINES'!B339:B340</xm:f>
              <xm:sqref>O339</xm:sqref>
            </x14:sparkline>
            <x14:sparkline>
              <xm:f>'ADD COLUMN + SPARKLINES'!B340:B341</xm:f>
              <xm:sqref>O340</xm:sqref>
            </x14:sparkline>
            <x14:sparkline>
              <xm:f>'ADD COLUMN + SPARKLINES'!B341:B342</xm:f>
              <xm:sqref>O341</xm:sqref>
            </x14:sparkline>
            <x14:sparkline>
              <xm:f>'ADD COLUMN + SPARKLINES'!B342:B343</xm:f>
              <xm:sqref>O342</xm:sqref>
            </x14:sparkline>
            <x14:sparkline>
              <xm:f>'ADD COLUMN + SPARKLINES'!B343:B344</xm:f>
              <xm:sqref>O343</xm:sqref>
            </x14:sparkline>
            <x14:sparkline>
              <xm:f>'ADD COLUMN + SPARKLINES'!B344:B345</xm:f>
              <xm:sqref>O344</xm:sqref>
            </x14:sparkline>
            <x14:sparkline>
              <xm:f>'ADD COLUMN + SPARKLINES'!B345:B346</xm:f>
              <xm:sqref>O345</xm:sqref>
            </x14:sparkline>
            <x14:sparkline>
              <xm:f>'ADD COLUMN + SPARKLINES'!B346:B347</xm:f>
              <xm:sqref>O346</xm:sqref>
            </x14:sparkline>
            <x14:sparkline>
              <xm:f>'ADD COLUMN + SPARKLINES'!B347:B348</xm:f>
              <xm:sqref>O347</xm:sqref>
            </x14:sparkline>
            <x14:sparkline>
              <xm:f>'ADD COLUMN + SPARKLINES'!B348:B349</xm:f>
              <xm:sqref>O348</xm:sqref>
            </x14:sparkline>
            <x14:sparkline>
              <xm:f>'ADD COLUMN + SPARKLINES'!B349:B350</xm:f>
              <xm:sqref>O349</xm:sqref>
            </x14:sparkline>
            <x14:sparkline>
              <xm:f>'ADD COLUMN + SPARKLINES'!B350:B351</xm:f>
              <xm:sqref>O350</xm:sqref>
            </x14:sparkline>
            <x14:sparkline>
              <xm:f>'ADD COLUMN + SPARKLINES'!B351:B352</xm:f>
              <xm:sqref>O351</xm:sqref>
            </x14:sparkline>
            <x14:sparkline>
              <xm:f>'ADD COLUMN + SPARKLINES'!B352:B353</xm:f>
              <xm:sqref>O352</xm:sqref>
            </x14:sparkline>
            <x14:sparkline>
              <xm:f>'ADD COLUMN + SPARKLINES'!B353:B354</xm:f>
              <xm:sqref>O353</xm:sqref>
            </x14:sparkline>
            <x14:sparkline>
              <xm:f>'ADD COLUMN + SPARKLINES'!B354:B355</xm:f>
              <xm:sqref>O354</xm:sqref>
            </x14:sparkline>
            <x14:sparkline>
              <xm:f>'ADD COLUMN + SPARKLINES'!B355:B356</xm:f>
              <xm:sqref>O355</xm:sqref>
            </x14:sparkline>
            <x14:sparkline>
              <xm:f>'ADD COLUMN + SPARKLINES'!B356:B357</xm:f>
              <xm:sqref>O356</xm:sqref>
            </x14:sparkline>
            <x14:sparkline>
              <xm:f>'ADD COLUMN + SPARKLINES'!B357:B358</xm:f>
              <xm:sqref>O357</xm:sqref>
            </x14:sparkline>
            <x14:sparkline>
              <xm:f>'ADD COLUMN + SPARKLINES'!B358:B359</xm:f>
              <xm:sqref>O358</xm:sqref>
            </x14:sparkline>
            <x14:sparkline>
              <xm:f>'ADD COLUMN + SPARKLINES'!B359:B360</xm:f>
              <xm:sqref>O359</xm:sqref>
            </x14:sparkline>
            <x14:sparkline>
              <xm:f>'ADD COLUMN + SPARKLINES'!B360:B361</xm:f>
              <xm:sqref>O360</xm:sqref>
            </x14:sparkline>
            <x14:sparkline>
              <xm:f>'ADD COLUMN + SPARKLINES'!B361:B362</xm:f>
              <xm:sqref>O361</xm:sqref>
            </x14:sparkline>
            <x14:sparkline>
              <xm:f>'ADD COLUMN + SPARKLINES'!B362:B363</xm:f>
              <xm:sqref>O362</xm:sqref>
            </x14:sparkline>
            <x14:sparkline>
              <xm:f>'ADD COLUMN + SPARKLINES'!B363:B364</xm:f>
              <xm:sqref>O363</xm:sqref>
            </x14:sparkline>
            <x14:sparkline>
              <xm:f>'ADD COLUMN + SPARKLINES'!B364:B365</xm:f>
              <xm:sqref>O364</xm:sqref>
            </x14:sparkline>
            <x14:sparkline>
              <xm:f>'ADD COLUMN + SPARKLINES'!B365:B366</xm:f>
              <xm:sqref>O365</xm:sqref>
            </x14:sparkline>
            <x14:sparkline>
              <xm:f>'ADD COLUMN + SPARKLINES'!B366:B367</xm:f>
              <xm:sqref>O366</xm:sqref>
            </x14:sparkline>
            <x14:sparkline>
              <xm:f>'ADD COLUMN + SPARKLINES'!B367:B368</xm:f>
              <xm:sqref>O367</xm:sqref>
            </x14:sparkline>
            <x14:sparkline>
              <xm:f>'ADD COLUMN + SPARKLINES'!B368:B369</xm:f>
              <xm:sqref>O368</xm:sqref>
            </x14:sparkline>
            <x14:sparkline>
              <xm:f>'ADD COLUMN + SPARKLINES'!B369:B370</xm:f>
              <xm:sqref>O369</xm:sqref>
            </x14:sparkline>
            <x14:sparkline>
              <xm:f>'ADD COLUMN + SPARKLINES'!B370:B371</xm:f>
              <xm:sqref>O370</xm:sqref>
            </x14:sparkline>
            <x14:sparkline>
              <xm:f>'ADD COLUMN + SPARKLINES'!B371:B372</xm:f>
              <xm:sqref>O371</xm:sqref>
            </x14:sparkline>
            <x14:sparkline>
              <xm:f>'ADD COLUMN + SPARKLINES'!B372:B373</xm:f>
              <xm:sqref>O372</xm:sqref>
            </x14:sparkline>
            <x14:sparkline>
              <xm:f>'ADD COLUMN + SPARKLINES'!B373:B374</xm:f>
              <xm:sqref>O373</xm:sqref>
            </x14:sparkline>
            <x14:sparkline>
              <xm:f>'ADD COLUMN + SPARKLINES'!B374:B375</xm:f>
              <xm:sqref>O374</xm:sqref>
            </x14:sparkline>
            <x14:sparkline>
              <xm:f>'ADD COLUMN + SPARKLINES'!B375:B376</xm:f>
              <xm:sqref>O375</xm:sqref>
            </x14:sparkline>
            <x14:sparkline>
              <xm:f>'ADD COLUMN + SPARKLINES'!B376:B377</xm:f>
              <xm:sqref>O376</xm:sqref>
            </x14:sparkline>
            <x14:sparkline>
              <xm:f>'ADD COLUMN + SPARKLINES'!B377:B378</xm:f>
              <xm:sqref>O377</xm:sqref>
            </x14:sparkline>
            <x14:sparkline>
              <xm:f>'ADD COLUMN + SPARKLINES'!B378:B379</xm:f>
              <xm:sqref>O378</xm:sqref>
            </x14:sparkline>
            <x14:sparkline>
              <xm:f>'ADD COLUMN + SPARKLINES'!B379:B380</xm:f>
              <xm:sqref>O379</xm:sqref>
            </x14:sparkline>
            <x14:sparkline>
              <xm:f>'ADD COLUMN + SPARKLINES'!B380:B381</xm:f>
              <xm:sqref>O380</xm:sqref>
            </x14:sparkline>
            <x14:sparkline>
              <xm:f>'ADD COLUMN + SPARKLINES'!B381:B382</xm:f>
              <xm:sqref>O381</xm:sqref>
            </x14:sparkline>
            <x14:sparkline>
              <xm:f>'ADD COLUMN + SPARKLINES'!B382:B383</xm:f>
              <xm:sqref>O382</xm:sqref>
            </x14:sparkline>
            <x14:sparkline>
              <xm:f>'ADD COLUMN + SPARKLINES'!B383:B384</xm:f>
              <xm:sqref>O383</xm:sqref>
            </x14:sparkline>
            <x14:sparkline>
              <xm:f>'ADD COLUMN + SPARKLINES'!B384:B385</xm:f>
              <xm:sqref>O384</xm:sqref>
            </x14:sparkline>
            <x14:sparkline>
              <xm:f>'ADD COLUMN + SPARKLINES'!B385:B386</xm:f>
              <xm:sqref>O385</xm:sqref>
            </x14:sparkline>
            <x14:sparkline>
              <xm:f>'ADD COLUMN + SPARKLINES'!B386:B387</xm:f>
              <xm:sqref>O386</xm:sqref>
            </x14:sparkline>
            <x14:sparkline>
              <xm:f>'ADD COLUMN + SPARKLINES'!B387:B388</xm:f>
              <xm:sqref>O387</xm:sqref>
            </x14:sparkline>
            <x14:sparkline>
              <xm:f>'ADD COLUMN + SPARKLINES'!B388:B389</xm:f>
              <xm:sqref>O388</xm:sqref>
            </x14:sparkline>
            <x14:sparkline>
              <xm:f>'ADD COLUMN + SPARKLINES'!B389:B390</xm:f>
              <xm:sqref>O389</xm:sqref>
            </x14:sparkline>
            <x14:sparkline>
              <xm:f>'ADD COLUMN + SPARKLINES'!B390:B391</xm:f>
              <xm:sqref>O390</xm:sqref>
            </x14:sparkline>
            <x14:sparkline>
              <xm:f>'ADD COLUMN + SPARKLINES'!B391:B392</xm:f>
              <xm:sqref>O391</xm:sqref>
            </x14:sparkline>
            <x14:sparkline>
              <xm:f>'ADD COLUMN + SPARKLINES'!B392:B393</xm:f>
              <xm:sqref>O392</xm:sqref>
            </x14:sparkline>
            <x14:sparkline>
              <xm:f>'ADD COLUMN + SPARKLINES'!B393:B394</xm:f>
              <xm:sqref>O393</xm:sqref>
            </x14:sparkline>
            <x14:sparkline>
              <xm:f>'ADD COLUMN + SPARKLINES'!B394:B395</xm:f>
              <xm:sqref>O394</xm:sqref>
            </x14:sparkline>
            <x14:sparkline>
              <xm:f>'ADD COLUMN + SPARKLINES'!B395:B396</xm:f>
              <xm:sqref>O395</xm:sqref>
            </x14:sparkline>
            <x14:sparkline>
              <xm:f>'ADD COLUMN + SPARKLINES'!B396:B397</xm:f>
              <xm:sqref>O396</xm:sqref>
            </x14:sparkline>
            <x14:sparkline>
              <xm:f>'ADD COLUMN + SPARKLINES'!B397:B398</xm:f>
              <xm:sqref>O397</xm:sqref>
            </x14:sparkline>
            <x14:sparkline>
              <xm:f>'ADD COLUMN + SPARKLINES'!B398:B399</xm:f>
              <xm:sqref>O398</xm:sqref>
            </x14:sparkline>
            <x14:sparkline>
              <xm:f>'ADD COLUMN + SPARKLINES'!B399:B400</xm:f>
              <xm:sqref>O399</xm:sqref>
            </x14:sparkline>
            <x14:sparkline>
              <xm:f>'ADD COLUMN + SPARKLINES'!B400:B401</xm:f>
              <xm:sqref>O400</xm:sqref>
            </x14:sparkline>
            <x14:sparkline>
              <xm:f>'ADD COLUMN + SPARKLINES'!B401:B402</xm:f>
              <xm:sqref>O401</xm:sqref>
            </x14:sparkline>
            <x14:sparkline>
              <xm:f>'ADD COLUMN + SPARKLINES'!B402:B403</xm:f>
              <xm:sqref>O402</xm:sqref>
            </x14:sparkline>
            <x14:sparkline>
              <xm:f>'ADD COLUMN + SPARKLINES'!B403:B404</xm:f>
              <xm:sqref>O403</xm:sqref>
            </x14:sparkline>
            <x14:sparkline>
              <xm:f>'ADD COLUMN + SPARKLINES'!B404:B405</xm:f>
              <xm:sqref>O404</xm:sqref>
            </x14:sparkline>
            <x14:sparkline>
              <xm:f>'ADD COLUMN + SPARKLINES'!B405:B406</xm:f>
              <xm:sqref>O405</xm:sqref>
            </x14:sparkline>
            <x14:sparkline>
              <xm:f>'ADD COLUMN + SPARKLINES'!B406:B407</xm:f>
              <xm:sqref>O406</xm:sqref>
            </x14:sparkline>
            <x14:sparkline>
              <xm:f>'ADD COLUMN + SPARKLINES'!B407:B408</xm:f>
              <xm:sqref>O407</xm:sqref>
            </x14:sparkline>
            <x14:sparkline>
              <xm:f>'ADD COLUMN + SPARKLINES'!B408:B409</xm:f>
              <xm:sqref>O408</xm:sqref>
            </x14:sparkline>
            <x14:sparkline>
              <xm:f>'ADD COLUMN + SPARKLINES'!B409:B410</xm:f>
              <xm:sqref>O409</xm:sqref>
            </x14:sparkline>
            <x14:sparkline>
              <xm:f>'ADD COLUMN + SPARKLINES'!B410:B411</xm:f>
              <xm:sqref>O410</xm:sqref>
            </x14:sparkline>
            <x14:sparkline>
              <xm:f>'ADD COLUMN + SPARKLINES'!B411:B412</xm:f>
              <xm:sqref>O411</xm:sqref>
            </x14:sparkline>
            <x14:sparkline>
              <xm:f>'ADD COLUMN + SPARKLINES'!B412:B413</xm:f>
              <xm:sqref>O412</xm:sqref>
            </x14:sparkline>
            <x14:sparkline>
              <xm:f>'ADD COLUMN + SPARKLINES'!B413:B414</xm:f>
              <xm:sqref>O413</xm:sqref>
            </x14:sparkline>
            <x14:sparkline>
              <xm:f>'ADD COLUMN + SPARKLINES'!B414:B415</xm:f>
              <xm:sqref>O414</xm:sqref>
            </x14:sparkline>
            <x14:sparkline>
              <xm:f>'ADD COLUMN + SPARKLINES'!B415:B416</xm:f>
              <xm:sqref>O415</xm:sqref>
            </x14:sparkline>
            <x14:sparkline>
              <xm:f>'ADD COLUMN + SPARKLINES'!B416:B417</xm:f>
              <xm:sqref>O416</xm:sqref>
            </x14:sparkline>
            <x14:sparkline>
              <xm:f>'ADD COLUMN + SPARKLINES'!B417:B418</xm:f>
              <xm:sqref>O417</xm:sqref>
            </x14:sparkline>
            <x14:sparkline>
              <xm:f>'ADD COLUMN + SPARKLINES'!B418:B419</xm:f>
              <xm:sqref>O418</xm:sqref>
            </x14:sparkline>
            <x14:sparkline>
              <xm:f>'ADD COLUMN + SPARKLINES'!B419:B420</xm:f>
              <xm:sqref>O419</xm:sqref>
            </x14:sparkline>
            <x14:sparkline>
              <xm:f>'ADD COLUMN + SPARKLINES'!B420:B421</xm:f>
              <xm:sqref>O420</xm:sqref>
            </x14:sparkline>
            <x14:sparkline>
              <xm:f>'ADD COLUMN + SPARKLINES'!B421:B422</xm:f>
              <xm:sqref>O421</xm:sqref>
            </x14:sparkline>
            <x14:sparkline>
              <xm:f>'ADD COLUMN + SPARKLINES'!B422:B423</xm:f>
              <xm:sqref>O422</xm:sqref>
            </x14:sparkline>
            <x14:sparkline>
              <xm:f>'ADD COLUMN + SPARKLINES'!B423:B424</xm:f>
              <xm:sqref>O423</xm:sqref>
            </x14:sparkline>
            <x14:sparkline>
              <xm:f>'ADD COLUMN + SPARKLINES'!B424:B425</xm:f>
              <xm:sqref>O424</xm:sqref>
            </x14:sparkline>
            <x14:sparkline>
              <xm:f>'ADD COLUMN + SPARKLINES'!B425:B426</xm:f>
              <xm:sqref>O425</xm:sqref>
            </x14:sparkline>
            <x14:sparkline>
              <xm:f>'ADD COLUMN + SPARKLINES'!B426:B427</xm:f>
              <xm:sqref>O426</xm:sqref>
            </x14:sparkline>
            <x14:sparkline>
              <xm:f>'ADD COLUMN + SPARKLINES'!B427:B428</xm:f>
              <xm:sqref>O427</xm:sqref>
            </x14:sparkline>
            <x14:sparkline>
              <xm:f>'ADD COLUMN + SPARKLINES'!B428:B429</xm:f>
              <xm:sqref>O428</xm:sqref>
            </x14:sparkline>
            <x14:sparkline>
              <xm:f>'ADD COLUMN + SPARKLINES'!B429:B430</xm:f>
              <xm:sqref>O429</xm:sqref>
            </x14:sparkline>
            <x14:sparkline>
              <xm:f>'ADD COLUMN + SPARKLINES'!B430:B431</xm:f>
              <xm:sqref>O430</xm:sqref>
            </x14:sparkline>
            <x14:sparkline>
              <xm:f>'ADD COLUMN + SPARKLINES'!B431:B432</xm:f>
              <xm:sqref>O431</xm:sqref>
            </x14:sparkline>
            <x14:sparkline>
              <xm:f>'ADD COLUMN + SPARKLINES'!B432:B433</xm:f>
              <xm:sqref>O432</xm:sqref>
            </x14:sparkline>
            <x14:sparkline>
              <xm:f>'ADD COLUMN + SPARKLINES'!B433:B434</xm:f>
              <xm:sqref>O433</xm:sqref>
            </x14:sparkline>
            <x14:sparkline>
              <xm:f>'ADD COLUMN + SPARKLINES'!B434:B435</xm:f>
              <xm:sqref>O434</xm:sqref>
            </x14:sparkline>
            <x14:sparkline>
              <xm:f>'ADD COLUMN + SPARKLINES'!B435:B436</xm:f>
              <xm:sqref>O435</xm:sqref>
            </x14:sparkline>
            <x14:sparkline>
              <xm:f>'ADD COLUMN + SPARKLINES'!B436:B437</xm:f>
              <xm:sqref>O436</xm:sqref>
            </x14:sparkline>
            <x14:sparkline>
              <xm:f>'ADD COLUMN + SPARKLINES'!B437:B438</xm:f>
              <xm:sqref>O437</xm:sqref>
            </x14:sparkline>
            <x14:sparkline>
              <xm:f>'ADD COLUMN + SPARKLINES'!B438:B439</xm:f>
              <xm:sqref>O438</xm:sqref>
            </x14:sparkline>
            <x14:sparkline>
              <xm:f>'ADD COLUMN + SPARKLINES'!B439:B440</xm:f>
              <xm:sqref>O439</xm:sqref>
            </x14:sparkline>
            <x14:sparkline>
              <xm:f>'ADD COLUMN + SPARKLINES'!B440:B441</xm:f>
              <xm:sqref>O440</xm:sqref>
            </x14:sparkline>
            <x14:sparkline>
              <xm:f>'ADD COLUMN + SPARKLINES'!B441:B442</xm:f>
              <xm:sqref>O441</xm:sqref>
            </x14:sparkline>
            <x14:sparkline>
              <xm:f>'ADD COLUMN + SPARKLINES'!B442:B443</xm:f>
              <xm:sqref>O442</xm:sqref>
            </x14:sparkline>
            <x14:sparkline>
              <xm:f>'ADD COLUMN + SPARKLINES'!B443:B444</xm:f>
              <xm:sqref>O443</xm:sqref>
            </x14:sparkline>
            <x14:sparkline>
              <xm:f>'ADD COLUMN + SPARKLINES'!B444:B445</xm:f>
              <xm:sqref>O444</xm:sqref>
            </x14:sparkline>
            <x14:sparkline>
              <xm:f>'ADD COLUMN + SPARKLINES'!B445:B446</xm:f>
              <xm:sqref>O445</xm:sqref>
            </x14:sparkline>
            <x14:sparkline>
              <xm:f>'ADD COLUMN + SPARKLINES'!B446:B447</xm:f>
              <xm:sqref>O446</xm:sqref>
            </x14:sparkline>
            <x14:sparkline>
              <xm:f>'ADD COLUMN + SPARKLINES'!B447:B448</xm:f>
              <xm:sqref>O447</xm:sqref>
            </x14:sparkline>
            <x14:sparkline>
              <xm:f>'ADD COLUMN + SPARKLINES'!B448:B449</xm:f>
              <xm:sqref>O448</xm:sqref>
            </x14:sparkline>
            <x14:sparkline>
              <xm:f>'ADD COLUMN + SPARKLINES'!B449:B450</xm:f>
              <xm:sqref>O449</xm:sqref>
            </x14:sparkline>
            <x14:sparkline>
              <xm:f>'ADD COLUMN + SPARKLINES'!B450:B451</xm:f>
              <xm:sqref>O450</xm:sqref>
            </x14:sparkline>
            <x14:sparkline>
              <xm:f>'ADD COLUMN + SPARKLINES'!B451:B452</xm:f>
              <xm:sqref>O451</xm:sqref>
            </x14:sparkline>
            <x14:sparkline>
              <xm:f>'ADD COLUMN + SPARKLINES'!B452:B453</xm:f>
              <xm:sqref>O452</xm:sqref>
            </x14:sparkline>
            <x14:sparkline>
              <xm:f>'ADD COLUMN + SPARKLINES'!B453:B454</xm:f>
              <xm:sqref>O453</xm:sqref>
            </x14:sparkline>
            <x14:sparkline>
              <xm:f>'ADD COLUMN + SPARKLINES'!B454:B455</xm:f>
              <xm:sqref>O454</xm:sqref>
            </x14:sparkline>
            <x14:sparkline>
              <xm:f>'ADD COLUMN + SPARKLINES'!B455:B456</xm:f>
              <xm:sqref>O455</xm:sqref>
            </x14:sparkline>
            <x14:sparkline>
              <xm:f>'ADD COLUMN + SPARKLINES'!B456:B457</xm:f>
              <xm:sqref>O456</xm:sqref>
            </x14:sparkline>
            <x14:sparkline>
              <xm:f>'ADD COLUMN + SPARKLINES'!B457:B458</xm:f>
              <xm:sqref>O457</xm:sqref>
            </x14:sparkline>
            <x14:sparkline>
              <xm:f>'ADD COLUMN + SPARKLINES'!B458:B459</xm:f>
              <xm:sqref>O458</xm:sqref>
            </x14:sparkline>
            <x14:sparkline>
              <xm:f>'ADD COLUMN + SPARKLINES'!B459:B460</xm:f>
              <xm:sqref>O459</xm:sqref>
            </x14:sparkline>
            <x14:sparkline>
              <xm:f>'ADD COLUMN + SPARKLINES'!B460:B461</xm:f>
              <xm:sqref>O460</xm:sqref>
            </x14:sparkline>
            <x14:sparkline>
              <xm:f>'ADD COLUMN + SPARKLINES'!B461:B462</xm:f>
              <xm:sqref>O461</xm:sqref>
            </x14:sparkline>
            <x14:sparkline>
              <xm:f>'ADD COLUMN + SPARKLINES'!B462:B463</xm:f>
              <xm:sqref>O462</xm:sqref>
            </x14:sparkline>
            <x14:sparkline>
              <xm:f>'ADD COLUMN + SPARKLINES'!B463:B464</xm:f>
              <xm:sqref>O463</xm:sqref>
            </x14:sparkline>
            <x14:sparkline>
              <xm:f>'ADD COLUMN + SPARKLINES'!B464:B465</xm:f>
              <xm:sqref>O464</xm:sqref>
            </x14:sparkline>
            <x14:sparkline>
              <xm:f>'ADD COLUMN + SPARKLINES'!B465:B466</xm:f>
              <xm:sqref>O465</xm:sqref>
            </x14:sparkline>
            <x14:sparkline>
              <xm:f>'ADD COLUMN + SPARKLINES'!B466:B467</xm:f>
              <xm:sqref>O466</xm:sqref>
            </x14:sparkline>
            <x14:sparkline>
              <xm:f>'ADD COLUMN + SPARKLINES'!B467:B468</xm:f>
              <xm:sqref>O467</xm:sqref>
            </x14:sparkline>
            <x14:sparkline>
              <xm:f>'ADD COLUMN + SPARKLINES'!B468:B469</xm:f>
              <xm:sqref>O468</xm:sqref>
            </x14:sparkline>
            <x14:sparkline>
              <xm:f>'ADD COLUMN + SPARKLINES'!B469:B470</xm:f>
              <xm:sqref>O469</xm:sqref>
            </x14:sparkline>
            <x14:sparkline>
              <xm:f>'ADD COLUMN + SPARKLINES'!B470:B471</xm:f>
              <xm:sqref>O470</xm:sqref>
            </x14:sparkline>
            <x14:sparkline>
              <xm:f>'ADD COLUMN + SPARKLINES'!B471:B472</xm:f>
              <xm:sqref>O471</xm:sqref>
            </x14:sparkline>
            <x14:sparkline>
              <xm:f>'ADD COLUMN + SPARKLINES'!B472:B473</xm:f>
              <xm:sqref>O472</xm:sqref>
            </x14:sparkline>
            <x14:sparkline>
              <xm:f>'ADD COLUMN + SPARKLINES'!B473:B474</xm:f>
              <xm:sqref>O473</xm:sqref>
            </x14:sparkline>
            <x14:sparkline>
              <xm:f>'ADD COLUMN + SPARKLINES'!B474:B475</xm:f>
              <xm:sqref>O474</xm:sqref>
            </x14:sparkline>
            <x14:sparkline>
              <xm:f>'ADD COLUMN + SPARKLINES'!B475:B476</xm:f>
              <xm:sqref>O475</xm:sqref>
            </x14:sparkline>
            <x14:sparkline>
              <xm:f>'ADD COLUMN + SPARKLINES'!B476:B477</xm:f>
              <xm:sqref>O476</xm:sqref>
            </x14:sparkline>
            <x14:sparkline>
              <xm:f>'ADD COLUMN + SPARKLINES'!B477:B478</xm:f>
              <xm:sqref>O477</xm:sqref>
            </x14:sparkline>
            <x14:sparkline>
              <xm:f>'ADD COLUMN + SPARKLINES'!B478:B479</xm:f>
              <xm:sqref>O478</xm:sqref>
            </x14:sparkline>
            <x14:sparkline>
              <xm:f>'ADD COLUMN + SPARKLINES'!B479:B480</xm:f>
              <xm:sqref>O479</xm:sqref>
            </x14:sparkline>
            <x14:sparkline>
              <xm:f>'ADD COLUMN + SPARKLINES'!B480:B481</xm:f>
              <xm:sqref>O480</xm:sqref>
            </x14:sparkline>
            <x14:sparkline>
              <xm:f>'ADD COLUMN + SPARKLINES'!B481:B482</xm:f>
              <xm:sqref>O481</xm:sqref>
            </x14:sparkline>
            <x14:sparkline>
              <xm:f>'ADD COLUMN + SPARKLINES'!B482:B483</xm:f>
              <xm:sqref>O482</xm:sqref>
            </x14:sparkline>
            <x14:sparkline>
              <xm:f>'ADD COLUMN + SPARKLINES'!B483:B484</xm:f>
              <xm:sqref>O483</xm:sqref>
            </x14:sparkline>
            <x14:sparkline>
              <xm:f>'ADD COLUMN + SPARKLINES'!B484:B485</xm:f>
              <xm:sqref>O484</xm:sqref>
            </x14:sparkline>
            <x14:sparkline>
              <xm:f>'ADD COLUMN + SPARKLINES'!B485:B486</xm:f>
              <xm:sqref>O485</xm:sqref>
            </x14:sparkline>
            <x14:sparkline>
              <xm:f>'ADD COLUMN + SPARKLINES'!B486:B487</xm:f>
              <xm:sqref>O486</xm:sqref>
            </x14:sparkline>
            <x14:sparkline>
              <xm:f>'ADD COLUMN + SPARKLINES'!B487:B488</xm:f>
              <xm:sqref>O487</xm:sqref>
            </x14:sparkline>
            <x14:sparkline>
              <xm:f>'ADD COLUMN + SPARKLINES'!B488:B489</xm:f>
              <xm:sqref>O488</xm:sqref>
            </x14:sparkline>
            <x14:sparkline>
              <xm:f>'ADD COLUMN + SPARKLINES'!B489:B490</xm:f>
              <xm:sqref>O489</xm:sqref>
            </x14:sparkline>
            <x14:sparkline>
              <xm:f>'ADD COLUMN + SPARKLINES'!B490:B491</xm:f>
              <xm:sqref>O490</xm:sqref>
            </x14:sparkline>
            <x14:sparkline>
              <xm:f>'ADD COLUMN + SPARKLINES'!B491:B492</xm:f>
              <xm:sqref>O491</xm:sqref>
            </x14:sparkline>
            <x14:sparkline>
              <xm:f>'ADD COLUMN + SPARKLINES'!B492:B493</xm:f>
              <xm:sqref>O492</xm:sqref>
            </x14:sparkline>
            <x14:sparkline>
              <xm:f>'ADD COLUMN + SPARKLINES'!B493:B494</xm:f>
              <xm:sqref>O493</xm:sqref>
            </x14:sparkline>
            <x14:sparkline>
              <xm:f>'ADD COLUMN + SPARKLINES'!B494:B495</xm:f>
              <xm:sqref>O494</xm:sqref>
            </x14:sparkline>
            <x14:sparkline>
              <xm:f>'ADD COLUMN + SPARKLINES'!B495:B496</xm:f>
              <xm:sqref>O495</xm:sqref>
            </x14:sparkline>
            <x14:sparkline>
              <xm:f>'ADD COLUMN + SPARKLINES'!B496:B497</xm:f>
              <xm:sqref>O496</xm:sqref>
            </x14:sparkline>
            <x14:sparkline>
              <xm:f>'ADD COLUMN + SPARKLINES'!B497:B498</xm:f>
              <xm:sqref>O497</xm:sqref>
            </x14:sparkline>
            <x14:sparkline>
              <xm:f>'ADD COLUMN + SPARKLINES'!B498:B499</xm:f>
              <xm:sqref>O498</xm:sqref>
            </x14:sparkline>
            <x14:sparkline>
              <xm:f>'ADD COLUMN + SPARKLINES'!B499:B500</xm:f>
              <xm:sqref>O499</xm:sqref>
            </x14:sparkline>
            <x14:sparkline>
              <xm:f>'ADD COLUMN + SPARKLINES'!B500:B501</xm:f>
              <xm:sqref>O500</xm:sqref>
            </x14:sparkline>
            <x14:sparkline>
              <xm:f>'ADD COLUMN + SPARKLINES'!B501:B502</xm:f>
              <xm:sqref>O501</xm:sqref>
            </x14:sparkline>
          </x14:sparklines>
        </x14:sparklineGroup>
        <x14:sparklineGroup displayEmptyCellsAs="gap" xr2:uid="{C7C20B17-7414-4064-B90A-ED1D3F264F4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'ADD COLUMN + SPARKLINES'!S17:S26</xm:f>
              <xm:sqref>AF8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 &amp; DATE FUNCTIONS</vt:lpstr>
      <vt:lpstr>TEXT &amp; DATE TASKS</vt:lpstr>
      <vt:lpstr>ADD COLUMN + SPARKLINES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Vishalsinh Mahida</dc:creator>
  <cp:lastModifiedBy>Prince Patel</cp:lastModifiedBy>
  <dcterms:created xsi:type="dcterms:W3CDTF">2026-05-05T05:10:06Z</dcterms:created>
  <dcterms:modified xsi:type="dcterms:W3CDTF">2026-05-15T09:35:49Z</dcterms:modified>
</cp:coreProperties>
</file>