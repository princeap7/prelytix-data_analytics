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nce patel\Documents\prelytix-data_analytics\Day 2\"/>
    </mc:Choice>
  </mc:AlternateContent>
  <xr:revisionPtr revIDLastSave="0" documentId="13_ncr:1_{39A2CC6C-742D-4F4F-B138-62ABC4B56E89}" xr6:coauthVersionLast="47" xr6:coauthVersionMax="47" xr10:uidLastSave="{00000000-0000-0000-0000-000000000000}"/>
  <bookViews>
    <workbookView xWindow="-108" yWindow="-108" windowWidth="23256" windowHeight="12456" xr2:uid="{74D63399-A806-4BC2-B42A-1EC48C5562D0}"/>
  </bookViews>
  <sheets>
    <sheet name="MAIN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0" i="1" l="1"/>
  <c r="Y38" i="1"/>
  <c r="Y37" i="1"/>
  <c r="Y34" i="1"/>
  <c r="AF34" i="1"/>
  <c r="AF33" i="1"/>
  <c r="AF32" i="1"/>
  <c r="AF30" i="1"/>
  <c r="AF29" i="1"/>
  <c r="AF28" i="1"/>
  <c r="AF27" i="1"/>
  <c r="AC39" i="1"/>
  <c r="AC38" i="1"/>
  <c r="AC37" i="1"/>
  <c r="X38" i="1" s="1"/>
  <c r="AB37" i="1" a="1"/>
  <c r="AB37" i="1" s="1"/>
  <c r="AA39" i="1"/>
  <c r="AA38" i="1"/>
  <c r="AA37" i="1"/>
  <c r="Z37" i="1" a="1"/>
  <c r="Z37" i="1" s="1"/>
  <c r="X36" i="1"/>
  <c r="X35" i="1"/>
  <c r="AB34" i="1"/>
  <c r="AA34" i="1"/>
  <c r="Z34" i="1"/>
  <c r="X33" i="1"/>
  <c r="X32" i="1"/>
  <c r="M2" i="1" a="1"/>
  <c r="M2" i="1" s="1"/>
  <c r="M3" i="1" a="1"/>
  <c r="M3" i="1" s="1"/>
  <c r="M4" i="1" a="1"/>
  <c r="M4" i="1" s="1"/>
  <c r="M5" i="1" a="1"/>
  <c r="M5" i="1" s="1"/>
  <c r="M6" i="1" a="1"/>
  <c r="M6" i="1" s="1"/>
  <c r="M7" i="1" a="1"/>
  <c r="M7" i="1" s="1"/>
  <c r="M8" i="1" a="1"/>
  <c r="M8" i="1" s="1"/>
  <c r="M9" i="1" a="1"/>
  <c r="M9" i="1" s="1"/>
  <c r="M10" i="1" a="1"/>
  <c r="M10" i="1" s="1"/>
  <c r="M11" i="1" a="1"/>
  <c r="M11" i="1" s="1"/>
  <c r="M12" i="1" a="1"/>
  <c r="M12" i="1" s="1"/>
  <c r="M13" i="1" a="1"/>
  <c r="M13" i="1" s="1"/>
  <c r="M14" i="1" a="1"/>
  <c r="M14" i="1" s="1"/>
  <c r="M15" i="1" a="1"/>
  <c r="M15" i="1" s="1"/>
  <c r="M16" i="1" a="1"/>
  <c r="M16" i="1" s="1"/>
  <c r="M17" i="1" a="1"/>
  <c r="M17" i="1" s="1"/>
  <c r="M18" i="1" a="1"/>
  <c r="M18" i="1" s="1"/>
  <c r="M19" i="1" a="1"/>
  <c r="M19" i="1" s="1"/>
  <c r="M20" i="1" a="1"/>
  <c r="M20" i="1" s="1"/>
  <c r="M21" i="1" a="1"/>
  <c r="M21" i="1" s="1"/>
  <c r="M22" i="1" a="1"/>
  <c r="M22" i="1" s="1"/>
  <c r="M23" i="1" a="1"/>
  <c r="M23" i="1" s="1"/>
  <c r="M24" i="1" a="1"/>
  <c r="M24" i="1" s="1"/>
  <c r="M25" i="1" a="1"/>
  <c r="M25" i="1" s="1"/>
  <c r="M26" i="1" a="1"/>
  <c r="M26" i="1" s="1"/>
  <c r="M27" i="1" a="1"/>
  <c r="M27" i="1" s="1"/>
  <c r="M28" i="1" a="1"/>
  <c r="M28" i="1" s="1"/>
  <c r="M29" i="1" a="1"/>
  <c r="M29" i="1" s="1"/>
  <c r="M30" i="1" a="1"/>
  <c r="M30" i="1" s="1"/>
  <c r="M31" i="1" a="1"/>
  <c r="M31" i="1" s="1"/>
  <c r="M32" i="1" a="1"/>
  <c r="M32" i="1" s="1"/>
  <c r="M33" i="1" a="1"/>
  <c r="M33" i="1" s="1"/>
  <c r="M34" i="1" a="1"/>
  <c r="M34" i="1" s="1"/>
  <c r="M35" i="1" a="1"/>
  <c r="M35" i="1" s="1"/>
  <c r="M36" i="1" a="1"/>
  <c r="M36" i="1" s="1"/>
  <c r="M37" i="1" a="1"/>
  <c r="M37" i="1" s="1"/>
  <c r="M38" i="1" a="1"/>
  <c r="M38" i="1" s="1"/>
  <c r="M39" i="1" a="1"/>
  <c r="M39" i="1" s="1"/>
  <c r="M40" i="1" a="1"/>
  <c r="M40" i="1" s="1"/>
  <c r="M41" i="1" a="1"/>
  <c r="M41" i="1" s="1"/>
  <c r="M42" i="1" a="1"/>
  <c r="M42" i="1" s="1"/>
  <c r="M43" i="1" a="1"/>
  <c r="M43" i="1" s="1"/>
  <c r="M44" i="1" a="1"/>
  <c r="M44" i="1" s="1"/>
  <c r="M45" i="1" a="1"/>
  <c r="M45" i="1" s="1"/>
  <c r="M46" i="1" a="1"/>
  <c r="M46" i="1" s="1"/>
  <c r="M47" i="1" a="1"/>
  <c r="M47" i="1" s="1"/>
  <c r="M48" i="1" a="1"/>
  <c r="M48" i="1" s="1"/>
  <c r="M49" i="1" a="1"/>
  <c r="M49" i="1" s="1"/>
  <c r="M50" i="1" a="1"/>
  <c r="M50" i="1" s="1"/>
  <c r="M51" i="1" a="1"/>
  <c r="M51" i="1" s="1"/>
  <c r="M52" i="1" a="1"/>
  <c r="M52" i="1" s="1"/>
  <c r="M53" i="1" a="1"/>
  <c r="M53" i="1" s="1"/>
  <c r="M54" i="1" a="1"/>
  <c r="M54" i="1" s="1"/>
  <c r="M55" i="1" a="1"/>
  <c r="M55" i="1" s="1"/>
  <c r="M56" i="1" a="1"/>
  <c r="M56" i="1" s="1"/>
  <c r="M57" i="1" a="1"/>
  <c r="M57" i="1" s="1"/>
  <c r="M58" i="1" a="1"/>
  <c r="M58" i="1" s="1"/>
  <c r="M59" i="1" a="1"/>
  <c r="M59" i="1" s="1"/>
  <c r="M60" i="1" a="1"/>
  <c r="M60" i="1" s="1"/>
  <c r="M61" i="1" a="1"/>
  <c r="M61" i="1"/>
  <c r="M62" i="1" a="1"/>
  <c r="M62" i="1" s="1"/>
  <c r="M63" i="1" a="1"/>
  <c r="M63" i="1" s="1"/>
  <c r="M64" i="1" a="1"/>
  <c r="M64" i="1" s="1"/>
  <c r="M65" i="1" a="1"/>
  <c r="M65" i="1" s="1"/>
  <c r="M66" i="1" a="1"/>
  <c r="M66" i="1" s="1"/>
  <c r="M67" i="1" a="1"/>
  <c r="M67" i="1" s="1"/>
  <c r="M68" i="1" a="1"/>
  <c r="M68" i="1" s="1"/>
  <c r="M69" i="1" a="1"/>
  <c r="M69" i="1" s="1"/>
  <c r="M70" i="1" a="1"/>
  <c r="M70" i="1" s="1"/>
  <c r="M71" i="1" a="1"/>
  <c r="M71" i="1" s="1"/>
  <c r="M72" i="1" a="1"/>
  <c r="M72" i="1" s="1"/>
  <c r="M73" i="1" a="1"/>
  <c r="M73" i="1" s="1"/>
  <c r="M74" i="1" a="1"/>
  <c r="M74" i="1" s="1"/>
  <c r="M75" i="1" a="1"/>
  <c r="M75" i="1" s="1"/>
  <c r="M76" i="1" a="1"/>
  <c r="M76" i="1"/>
  <c r="M77" i="1" a="1"/>
  <c r="M77" i="1" s="1"/>
  <c r="M78" i="1" a="1"/>
  <c r="M78" i="1" s="1"/>
  <c r="M79" i="1" a="1"/>
  <c r="M79" i="1" s="1"/>
  <c r="M80" i="1" a="1"/>
  <c r="M80" i="1" s="1"/>
  <c r="M81" i="1" a="1"/>
  <c r="M81" i="1" s="1"/>
  <c r="M82" i="1" a="1"/>
  <c r="M82" i="1" s="1"/>
  <c r="M83" i="1" a="1"/>
  <c r="M83" i="1" s="1"/>
  <c r="M84" i="1" a="1"/>
  <c r="M84" i="1" s="1"/>
  <c r="M85" i="1" a="1"/>
  <c r="M85" i="1" s="1"/>
  <c r="M86" i="1" a="1"/>
  <c r="M86" i="1" s="1"/>
  <c r="M87" i="1" a="1"/>
  <c r="M87" i="1" s="1"/>
  <c r="M88" i="1" a="1"/>
  <c r="M88" i="1" s="1"/>
  <c r="M89" i="1" a="1"/>
  <c r="M89" i="1" s="1"/>
  <c r="M90" i="1" a="1"/>
  <c r="M90" i="1" s="1"/>
  <c r="M91" i="1" a="1"/>
  <c r="M91" i="1" s="1"/>
  <c r="M92" i="1" a="1"/>
  <c r="M92" i="1" s="1"/>
  <c r="M93" i="1" a="1"/>
  <c r="M93" i="1" s="1"/>
  <c r="M94" i="1" a="1"/>
  <c r="M94" i="1" s="1"/>
  <c r="M95" i="1" a="1"/>
  <c r="M95" i="1" s="1"/>
  <c r="M96" i="1" a="1"/>
  <c r="M96" i="1" s="1"/>
  <c r="M97" i="1" a="1"/>
  <c r="M97" i="1" s="1"/>
  <c r="M98" i="1" a="1"/>
  <c r="M98" i="1" s="1"/>
  <c r="M99" i="1" a="1"/>
  <c r="M99" i="1" s="1"/>
  <c r="M100" i="1" a="1"/>
  <c r="M100" i="1" s="1"/>
  <c r="M101" i="1" a="1"/>
  <c r="M101" i="1" s="1"/>
  <c r="M102" i="1" a="1"/>
  <c r="M102" i="1" s="1"/>
  <c r="M103" i="1" a="1"/>
  <c r="M103" i="1" s="1"/>
  <c r="M104" i="1" a="1"/>
  <c r="M104" i="1" s="1"/>
  <c r="M105" i="1" a="1"/>
  <c r="M105" i="1" s="1"/>
  <c r="M106" i="1" a="1"/>
  <c r="M106" i="1" s="1"/>
  <c r="M107" i="1" a="1"/>
  <c r="M107" i="1" s="1"/>
  <c r="M108" i="1" a="1"/>
  <c r="M108" i="1" s="1"/>
  <c r="M109" i="1" a="1"/>
  <c r="M109" i="1" s="1"/>
  <c r="M110" i="1" a="1"/>
  <c r="M110" i="1" s="1"/>
  <c r="M111" i="1" a="1"/>
  <c r="M111" i="1" s="1"/>
  <c r="M112" i="1" a="1"/>
  <c r="M112" i="1" s="1"/>
  <c r="M113" i="1" a="1"/>
  <c r="M113" i="1" s="1"/>
  <c r="M114" i="1" a="1"/>
  <c r="M114" i="1" s="1"/>
  <c r="M115" i="1" a="1"/>
  <c r="M115" i="1" s="1"/>
  <c r="M116" i="1" a="1"/>
  <c r="M116" i="1" s="1"/>
  <c r="M117" i="1" a="1"/>
  <c r="M117" i="1" s="1"/>
  <c r="M118" i="1" a="1"/>
  <c r="M118" i="1" s="1"/>
  <c r="M119" i="1" a="1"/>
  <c r="M119" i="1"/>
  <c r="M120" i="1" a="1"/>
  <c r="M120" i="1" s="1"/>
  <c r="M121" i="1" a="1"/>
  <c r="M121" i="1" s="1"/>
  <c r="M122" i="1" a="1"/>
  <c r="M122" i="1" s="1"/>
  <c r="M123" i="1" a="1"/>
  <c r="M123" i="1" s="1"/>
  <c r="M124" i="1" a="1"/>
  <c r="M124" i="1" s="1"/>
  <c r="M125" i="1" a="1"/>
  <c r="M125" i="1" s="1"/>
  <c r="M126" i="1" a="1"/>
  <c r="M126" i="1" s="1"/>
  <c r="M127" i="1" a="1"/>
  <c r="M127" i="1" s="1"/>
  <c r="M128" i="1" a="1"/>
  <c r="M128" i="1" s="1"/>
  <c r="M129" i="1" a="1"/>
  <c r="M129" i="1" s="1"/>
  <c r="M130" i="1" a="1"/>
  <c r="M130" i="1" s="1"/>
  <c r="M131" i="1" a="1"/>
  <c r="M131" i="1" s="1"/>
  <c r="M132" i="1" a="1"/>
  <c r="M132" i="1" s="1"/>
  <c r="M133" i="1" a="1"/>
  <c r="M133" i="1" s="1"/>
  <c r="M134" i="1" a="1"/>
  <c r="M134" i="1" s="1"/>
  <c r="M135" i="1" a="1"/>
  <c r="M135" i="1" s="1"/>
  <c r="M136" i="1" a="1"/>
  <c r="M136" i="1" s="1"/>
  <c r="M137" i="1" a="1"/>
  <c r="M137" i="1" s="1"/>
  <c r="M138" i="1" a="1"/>
  <c r="M138" i="1" s="1"/>
  <c r="M139" i="1" a="1"/>
  <c r="M139" i="1" s="1"/>
  <c r="M140" i="1" a="1"/>
  <c r="M140" i="1" s="1"/>
  <c r="M141" i="1" a="1"/>
  <c r="M141" i="1" s="1"/>
  <c r="M142" i="1" a="1"/>
  <c r="M142" i="1" s="1"/>
  <c r="M143" i="1" a="1"/>
  <c r="M143" i="1" s="1"/>
  <c r="M144" i="1" a="1"/>
  <c r="M144" i="1" s="1"/>
  <c r="M145" i="1" a="1"/>
  <c r="M145" i="1" s="1"/>
  <c r="M146" i="1" a="1"/>
  <c r="M146" i="1" s="1"/>
  <c r="M147" i="1" a="1"/>
  <c r="M147" i="1" s="1"/>
  <c r="M148" i="1" a="1"/>
  <c r="M148" i="1" s="1"/>
  <c r="M149" i="1" a="1"/>
  <c r="M149" i="1" s="1"/>
  <c r="M150" i="1" a="1"/>
  <c r="M150" i="1" s="1"/>
  <c r="M151" i="1" a="1"/>
  <c r="M151" i="1" s="1"/>
  <c r="M152" i="1" a="1"/>
  <c r="M152" i="1" s="1"/>
  <c r="M153" i="1" a="1"/>
  <c r="M153" i="1" s="1"/>
  <c r="M154" i="1" a="1"/>
  <c r="M154" i="1" s="1"/>
  <c r="M155" i="1" a="1"/>
  <c r="M155" i="1" s="1"/>
  <c r="M156" i="1" a="1"/>
  <c r="M156" i="1" s="1"/>
  <c r="M157" i="1" a="1"/>
  <c r="M157" i="1" s="1"/>
  <c r="M158" i="1" a="1"/>
  <c r="M158" i="1" s="1"/>
  <c r="M159" i="1" a="1"/>
  <c r="M159" i="1" s="1"/>
  <c r="M160" i="1" a="1"/>
  <c r="M160" i="1" s="1"/>
  <c r="M161" i="1" a="1"/>
  <c r="M161" i="1" s="1"/>
  <c r="M162" i="1" a="1"/>
  <c r="M162" i="1" s="1"/>
  <c r="M163" i="1" a="1"/>
  <c r="M163" i="1" s="1"/>
  <c r="M164" i="1" a="1"/>
  <c r="M164" i="1" s="1"/>
  <c r="M165" i="1" a="1"/>
  <c r="M165" i="1" s="1"/>
  <c r="M166" i="1" a="1"/>
  <c r="M166" i="1" s="1"/>
  <c r="M167" i="1" a="1"/>
  <c r="M167" i="1" s="1"/>
  <c r="M168" i="1" a="1"/>
  <c r="M168" i="1" s="1"/>
  <c r="M169" i="1" a="1"/>
  <c r="M169" i="1" s="1"/>
  <c r="M170" i="1" a="1"/>
  <c r="M170" i="1" s="1"/>
  <c r="M171" i="1" a="1"/>
  <c r="M171" i="1" s="1"/>
  <c r="M172" i="1" a="1"/>
  <c r="M172" i="1" s="1"/>
  <c r="M173" i="1" a="1"/>
  <c r="M173" i="1" s="1"/>
  <c r="M174" i="1" a="1"/>
  <c r="M174" i="1" s="1"/>
  <c r="M175" i="1" a="1"/>
  <c r="M175" i="1" s="1"/>
  <c r="M176" i="1" a="1"/>
  <c r="M176" i="1" s="1"/>
  <c r="M177" i="1" a="1"/>
  <c r="M177" i="1" s="1"/>
  <c r="M178" i="1" a="1"/>
  <c r="M178" i="1" s="1"/>
  <c r="M179" i="1" a="1"/>
  <c r="M179" i="1" s="1"/>
  <c r="M180" i="1" a="1"/>
  <c r="M180" i="1" s="1"/>
  <c r="M181" i="1" a="1"/>
  <c r="M181" i="1" s="1"/>
  <c r="M182" i="1" a="1"/>
  <c r="M182" i="1" s="1"/>
  <c r="M183" i="1" a="1"/>
  <c r="M183" i="1" s="1"/>
  <c r="M184" i="1" a="1"/>
  <c r="M184" i="1" s="1"/>
  <c r="M185" i="1" a="1"/>
  <c r="M185" i="1" s="1"/>
  <c r="M186" i="1" a="1"/>
  <c r="M186" i="1" s="1"/>
  <c r="M187" i="1" a="1"/>
  <c r="M187" i="1" s="1"/>
  <c r="M188" i="1" a="1"/>
  <c r="M188" i="1" s="1"/>
  <c r="M189" i="1" a="1"/>
  <c r="M189" i="1" s="1"/>
  <c r="M190" i="1" a="1"/>
  <c r="M190" i="1" s="1"/>
  <c r="M191" i="1" a="1"/>
  <c r="M191" i="1" s="1"/>
  <c r="M192" i="1" a="1"/>
  <c r="M192" i="1" s="1"/>
  <c r="M193" i="1" a="1"/>
  <c r="M193" i="1" s="1"/>
  <c r="M194" i="1" a="1"/>
  <c r="M194" i="1" s="1"/>
  <c r="M195" i="1" a="1"/>
  <c r="M195" i="1" s="1"/>
  <c r="M196" i="1" a="1"/>
  <c r="M196" i="1" s="1"/>
  <c r="M197" i="1" a="1"/>
  <c r="M197" i="1" s="1"/>
  <c r="M198" i="1" a="1"/>
  <c r="M198" i="1" s="1"/>
  <c r="M199" i="1" a="1"/>
  <c r="M199" i="1" s="1"/>
  <c r="M200" i="1" a="1"/>
  <c r="M200" i="1" s="1"/>
  <c r="M201" i="1" a="1"/>
  <c r="M201" i="1" s="1"/>
  <c r="M202" i="1" a="1"/>
  <c r="M202" i="1" s="1"/>
  <c r="M203" i="1" a="1"/>
  <c r="M203" i="1" s="1"/>
  <c r="M204" i="1" a="1"/>
  <c r="M204" i="1" s="1"/>
  <c r="M205" i="1" a="1"/>
  <c r="M205" i="1" s="1"/>
  <c r="M206" i="1" a="1"/>
  <c r="M206" i="1" s="1"/>
  <c r="M207" i="1" a="1"/>
  <c r="M207" i="1" s="1"/>
  <c r="M208" i="1" a="1"/>
  <c r="M208" i="1" s="1"/>
  <c r="M209" i="1" a="1"/>
  <c r="M209" i="1" s="1"/>
  <c r="M210" i="1" a="1"/>
  <c r="M210" i="1" s="1"/>
  <c r="M211" i="1" a="1"/>
  <c r="M211" i="1" s="1"/>
  <c r="M212" i="1" a="1"/>
  <c r="M212" i="1" s="1"/>
  <c r="M213" i="1" a="1"/>
  <c r="M213" i="1" s="1"/>
  <c r="M214" i="1" a="1"/>
  <c r="M214" i="1" s="1"/>
  <c r="M215" i="1" a="1"/>
  <c r="M215" i="1" s="1"/>
  <c r="M216" i="1" a="1"/>
  <c r="M216" i="1" s="1"/>
  <c r="M217" i="1" a="1"/>
  <c r="M217" i="1" s="1"/>
  <c r="M218" i="1" a="1"/>
  <c r="M218" i="1" s="1"/>
  <c r="M219" i="1" a="1"/>
  <c r="M219" i="1" s="1"/>
  <c r="M220" i="1" a="1"/>
  <c r="M220" i="1" s="1"/>
  <c r="M221" i="1" a="1"/>
  <c r="M221" i="1" s="1"/>
  <c r="M222" i="1" a="1"/>
  <c r="M222" i="1" s="1"/>
  <c r="M223" i="1" a="1"/>
  <c r="M223" i="1" s="1"/>
  <c r="M224" i="1" a="1"/>
  <c r="M224" i="1" s="1"/>
  <c r="M225" i="1" a="1"/>
  <c r="M225" i="1" s="1"/>
  <c r="M226" i="1" a="1"/>
  <c r="M226" i="1" s="1"/>
  <c r="M227" i="1" a="1"/>
  <c r="M227" i="1" s="1"/>
  <c r="M228" i="1" a="1"/>
  <c r="M228" i="1" s="1"/>
  <c r="M229" i="1" a="1"/>
  <c r="M229" i="1" s="1"/>
  <c r="M230" i="1" a="1"/>
  <c r="M230" i="1" s="1"/>
  <c r="M231" i="1" a="1"/>
  <c r="M231" i="1" s="1"/>
  <c r="M232" i="1" a="1"/>
  <c r="M232" i="1" s="1"/>
  <c r="M233" i="1" a="1"/>
  <c r="M233" i="1" s="1"/>
  <c r="M234" i="1" a="1"/>
  <c r="M234" i="1" s="1"/>
  <c r="M235" i="1" a="1"/>
  <c r="M235" i="1" s="1"/>
  <c r="M236" i="1" a="1"/>
  <c r="M236" i="1" s="1"/>
  <c r="M237" i="1" a="1"/>
  <c r="M237" i="1" s="1"/>
  <c r="M238" i="1" a="1"/>
  <c r="M238" i="1" s="1"/>
  <c r="M239" i="1" a="1"/>
  <c r="M239" i="1" s="1"/>
  <c r="M240" i="1" a="1"/>
  <c r="M240" i="1" s="1"/>
  <c r="M241" i="1" a="1"/>
  <c r="M241" i="1" s="1"/>
  <c r="M242" i="1" a="1"/>
  <c r="M242" i="1" s="1"/>
  <c r="M243" i="1" a="1"/>
  <c r="M243" i="1" s="1"/>
  <c r="M244" i="1" a="1"/>
  <c r="M244" i="1" s="1"/>
  <c r="M245" i="1" a="1"/>
  <c r="M245" i="1" s="1"/>
  <c r="M246" i="1" a="1"/>
  <c r="M246" i="1" s="1"/>
  <c r="M247" i="1" a="1"/>
  <c r="M247" i="1" s="1"/>
  <c r="M248" i="1" a="1"/>
  <c r="M248" i="1" s="1"/>
  <c r="M249" i="1" a="1"/>
  <c r="M249" i="1" s="1"/>
  <c r="M250" i="1" a="1"/>
  <c r="M250" i="1" s="1"/>
  <c r="M251" i="1" a="1"/>
  <c r="M251" i="1" s="1"/>
  <c r="M252" i="1" a="1"/>
  <c r="M252" i="1" s="1"/>
  <c r="M253" i="1" a="1"/>
  <c r="M253" i="1" s="1"/>
  <c r="M254" i="1" a="1"/>
  <c r="M254" i="1" s="1"/>
  <c r="M255" i="1" a="1"/>
  <c r="M255" i="1" s="1"/>
  <c r="M256" i="1" a="1"/>
  <c r="M256" i="1" s="1"/>
  <c r="M257" i="1" a="1"/>
  <c r="M257" i="1" s="1"/>
  <c r="M258" i="1" a="1"/>
  <c r="M258" i="1" s="1"/>
  <c r="M259" i="1" a="1"/>
  <c r="M259" i="1" s="1"/>
  <c r="M260" i="1" a="1"/>
  <c r="M260" i="1" s="1"/>
  <c r="M261" i="1" a="1"/>
  <c r="M261" i="1" s="1"/>
  <c r="M262" i="1" a="1"/>
  <c r="M262" i="1" s="1"/>
  <c r="M263" i="1" a="1"/>
  <c r="M263" i="1" s="1"/>
  <c r="M264" i="1" a="1"/>
  <c r="M264" i="1" s="1"/>
  <c r="M265" i="1" a="1"/>
  <c r="M265" i="1" s="1"/>
  <c r="M266" i="1" a="1"/>
  <c r="M266" i="1" s="1"/>
  <c r="M267" i="1" a="1"/>
  <c r="M267" i="1" s="1"/>
  <c r="M268" i="1" a="1"/>
  <c r="M268" i="1" s="1"/>
  <c r="M269" i="1" a="1"/>
  <c r="M269" i="1" s="1"/>
  <c r="M270" i="1" a="1"/>
  <c r="M270" i="1" s="1"/>
  <c r="M271" i="1" a="1"/>
  <c r="M271" i="1" s="1"/>
  <c r="M272" i="1" a="1"/>
  <c r="M272" i="1" s="1"/>
  <c r="M273" i="1" a="1"/>
  <c r="M273" i="1" s="1"/>
  <c r="M274" i="1" a="1"/>
  <c r="M274" i="1" s="1"/>
  <c r="M275" i="1" a="1"/>
  <c r="M275" i="1" s="1"/>
  <c r="M276" i="1" a="1"/>
  <c r="M276" i="1" s="1"/>
  <c r="M277" i="1" a="1"/>
  <c r="M277" i="1" s="1"/>
  <c r="M278" i="1" a="1"/>
  <c r="M278" i="1" s="1"/>
  <c r="M279" i="1" a="1"/>
  <c r="M279" i="1" s="1"/>
  <c r="M280" i="1" a="1"/>
  <c r="M280" i="1" s="1"/>
  <c r="M281" i="1" a="1"/>
  <c r="M281" i="1" s="1"/>
  <c r="M282" i="1" a="1"/>
  <c r="M282" i="1" s="1"/>
  <c r="M283" i="1" a="1"/>
  <c r="M283" i="1" s="1"/>
  <c r="M284" i="1" a="1"/>
  <c r="M284" i="1" s="1"/>
  <c r="M285" i="1" a="1"/>
  <c r="M285" i="1" s="1"/>
  <c r="M286" i="1" a="1"/>
  <c r="M286" i="1" s="1"/>
  <c r="M287" i="1" a="1"/>
  <c r="M287" i="1" s="1"/>
  <c r="M288" i="1" a="1"/>
  <c r="M288" i="1" s="1"/>
  <c r="M289" i="1" a="1"/>
  <c r="M289" i="1" s="1"/>
  <c r="M290" i="1" a="1"/>
  <c r="M290" i="1" s="1"/>
  <c r="M291" i="1" a="1"/>
  <c r="M291" i="1" s="1"/>
  <c r="M292" i="1" a="1"/>
  <c r="M292" i="1" s="1"/>
  <c r="M293" i="1" a="1"/>
  <c r="M293" i="1" s="1"/>
  <c r="M294" i="1" a="1"/>
  <c r="M294" i="1" s="1"/>
  <c r="M295" i="1" a="1"/>
  <c r="M295" i="1" s="1"/>
  <c r="M296" i="1" a="1"/>
  <c r="M296" i="1" s="1"/>
  <c r="M297" i="1" a="1"/>
  <c r="M297" i="1" s="1"/>
  <c r="M298" i="1" a="1"/>
  <c r="M298" i="1" s="1"/>
  <c r="M299" i="1" a="1"/>
  <c r="M299" i="1" s="1"/>
  <c r="M300" i="1" a="1"/>
  <c r="M300" i="1" s="1"/>
  <c r="M301" i="1" a="1"/>
  <c r="M301" i="1" s="1"/>
  <c r="M302" i="1" a="1"/>
  <c r="M302" i="1" s="1"/>
  <c r="M303" i="1" a="1"/>
  <c r="M303" i="1" s="1"/>
  <c r="M304" i="1" a="1"/>
  <c r="M304" i="1" s="1"/>
  <c r="M305" i="1" a="1"/>
  <c r="M305" i="1" s="1"/>
  <c r="M306" i="1" a="1"/>
  <c r="M306" i="1" s="1"/>
  <c r="M307" i="1" a="1"/>
  <c r="M307" i="1" s="1"/>
  <c r="M308" i="1" a="1"/>
  <c r="M308" i="1" s="1"/>
  <c r="M309" i="1" a="1"/>
  <c r="M309" i="1" s="1"/>
  <c r="M310" i="1" a="1"/>
  <c r="M310" i="1" s="1"/>
  <c r="M311" i="1" a="1"/>
  <c r="M311" i="1" s="1"/>
  <c r="M312" i="1" a="1"/>
  <c r="M312" i="1" s="1"/>
  <c r="M313" i="1" a="1"/>
  <c r="M313" i="1" s="1"/>
  <c r="M314" i="1" a="1"/>
  <c r="M314" i="1" s="1"/>
  <c r="M315" i="1" a="1"/>
  <c r="M315" i="1" s="1"/>
  <c r="M316" i="1" a="1"/>
  <c r="M316" i="1" s="1"/>
  <c r="M317" i="1" a="1"/>
  <c r="M317" i="1" s="1"/>
  <c r="M318" i="1" a="1"/>
  <c r="M318" i="1" s="1"/>
  <c r="M319" i="1" a="1"/>
  <c r="M319" i="1" s="1"/>
  <c r="M320" i="1" a="1"/>
  <c r="M320" i="1" s="1"/>
  <c r="M321" i="1" a="1"/>
  <c r="M321" i="1" s="1"/>
  <c r="M322" i="1" a="1"/>
  <c r="M322" i="1" s="1"/>
  <c r="M323" i="1" a="1"/>
  <c r="M323" i="1" s="1"/>
  <c r="M324" i="1" a="1"/>
  <c r="M324" i="1" s="1"/>
  <c r="M325" i="1" a="1"/>
  <c r="M325" i="1" s="1"/>
  <c r="M326" i="1" a="1"/>
  <c r="M326" i="1" s="1"/>
  <c r="M327" i="1" a="1"/>
  <c r="M327" i="1" s="1"/>
  <c r="M328" i="1" a="1"/>
  <c r="M328" i="1" s="1"/>
  <c r="M329" i="1" a="1"/>
  <c r="M329" i="1" s="1"/>
  <c r="M330" i="1" a="1"/>
  <c r="M330" i="1" s="1"/>
  <c r="M331" i="1" a="1"/>
  <c r="M331" i="1" s="1"/>
  <c r="M332" i="1" a="1"/>
  <c r="M332" i="1" s="1"/>
  <c r="M333" i="1" a="1"/>
  <c r="M333" i="1" s="1"/>
  <c r="M334" i="1" a="1"/>
  <c r="M334" i="1" s="1"/>
  <c r="M335" i="1" a="1"/>
  <c r="M335" i="1" s="1"/>
  <c r="M336" i="1" a="1"/>
  <c r="M336" i="1" s="1"/>
  <c r="M337" i="1" a="1"/>
  <c r="M337" i="1" s="1"/>
  <c r="M338" i="1" a="1"/>
  <c r="M338" i="1" s="1"/>
  <c r="M339" i="1" a="1"/>
  <c r="M339" i="1" s="1"/>
  <c r="M340" i="1" a="1"/>
  <c r="M340" i="1" s="1"/>
  <c r="M341" i="1" a="1"/>
  <c r="M341" i="1" s="1"/>
  <c r="M342" i="1" a="1"/>
  <c r="M342" i="1" s="1"/>
  <c r="M343" i="1" a="1"/>
  <c r="M343" i="1" s="1"/>
  <c r="M344" i="1" a="1"/>
  <c r="M344" i="1" s="1"/>
  <c r="M345" i="1" a="1"/>
  <c r="M345" i="1" s="1"/>
  <c r="M346" i="1" a="1"/>
  <c r="M346" i="1" s="1"/>
  <c r="M347" i="1" a="1"/>
  <c r="M347" i="1" s="1"/>
  <c r="M348" i="1" a="1"/>
  <c r="M348" i="1" s="1"/>
  <c r="M349" i="1" a="1"/>
  <c r="M349" i="1" s="1"/>
  <c r="M350" i="1" a="1"/>
  <c r="M350" i="1" s="1"/>
  <c r="M351" i="1" a="1"/>
  <c r="M351" i="1" s="1"/>
  <c r="M352" i="1" a="1"/>
  <c r="M352" i="1" s="1"/>
  <c r="M353" i="1" a="1"/>
  <c r="M353" i="1" s="1"/>
  <c r="M354" i="1" a="1"/>
  <c r="M354" i="1" s="1"/>
  <c r="M355" i="1" a="1"/>
  <c r="M355" i="1" s="1"/>
  <c r="M356" i="1" a="1"/>
  <c r="M356" i="1" s="1"/>
  <c r="M357" i="1" a="1"/>
  <c r="M357" i="1" s="1"/>
  <c r="M358" i="1" a="1"/>
  <c r="M358" i="1" s="1"/>
  <c r="M359" i="1" a="1"/>
  <c r="M359" i="1" s="1"/>
  <c r="M360" i="1" a="1"/>
  <c r="M360" i="1" s="1"/>
  <c r="M361" i="1" a="1"/>
  <c r="M361" i="1" s="1"/>
  <c r="M362" i="1" a="1"/>
  <c r="M362" i="1" s="1"/>
  <c r="M363" i="1" a="1"/>
  <c r="M363" i="1" s="1"/>
  <c r="M364" i="1" a="1"/>
  <c r="M364" i="1" s="1"/>
  <c r="M365" i="1" a="1"/>
  <c r="M365" i="1" s="1"/>
  <c r="M366" i="1" a="1"/>
  <c r="M366" i="1" s="1"/>
  <c r="M367" i="1" a="1"/>
  <c r="M367" i="1" s="1"/>
  <c r="M368" i="1" a="1"/>
  <c r="M368" i="1" s="1"/>
  <c r="M369" i="1" a="1"/>
  <c r="M369" i="1" s="1"/>
  <c r="M370" i="1" a="1"/>
  <c r="M370" i="1" s="1"/>
  <c r="M371" i="1" a="1"/>
  <c r="M371" i="1" s="1"/>
  <c r="M372" i="1" a="1"/>
  <c r="M372" i="1" s="1"/>
  <c r="M373" i="1" a="1"/>
  <c r="M373" i="1" s="1"/>
  <c r="M374" i="1" a="1"/>
  <c r="M374" i="1" s="1"/>
  <c r="M375" i="1" a="1"/>
  <c r="M375" i="1" s="1"/>
  <c r="M376" i="1" a="1"/>
  <c r="M376" i="1" s="1"/>
  <c r="M377" i="1" a="1"/>
  <c r="M377" i="1" s="1"/>
  <c r="M378" i="1" a="1"/>
  <c r="M378" i="1" s="1"/>
  <c r="M379" i="1" a="1"/>
  <c r="M379" i="1" s="1"/>
  <c r="M380" i="1" a="1"/>
  <c r="M380" i="1" s="1"/>
  <c r="M381" i="1" a="1"/>
  <c r="M381" i="1" s="1"/>
  <c r="M382" i="1" a="1"/>
  <c r="M382" i="1" s="1"/>
  <c r="M383" i="1" a="1"/>
  <c r="M383" i="1" s="1"/>
  <c r="M384" i="1" a="1"/>
  <c r="M384" i="1" s="1"/>
  <c r="M385" i="1" a="1"/>
  <c r="M385" i="1" s="1"/>
  <c r="M386" i="1" a="1"/>
  <c r="M386" i="1" s="1"/>
  <c r="M387" i="1" a="1"/>
  <c r="M387" i="1" s="1"/>
  <c r="M388" i="1" a="1"/>
  <c r="M388" i="1" s="1"/>
  <c r="M389" i="1" a="1"/>
  <c r="M389" i="1" s="1"/>
  <c r="M390" i="1" a="1"/>
  <c r="M390" i="1" s="1"/>
  <c r="M391" i="1" a="1"/>
  <c r="M391" i="1" s="1"/>
  <c r="M392" i="1" a="1"/>
  <c r="M392" i="1" s="1"/>
  <c r="M393" i="1" a="1"/>
  <c r="M393" i="1" s="1"/>
  <c r="M394" i="1" a="1"/>
  <c r="M394" i="1" s="1"/>
  <c r="M395" i="1" a="1"/>
  <c r="M395" i="1" s="1"/>
  <c r="M396" i="1" a="1"/>
  <c r="M396" i="1" s="1"/>
  <c r="M397" i="1" a="1"/>
  <c r="M397" i="1" s="1"/>
  <c r="M398" i="1" a="1"/>
  <c r="M398" i="1" s="1"/>
  <c r="M399" i="1" a="1"/>
  <c r="M399" i="1" s="1"/>
  <c r="M400" i="1" a="1"/>
  <c r="M400" i="1" s="1"/>
  <c r="M401" i="1" a="1"/>
  <c r="M401" i="1" s="1"/>
  <c r="M402" i="1" a="1"/>
  <c r="M402" i="1" s="1"/>
  <c r="M403" i="1" a="1"/>
  <c r="M403" i="1" s="1"/>
  <c r="M404" i="1" a="1"/>
  <c r="M404" i="1" s="1"/>
  <c r="M405" i="1" a="1"/>
  <c r="M405" i="1" s="1"/>
  <c r="M406" i="1" a="1"/>
  <c r="M406" i="1" s="1"/>
  <c r="M407" i="1" a="1"/>
  <c r="M407" i="1" s="1"/>
  <c r="M408" i="1" a="1"/>
  <c r="M408" i="1" s="1"/>
  <c r="M409" i="1" a="1"/>
  <c r="M409" i="1" s="1"/>
  <c r="M410" i="1" a="1"/>
  <c r="M410" i="1" s="1"/>
  <c r="M411" i="1" a="1"/>
  <c r="M411" i="1" s="1"/>
  <c r="M412" i="1" a="1"/>
  <c r="M412" i="1" s="1"/>
  <c r="M413" i="1" a="1"/>
  <c r="M413" i="1" s="1"/>
  <c r="M414" i="1" a="1"/>
  <c r="M414" i="1" s="1"/>
  <c r="M415" i="1" a="1"/>
  <c r="M415" i="1" s="1"/>
  <c r="M416" i="1" a="1"/>
  <c r="M416" i="1" s="1"/>
  <c r="M417" i="1" a="1"/>
  <c r="M417" i="1" s="1"/>
  <c r="M418" i="1" a="1"/>
  <c r="M418" i="1" s="1"/>
  <c r="M419" i="1" a="1"/>
  <c r="M419" i="1" s="1"/>
  <c r="M420" i="1" a="1"/>
  <c r="M420" i="1" s="1"/>
  <c r="M421" i="1" a="1"/>
  <c r="M421" i="1" s="1"/>
  <c r="M422" i="1" a="1"/>
  <c r="M422" i="1" s="1"/>
  <c r="M423" i="1" a="1"/>
  <c r="M423" i="1" s="1"/>
  <c r="M424" i="1" a="1"/>
  <c r="M424" i="1" s="1"/>
  <c r="M425" i="1" a="1"/>
  <c r="M425" i="1" s="1"/>
  <c r="M426" i="1" a="1"/>
  <c r="M426" i="1" s="1"/>
  <c r="M427" i="1" a="1"/>
  <c r="M427" i="1" s="1"/>
  <c r="M428" i="1" a="1"/>
  <c r="M428" i="1" s="1"/>
  <c r="M429" i="1" a="1"/>
  <c r="M429" i="1" s="1"/>
  <c r="M430" i="1" a="1"/>
  <c r="M430" i="1" s="1"/>
  <c r="M431" i="1" a="1"/>
  <c r="M431" i="1" s="1"/>
  <c r="M432" i="1" a="1"/>
  <c r="M432" i="1" s="1"/>
  <c r="M433" i="1" a="1"/>
  <c r="M433" i="1" s="1"/>
  <c r="M434" i="1" a="1"/>
  <c r="M434" i="1" s="1"/>
  <c r="M435" i="1" a="1"/>
  <c r="M435" i="1" s="1"/>
  <c r="M436" i="1" a="1"/>
  <c r="M436" i="1" s="1"/>
  <c r="M437" i="1" a="1"/>
  <c r="M437" i="1" s="1"/>
  <c r="M438" i="1" a="1"/>
  <c r="M438" i="1" s="1"/>
  <c r="M439" i="1" a="1"/>
  <c r="M439" i="1" s="1"/>
  <c r="M440" i="1" a="1"/>
  <c r="M440" i="1" s="1"/>
  <c r="M441" i="1" a="1"/>
  <c r="M441" i="1" s="1"/>
  <c r="M442" i="1" a="1"/>
  <c r="M442" i="1" s="1"/>
  <c r="M443" i="1" a="1"/>
  <c r="M443" i="1" s="1"/>
  <c r="M444" i="1" a="1"/>
  <c r="M444" i="1" s="1"/>
  <c r="M445" i="1" a="1"/>
  <c r="M445" i="1" s="1"/>
  <c r="M446" i="1" a="1"/>
  <c r="M446" i="1" s="1"/>
  <c r="M447" i="1" a="1"/>
  <c r="M447" i="1" s="1"/>
  <c r="M448" i="1" a="1"/>
  <c r="M448" i="1" s="1"/>
  <c r="M449" i="1" a="1"/>
  <c r="M449" i="1" s="1"/>
  <c r="M450" i="1" a="1"/>
  <c r="M450" i="1" s="1"/>
  <c r="M451" i="1" a="1"/>
  <c r="M451" i="1" s="1"/>
  <c r="M452" i="1" a="1"/>
  <c r="M452" i="1" s="1"/>
  <c r="M453" i="1" a="1"/>
  <c r="M453" i="1" s="1"/>
  <c r="M454" i="1" a="1"/>
  <c r="M454" i="1" s="1"/>
  <c r="M455" i="1" a="1"/>
  <c r="M455" i="1" s="1"/>
  <c r="M456" i="1" a="1"/>
  <c r="M456" i="1" s="1"/>
  <c r="M457" i="1" a="1"/>
  <c r="M457" i="1" s="1"/>
  <c r="M458" i="1" a="1"/>
  <c r="M458" i="1" s="1"/>
  <c r="M459" i="1" a="1"/>
  <c r="M459" i="1" s="1"/>
  <c r="M460" i="1" a="1"/>
  <c r="M460" i="1" s="1"/>
  <c r="M461" i="1" a="1"/>
  <c r="M461" i="1" s="1"/>
  <c r="M462" i="1" a="1"/>
  <c r="M462" i="1" s="1"/>
  <c r="M463" i="1" a="1"/>
  <c r="M463" i="1" s="1"/>
  <c r="M464" i="1" a="1"/>
  <c r="M464" i="1" s="1"/>
  <c r="M465" i="1" a="1"/>
  <c r="M465" i="1" s="1"/>
  <c r="M466" i="1" a="1"/>
  <c r="M466" i="1" s="1"/>
  <c r="M467" i="1" a="1"/>
  <c r="M467" i="1" s="1"/>
  <c r="M468" i="1" a="1"/>
  <c r="M468" i="1" s="1"/>
  <c r="M469" i="1" a="1"/>
  <c r="M469" i="1" s="1"/>
  <c r="M470" i="1" a="1"/>
  <c r="M470" i="1" s="1"/>
  <c r="M471" i="1" a="1"/>
  <c r="M471" i="1" s="1"/>
  <c r="M472" i="1" a="1"/>
  <c r="M472" i="1" s="1"/>
  <c r="M473" i="1" a="1"/>
  <c r="M473" i="1" s="1"/>
  <c r="M474" i="1" a="1"/>
  <c r="M474" i="1" s="1"/>
  <c r="M475" i="1" a="1"/>
  <c r="M475" i="1" s="1"/>
  <c r="M476" i="1" a="1"/>
  <c r="M476" i="1" s="1"/>
  <c r="M477" i="1" a="1"/>
  <c r="M477" i="1" s="1"/>
  <c r="M478" i="1" a="1"/>
  <c r="M478" i="1" s="1"/>
  <c r="M479" i="1" a="1"/>
  <c r="M479" i="1" s="1"/>
  <c r="M480" i="1" a="1"/>
  <c r="M480" i="1" s="1"/>
  <c r="M481" i="1" a="1"/>
  <c r="M481" i="1" s="1"/>
  <c r="M482" i="1" a="1"/>
  <c r="M482" i="1" s="1"/>
  <c r="M483" i="1" a="1"/>
  <c r="M483" i="1" s="1"/>
  <c r="M484" i="1" a="1"/>
  <c r="M484" i="1" s="1"/>
  <c r="M485" i="1" a="1"/>
  <c r="M485" i="1" s="1"/>
  <c r="M486" i="1" a="1"/>
  <c r="M486" i="1" s="1"/>
  <c r="M487" i="1" a="1"/>
  <c r="M487" i="1" s="1"/>
  <c r="M488" i="1" a="1"/>
  <c r="M488" i="1" s="1"/>
  <c r="M489" i="1" a="1"/>
  <c r="M489" i="1" s="1"/>
  <c r="M490" i="1" a="1"/>
  <c r="M490" i="1" s="1"/>
  <c r="M491" i="1" a="1"/>
  <c r="M491" i="1" s="1"/>
  <c r="M492" i="1" a="1"/>
  <c r="M492" i="1" s="1"/>
  <c r="M493" i="1" a="1"/>
  <c r="M493" i="1" s="1"/>
  <c r="M494" i="1" a="1"/>
  <c r="M494" i="1" s="1"/>
  <c r="M495" i="1" a="1"/>
  <c r="M495" i="1" s="1"/>
  <c r="M496" i="1" a="1"/>
  <c r="M496" i="1" s="1"/>
  <c r="M497" i="1" a="1"/>
  <c r="M497" i="1" s="1"/>
  <c r="M498" i="1" a="1"/>
  <c r="M498" i="1" s="1"/>
  <c r="M499" i="1" a="1"/>
  <c r="M499" i="1" s="1"/>
  <c r="M500" i="1" a="1"/>
  <c r="M500" i="1" s="1"/>
  <c r="M501" i="1" a="1"/>
  <c r="M501" i="1" s="1"/>
  <c r="AC30" i="1"/>
  <c r="AB30" i="1"/>
  <c r="AA30" i="1"/>
  <c r="Z30" i="1"/>
  <c r="X29" i="1"/>
  <c r="X28" i="1"/>
  <c r="X27" i="1"/>
  <c r="T18" i="1"/>
  <c r="T17" i="1"/>
  <c r="T16" i="1"/>
  <c r="T15" i="1"/>
  <c r="T14" i="1"/>
  <c r="T13" i="1"/>
  <c r="T12" i="1"/>
  <c r="T11" i="1"/>
  <c r="N24" i="1"/>
  <c r="P24" i="1"/>
  <c r="R24" i="1"/>
  <c r="T24" i="1"/>
  <c r="V24" i="1"/>
  <c r="V7" i="1"/>
  <c r="T7" i="1"/>
  <c r="R7" i="1"/>
  <c r="P7" i="1"/>
  <c r="N7" i="1"/>
  <c r="L2" i="1" a="1"/>
  <c r="L2" i="1" s="1"/>
  <c r="L3" i="1" a="1"/>
  <c r="L3" i="1" s="1"/>
  <c r="L4" i="1" a="1"/>
  <c r="L4" i="1" s="1"/>
  <c r="L5" i="1" a="1"/>
  <c r="L5" i="1" s="1"/>
  <c r="L6" i="1" a="1"/>
  <c r="L6" i="1" s="1"/>
  <c r="L7" i="1" a="1"/>
  <c r="L7" i="1" s="1"/>
  <c r="L8" i="1" a="1"/>
  <c r="L8" i="1" s="1"/>
  <c r="L9" i="1" a="1"/>
  <c r="L9" i="1" s="1"/>
  <c r="L10" i="1" a="1"/>
  <c r="L10" i="1" s="1"/>
  <c r="L11" i="1" a="1"/>
  <c r="L11" i="1" s="1"/>
  <c r="L12" i="1" a="1"/>
  <c r="L12" i="1" s="1"/>
  <c r="L13" i="1" a="1"/>
  <c r="L13" i="1" s="1"/>
  <c r="L14" i="1" a="1"/>
  <c r="L14" i="1" s="1"/>
  <c r="L15" i="1" a="1"/>
  <c r="L15" i="1" s="1"/>
  <c r="L16" i="1" a="1"/>
  <c r="L16" i="1" s="1"/>
  <c r="L17" i="1" a="1"/>
  <c r="L17" i="1" s="1"/>
  <c r="L18" i="1" a="1"/>
  <c r="L18" i="1" s="1"/>
  <c r="L19" i="1" a="1"/>
  <c r="L19" i="1" s="1"/>
  <c r="L20" i="1" a="1"/>
  <c r="L20" i="1" s="1"/>
  <c r="L21" i="1" a="1"/>
  <c r="L21" i="1" s="1"/>
  <c r="L22" i="1" a="1"/>
  <c r="L22" i="1" s="1"/>
  <c r="L23" i="1" a="1"/>
  <c r="L23" i="1" s="1"/>
  <c r="L24" i="1" a="1"/>
  <c r="L24" i="1" s="1"/>
  <c r="L25" i="1" a="1"/>
  <c r="L25" i="1" s="1"/>
  <c r="L26" i="1" a="1"/>
  <c r="L26" i="1" s="1"/>
  <c r="L27" i="1" a="1"/>
  <c r="L27" i="1" s="1"/>
  <c r="L28" i="1" a="1"/>
  <c r="L28" i="1" s="1"/>
  <c r="L29" i="1" a="1"/>
  <c r="L29" i="1" s="1"/>
  <c r="L30" i="1" a="1"/>
  <c r="L30" i="1" s="1"/>
  <c r="L31" i="1" a="1"/>
  <c r="L31" i="1" s="1"/>
  <c r="L32" i="1" a="1"/>
  <c r="L32" i="1" s="1"/>
  <c r="L33" i="1" a="1"/>
  <c r="L33" i="1" s="1"/>
  <c r="L34" i="1" a="1"/>
  <c r="L34" i="1" s="1"/>
  <c r="L35" i="1" a="1"/>
  <c r="L35" i="1" s="1"/>
  <c r="L36" i="1" a="1"/>
  <c r="L36" i="1" s="1"/>
  <c r="L37" i="1" a="1"/>
  <c r="L37" i="1" s="1"/>
  <c r="L38" i="1" a="1"/>
  <c r="L38" i="1" s="1"/>
  <c r="L39" i="1" a="1"/>
  <c r="L39" i="1" s="1"/>
  <c r="L40" i="1" a="1"/>
  <c r="L40" i="1" s="1"/>
  <c r="L41" i="1" a="1"/>
  <c r="L41" i="1" s="1"/>
  <c r="L42" i="1" a="1"/>
  <c r="L42" i="1" s="1"/>
  <c r="L43" i="1" a="1"/>
  <c r="L43" i="1" s="1"/>
  <c r="L44" i="1" a="1"/>
  <c r="L44" i="1" s="1"/>
  <c r="L45" i="1" a="1"/>
  <c r="L45" i="1" s="1"/>
  <c r="L46" i="1" a="1"/>
  <c r="L46" i="1" s="1"/>
  <c r="L47" i="1" a="1"/>
  <c r="L47" i="1" s="1"/>
  <c r="L48" i="1" a="1"/>
  <c r="L48" i="1" s="1"/>
  <c r="L49" i="1" a="1"/>
  <c r="L49" i="1" s="1"/>
  <c r="L50" i="1" a="1"/>
  <c r="L50" i="1" s="1"/>
  <c r="L51" i="1" a="1"/>
  <c r="L51" i="1" s="1"/>
  <c r="L52" i="1" a="1"/>
  <c r="L52" i="1" s="1"/>
  <c r="L53" i="1" a="1"/>
  <c r="L53" i="1" s="1"/>
  <c r="L54" i="1" a="1"/>
  <c r="L54" i="1" s="1"/>
  <c r="L55" i="1" a="1"/>
  <c r="L55" i="1" s="1"/>
  <c r="L56" i="1" a="1"/>
  <c r="L56" i="1" s="1"/>
  <c r="L57" i="1" a="1"/>
  <c r="L57" i="1" s="1"/>
  <c r="L58" i="1" a="1"/>
  <c r="L58" i="1" s="1"/>
  <c r="L59" i="1" a="1"/>
  <c r="L59" i="1" s="1"/>
  <c r="L60" i="1" a="1"/>
  <c r="L60" i="1" s="1"/>
  <c r="L61" i="1" a="1"/>
  <c r="L61" i="1" s="1"/>
  <c r="L62" i="1" a="1"/>
  <c r="L62" i="1" s="1"/>
  <c r="L63" i="1" a="1"/>
  <c r="L63" i="1" s="1"/>
  <c r="L64" i="1" a="1"/>
  <c r="L64" i="1" s="1"/>
  <c r="L65" i="1" a="1"/>
  <c r="L65" i="1" s="1"/>
  <c r="L66" i="1" a="1"/>
  <c r="L66" i="1" s="1"/>
  <c r="L67" i="1" a="1"/>
  <c r="L67" i="1" s="1"/>
  <c r="L68" i="1" a="1"/>
  <c r="L68" i="1" s="1"/>
  <c r="L69" i="1" a="1"/>
  <c r="L69" i="1" s="1"/>
  <c r="L70" i="1" a="1"/>
  <c r="L70" i="1" s="1"/>
  <c r="L71" i="1" a="1"/>
  <c r="L71" i="1" s="1"/>
  <c r="L72" i="1" a="1"/>
  <c r="L72" i="1" s="1"/>
  <c r="L73" i="1" a="1"/>
  <c r="L73" i="1" s="1"/>
  <c r="L74" i="1" a="1"/>
  <c r="L74" i="1" s="1"/>
  <c r="L75" i="1" a="1"/>
  <c r="L75" i="1" s="1"/>
  <c r="L76" i="1" a="1"/>
  <c r="L76" i="1" s="1"/>
  <c r="L77" i="1" a="1"/>
  <c r="L77" i="1" s="1"/>
  <c r="L78" i="1" a="1"/>
  <c r="L78" i="1" s="1"/>
  <c r="L79" i="1" a="1"/>
  <c r="L79" i="1" s="1"/>
  <c r="L80" i="1" a="1"/>
  <c r="L80" i="1" s="1"/>
  <c r="L81" i="1" a="1"/>
  <c r="L81" i="1" s="1"/>
  <c r="L82" i="1" a="1"/>
  <c r="L82" i="1" s="1"/>
  <c r="L83" i="1" a="1"/>
  <c r="L83" i="1" s="1"/>
  <c r="L84" i="1" a="1"/>
  <c r="L84" i="1" s="1"/>
  <c r="L85" i="1" a="1"/>
  <c r="L85" i="1" s="1"/>
  <c r="L86" i="1" a="1"/>
  <c r="L86" i="1" s="1"/>
  <c r="L87" i="1" a="1"/>
  <c r="L87" i="1" s="1"/>
  <c r="L88" i="1" a="1"/>
  <c r="L88" i="1" s="1"/>
  <c r="L89" i="1" a="1"/>
  <c r="L89" i="1" s="1"/>
  <c r="L90" i="1" a="1"/>
  <c r="L90" i="1" s="1"/>
  <c r="L91" i="1" a="1"/>
  <c r="L91" i="1" s="1"/>
  <c r="L92" i="1" a="1"/>
  <c r="L92" i="1" s="1"/>
  <c r="L93" i="1" a="1"/>
  <c r="L93" i="1" s="1"/>
  <c r="L94" i="1" a="1"/>
  <c r="L94" i="1" s="1"/>
  <c r="L95" i="1" a="1"/>
  <c r="L95" i="1" s="1"/>
  <c r="L96" i="1" a="1"/>
  <c r="L96" i="1" s="1"/>
  <c r="L97" i="1" a="1"/>
  <c r="L97" i="1" s="1"/>
  <c r="L98" i="1" a="1"/>
  <c r="L98" i="1" s="1"/>
  <c r="L99" i="1" a="1"/>
  <c r="L99" i="1" s="1"/>
  <c r="L100" i="1" a="1"/>
  <c r="L100" i="1" s="1"/>
  <c r="L101" i="1" a="1"/>
  <c r="L101" i="1" s="1"/>
  <c r="L102" i="1" a="1"/>
  <c r="L102" i="1" s="1"/>
  <c r="L103" i="1" a="1"/>
  <c r="L103" i="1" s="1"/>
  <c r="L104" i="1" a="1"/>
  <c r="L104" i="1" s="1"/>
  <c r="L105" i="1" a="1"/>
  <c r="L105" i="1" s="1"/>
  <c r="L106" i="1" a="1"/>
  <c r="L106" i="1" s="1"/>
  <c r="L107" i="1" a="1"/>
  <c r="L107" i="1" s="1"/>
  <c r="L108" i="1" a="1"/>
  <c r="L108" i="1" s="1"/>
  <c r="L109" i="1" a="1"/>
  <c r="L109" i="1" s="1"/>
  <c r="L110" i="1" a="1"/>
  <c r="L110" i="1" s="1"/>
  <c r="L111" i="1" a="1"/>
  <c r="L111" i="1" s="1"/>
  <c r="L112" i="1" a="1"/>
  <c r="L112" i="1" s="1"/>
  <c r="L113" i="1" a="1"/>
  <c r="L113" i="1" s="1"/>
  <c r="L114" i="1" a="1"/>
  <c r="L114" i="1" s="1"/>
  <c r="L115" i="1" a="1"/>
  <c r="L115" i="1" s="1"/>
  <c r="L116" i="1" a="1"/>
  <c r="L116" i="1" s="1"/>
  <c r="L117" i="1" a="1"/>
  <c r="L117" i="1" s="1"/>
  <c r="L118" i="1" a="1"/>
  <c r="L118" i="1" s="1"/>
  <c r="L119" i="1" a="1"/>
  <c r="L119" i="1" s="1"/>
  <c r="L120" i="1" a="1"/>
  <c r="L120" i="1" s="1"/>
  <c r="L121" i="1" a="1"/>
  <c r="L121" i="1" s="1"/>
  <c r="L122" i="1" a="1"/>
  <c r="L122" i="1" s="1"/>
  <c r="L123" i="1" a="1"/>
  <c r="L123" i="1" s="1"/>
  <c r="L124" i="1" a="1"/>
  <c r="L124" i="1" s="1"/>
  <c r="L125" i="1" a="1"/>
  <c r="L125" i="1" s="1"/>
  <c r="L126" i="1" a="1"/>
  <c r="L126" i="1" s="1"/>
  <c r="L127" i="1" a="1"/>
  <c r="L127" i="1" s="1"/>
  <c r="L128" i="1" a="1"/>
  <c r="L128" i="1" s="1"/>
  <c r="L129" i="1" a="1"/>
  <c r="L129" i="1" s="1"/>
  <c r="L130" i="1" a="1"/>
  <c r="L130" i="1" s="1"/>
  <c r="L131" i="1" a="1"/>
  <c r="L131" i="1" s="1"/>
  <c r="L132" i="1" a="1"/>
  <c r="L132" i="1" s="1"/>
  <c r="L133" i="1" a="1"/>
  <c r="L133" i="1" s="1"/>
  <c r="L134" i="1" a="1"/>
  <c r="L134" i="1" s="1"/>
  <c r="L135" i="1" a="1"/>
  <c r="L135" i="1" s="1"/>
  <c r="L136" i="1" a="1"/>
  <c r="L136" i="1" s="1"/>
  <c r="L137" i="1" a="1"/>
  <c r="L137" i="1" s="1"/>
  <c r="L138" i="1" a="1"/>
  <c r="L138" i="1" s="1"/>
  <c r="L139" i="1" a="1"/>
  <c r="L139" i="1" s="1"/>
  <c r="L140" i="1" a="1"/>
  <c r="L140" i="1" s="1"/>
  <c r="L141" i="1" a="1"/>
  <c r="L141" i="1" s="1"/>
  <c r="L142" i="1" a="1"/>
  <c r="L142" i="1" s="1"/>
  <c r="L143" i="1" a="1"/>
  <c r="L143" i="1" s="1"/>
  <c r="L144" i="1" a="1"/>
  <c r="L144" i="1" s="1"/>
  <c r="L145" i="1" a="1"/>
  <c r="L145" i="1" s="1"/>
  <c r="L146" i="1" a="1"/>
  <c r="L146" i="1" s="1"/>
  <c r="L147" i="1" a="1"/>
  <c r="L147" i="1" s="1"/>
  <c r="L148" i="1" a="1"/>
  <c r="L148" i="1" s="1"/>
  <c r="L149" i="1" a="1"/>
  <c r="L149" i="1" s="1"/>
  <c r="L150" i="1" a="1"/>
  <c r="L150" i="1" s="1"/>
  <c r="L151" i="1" a="1"/>
  <c r="L151" i="1" s="1"/>
  <c r="L152" i="1" a="1"/>
  <c r="L152" i="1" s="1"/>
  <c r="L153" i="1" a="1"/>
  <c r="L153" i="1" s="1"/>
  <c r="L154" i="1" a="1"/>
  <c r="L154" i="1" s="1"/>
  <c r="L155" i="1" a="1"/>
  <c r="L155" i="1" s="1"/>
  <c r="L156" i="1" a="1"/>
  <c r="L156" i="1" s="1"/>
  <c r="L157" i="1" a="1"/>
  <c r="L157" i="1" s="1"/>
  <c r="L158" i="1" a="1"/>
  <c r="L158" i="1" s="1"/>
  <c r="L159" i="1" a="1"/>
  <c r="L159" i="1" s="1"/>
  <c r="L160" i="1" a="1"/>
  <c r="L160" i="1" s="1"/>
  <c r="L161" i="1" a="1"/>
  <c r="L161" i="1" s="1"/>
  <c r="L162" i="1" a="1"/>
  <c r="L162" i="1" s="1"/>
  <c r="L163" i="1" a="1"/>
  <c r="L163" i="1" s="1"/>
  <c r="L164" i="1" a="1"/>
  <c r="L164" i="1" s="1"/>
  <c r="L165" i="1" a="1"/>
  <c r="L165" i="1" s="1"/>
  <c r="L166" i="1" a="1"/>
  <c r="L166" i="1" s="1"/>
  <c r="L167" i="1" a="1"/>
  <c r="L167" i="1" s="1"/>
  <c r="L168" i="1" a="1"/>
  <c r="L168" i="1" s="1"/>
  <c r="L169" i="1" a="1"/>
  <c r="L169" i="1" s="1"/>
  <c r="L170" i="1" a="1"/>
  <c r="L170" i="1" s="1"/>
  <c r="L171" i="1" a="1"/>
  <c r="L171" i="1" s="1"/>
  <c r="L172" i="1" a="1"/>
  <c r="L172" i="1" s="1"/>
  <c r="L173" i="1" a="1"/>
  <c r="L173" i="1" s="1"/>
  <c r="L174" i="1" a="1"/>
  <c r="L174" i="1" s="1"/>
  <c r="L175" i="1" a="1"/>
  <c r="L175" i="1" s="1"/>
  <c r="L176" i="1" a="1"/>
  <c r="L176" i="1" s="1"/>
  <c r="L177" i="1" a="1"/>
  <c r="L177" i="1" s="1"/>
  <c r="L178" i="1" a="1"/>
  <c r="L178" i="1" s="1"/>
  <c r="L179" i="1" a="1"/>
  <c r="L179" i="1" s="1"/>
  <c r="L180" i="1" a="1"/>
  <c r="L180" i="1" s="1"/>
  <c r="L181" i="1" a="1"/>
  <c r="L181" i="1" s="1"/>
  <c r="L182" i="1" a="1"/>
  <c r="L182" i="1" s="1"/>
  <c r="L183" i="1" a="1"/>
  <c r="L183" i="1" s="1"/>
  <c r="L184" i="1" a="1"/>
  <c r="L184" i="1" s="1"/>
  <c r="L185" i="1" a="1"/>
  <c r="L185" i="1" s="1"/>
  <c r="L186" i="1" a="1"/>
  <c r="L186" i="1" s="1"/>
  <c r="L187" i="1" a="1"/>
  <c r="L187" i="1" s="1"/>
  <c r="L188" i="1" a="1"/>
  <c r="L188" i="1" s="1"/>
  <c r="L189" i="1" a="1"/>
  <c r="L189" i="1" s="1"/>
  <c r="L190" i="1" a="1"/>
  <c r="L190" i="1" s="1"/>
  <c r="L191" i="1" a="1"/>
  <c r="L191" i="1" s="1"/>
  <c r="L192" i="1" a="1"/>
  <c r="L192" i="1" s="1"/>
  <c r="L193" i="1" a="1"/>
  <c r="L193" i="1" s="1"/>
  <c r="L194" i="1" a="1"/>
  <c r="L194" i="1" s="1"/>
  <c r="L195" i="1" a="1"/>
  <c r="L195" i="1" s="1"/>
  <c r="L196" i="1" a="1"/>
  <c r="L196" i="1" s="1"/>
  <c r="L197" i="1" a="1"/>
  <c r="L197" i="1" s="1"/>
  <c r="L198" i="1" a="1"/>
  <c r="L198" i="1" s="1"/>
  <c r="L199" i="1" a="1"/>
  <c r="L199" i="1" s="1"/>
  <c r="L200" i="1" a="1"/>
  <c r="L200" i="1" s="1"/>
  <c r="L201" i="1" a="1"/>
  <c r="L201" i="1" s="1"/>
  <c r="L202" i="1" a="1"/>
  <c r="L202" i="1" s="1"/>
  <c r="L203" i="1" a="1"/>
  <c r="L203" i="1" s="1"/>
  <c r="L204" i="1" a="1"/>
  <c r="L204" i="1" s="1"/>
  <c r="L205" i="1" a="1"/>
  <c r="L205" i="1" s="1"/>
  <c r="L206" i="1" a="1"/>
  <c r="L206" i="1" s="1"/>
  <c r="L207" i="1" a="1"/>
  <c r="L207" i="1" s="1"/>
  <c r="L208" i="1" a="1"/>
  <c r="L208" i="1" s="1"/>
  <c r="L209" i="1" a="1"/>
  <c r="L209" i="1" s="1"/>
  <c r="L210" i="1" a="1"/>
  <c r="L210" i="1" s="1"/>
  <c r="L211" i="1" a="1"/>
  <c r="L211" i="1" s="1"/>
  <c r="L212" i="1" a="1"/>
  <c r="L212" i="1" s="1"/>
  <c r="L213" i="1" a="1"/>
  <c r="L213" i="1" s="1"/>
  <c r="L214" i="1" a="1"/>
  <c r="L214" i="1" s="1"/>
  <c r="L215" i="1" a="1"/>
  <c r="L215" i="1" s="1"/>
  <c r="L216" i="1" a="1"/>
  <c r="L216" i="1" s="1"/>
  <c r="L217" i="1" a="1"/>
  <c r="L217" i="1" s="1"/>
  <c r="L218" i="1" a="1"/>
  <c r="L218" i="1" s="1"/>
  <c r="L219" i="1" a="1"/>
  <c r="L219" i="1" s="1"/>
  <c r="L220" i="1" a="1"/>
  <c r="L220" i="1" s="1"/>
  <c r="L221" i="1" a="1"/>
  <c r="L221" i="1" s="1"/>
  <c r="L222" i="1" a="1"/>
  <c r="L222" i="1" s="1"/>
  <c r="L223" i="1" a="1"/>
  <c r="L223" i="1" s="1"/>
  <c r="L224" i="1" a="1"/>
  <c r="L224" i="1" s="1"/>
  <c r="L225" i="1" a="1"/>
  <c r="L225" i="1" s="1"/>
  <c r="L226" i="1" a="1"/>
  <c r="L226" i="1" s="1"/>
  <c r="L227" i="1" a="1"/>
  <c r="L227" i="1" s="1"/>
  <c r="L228" i="1" a="1"/>
  <c r="L228" i="1" s="1"/>
  <c r="L229" i="1" a="1"/>
  <c r="L229" i="1" s="1"/>
  <c r="L230" i="1" a="1"/>
  <c r="L230" i="1" s="1"/>
  <c r="L231" i="1" a="1"/>
  <c r="L231" i="1" s="1"/>
  <c r="L232" i="1" a="1"/>
  <c r="L232" i="1" s="1"/>
  <c r="L233" i="1" a="1"/>
  <c r="L233" i="1" s="1"/>
  <c r="L234" i="1" a="1"/>
  <c r="L234" i="1" s="1"/>
  <c r="L235" i="1" a="1"/>
  <c r="L235" i="1" s="1"/>
  <c r="L236" i="1" a="1"/>
  <c r="L236" i="1" s="1"/>
  <c r="L237" i="1" a="1"/>
  <c r="L237" i="1" s="1"/>
  <c r="L238" i="1" a="1"/>
  <c r="L238" i="1" s="1"/>
  <c r="L239" i="1" a="1"/>
  <c r="L239" i="1" s="1"/>
  <c r="L240" i="1" a="1"/>
  <c r="L240" i="1" s="1"/>
  <c r="L241" i="1" a="1"/>
  <c r="L241" i="1" s="1"/>
  <c r="L242" i="1" a="1"/>
  <c r="L242" i="1" s="1"/>
  <c r="L243" i="1" a="1"/>
  <c r="L243" i="1" s="1"/>
  <c r="L244" i="1" a="1"/>
  <c r="L244" i="1" s="1"/>
  <c r="L245" i="1" a="1"/>
  <c r="L245" i="1" s="1"/>
  <c r="L246" i="1" a="1"/>
  <c r="L246" i="1" s="1"/>
  <c r="L247" i="1" a="1"/>
  <c r="L247" i="1" s="1"/>
  <c r="L248" i="1" a="1"/>
  <c r="L248" i="1" s="1"/>
  <c r="L249" i="1" a="1"/>
  <c r="L249" i="1" s="1"/>
  <c r="L250" i="1" a="1"/>
  <c r="L250" i="1" s="1"/>
  <c r="L251" i="1" a="1"/>
  <c r="L251" i="1" s="1"/>
  <c r="L252" i="1" a="1"/>
  <c r="L252" i="1" s="1"/>
  <c r="L253" i="1" a="1"/>
  <c r="L253" i="1" s="1"/>
  <c r="L254" i="1" a="1"/>
  <c r="L254" i="1" s="1"/>
  <c r="L255" i="1" a="1"/>
  <c r="L255" i="1" s="1"/>
  <c r="L256" i="1" a="1"/>
  <c r="L256" i="1" s="1"/>
  <c r="L257" i="1" a="1"/>
  <c r="L257" i="1" s="1"/>
  <c r="L258" i="1" a="1"/>
  <c r="L258" i="1" s="1"/>
  <c r="L259" i="1" a="1"/>
  <c r="L259" i="1" s="1"/>
  <c r="L260" i="1" a="1"/>
  <c r="L260" i="1" s="1"/>
  <c r="L261" i="1" a="1"/>
  <c r="L261" i="1" s="1"/>
  <c r="L262" i="1" a="1"/>
  <c r="L262" i="1" s="1"/>
  <c r="L263" i="1" a="1"/>
  <c r="L263" i="1" s="1"/>
  <c r="L264" i="1" a="1"/>
  <c r="L264" i="1" s="1"/>
  <c r="L265" i="1" a="1"/>
  <c r="L265" i="1" s="1"/>
  <c r="L266" i="1" a="1"/>
  <c r="L266" i="1" s="1"/>
  <c r="L267" i="1" a="1"/>
  <c r="L267" i="1" s="1"/>
  <c r="L268" i="1" a="1"/>
  <c r="L268" i="1" s="1"/>
  <c r="L269" i="1" a="1"/>
  <c r="L269" i="1" s="1"/>
  <c r="L270" i="1" a="1"/>
  <c r="L270" i="1" s="1"/>
  <c r="L271" i="1" a="1"/>
  <c r="L271" i="1" s="1"/>
  <c r="L272" i="1" a="1"/>
  <c r="L272" i="1" s="1"/>
  <c r="L273" i="1" a="1"/>
  <c r="L273" i="1" s="1"/>
  <c r="L274" i="1" a="1"/>
  <c r="L274" i="1" s="1"/>
  <c r="L275" i="1" a="1"/>
  <c r="L275" i="1" s="1"/>
  <c r="L276" i="1" a="1"/>
  <c r="L276" i="1" s="1"/>
  <c r="L277" i="1" a="1"/>
  <c r="L277" i="1" s="1"/>
  <c r="L278" i="1" a="1"/>
  <c r="L278" i="1" s="1"/>
  <c r="L279" i="1" a="1"/>
  <c r="L279" i="1" s="1"/>
  <c r="L280" i="1" a="1"/>
  <c r="L280" i="1" s="1"/>
  <c r="L281" i="1" a="1"/>
  <c r="L281" i="1" s="1"/>
  <c r="L282" i="1" a="1"/>
  <c r="L282" i="1" s="1"/>
  <c r="L283" i="1" a="1"/>
  <c r="L283" i="1" s="1"/>
  <c r="L284" i="1" a="1"/>
  <c r="L284" i="1" s="1"/>
  <c r="L285" i="1" a="1"/>
  <c r="L285" i="1" s="1"/>
  <c r="L286" i="1" a="1"/>
  <c r="L286" i="1" s="1"/>
  <c r="L287" i="1" a="1"/>
  <c r="L287" i="1" s="1"/>
  <c r="L288" i="1" a="1"/>
  <c r="L288" i="1" s="1"/>
  <c r="L289" i="1" a="1"/>
  <c r="L289" i="1" s="1"/>
  <c r="L290" i="1" a="1"/>
  <c r="L290" i="1" s="1"/>
  <c r="L291" i="1" a="1"/>
  <c r="L291" i="1" s="1"/>
  <c r="L292" i="1" a="1"/>
  <c r="L292" i="1" s="1"/>
  <c r="L293" i="1" a="1"/>
  <c r="L293" i="1" s="1"/>
  <c r="L294" i="1" a="1"/>
  <c r="L294" i="1" s="1"/>
  <c r="L295" i="1" a="1"/>
  <c r="L295" i="1" s="1"/>
  <c r="L296" i="1" a="1"/>
  <c r="L296" i="1" s="1"/>
  <c r="L297" i="1" a="1"/>
  <c r="L297" i="1" s="1"/>
  <c r="L298" i="1" a="1"/>
  <c r="L298" i="1" s="1"/>
  <c r="L299" i="1" a="1"/>
  <c r="L299" i="1" s="1"/>
  <c r="L300" i="1" a="1"/>
  <c r="L300" i="1" s="1"/>
  <c r="L301" i="1" a="1"/>
  <c r="L301" i="1" s="1"/>
  <c r="L302" i="1" a="1"/>
  <c r="L302" i="1" s="1"/>
  <c r="L303" i="1" a="1"/>
  <c r="L303" i="1" s="1"/>
  <c r="L304" i="1" a="1"/>
  <c r="L304" i="1" s="1"/>
  <c r="L305" i="1" a="1"/>
  <c r="L305" i="1" s="1"/>
  <c r="L306" i="1" a="1"/>
  <c r="L306" i="1" s="1"/>
  <c r="L307" i="1" a="1"/>
  <c r="L307" i="1" s="1"/>
  <c r="L308" i="1" a="1"/>
  <c r="L308" i="1" s="1"/>
  <c r="L309" i="1" a="1"/>
  <c r="L309" i="1" s="1"/>
  <c r="L310" i="1" a="1"/>
  <c r="L310" i="1" s="1"/>
  <c r="L311" i="1" a="1"/>
  <c r="L311" i="1" s="1"/>
  <c r="L312" i="1" a="1"/>
  <c r="L312" i="1" s="1"/>
  <c r="L313" i="1" a="1"/>
  <c r="L313" i="1" s="1"/>
  <c r="L314" i="1" a="1"/>
  <c r="L314" i="1" s="1"/>
  <c r="L315" i="1" a="1"/>
  <c r="L315" i="1" s="1"/>
  <c r="L316" i="1" a="1"/>
  <c r="L316" i="1" s="1"/>
  <c r="L317" i="1" a="1"/>
  <c r="L317" i="1" s="1"/>
  <c r="L318" i="1" a="1"/>
  <c r="L318" i="1" s="1"/>
  <c r="L319" i="1" a="1"/>
  <c r="L319" i="1" s="1"/>
  <c r="L320" i="1" a="1"/>
  <c r="L320" i="1" s="1"/>
  <c r="L321" i="1" a="1"/>
  <c r="L321" i="1" s="1"/>
  <c r="L322" i="1" a="1"/>
  <c r="L322" i="1" s="1"/>
  <c r="L323" i="1" a="1"/>
  <c r="L323" i="1" s="1"/>
  <c r="L324" i="1" a="1"/>
  <c r="L324" i="1" s="1"/>
  <c r="L325" i="1" a="1"/>
  <c r="L325" i="1" s="1"/>
  <c r="L326" i="1" a="1"/>
  <c r="L326" i="1" s="1"/>
  <c r="L327" i="1" a="1"/>
  <c r="L327" i="1" s="1"/>
  <c r="L328" i="1" a="1"/>
  <c r="L328" i="1" s="1"/>
  <c r="L329" i="1" a="1"/>
  <c r="L329" i="1" s="1"/>
  <c r="L330" i="1" a="1"/>
  <c r="L330" i="1" s="1"/>
  <c r="L331" i="1" a="1"/>
  <c r="L331" i="1" s="1"/>
  <c r="L332" i="1" a="1"/>
  <c r="L332" i="1" s="1"/>
  <c r="L333" i="1" a="1"/>
  <c r="L333" i="1" s="1"/>
  <c r="L334" i="1" a="1"/>
  <c r="L334" i="1" s="1"/>
  <c r="L335" i="1" a="1"/>
  <c r="L335" i="1" s="1"/>
  <c r="L336" i="1" a="1"/>
  <c r="L336" i="1" s="1"/>
  <c r="L337" i="1" a="1"/>
  <c r="L337" i="1" s="1"/>
  <c r="L338" i="1" a="1"/>
  <c r="L338" i="1" s="1"/>
  <c r="L339" i="1" a="1"/>
  <c r="L339" i="1" s="1"/>
  <c r="L340" i="1" a="1"/>
  <c r="L340" i="1" s="1"/>
  <c r="L341" i="1" a="1"/>
  <c r="L341" i="1" s="1"/>
  <c r="L342" i="1" a="1"/>
  <c r="L342" i="1" s="1"/>
  <c r="L343" i="1" a="1"/>
  <c r="L343" i="1" s="1"/>
  <c r="L344" i="1" a="1"/>
  <c r="L344" i="1" s="1"/>
  <c r="L345" i="1" a="1"/>
  <c r="L345" i="1" s="1"/>
  <c r="L346" i="1" a="1"/>
  <c r="L346" i="1" s="1"/>
  <c r="L347" i="1" a="1"/>
  <c r="L347" i="1" s="1"/>
  <c r="L348" i="1" a="1"/>
  <c r="L348" i="1" s="1"/>
  <c r="L349" i="1" a="1"/>
  <c r="L349" i="1" s="1"/>
  <c r="L350" i="1" a="1"/>
  <c r="L350" i="1" s="1"/>
  <c r="L351" i="1" a="1"/>
  <c r="L351" i="1" s="1"/>
  <c r="L352" i="1" a="1"/>
  <c r="L352" i="1" s="1"/>
  <c r="L353" i="1" a="1"/>
  <c r="L353" i="1" s="1"/>
  <c r="L354" i="1" a="1"/>
  <c r="L354" i="1" s="1"/>
  <c r="L355" i="1" a="1"/>
  <c r="L355" i="1" s="1"/>
  <c r="L356" i="1" a="1"/>
  <c r="L356" i="1" s="1"/>
  <c r="L357" i="1" a="1"/>
  <c r="L357" i="1" s="1"/>
  <c r="L358" i="1" a="1"/>
  <c r="L358" i="1" s="1"/>
  <c r="L359" i="1" a="1"/>
  <c r="L359" i="1" s="1"/>
  <c r="L360" i="1" a="1"/>
  <c r="L360" i="1" s="1"/>
  <c r="L361" i="1" a="1"/>
  <c r="L361" i="1" s="1"/>
  <c r="L362" i="1" a="1"/>
  <c r="L362" i="1" s="1"/>
  <c r="L363" i="1" a="1"/>
  <c r="L363" i="1" s="1"/>
  <c r="L364" i="1" a="1"/>
  <c r="L364" i="1" s="1"/>
  <c r="L365" i="1" a="1"/>
  <c r="L365" i="1" s="1"/>
  <c r="L366" i="1" a="1"/>
  <c r="L366" i="1" s="1"/>
  <c r="L367" i="1" a="1"/>
  <c r="L367" i="1" s="1"/>
  <c r="L368" i="1" a="1"/>
  <c r="L368" i="1" s="1"/>
  <c r="L369" i="1" a="1"/>
  <c r="L369" i="1" s="1"/>
  <c r="L370" i="1" a="1"/>
  <c r="L370" i="1" s="1"/>
  <c r="L371" i="1" a="1"/>
  <c r="L371" i="1" s="1"/>
  <c r="L372" i="1" a="1"/>
  <c r="L372" i="1" s="1"/>
  <c r="L373" i="1" a="1"/>
  <c r="L373" i="1" s="1"/>
  <c r="L374" i="1" a="1"/>
  <c r="L374" i="1" s="1"/>
  <c r="L375" i="1" a="1"/>
  <c r="L375" i="1" s="1"/>
  <c r="L376" i="1" a="1"/>
  <c r="L376" i="1" s="1"/>
  <c r="L377" i="1" a="1"/>
  <c r="L377" i="1" s="1"/>
  <c r="L378" i="1" a="1"/>
  <c r="L378" i="1" s="1"/>
  <c r="L379" i="1" a="1"/>
  <c r="L379" i="1" s="1"/>
  <c r="L380" i="1" a="1"/>
  <c r="L380" i="1" s="1"/>
  <c r="L381" i="1" a="1"/>
  <c r="L381" i="1" s="1"/>
  <c r="L382" i="1" a="1"/>
  <c r="L382" i="1" s="1"/>
  <c r="L383" i="1" a="1"/>
  <c r="L383" i="1" s="1"/>
  <c r="L384" i="1" a="1"/>
  <c r="L384" i="1" s="1"/>
  <c r="L385" i="1" a="1"/>
  <c r="L385" i="1" s="1"/>
  <c r="L386" i="1" a="1"/>
  <c r="L386" i="1" s="1"/>
  <c r="L387" i="1" a="1"/>
  <c r="L387" i="1" s="1"/>
  <c r="L388" i="1" a="1"/>
  <c r="L388" i="1" s="1"/>
  <c r="L389" i="1" a="1"/>
  <c r="L389" i="1" s="1"/>
  <c r="L390" i="1" a="1"/>
  <c r="L390" i="1" s="1"/>
  <c r="L391" i="1" a="1"/>
  <c r="L391" i="1" s="1"/>
  <c r="L392" i="1" a="1"/>
  <c r="L392" i="1" s="1"/>
  <c r="L393" i="1" a="1"/>
  <c r="L393" i="1" s="1"/>
  <c r="L394" i="1" a="1"/>
  <c r="L394" i="1" s="1"/>
  <c r="L395" i="1" a="1"/>
  <c r="L395" i="1" s="1"/>
  <c r="L396" i="1" a="1"/>
  <c r="L396" i="1" s="1"/>
  <c r="L397" i="1" a="1"/>
  <c r="L397" i="1" s="1"/>
  <c r="L398" i="1" a="1"/>
  <c r="L398" i="1" s="1"/>
  <c r="L399" i="1" a="1"/>
  <c r="L399" i="1" s="1"/>
  <c r="L400" i="1" a="1"/>
  <c r="L400" i="1" s="1"/>
  <c r="L401" i="1" a="1"/>
  <c r="L401" i="1" s="1"/>
  <c r="L402" i="1" a="1"/>
  <c r="L402" i="1" s="1"/>
  <c r="L403" i="1" a="1"/>
  <c r="L403" i="1" s="1"/>
  <c r="L404" i="1" a="1"/>
  <c r="L404" i="1" s="1"/>
  <c r="L405" i="1" a="1"/>
  <c r="L405" i="1" s="1"/>
  <c r="L406" i="1" a="1"/>
  <c r="L406" i="1" s="1"/>
  <c r="L407" i="1" a="1"/>
  <c r="L407" i="1" s="1"/>
  <c r="L408" i="1" a="1"/>
  <c r="L408" i="1" s="1"/>
  <c r="L409" i="1" a="1"/>
  <c r="L409" i="1" s="1"/>
  <c r="L410" i="1" a="1"/>
  <c r="L410" i="1" s="1"/>
  <c r="L411" i="1" a="1"/>
  <c r="L411" i="1" s="1"/>
  <c r="L412" i="1" a="1"/>
  <c r="L412" i="1" s="1"/>
  <c r="L413" i="1" a="1"/>
  <c r="L413" i="1" s="1"/>
  <c r="L414" i="1" a="1"/>
  <c r="L414" i="1" s="1"/>
  <c r="L415" i="1" a="1"/>
  <c r="L415" i="1" s="1"/>
  <c r="L416" i="1" a="1"/>
  <c r="L416" i="1" s="1"/>
  <c r="L417" i="1" a="1"/>
  <c r="L417" i="1" s="1"/>
  <c r="L418" i="1" a="1"/>
  <c r="L418" i="1" s="1"/>
  <c r="L419" i="1" a="1"/>
  <c r="L419" i="1" s="1"/>
  <c r="L420" i="1" a="1"/>
  <c r="L420" i="1" s="1"/>
  <c r="L421" i="1" a="1"/>
  <c r="L421" i="1" s="1"/>
  <c r="L422" i="1" a="1"/>
  <c r="L422" i="1" s="1"/>
  <c r="L423" i="1" a="1"/>
  <c r="L423" i="1" s="1"/>
  <c r="L424" i="1" a="1"/>
  <c r="L424" i="1" s="1"/>
  <c r="L425" i="1" a="1"/>
  <c r="L425" i="1" s="1"/>
  <c r="L426" i="1" a="1"/>
  <c r="L426" i="1" s="1"/>
  <c r="L427" i="1" a="1"/>
  <c r="L427" i="1" s="1"/>
  <c r="L428" i="1" a="1"/>
  <c r="L428" i="1" s="1"/>
  <c r="L429" i="1" a="1"/>
  <c r="L429" i="1" s="1"/>
  <c r="L430" i="1" a="1"/>
  <c r="L430" i="1" s="1"/>
  <c r="L431" i="1" a="1"/>
  <c r="L431" i="1" s="1"/>
  <c r="L432" i="1" a="1"/>
  <c r="L432" i="1" s="1"/>
  <c r="L433" i="1" a="1"/>
  <c r="L433" i="1" s="1"/>
  <c r="L434" i="1" a="1"/>
  <c r="L434" i="1" s="1"/>
  <c r="L435" i="1" a="1"/>
  <c r="L435" i="1" s="1"/>
  <c r="L436" i="1" a="1"/>
  <c r="L436" i="1" s="1"/>
  <c r="L437" i="1" a="1"/>
  <c r="L437" i="1" s="1"/>
  <c r="L438" i="1" a="1"/>
  <c r="L438" i="1" s="1"/>
  <c r="L439" i="1" a="1"/>
  <c r="L439" i="1" s="1"/>
  <c r="L440" i="1" a="1"/>
  <c r="L440" i="1" s="1"/>
  <c r="L441" i="1" a="1"/>
  <c r="L441" i="1" s="1"/>
  <c r="L442" i="1" a="1"/>
  <c r="L442" i="1" s="1"/>
  <c r="L443" i="1" a="1"/>
  <c r="L443" i="1" s="1"/>
  <c r="L444" i="1" a="1"/>
  <c r="L444" i="1" s="1"/>
  <c r="L445" i="1" a="1"/>
  <c r="L445" i="1" s="1"/>
  <c r="L446" i="1" a="1"/>
  <c r="L446" i="1" s="1"/>
  <c r="L447" i="1" a="1"/>
  <c r="L447" i="1" s="1"/>
  <c r="L448" i="1" a="1"/>
  <c r="L448" i="1" s="1"/>
  <c r="L449" i="1" a="1"/>
  <c r="L449" i="1" s="1"/>
  <c r="L450" i="1" a="1"/>
  <c r="L450" i="1" s="1"/>
  <c r="L451" i="1" a="1"/>
  <c r="L451" i="1" s="1"/>
  <c r="L452" i="1" a="1"/>
  <c r="L452" i="1" s="1"/>
  <c r="L453" i="1" a="1"/>
  <c r="L453" i="1" s="1"/>
  <c r="L454" i="1" a="1"/>
  <c r="L454" i="1" s="1"/>
  <c r="L455" i="1" a="1"/>
  <c r="L455" i="1" s="1"/>
  <c r="L456" i="1" a="1"/>
  <c r="L456" i="1" s="1"/>
  <c r="L457" i="1" a="1"/>
  <c r="L457" i="1" s="1"/>
  <c r="L458" i="1" a="1"/>
  <c r="L458" i="1" s="1"/>
  <c r="L459" i="1" a="1"/>
  <c r="L459" i="1" s="1"/>
  <c r="L460" i="1" a="1"/>
  <c r="L460" i="1" s="1"/>
  <c r="L461" i="1" a="1"/>
  <c r="L461" i="1" s="1"/>
  <c r="L462" i="1" a="1"/>
  <c r="L462" i="1" s="1"/>
  <c r="L463" i="1" a="1"/>
  <c r="L463" i="1" s="1"/>
  <c r="L464" i="1" a="1"/>
  <c r="L464" i="1" s="1"/>
  <c r="L465" i="1" a="1"/>
  <c r="L465" i="1" s="1"/>
  <c r="L466" i="1" a="1"/>
  <c r="L466" i="1" s="1"/>
  <c r="L467" i="1" a="1"/>
  <c r="L467" i="1" s="1"/>
  <c r="L468" i="1" a="1"/>
  <c r="L468" i="1" s="1"/>
  <c r="L469" i="1" a="1"/>
  <c r="L469" i="1" s="1"/>
  <c r="L470" i="1" a="1"/>
  <c r="L470" i="1" s="1"/>
  <c r="L471" i="1" a="1"/>
  <c r="L471" i="1" s="1"/>
  <c r="L472" i="1" a="1"/>
  <c r="L472" i="1" s="1"/>
  <c r="L473" i="1" a="1"/>
  <c r="L473" i="1" s="1"/>
  <c r="L474" i="1" a="1"/>
  <c r="L474" i="1" s="1"/>
  <c r="L475" i="1" a="1"/>
  <c r="L475" i="1" s="1"/>
  <c r="L476" i="1" a="1"/>
  <c r="L476" i="1" s="1"/>
  <c r="L477" i="1" a="1"/>
  <c r="L477" i="1" s="1"/>
  <c r="L478" i="1" a="1"/>
  <c r="L478" i="1" s="1"/>
  <c r="L479" i="1" a="1"/>
  <c r="L479" i="1" s="1"/>
  <c r="L480" i="1" a="1"/>
  <c r="L480" i="1" s="1"/>
  <c r="L481" i="1" a="1"/>
  <c r="L481" i="1" s="1"/>
  <c r="L482" i="1" a="1"/>
  <c r="L482" i="1" s="1"/>
  <c r="L483" i="1" a="1"/>
  <c r="L483" i="1" s="1"/>
  <c r="L484" i="1" a="1"/>
  <c r="L484" i="1" s="1"/>
  <c r="L485" i="1" a="1"/>
  <c r="L485" i="1" s="1"/>
  <c r="L486" i="1" a="1"/>
  <c r="L486" i="1" s="1"/>
  <c r="L487" i="1" a="1"/>
  <c r="L487" i="1" s="1"/>
  <c r="L488" i="1" a="1"/>
  <c r="L488" i="1" s="1"/>
  <c r="L489" i="1" a="1"/>
  <c r="L489" i="1" s="1"/>
  <c r="L490" i="1" a="1"/>
  <c r="L490" i="1" s="1"/>
  <c r="L491" i="1" a="1"/>
  <c r="L491" i="1" s="1"/>
  <c r="L492" i="1" a="1"/>
  <c r="L492" i="1" s="1"/>
  <c r="L493" i="1" a="1"/>
  <c r="L493" i="1" s="1"/>
  <c r="L494" i="1" a="1"/>
  <c r="L494" i="1" s="1"/>
  <c r="L495" i="1" a="1"/>
  <c r="L495" i="1" s="1"/>
  <c r="L496" i="1" a="1"/>
  <c r="L496" i="1" s="1"/>
  <c r="L497" i="1" a="1"/>
  <c r="L497" i="1" s="1"/>
  <c r="L498" i="1" a="1"/>
  <c r="L498" i="1" s="1"/>
  <c r="L499" i="1" a="1"/>
  <c r="L499" i="1" s="1"/>
  <c r="L500" i="1" a="1"/>
  <c r="L500" i="1" s="1"/>
  <c r="L501" i="1" a="1"/>
  <c r="L501" i="1" s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X37" i="1" l="1"/>
  <c r="X34" i="1"/>
  <c r="X3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<sst xmlns="http://schemas.openxmlformats.org/spreadsheetml/2006/main" count="2576" uniqueCount="96">
  <si>
    <t>Order_ID</t>
  </si>
  <si>
    <t>Date</t>
  </si>
  <si>
    <t>City</t>
  </si>
  <si>
    <t>State</t>
  </si>
  <si>
    <t>Region</t>
  </si>
  <si>
    <t>Category</t>
  </si>
  <si>
    <t>Product</t>
  </si>
  <si>
    <t>Sales</t>
  </si>
  <si>
    <t>Quantity</t>
  </si>
  <si>
    <t>Profit</t>
  </si>
  <si>
    <t>Jaipur</t>
  </si>
  <si>
    <t>Rajasthan</t>
  </si>
  <si>
    <t>South</t>
  </si>
  <si>
    <t>Electronics</t>
  </si>
  <si>
    <t>Mobile</t>
  </si>
  <si>
    <t>Pune</t>
  </si>
  <si>
    <t>Maharashtra</t>
  </si>
  <si>
    <t>East</t>
  </si>
  <si>
    <t>Chennai</t>
  </si>
  <si>
    <t>Tamil Nadu</t>
  </si>
  <si>
    <t>North</t>
  </si>
  <si>
    <t>Tablet</t>
  </si>
  <si>
    <t>Delhi</t>
  </si>
  <si>
    <t>West</t>
  </si>
  <si>
    <t>Furniture</t>
  </si>
  <si>
    <t>Sofa</t>
  </si>
  <si>
    <t>Ahmedabad</t>
  </si>
  <si>
    <t>Gujarat</t>
  </si>
  <si>
    <t>Table</t>
  </si>
  <si>
    <t>Chair</t>
  </si>
  <si>
    <t>Mumbai</t>
  </si>
  <si>
    <t>Clothing</t>
  </si>
  <si>
    <t>Jeans</t>
  </si>
  <si>
    <t>Shirt</t>
  </si>
  <si>
    <t>Laptop</t>
  </si>
  <si>
    <t>Bangalore</t>
  </si>
  <si>
    <t>Karnataka</t>
  </si>
  <si>
    <t>Surat</t>
  </si>
  <si>
    <t>Vadodara</t>
  </si>
  <si>
    <t>Jacket</t>
  </si>
  <si>
    <t>SUMIF</t>
  </si>
  <si>
    <t>MINIFS</t>
  </si>
  <si>
    <t>MAXIFS</t>
  </si>
  <si>
    <t>AVERAGEIF</t>
  </si>
  <si>
    <t>COUNTIF</t>
  </si>
  <si>
    <t>1. Find Out How Many Orders From Surat City.</t>
  </si>
  <si>
    <t>3. Find Out Total Qnty Sold In West Region.</t>
  </si>
  <si>
    <t>4. Calculate Average Profit in Pune City.</t>
  </si>
  <si>
    <t>5. Calculate Average Qnty Sold in North Region.</t>
  </si>
  <si>
    <t>7. Calculate Average Profit Where Product is Laptop.</t>
  </si>
  <si>
    <t>8. Find Out Min Sales in East Region.</t>
  </si>
  <si>
    <t>6. Find Out Max Profit In Gujarat State.</t>
  </si>
  <si>
    <t>SINGLE CONDITIONS FUNCTIONS</t>
  </si>
  <si>
    <t>SUMIFS</t>
  </si>
  <si>
    <t>AVERAGE IFS</t>
  </si>
  <si>
    <t>MIN IFS</t>
  </si>
  <si>
    <t>COUNTIFS</t>
  </si>
  <si>
    <t>MULTIPLE CONDITIONS</t>
  </si>
  <si>
    <t>IF</t>
  </si>
  <si>
    <t>IFS</t>
  </si>
  <si>
    <t>1. Calculate Total Sales In South Region Where State is Gujarat</t>
  </si>
  <si>
    <t>2. CalculateTotal Sales In South Region Where State is Gujarat And City is Ahmedabad</t>
  </si>
  <si>
    <t>3. Calculate Total Qnty Sold In North Region Where State is Gujarat In City Vadodara Where Product is Tablet</t>
  </si>
  <si>
    <t>4. Calculate Profit For All Regions. Find Out Which Region Genertaes Highest Profit.</t>
  </si>
  <si>
    <t>5. Using IFS Function Add New Column Name "Sales Status", Where &gt;40000 is Best , &gt;35000 is Average Else Poor Sales</t>
  </si>
  <si>
    <t>NORTH</t>
  </si>
  <si>
    <t>SOUTH</t>
  </si>
  <si>
    <t>EAST</t>
  </si>
  <si>
    <t>WEST</t>
  </si>
  <si>
    <t>6. Calculate How Many Laptop Sold IN Gujarat.</t>
  </si>
  <si>
    <t>7. Calculate Total Profit Where Product is Jeans</t>
  </si>
  <si>
    <t>8. Calculate Total Qnty Sold For All Category. Find Out Top Category Based On Qnty Sold.</t>
  </si>
  <si>
    <t>CLOTHING</t>
  </si>
  <si>
    <t>ELECTRONICS</t>
  </si>
  <si>
    <t>FURNITURE</t>
  </si>
  <si>
    <t>Range = Criteria Range</t>
  </si>
  <si>
    <t>Criteria Range = Criteria Range</t>
  </si>
  <si>
    <t>Sum Range = Numeric Columns (Sales, Qnty)</t>
  </si>
  <si>
    <t>Signle Condition</t>
  </si>
  <si>
    <t>Multiple Conditions</t>
  </si>
  <si>
    <t>ADD COLUMN</t>
  </si>
  <si>
    <t>&gt;40000</t>
  </si>
  <si>
    <t>&gt;40000,&gt;20000,OR POOR SALES</t>
  </si>
  <si>
    <t>9. Find Total Sales Of Mobile  Where Region is South , State is Maharashtra And City is Pune</t>
  </si>
  <si>
    <t>10. Find Total Qnty Sold Of Sofa in North Region Of Gujarat Where City is Ahmedabad.</t>
  </si>
  <si>
    <t>11. Compare Profit Of Products From Electronics Category and Find Which Product is Best By Profit in Electronic Category.</t>
  </si>
  <si>
    <t>12. Compare Total Unit Sold For Product in Clothing Category , Find Out Best Product Based On Qnty Sold.</t>
  </si>
  <si>
    <t>SalesStatus IF</t>
  </si>
  <si>
    <t>SalesStatus IFS</t>
  </si>
  <si>
    <t>Col. L</t>
  </si>
  <si>
    <t>Col. K</t>
  </si>
  <si>
    <t>2. Calculate Total Sales Where Category is Furniture.</t>
  </si>
  <si>
    <t>SaleStatusIFS2</t>
  </si>
  <si>
    <t>Col. M</t>
  </si>
  <si>
    <t>Electronics Product's Profit</t>
  </si>
  <si>
    <t>Clothing Product's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</si>
</sst>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5" fillId="6" borderId="0" applyNumberFormat="0" applyBorder="0" applyAlignment="0" applyProtection="0"/>
  </cellStyleXfs>
  <cellXfs count="49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1" xfId="0" applyBorder="1"/>
    <xf numFmtId="0" fontId="2" fillId="2" borderId="1" xfId="1" applyFont="1" applyBorder="1" applyAlignment="1">
      <alignment horizontal="center"/>
    </xf>
    <xf numFmtId="1" fontId="0" fillId="0" borderId="1" xfId="0" applyNumberFormat="1" applyBorder="1"/>
    <xf numFmtId="0" fontId="1" fillId="2" borderId="1" xfId="1" applyBorder="1"/>
    <xf numFmtId="0" fontId="3" fillId="0" borderId="1" xfId="0" applyFont="1" applyBorder="1" applyAlignment="1">
      <alignment horizontal="center"/>
    </xf>
    <xf numFmtId="0" fontId="4" fillId="3" borderId="3" xfId="0" applyFont="1" applyFill="1" applyBorder="1"/>
    <xf numFmtId="0" fontId="4" fillId="3" borderId="8" xfId="0" applyFont="1" applyFill="1" applyBorder="1"/>
    <xf numFmtId="14" fontId="4" fillId="3" borderId="3" xfId="0" applyNumberFormat="1" applyFont="1" applyFill="1" applyBorder="1"/>
    <xf numFmtId="1" fontId="4" fillId="3" borderId="3" xfId="0" applyNumberFormat="1" applyFont="1" applyFill="1" applyBorder="1"/>
    <xf numFmtId="1" fontId="4" fillId="3" borderId="4" xfId="0" applyNumberFormat="1" applyFont="1" applyFill="1" applyBorder="1"/>
    <xf numFmtId="0" fontId="0" fillId="4" borderId="7" xfId="0" applyFill="1" applyBorder="1"/>
    <xf numFmtId="14" fontId="0" fillId="4" borderId="5" xfId="0" applyNumberFormat="1" applyFill="1" applyBorder="1"/>
    <xf numFmtId="0" fontId="0" fillId="4" borderId="5" xfId="0" applyFill="1" applyBorder="1"/>
    <xf numFmtId="1" fontId="0" fillId="4" borderId="5" xfId="0" applyNumberFormat="1" applyFill="1" applyBorder="1"/>
    <xf numFmtId="1" fontId="0" fillId="4" borderId="6" xfId="0" applyNumberFormat="1" applyFill="1" applyBorder="1"/>
    <xf numFmtId="0" fontId="0" fillId="5" borderId="7" xfId="0" applyFill="1" applyBorder="1"/>
    <xf numFmtId="14" fontId="0" fillId="5" borderId="5" xfId="0" applyNumberFormat="1" applyFill="1" applyBorder="1"/>
    <xf numFmtId="0" fontId="0" fillId="5" borderId="5" xfId="0" applyFill="1" applyBorder="1"/>
    <xf numFmtId="1" fontId="0" fillId="5" borderId="5" xfId="0" applyNumberFormat="1" applyFill="1" applyBorder="1"/>
    <xf numFmtId="1" fontId="0" fillId="5" borderId="6" xfId="0" applyNumberFormat="1" applyFill="1" applyBorder="1"/>
    <xf numFmtId="0" fontId="0" fillId="5" borderId="10" xfId="0" applyFill="1" applyBorder="1"/>
    <xf numFmtId="14" fontId="0" fillId="5" borderId="9" xfId="0" applyNumberFormat="1" applyFill="1" applyBorder="1"/>
    <xf numFmtId="0" fontId="0" fillId="5" borderId="9" xfId="0" applyFill="1" applyBorder="1"/>
    <xf numFmtId="1" fontId="0" fillId="5" borderId="9" xfId="0" applyNumberFormat="1" applyFill="1" applyBorder="1"/>
    <xf numFmtId="1" fontId="0" fillId="5" borderId="11" xfId="0" applyNumberFormat="1" applyFill="1" applyBorder="1"/>
    <xf numFmtId="0" fontId="2" fillId="2" borderId="1" xfId="1" applyFont="1" applyBorder="1"/>
    <xf numFmtId="0" fontId="0" fillId="5" borderId="14" xfId="0" applyFill="1" applyBorder="1"/>
    <xf numFmtId="0" fontId="0" fillId="5" borderId="0" xfId="0" applyFill="1"/>
    <xf numFmtId="0" fontId="3" fillId="0" borderId="1" xfId="0" applyFont="1" applyBorder="1"/>
    <xf numFmtId="1" fontId="0" fillId="5" borderId="0" xfId="0" applyNumberFormat="1" applyFill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5" fillId="6" borderId="1" xfId="2" applyBorder="1"/>
    <xf numFmtId="0" fontId="5" fillId="6" borderId="1" xfId="2" applyBorder="1" applyAlignment="1">
      <alignment horizontal="center"/>
    </xf>
    <xf numFmtId="0" fontId="5" fillId="6" borderId="2" xfId="2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" xfId="0" applyBorder="1" applyAlignment="1">
      <alignment horizontal="left"/>
    </xf>
    <xf numFmtId="0" fontId="2" fillId="2" borderId="0" xfId="1" applyFont="1" applyAlignment="1">
      <alignment horizontal="center"/>
    </xf>
    <xf numFmtId="0" fontId="1" fillId="2" borderId="1" xfId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3">
    <cellStyle name="Bad" xfId="2" builtinId="27"/>
    <cellStyle name="Good" xfId="1" builtinId="26"/>
    <cellStyle name="Normal" xfId="0" builtinId="0"/>
  </cellStyles>
  <dxfs count="16">
    <dxf>
      <numFmt numFmtId="0" formatCode="General"/>
      <fill>
        <patternFill patternType="solid">
          <fgColor theme="4" tint="0.79998168889431442"/>
          <bgColor theme="4" tint="0.79998168889431442"/>
        </patternFill>
      </fill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64" formatCode="m/d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AE4603F-628A-4421-AAC1-C3C292D0B2F1}" name="Table4" displayName="Table4" ref="A1:M501" totalsRowShown="0" headerRowDxfId="15" dataDxfId="13" headerRowBorderDxfId="14">
  <autoFilter ref="A1:M501" xr:uid="{2AE4603F-628A-4421-AAC1-C3C292D0B2F1}"/>
  <tableColumns count="13">
    <tableColumn id="1" xr3:uid="{71193094-A77A-411C-9E99-48E306DC59DE}" name="Order_ID" dataDxfId="12"/>
    <tableColumn id="2" xr3:uid="{506570E0-BC99-4E6A-89AD-E7B1D29BBA19}" name="Date" dataDxfId="11"/>
    <tableColumn id="3" xr3:uid="{237C910A-A818-4E8D-A9EA-327DA10F6904}" name="City" dataDxfId="10"/>
    <tableColumn id="4" xr3:uid="{AF3E2635-49AE-4F5C-9F83-20B286EF6B51}" name="State" dataDxfId="9"/>
    <tableColumn id="5" xr3:uid="{F992CF11-1E15-46E3-98D8-A434531DF24A}" name="Region" dataDxfId="8"/>
    <tableColumn id="6" xr3:uid="{D7E7863A-1C0A-48A5-97A5-05AAAC0AED44}" name="Category" dataDxfId="7"/>
    <tableColumn id="7" xr3:uid="{DF488D20-BB3E-429C-A1AB-88360CB74741}" name="Product" dataDxfId="6"/>
    <tableColumn id="8" xr3:uid="{D28E50C1-518B-4D96-860B-D83876A7A979}" name="Sales" dataDxfId="5"/>
    <tableColumn id="9" xr3:uid="{D526176D-1F73-40AA-B3C4-AAA9CE1AFAC0}" name="Quantity" dataDxfId="4"/>
    <tableColumn id="10" xr3:uid="{E87CA00B-3F7B-48A0-ADAC-9A9A3CD8374F}" name="Profit" dataDxfId="3"/>
    <tableColumn id="11" xr3:uid="{903D31C8-1455-4738-9170-2E0A31DEC683}" name="SalesStatus IF" dataDxfId="2">
      <calculatedColumnFormula>IF(Table4[[#This Row],[Sales]]&gt;=40000,"BEST SALE","POOR SALE")</calculatedColumnFormula>
    </tableColumn>
    <tableColumn id="12" xr3:uid="{947512EF-75F0-48BD-9C6E-1948015A5ABB}" name="SalesStatus IFS" dataDxfId="1">
      <calculatedColumnFormula array="1">_xlfn.IFS(Table4[[#This Row],[Sales]]&gt;=40000,"Best Sale", Table4[[#This Row],[Sales]]&gt;=20000,"Average Sale",Table4[[#This Row],[Sales]]&gt;0,"Poor Sale")</calculatedColumnFormula>
    </tableColumn>
    <tableColumn id="13" xr3:uid="{FB4C8B80-2FD1-4106-BB81-0E1BD93233B6}" name="SaleStatusIFS2" dataDxfId="0">
      <calculatedColumnFormula array="1">_xlfn.IFS(Table4[[#This Row],[Sales]]&gt;=40000,"Best", Table4[[#This Row],[Sales]]&gt;=35000,"Average",Table4[[#This Row],[Sales]]&gt;0,"Poor")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F966F7D-C512-4595-BC59-4E1AA589B7C2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5asMYDBPFAkRp7MKNEBEd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7ABF2-7B5D-42CA-A96E-A0DF32920A41}">
  <dimension ref="A1:AF502"/>
  <sheetViews>
    <sheetView tabSelected="1" topLeftCell="L17" zoomScale="104" zoomScaleNormal="81" workbookViewId="0">
      <selection activeCell="V40" sqref="V40"/>
    </sheetView>
  </sheetViews>
  <sheetFormatPr defaultRowHeight="14.4" x14ac:dyDescent="0.3"/>
  <cols>
    <col min="1" max="1" width="10.77734375" bestFit="1" customWidth="1"/>
    <col min="2" max="2" width="11" bestFit="1" customWidth="1"/>
    <col min="4" max="4" width="11.44140625" bestFit="1" customWidth="1"/>
    <col min="6" max="6" width="12.33203125" customWidth="1"/>
    <col min="7" max="7" width="9.88671875" bestFit="1" customWidth="1"/>
    <col min="9" max="9" width="10.21875" customWidth="1"/>
    <col min="11" max="11" width="14.5546875" bestFit="1" customWidth="1"/>
    <col min="12" max="12" width="15.6640625" bestFit="1" customWidth="1"/>
    <col min="13" max="13" width="15.44140625" bestFit="1" customWidth="1"/>
    <col min="14" max="14" width="10.77734375" customWidth="1"/>
    <col min="16" max="16" width="11.44140625" bestFit="1" customWidth="1"/>
    <col min="20" max="20" width="10.44140625" bestFit="1" customWidth="1"/>
    <col min="22" max="22" width="9.44140625" bestFit="1" customWidth="1"/>
    <col min="23" max="23" width="19.109375" customWidth="1"/>
    <col min="24" max="24" width="10.33203125" bestFit="1" customWidth="1"/>
    <col min="25" max="25" width="16.88671875" bestFit="1" customWidth="1"/>
    <col min="26" max="26" width="11.5546875" bestFit="1" customWidth="1"/>
    <col min="27" max="27" width="12.33203125" bestFit="1" customWidth="1"/>
    <col min="28" max="28" width="11" bestFit="1" customWidth="1"/>
    <col min="29" max="29" width="10.21875" bestFit="1" customWidth="1"/>
    <col min="31" max="31" width="12.44140625" bestFit="1" customWidth="1"/>
  </cols>
  <sheetData>
    <row r="1" spans="1:26" ht="15" thickBot="1" x14ac:dyDescent="0.35">
      <c r="A1" s="9" t="s">
        <v>0</v>
      </c>
      <c r="B1" s="10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11" t="s">
        <v>7</v>
      </c>
      <c r="I1" s="8" t="s">
        <v>8</v>
      </c>
      <c r="J1" s="12" t="s">
        <v>9</v>
      </c>
      <c r="K1" s="8" t="s">
        <v>87</v>
      </c>
      <c r="L1" s="8" t="s">
        <v>88</v>
      </c>
      <c r="M1" s="8" t="s">
        <v>92</v>
      </c>
    </row>
    <row r="2" spans="1:26" ht="15" thickTop="1" x14ac:dyDescent="0.3">
      <c r="A2" s="13">
        <v>1</v>
      </c>
      <c r="B2" s="14">
        <v>45197</v>
      </c>
      <c r="C2" s="15" t="s">
        <v>10</v>
      </c>
      <c r="D2" s="15" t="s">
        <v>11</v>
      </c>
      <c r="E2" s="15" t="s">
        <v>12</v>
      </c>
      <c r="F2" s="15" t="s">
        <v>13</v>
      </c>
      <c r="G2" s="15" t="s">
        <v>14</v>
      </c>
      <c r="H2" s="16">
        <v>46482.46</v>
      </c>
      <c r="I2" s="15">
        <v>8</v>
      </c>
      <c r="J2" s="17">
        <v>12648.46</v>
      </c>
      <c r="K2" s="29" t="str">
        <f>IF(Table4[[#This Row],[Sales]]&gt;=40000,"BEST SALE","POOR SALE")</f>
        <v>BEST SALE</v>
      </c>
      <c r="L2" s="30" t="str" cm="1">
        <f t="array" ref="L2">_xlfn.IFS(Table4[[#This Row],[Sales]]&gt;=40000,"Best Sale", Table4[[#This Row],[Sales]]&gt;=20000,"Average Sale",Table4[[#This Row],[Sales]]&gt;0,"Poor Sale")</f>
        <v>Best Sale</v>
      </c>
      <c r="M2" s="30" t="str" cm="1">
        <f t="array" ref="M2">_xlfn.IFS(Table4[[#This Row],[Sales]]&gt;=40000,"Best", Table4[[#This Row],[Sales]]&gt;=35000,"Average",Table4[[#This Row],[Sales]]&gt;0,"Poor")</f>
        <v>Best</v>
      </c>
    </row>
    <row r="3" spans="1:26" x14ac:dyDescent="0.3">
      <c r="A3" s="18">
        <v>2</v>
      </c>
      <c r="B3" s="19">
        <v>45274</v>
      </c>
      <c r="C3" s="20" t="s">
        <v>15</v>
      </c>
      <c r="D3" s="20" t="s">
        <v>16</v>
      </c>
      <c r="E3" s="20" t="s">
        <v>17</v>
      </c>
      <c r="F3" s="20" t="s">
        <v>13</v>
      </c>
      <c r="G3" s="20" t="s">
        <v>14</v>
      </c>
      <c r="H3" s="21">
        <v>47951.42</v>
      </c>
      <c r="I3" s="20">
        <v>10</v>
      </c>
      <c r="J3" s="22">
        <v>9869.94</v>
      </c>
      <c r="K3" s="20" t="str">
        <f>IF(Table4[[#This Row],[Sales]]&gt;=40000,"BEST SALE","POOR SALE")</f>
        <v>BEST SALE</v>
      </c>
      <c r="L3" s="30" t="str" cm="1">
        <f t="array" ref="L3">_xlfn.IFS(Table4[[#This Row],[Sales]]&gt;=40000,"Best Sale", Table4[[#This Row],[Sales]]&gt;=20000,"Average Sale",Table4[[#This Row],[Sales]]&gt;0,"Poor Sale")</f>
        <v>Best Sale</v>
      </c>
      <c r="M3" s="32" t="str" cm="1">
        <f t="array" ref="M3">_xlfn.IFS(Table4[[#This Row],[Sales]]&gt;=40000,"Best", Table4[[#This Row],[Sales]]&gt;=35000,"Average",Table4[[#This Row],[Sales]]&gt;0,"Poor")</f>
        <v>Best</v>
      </c>
    </row>
    <row r="4" spans="1:26" x14ac:dyDescent="0.3">
      <c r="A4" s="13">
        <v>3</v>
      </c>
      <c r="B4" s="14">
        <v>45136</v>
      </c>
      <c r="C4" s="15" t="s">
        <v>18</v>
      </c>
      <c r="D4" s="15" t="s">
        <v>19</v>
      </c>
      <c r="E4" s="15" t="s">
        <v>20</v>
      </c>
      <c r="F4" s="15" t="s">
        <v>13</v>
      </c>
      <c r="G4" s="15" t="s">
        <v>21</v>
      </c>
      <c r="H4" s="16">
        <v>24461.75</v>
      </c>
      <c r="I4" s="15">
        <v>3</v>
      </c>
      <c r="J4" s="17">
        <v>7086.73</v>
      </c>
      <c r="K4" s="20" t="str">
        <f>IF(Table4[[#This Row],[Sales]]&gt;=40000,"BEST SALE","POOR SALE")</f>
        <v>POOR SALE</v>
      </c>
      <c r="L4" s="30" t="str" cm="1">
        <f t="array" ref="L4">_xlfn.IFS(Table4[[#This Row],[Sales]]&gt;=40000,"Best Sale", Table4[[#This Row],[Sales]]&gt;=20000,"Average Sale",Table4[[#This Row],[Sales]]&gt;0,"Poor Sale")</f>
        <v>Average Sale</v>
      </c>
      <c r="M4" s="32" t="str" cm="1">
        <f t="array" ref="M4">_xlfn.IFS(Table4[[#This Row],[Sales]]&gt;=40000,"Best", Table4[[#This Row],[Sales]]&gt;=35000,"Average",Table4[[#This Row],[Sales]]&gt;0,"Poor")</f>
        <v>Poor</v>
      </c>
      <c r="P4" s="43" t="s">
        <v>52</v>
      </c>
      <c r="Q4" s="43"/>
      <c r="R4" s="43"/>
      <c r="S4" s="43"/>
      <c r="T4" s="43"/>
      <c r="U4" s="43"/>
    </row>
    <row r="5" spans="1:26" x14ac:dyDescent="0.3">
      <c r="A5" s="18">
        <v>4</v>
      </c>
      <c r="B5" s="19">
        <v>45044</v>
      </c>
      <c r="C5" s="20" t="s">
        <v>22</v>
      </c>
      <c r="D5" s="20" t="s">
        <v>22</v>
      </c>
      <c r="E5" s="20" t="s">
        <v>23</v>
      </c>
      <c r="F5" s="20" t="s">
        <v>24</v>
      </c>
      <c r="G5" s="20" t="s">
        <v>25</v>
      </c>
      <c r="H5" s="21">
        <v>11804.18</v>
      </c>
      <c r="I5" s="20">
        <v>5</v>
      </c>
      <c r="J5" s="22">
        <v>2281.2199999999998</v>
      </c>
      <c r="K5" s="20" t="str">
        <f>IF(Table4[[#This Row],[Sales]]&gt;=40000,"BEST SALE","POOR SALE")</f>
        <v>POOR SALE</v>
      </c>
      <c r="L5" s="30" t="str" cm="1">
        <f t="array" ref="L5">_xlfn.IFS(Table4[[#This Row],[Sales]]&gt;=40000,"Best Sale", Table4[[#This Row],[Sales]]&gt;=20000,"Average Sale",Table4[[#This Row],[Sales]]&gt;0,"Poor Sale")</f>
        <v>Poor Sale</v>
      </c>
      <c r="M5" s="32" t="str" cm="1">
        <f t="array" ref="M5">_xlfn.IFS(Table4[[#This Row],[Sales]]&gt;=40000,"Best", Table4[[#This Row],[Sales]]&gt;=35000,"Average",Table4[[#This Row],[Sales]]&gt;0,"Poor")</f>
        <v>Poor</v>
      </c>
    </row>
    <row r="6" spans="1:26" x14ac:dyDescent="0.3">
      <c r="A6" s="13">
        <v>5</v>
      </c>
      <c r="B6" s="14">
        <v>45175</v>
      </c>
      <c r="C6" s="15" t="s">
        <v>26</v>
      </c>
      <c r="D6" s="15" t="s">
        <v>27</v>
      </c>
      <c r="E6" s="15" t="s">
        <v>12</v>
      </c>
      <c r="F6" s="15" t="s">
        <v>24</v>
      </c>
      <c r="G6" s="15" t="s">
        <v>28</v>
      </c>
      <c r="H6" s="16">
        <v>32428.83</v>
      </c>
      <c r="I6" s="15">
        <v>7</v>
      </c>
      <c r="J6" s="17">
        <v>6931.45</v>
      </c>
      <c r="K6" s="20" t="str">
        <f>IF(Table4[[#This Row],[Sales]]&gt;=40000,"BEST SALE","POOR SALE")</f>
        <v>POOR SALE</v>
      </c>
      <c r="L6" s="30" t="str" cm="1">
        <f t="array" ref="L6">_xlfn.IFS(Table4[[#This Row],[Sales]]&gt;=40000,"Best Sale", Table4[[#This Row],[Sales]]&gt;=20000,"Average Sale",Table4[[#This Row],[Sales]]&gt;0,"Poor Sale")</f>
        <v>Average Sale</v>
      </c>
      <c r="M6" s="32" t="str" cm="1">
        <f t="array" ref="M6">_xlfn.IFS(Table4[[#This Row],[Sales]]&gt;=40000,"Best", Table4[[#This Row],[Sales]]&gt;=35000,"Average",Table4[[#This Row],[Sales]]&gt;0,"Poor")</f>
        <v>Poor</v>
      </c>
      <c r="N6" s="4" t="s">
        <v>40</v>
      </c>
      <c r="P6" s="4" t="s">
        <v>41</v>
      </c>
      <c r="R6" s="4" t="s">
        <v>42</v>
      </c>
      <c r="T6" s="4" t="s">
        <v>43</v>
      </c>
      <c r="V6" s="4" t="s">
        <v>44</v>
      </c>
      <c r="X6" s="4" t="s">
        <v>58</v>
      </c>
    </row>
    <row r="7" spans="1:26" x14ac:dyDescent="0.3">
      <c r="A7" s="18">
        <v>6</v>
      </c>
      <c r="B7" s="19">
        <v>45004</v>
      </c>
      <c r="C7" s="20" t="s">
        <v>18</v>
      </c>
      <c r="D7" s="20" t="s">
        <v>19</v>
      </c>
      <c r="E7" s="20" t="s">
        <v>17</v>
      </c>
      <c r="F7" s="20" t="s">
        <v>24</v>
      </c>
      <c r="G7" s="20" t="s">
        <v>29</v>
      </c>
      <c r="H7" s="21">
        <v>25931.95</v>
      </c>
      <c r="I7" s="20">
        <v>4</v>
      </c>
      <c r="J7" s="22">
        <v>1541.8</v>
      </c>
      <c r="K7" s="20" t="str">
        <f>IF(Table4[[#This Row],[Sales]]&gt;=40000,"BEST SALE","POOR SALE")</f>
        <v>POOR SALE</v>
      </c>
      <c r="L7" s="30" t="str" cm="1">
        <f t="array" ref="L7">_xlfn.IFS(Table4[[#This Row],[Sales]]&gt;=40000,"Best Sale", Table4[[#This Row],[Sales]]&gt;=20000,"Average Sale",Table4[[#This Row],[Sales]]&gt;0,"Poor Sale")</f>
        <v>Average Sale</v>
      </c>
      <c r="M7" s="32" t="str" cm="1">
        <f t="array" ref="M7">_xlfn.IFS(Table4[[#This Row],[Sales]]&gt;=40000,"Best", Table4[[#This Row],[Sales]]&gt;=35000,"Average",Table4[[#This Row],[Sales]]&gt;0,"Poor")</f>
        <v>Poor</v>
      </c>
      <c r="N7" s="3">
        <f>SUMIF(Table4[Region],"South",Table4[Sales])</f>
        <v>5289298.0600000024</v>
      </c>
      <c r="P7" s="5">
        <f>_xlfn.MINIFS(Table4[Sales],Table4[Region],"South")</f>
        <v>1320.69</v>
      </c>
      <c r="R7" s="3">
        <f>_xlfn.MAXIFS(Table4[Sales],Table4[Region],"South")</f>
        <v>555555</v>
      </c>
      <c r="T7" s="3">
        <f>AVERAGEIF(Table4[Region],"South",Table4[Sales])</f>
        <v>30224.560342857156</v>
      </c>
      <c r="V7" s="3">
        <f>COUNTIF(Table4[Product],"MOBILE")</f>
        <v>54</v>
      </c>
      <c r="X7" s="37" t="s">
        <v>90</v>
      </c>
      <c r="Y7" t="s">
        <v>78</v>
      </c>
    </row>
    <row r="8" spans="1:26" x14ac:dyDescent="0.3">
      <c r="A8" s="13">
        <v>7</v>
      </c>
      <c r="B8" s="14">
        <v>45258</v>
      </c>
      <c r="C8" s="15" t="s">
        <v>30</v>
      </c>
      <c r="D8" s="15" t="s">
        <v>16</v>
      </c>
      <c r="E8" s="15" t="s">
        <v>23</v>
      </c>
      <c r="F8" s="15" t="s">
        <v>24</v>
      </c>
      <c r="G8" s="15" t="s">
        <v>25</v>
      </c>
      <c r="H8" s="16">
        <v>15599.35</v>
      </c>
      <c r="I8" s="15">
        <v>4</v>
      </c>
      <c r="J8" s="17">
        <v>2837.29</v>
      </c>
      <c r="K8" s="20" t="str">
        <f>IF(Table4[[#This Row],[Sales]]&gt;=40000,"BEST SALE","POOR SALE")</f>
        <v>POOR SALE</v>
      </c>
      <c r="L8" s="30" t="str" cm="1">
        <f t="array" ref="L8">_xlfn.IFS(Table4[[#This Row],[Sales]]&gt;=40000,"Best Sale", Table4[[#This Row],[Sales]]&gt;=20000,"Average Sale",Table4[[#This Row],[Sales]]&gt;0,"Poor Sale")</f>
        <v>Poor Sale</v>
      </c>
      <c r="M8" s="32" t="str" cm="1">
        <f t="array" ref="M8">_xlfn.IFS(Table4[[#This Row],[Sales]]&gt;=40000,"Best", Table4[[#This Row],[Sales]]&gt;=35000,"Average",Table4[[#This Row],[Sales]]&gt;0,"Poor")</f>
        <v>Poor</v>
      </c>
    </row>
    <row r="9" spans="1:26" x14ac:dyDescent="0.3">
      <c r="A9" s="18">
        <v>8</v>
      </c>
      <c r="B9" s="19">
        <v>45165</v>
      </c>
      <c r="C9" s="20" t="s">
        <v>18</v>
      </c>
      <c r="D9" s="20" t="s">
        <v>19</v>
      </c>
      <c r="E9" s="20" t="s">
        <v>20</v>
      </c>
      <c r="F9" s="20" t="s">
        <v>31</v>
      </c>
      <c r="G9" s="20" t="s">
        <v>32</v>
      </c>
      <c r="H9" s="21">
        <v>31649</v>
      </c>
      <c r="I9" s="20">
        <v>5</v>
      </c>
      <c r="J9" s="22">
        <v>3646.09</v>
      </c>
      <c r="K9" s="20" t="str">
        <f>IF(Table4[[#This Row],[Sales]]&gt;=40000,"BEST SALE","POOR SALE")</f>
        <v>POOR SALE</v>
      </c>
      <c r="L9" s="30" t="str" cm="1">
        <f t="array" ref="L9">_xlfn.IFS(Table4[[#This Row],[Sales]]&gt;=40000,"Best Sale", Table4[[#This Row],[Sales]]&gt;=20000,"Average Sale",Table4[[#This Row],[Sales]]&gt;0,"Poor Sale")</f>
        <v>Average Sale</v>
      </c>
      <c r="M9" s="32" t="str" cm="1">
        <f t="array" ref="M9">_xlfn.IFS(Table4[[#This Row],[Sales]]&gt;=40000,"Best", Table4[[#This Row],[Sales]]&gt;=35000,"Average",Table4[[#This Row],[Sales]]&gt;0,"Poor")</f>
        <v>Poor</v>
      </c>
    </row>
    <row r="10" spans="1:26" x14ac:dyDescent="0.3">
      <c r="A10" s="13">
        <v>9</v>
      </c>
      <c r="B10" s="14">
        <v>45027</v>
      </c>
      <c r="C10" s="15" t="s">
        <v>15</v>
      </c>
      <c r="D10" s="15" t="s">
        <v>16</v>
      </c>
      <c r="E10" s="15" t="s">
        <v>12</v>
      </c>
      <c r="F10" s="15" t="s">
        <v>24</v>
      </c>
      <c r="G10" s="15" t="s">
        <v>29</v>
      </c>
      <c r="H10" s="16">
        <v>555555</v>
      </c>
      <c r="I10" s="15">
        <v>7</v>
      </c>
      <c r="J10" s="17">
        <v>2025</v>
      </c>
      <c r="K10" s="20" t="str">
        <f>IF(Table4[[#This Row],[Sales]]&gt;=40000,"BEST SALE","POOR SALE")</f>
        <v>BEST SALE</v>
      </c>
      <c r="L10" s="30" t="str" cm="1">
        <f t="array" ref="L10">_xlfn.IFS(Table4[[#This Row],[Sales]]&gt;=40000,"Best Sale", Table4[[#This Row],[Sales]]&gt;=20000,"Average Sale",Table4[[#This Row],[Sales]]&gt;0,"Poor Sale")</f>
        <v>Best Sale</v>
      </c>
      <c r="M10" s="32" t="str" cm="1">
        <f t="array" ref="M10">_xlfn.IFS(Table4[[#This Row],[Sales]]&gt;=40000,"Best", Table4[[#This Row],[Sales]]&gt;=35000,"Average",Table4[[#This Row],[Sales]]&gt;0,"Poor")</f>
        <v>Best</v>
      </c>
    </row>
    <row r="11" spans="1:26" x14ac:dyDescent="0.3">
      <c r="A11" s="18">
        <v>10</v>
      </c>
      <c r="B11" s="19">
        <v>45097</v>
      </c>
      <c r="C11" s="20" t="s">
        <v>30</v>
      </c>
      <c r="D11" s="20" t="s">
        <v>16</v>
      </c>
      <c r="E11" s="20" t="s">
        <v>17</v>
      </c>
      <c r="F11" s="20" t="s">
        <v>31</v>
      </c>
      <c r="G11" s="20" t="s">
        <v>33</v>
      </c>
      <c r="H11" s="21">
        <v>31852.71</v>
      </c>
      <c r="I11" s="20">
        <v>5</v>
      </c>
      <c r="J11" s="22">
        <v>9113.66</v>
      </c>
      <c r="K11" s="20" t="str">
        <f>IF(Table4[[#This Row],[Sales]]&gt;=40000,"BEST SALE","POOR SALE")</f>
        <v>POOR SALE</v>
      </c>
      <c r="L11" s="30" t="str" cm="1">
        <f t="array" ref="L11">_xlfn.IFS(Table4[[#This Row],[Sales]]&gt;=40000,"Best Sale", Table4[[#This Row],[Sales]]&gt;=20000,"Average Sale",Table4[[#This Row],[Sales]]&gt;0,"Poor Sale")</f>
        <v>Average Sale</v>
      </c>
      <c r="M11" s="32" t="str" cm="1">
        <f t="array" ref="M11">_xlfn.IFS(Table4[[#This Row],[Sales]]&gt;=40000,"Best", Table4[[#This Row],[Sales]]&gt;=35000,"Average",Table4[[#This Row],[Sales]]&gt;0,"Poor")</f>
        <v>Poor</v>
      </c>
      <c r="N11" s="44" t="s">
        <v>45</v>
      </c>
      <c r="O11" s="44"/>
      <c r="P11" s="44"/>
      <c r="Q11" s="44"/>
      <c r="R11" s="44"/>
      <c r="S11" s="44"/>
      <c r="T11" s="3">
        <f>COUNTIF(Table4[City],"SURAT")</f>
        <v>58</v>
      </c>
      <c r="W11" s="42" t="s">
        <v>75</v>
      </c>
      <c r="X11" s="42"/>
      <c r="Y11" s="42"/>
      <c r="Z11" s="42"/>
    </row>
    <row r="12" spans="1:26" x14ac:dyDescent="0.3">
      <c r="A12" s="13">
        <v>11</v>
      </c>
      <c r="B12" s="14">
        <v>45272</v>
      </c>
      <c r="C12" s="15" t="s">
        <v>22</v>
      </c>
      <c r="D12" s="15" t="s">
        <v>22</v>
      </c>
      <c r="E12" s="15" t="s">
        <v>23</v>
      </c>
      <c r="F12" s="15" t="s">
        <v>31</v>
      </c>
      <c r="G12" s="15" t="s">
        <v>32</v>
      </c>
      <c r="H12" s="16">
        <v>46127.15</v>
      </c>
      <c r="I12" s="15">
        <v>7</v>
      </c>
      <c r="J12" s="17">
        <v>12556.39</v>
      </c>
      <c r="K12" s="20" t="str">
        <f>IF(Table4[[#This Row],[Sales]]&gt;=40000,"BEST SALE","POOR SALE")</f>
        <v>BEST SALE</v>
      </c>
      <c r="L12" s="30" t="str" cm="1">
        <f t="array" ref="L12">_xlfn.IFS(Table4[[#This Row],[Sales]]&gt;=40000,"Best Sale", Table4[[#This Row],[Sales]]&gt;=20000,"Average Sale",Table4[[#This Row],[Sales]]&gt;0,"Poor Sale")</f>
        <v>Best Sale</v>
      </c>
      <c r="M12" s="32" t="str" cm="1">
        <f t="array" ref="M12">_xlfn.IFS(Table4[[#This Row],[Sales]]&gt;=40000,"Best", Table4[[#This Row],[Sales]]&gt;=35000,"Average",Table4[[#This Row],[Sales]]&gt;0,"Poor")</f>
        <v>Best</v>
      </c>
      <c r="N12" s="44" t="s">
        <v>91</v>
      </c>
      <c r="O12" s="44"/>
      <c r="P12" s="44"/>
      <c r="Q12" s="44"/>
      <c r="R12" s="44"/>
      <c r="S12" s="44"/>
      <c r="T12" s="3">
        <f>SUMIF(Table4[Category],"Furniture",Table4[Sales])</f>
        <v>4902639.8900000025</v>
      </c>
      <c r="W12" s="42" t="s">
        <v>76</v>
      </c>
      <c r="X12" s="42"/>
      <c r="Y12" s="42"/>
      <c r="Z12" s="42"/>
    </row>
    <row r="13" spans="1:26" x14ac:dyDescent="0.3">
      <c r="A13" s="18">
        <v>12</v>
      </c>
      <c r="B13" s="19">
        <v>45123</v>
      </c>
      <c r="C13" s="20" t="s">
        <v>18</v>
      </c>
      <c r="D13" s="20" t="s">
        <v>19</v>
      </c>
      <c r="E13" s="20" t="s">
        <v>20</v>
      </c>
      <c r="F13" s="20" t="s">
        <v>13</v>
      </c>
      <c r="G13" s="20" t="s">
        <v>34</v>
      </c>
      <c r="H13" s="21">
        <v>16045.71</v>
      </c>
      <c r="I13" s="20">
        <v>10</v>
      </c>
      <c r="J13" s="22">
        <v>921.15</v>
      </c>
      <c r="K13" s="20" t="str">
        <f>IF(Table4[[#This Row],[Sales]]&gt;=40000,"BEST SALE","POOR SALE")</f>
        <v>POOR SALE</v>
      </c>
      <c r="L13" s="30" t="str" cm="1">
        <f t="array" ref="L13">_xlfn.IFS(Table4[[#This Row],[Sales]]&gt;=40000,"Best Sale", Table4[[#This Row],[Sales]]&gt;=20000,"Average Sale",Table4[[#This Row],[Sales]]&gt;0,"Poor Sale")</f>
        <v>Poor Sale</v>
      </c>
      <c r="M13" s="32" t="str" cm="1">
        <f t="array" ref="M13">_xlfn.IFS(Table4[[#This Row],[Sales]]&gt;=40000,"Best", Table4[[#This Row],[Sales]]&gt;=35000,"Average",Table4[[#This Row],[Sales]]&gt;0,"Poor")</f>
        <v>Poor</v>
      </c>
      <c r="N13" s="44" t="s">
        <v>46</v>
      </c>
      <c r="O13" s="44"/>
      <c r="P13" s="44"/>
      <c r="Q13" s="44"/>
      <c r="R13" s="44"/>
      <c r="S13" s="44"/>
      <c r="T13" s="3">
        <f>SUMIF(Table4[Region],"west",Table4[Quantity])</f>
        <v>83</v>
      </c>
      <c r="W13" s="42" t="s">
        <v>77</v>
      </c>
      <c r="X13" s="42"/>
      <c r="Y13" s="42"/>
      <c r="Z13" s="42"/>
    </row>
    <row r="14" spans="1:26" x14ac:dyDescent="0.3">
      <c r="A14" s="13">
        <v>13</v>
      </c>
      <c r="B14" s="14">
        <v>45004</v>
      </c>
      <c r="C14" s="15" t="s">
        <v>35</v>
      </c>
      <c r="D14" s="15" t="s">
        <v>36</v>
      </c>
      <c r="E14" s="15" t="s">
        <v>20</v>
      </c>
      <c r="F14" s="15" t="s">
        <v>31</v>
      </c>
      <c r="G14" s="15" t="s">
        <v>32</v>
      </c>
      <c r="H14" s="16">
        <v>17293.28</v>
      </c>
      <c r="I14" s="15">
        <v>3</v>
      </c>
      <c r="J14" s="17">
        <v>3755.05</v>
      </c>
      <c r="K14" s="20" t="str">
        <f>IF(Table4[[#This Row],[Sales]]&gt;=40000,"BEST SALE","POOR SALE")</f>
        <v>POOR SALE</v>
      </c>
      <c r="L14" s="30" t="str" cm="1">
        <f t="array" ref="L14">_xlfn.IFS(Table4[[#This Row],[Sales]]&gt;=40000,"Best Sale", Table4[[#This Row],[Sales]]&gt;=20000,"Average Sale",Table4[[#This Row],[Sales]]&gt;0,"Poor Sale")</f>
        <v>Poor Sale</v>
      </c>
      <c r="M14" s="32" t="str" cm="1">
        <f t="array" ref="M14">_xlfn.IFS(Table4[[#This Row],[Sales]]&gt;=40000,"Best", Table4[[#This Row],[Sales]]&gt;=35000,"Average",Table4[[#This Row],[Sales]]&gt;0,"Poor")</f>
        <v>Poor</v>
      </c>
      <c r="N14" s="44" t="s">
        <v>47</v>
      </c>
      <c r="O14" s="44"/>
      <c r="P14" s="44"/>
      <c r="Q14" s="44"/>
      <c r="R14" s="44"/>
      <c r="S14" s="44"/>
      <c r="T14" s="3">
        <f>AVERAGEIF(Table4[City],"Pune",Table4[Profit])</f>
        <v>5199.8313559322023</v>
      </c>
    </row>
    <row r="15" spans="1:26" x14ac:dyDescent="0.3">
      <c r="A15" s="18">
        <v>14</v>
      </c>
      <c r="B15" s="19">
        <v>45278</v>
      </c>
      <c r="C15" s="20" t="s">
        <v>37</v>
      </c>
      <c r="D15" s="20" t="s">
        <v>27</v>
      </c>
      <c r="E15" s="20" t="s">
        <v>12</v>
      </c>
      <c r="F15" s="20" t="s">
        <v>13</v>
      </c>
      <c r="G15" s="20" t="s">
        <v>34</v>
      </c>
      <c r="H15" s="21">
        <v>34137.550000000003</v>
      </c>
      <c r="I15" s="20">
        <v>4</v>
      </c>
      <c r="J15" s="22">
        <v>1912.63</v>
      </c>
      <c r="K15" s="20" t="str">
        <f>IF(Table4[[#This Row],[Sales]]&gt;=40000,"BEST SALE","POOR SALE")</f>
        <v>POOR SALE</v>
      </c>
      <c r="L15" s="30" t="str" cm="1">
        <f t="array" ref="L15">_xlfn.IFS(Table4[[#This Row],[Sales]]&gt;=40000,"Best Sale", Table4[[#This Row],[Sales]]&gt;=20000,"Average Sale",Table4[[#This Row],[Sales]]&gt;0,"Poor Sale")</f>
        <v>Average Sale</v>
      </c>
      <c r="M15" s="32" t="str" cm="1">
        <f t="array" ref="M15">_xlfn.IFS(Table4[[#This Row],[Sales]]&gt;=40000,"Best", Table4[[#This Row],[Sales]]&gt;=35000,"Average",Table4[[#This Row],[Sales]]&gt;0,"Poor")</f>
        <v>Poor</v>
      </c>
      <c r="N15" s="44" t="s">
        <v>48</v>
      </c>
      <c r="O15" s="44"/>
      <c r="P15" s="44"/>
      <c r="Q15" s="44"/>
      <c r="R15" s="44"/>
      <c r="S15" s="44"/>
      <c r="T15" s="3">
        <f>AVERAGEIF(Table4[Region],"North",Table4[Quantity])</f>
        <v>5.2534246575342465</v>
      </c>
      <c r="W15" t="s">
        <v>80</v>
      </c>
    </row>
    <row r="16" spans="1:26" x14ac:dyDescent="0.3">
      <c r="A16" s="13">
        <v>15</v>
      </c>
      <c r="B16" s="14">
        <v>44966</v>
      </c>
      <c r="C16" s="15" t="s">
        <v>38</v>
      </c>
      <c r="D16" s="15" t="s">
        <v>27</v>
      </c>
      <c r="E16" s="15" t="s">
        <v>17</v>
      </c>
      <c r="F16" s="15" t="s">
        <v>24</v>
      </c>
      <c r="G16" s="15" t="s">
        <v>29</v>
      </c>
      <c r="H16" s="16">
        <v>37166.230000000003</v>
      </c>
      <c r="I16" s="15">
        <v>9</v>
      </c>
      <c r="J16" s="17">
        <v>4660.25</v>
      </c>
      <c r="K16" s="20" t="str">
        <f>IF(Table4[[#This Row],[Sales]]&gt;=40000,"BEST SALE","POOR SALE")</f>
        <v>POOR SALE</v>
      </c>
      <c r="L16" s="30" t="str" cm="1">
        <f t="array" ref="L16">_xlfn.IFS(Table4[[#This Row],[Sales]]&gt;=40000,"Best Sale", Table4[[#This Row],[Sales]]&gt;=20000,"Average Sale",Table4[[#This Row],[Sales]]&gt;0,"Poor Sale")</f>
        <v>Average Sale</v>
      </c>
      <c r="M16" s="32" t="str" cm="1">
        <f t="array" ref="M16">_xlfn.IFS(Table4[[#This Row],[Sales]]&gt;=40000,"Best", Table4[[#This Row],[Sales]]&gt;=35000,"Average",Table4[[#This Row],[Sales]]&gt;0,"Poor")</f>
        <v>Average</v>
      </c>
      <c r="N16" s="44" t="s">
        <v>51</v>
      </c>
      <c r="O16" s="44"/>
      <c r="P16" s="44"/>
      <c r="Q16" s="44"/>
      <c r="R16" s="44"/>
      <c r="S16" s="44"/>
      <c r="T16" s="3">
        <f>_xlfn.MAXIFS(Table4[Profit],Table4[State],"Gujarat")</f>
        <v>13586.56</v>
      </c>
      <c r="W16" s="6" t="s">
        <v>58</v>
      </c>
      <c r="X16" s="46" t="s">
        <v>81</v>
      </c>
      <c r="Y16" s="47"/>
      <c r="Z16" s="48"/>
    </row>
    <row r="17" spans="1:32" x14ac:dyDescent="0.3">
      <c r="A17" s="18">
        <v>16</v>
      </c>
      <c r="B17" s="19">
        <v>45001</v>
      </c>
      <c r="C17" s="20" t="s">
        <v>38</v>
      </c>
      <c r="D17" s="20" t="s">
        <v>27</v>
      </c>
      <c r="E17" s="20" t="s">
        <v>17</v>
      </c>
      <c r="F17" s="20" t="s">
        <v>13</v>
      </c>
      <c r="G17" s="20" t="s">
        <v>21</v>
      </c>
      <c r="H17" s="21">
        <v>7067.15</v>
      </c>
      <c r="I17" s="20">
        <v>10</v>
      </c>
      <c r="J17" s="22">
        <v>959.24</v>
      </c>
      <c r="K17" s="20" t="str">
        <f>IF(Table4[[#This Row],[Sales]]&gt;=40000,"BEST SALE","POOR SALE")</f>
        <v>POOR SALE</v>
      </c>
      <c r="L17" s="30" t="str" cm="1">
        <f t="array" ref="L17">_xlfn.IFS(Table4[[#This Row],[Sales]]&gt;=40000,"Best Sale", Table4[[#This Row],[Sales]]&gt;=20000,"Average Sale",Table4[[#This Row],[Sales]]&gt;0,"Poor Sale")</f>
        <v>Poor Sale</v>
      </c>
      <c r="M17" s="32" t="str" cm="1">
        <f t="array" ref="M17">_xlfn.IFS(Table4[[#This Row],[Sales]]&gt;=40000,"Best", Table4[[#This Row],[Sales]]&gt;=35000,"Average",Table4[[#This Row],[Sales]]&gt;0,"Poor")</f>
        <v>Poor</v>
      </c>
      <c r="N17" s="44" t="s">
        <v>49</v>
      </c>
      <c r="O17" s="44"/>
      <c r="P17" s="44"/>
      <c r="Q17" s="44"/>
      <c r="R17" s="44"/>
      <c r="S17" s="44"/>
      <c r="T17" s="3">
        <f>AVERAGEIF(Table4[Product],"Laptop",Table4[Profit])</f>
        <v>4660.5817460317476</v>
      </c>
      <c r="W17" s="6" t="s">
        <v>59</v>
      </c>
      <c r="X17" s="45" t="s">
        <v>82</v>
      </c>
      <c r="Y17" s="45"/>
      <c r="Z17" s="45"/>
    </row>
    <row r="18" spans="1:32" x14ac:dyDescent="0.3">
      <c r="A18" s="13">
        <v>17</v>
      </c>
      <c r="B18" s="14">
        <v>45119</v>
      </c>
      <c r="C18" s="15" t="s">
        <v>15</v>
      </c>
      <c r="D18" s="15" t="s">
        <v>16</v>
      </c>
      <c r="E18" s="15" t="s">
        <v>17</v>
      </c>
      <c r="F18" s="15" t="s">
        <v>31</v>
      </c>
      <c r="G18" s="15" t="s">
        <v>33</v>
      </c>
      <c r="H18" s="16">
        <v>28440.25</v>
      </c>
      <c r="I18" s="15">
        <v>7</v>
      </c>
      <c r="J18" s="17">
        <v>8317.2999999999993</v>
      </c>
      <c r="K18" s="20" t="str">
        <f>IF(Table4[[#This Row],[Sales]]&gt;=40000,"BEST SALE","POOR SALE")</f>
        <v>POOR SALE</v>
      </c>
      <c r="L18" s="30" t="str" cm="1">
        <f t="array" ref="L18">_xlfn.IFS(Table4[[#This Row],[Sales]]&gt;=40000,"Best Sale", Table4[[#This Row],[Sales]]&gt;=20000,"Average Sale",Table4[[#This Row],[Sales]]&gt;0,"Poor Sale")</f>
        <v>Average Sale</v>
      </c>
      <c r="M18" s="32" t="str" cm="1">
        <f t="array" ref="M18">_xlfn.IFS(Table4[[#This Row],[Sales]]&gt;=40000,"Best", Table4[[#This Row],[Sales]]&gt;=35000,"Average",Table4[[#This Row],[Sales]]&gt;0,"Poor")</f>
        <v>Poor</v>
      </c>
      <c r="N18" s="44" t="s">
        <v>50</v>
      </c>
      <c r="O18" s="44"/>
      <c r="P18" s="44"/>
      <c r="Q18" s="44"/>
      <c r="R18" s="44"/>
      <c r="S18" s="44"/>
      <c r="T18" s="5">
        <f>_xlfn.MINIFS(Table4[Sales],Table4[Region],"East")</f>
        <v>1072.04</v>
      </c>
    </row>
    <row r="19" spans="1:32" x14ac:dyDescent="0.3">
      <c r="A19" s="18">
        <v>18</v>
      </c>
      <c r="B19" s="19">
        <v>45259</v>
      </c>
      <c r="C19" s="20" t="s">
        <v>22</v>
      </c>
      <c r="D19" s="20" t="s">
        <v>22</v>
      </c>
      <c r="E19" s="20" t="s">
        <v>17</v>
      </c>
      <c r="F19" s="20" t="s">
        <v>13</v>
      </c>
      <c r="G19" s="20" t="s">
        <v>34</v>
      </c>
      <c r="H19" s="21">
        <v>4336.55</v>
      </c>
      <c r="I19" s="20">
        <v>10</v>
      </c>
      <c r="J19" s="22">
        <v>883.82</v>
      </c>
      <c r="K19" s="20" t="str">
        <f>IF(Table4[[#This Row],[Sales]]&gt;=40000,"BEST SALE","POOR SALE")</f>
        <v>POOR SALE</v>
      </c>
      <c r="L19" s="30" t="str" cm="1">
        <f t="array" ref="L19">_xlfn.IFS(Table4[[#This Row],[Sales]]&gt;=40000,"Best Sale", Table4[[#This Row],[Sales]]&gt;=20000,"Average Sale",Table4[[#This Row],[Sales]]&gt;0,"Poor Sale")</f>
        <v>Poor Sale</v>
      </c>
      <c r="M19" s="32" t="str" cm="1">
        <f t="array" ref="M19">_xlfn.IFS(Table4[[#This Row],[Sales]]&gt;=40000,"Best", Table4[[#This Row],[Sales]]&gt;=35000,"Average",Table4[[#This Row],[Sales]]&gt;0,"Poor")</f>
        <v>Poor</v>
      </c>
    </row>
    <row r="20" spans="1:32" x14ac:dyDescent="0.3">
      <c r="A20" s="13">
        <v>19</v>
      </c>
      <c r="B20" s="14">
        <v>45282</v>
      </c>
      <c r="C20" s="15" t="s">
        <v>22</v>
      </c>
      <c r="D20" s="15" t="s">
        <v>22</v>
      </c>
      <c r="E20" s="15" t="s">
        <v>17</v>
      </c>
      <c r="F20" s="15" t="s">
        <v>13</v>
      </c>
      <c r="G20" s="15" t="s">
        <v>14</v>
      </c>
      <c r="H20" s="16">
        <v>1239.49</v>
      </c>
      <c r="I20" s="15">
        <v>4</v>
      </c>
      <c r="J20" s="17">
        <v>278.37</v>
      </c>
      <c r="K20" s="20" t="str">
        <f>IF(Table4[[#This Row],[Sales]]&gt;=40000,"BEST SALE","POOR SALE")</f>
        <v>POOR SALE</v>
      </c>
      <c r="L20" s="30" t="str" cm="1">
        <f t="array" ref="L20">_xlfn.IFS(Table4[[#This Row],[Sales]]&gt;=40000,"Best Sale", Table4[[#This Row],[Sales]]&gt;=20000,"Average Sale",Table4[[#This Row],[Sales]]&gt;0,"Poor Sale")</f>
        <v>Poor Sale</v>
      </c>
      <c r="M20" s="32" t="str" cm="1">
        <f t="array" ref="M20">_xlfn.IFS(Table4[[#This Row],[Sales]]&gt;=40000,"Best", Table4[[#This Row],[Sales]]&gt;=35000,"Average",Table4[[#This Row],[Sales]]&gt;0,"Poor")</f>
        <v>Poor</v>
      </c>
    </row>
    <row r="21" spans="1:32" x14ac:dyDescent="0.3">
      <c r="A21" s="18">
        <v>20</v>
      </c>
      <c r="B21" s="19">
        <v>45003</v>
      </c>
      <c r="C21" s="20" t="s">
        <v>26</v>
      </c>
      <c r="D21" s="20" t="s">
        <v>27</v>
      </c>
      <c r="E21" s="20" t="s">
        <v>17</v>
      </c>
      <c r="F21" s="20" t="s">
        <v>24</v>
      </c>
      <c r="G21" s="20" t="s">
        <v>25</v>
      </c>
      <c r="H21" s="21">
        <v>12013.15</v>
      </c>
      <c r="I21" s="20">
        <v>7</v>
      </c>
      <c r="J21" s="22">
        <v>968.92</v>
      </c>
      <c r="K21" s="20" t="str">
        <f>IF(Table4[[#This Row],[Sales]]&gt;=40000,"BEST SALE","POOR SALE")</f>
        <v>POOR SALE</v>
      </c>
      <c r="L21" s="30" t="str" cm="1">
        <f t="array" ref="L21">_xlfn.IFS(Table4[[#This Row],[Sales]]&gt;=40000,"Best Sale", Table4[[#This Row],[Sales]]&gt;=20000,"Average Sale",Table4[[#This Row],[Sales]]&gt;0,"Poor Sale")</f>
        <v>Poor Sale</v>
      </c>
      <c r="M21" s="32" t="str" cm="1">
        <f t="array" ref="M21">_xlfn.IFS(Table4[[#This Row],[Sales]]&gt;=40000,"Best", Table4[[#This Row],[Sales]]&gt;=35000,"Average",Table4[[#This Row],[Sales]]&gt;0,"Poor")</f>
        <v>Poor</v>
      </c>
      <c r="P21" s="43" t="s">
        <v>57</v>
      </c>
      <c r="Q21" s="43"/>
      <c r="R21" s="43"/>
      <c r="S21" s="43"/>
      <c r="T21" s="43"/>
      <c r="U21" s="43"/>
    </row>
    <row r="22" spans="1:32" x14ac:dyDescent="0.3">
      <c r="A22" s="13">
        <v>21</v>
      </c>
      <c r="B22" s="14">
        <v>44972</v>
      </c>
      <c r="C22" s="15" t="s">
        <v>10</v>
      </c>
      <c r="D22" s="15" t="s">
        <v>11</v>
      </c>
      <c r="E22" s="15" t="s">
        <v>17</v>
      </c>
      <c r="F22" s="15" t="s">
        <v>31</v>
      </c>
      <c r="G22" s="15" t="s">
        <v>39</v>
      </c>
      <c r="H22" s="16">
        <v>43252.06</v>
      </c>
      <c r="I22" s="15">
        <v>10</v>
      </c>
      <c r="J22" s="17">
        <v>8949.06</v>
      </c>
      <c r="K22" s="20" t="str">
        <f>IF(Table4[[#This Row],[Sales]]&gt;=40000,"BEST SALE","POOR SALE")</f>
        <v>BEST SALE</v>
      </c>
      <c r="L22" s="30" t="str" cm="1">
        <f t="array" ref="L22">_xlfn.IFS(Table4[[#This Row],[Sales]]&gt;=40000,"Best Sale", Table4[[#This Row],[Sales]]&gt;=20000,"Average Sale",Table4[[#This Row],[Sales]]&gt;0,"Poor Sale")</f>
        <v>Best Sale</v>
      </c>
      <c r="M22" s="32" t="str" cm="1">
        <f t="array" ref="M22">_xlfn.IFS(Table4[[#This Row],[Sales]]&gt;=40000,"Best", Table4[[#This Row],[Sales]]&gt;=35000,"Average",Table4[[#This Row],[Sales]]&gt;0,"Poor")</f>
        <v>Best</v>
      </c>
      <c r="AA22" s="2"/>
    </row>
    <row r="23" spans="1:32" x14ac:dyDescent="0.3">
      <c r="A23" s="18">
        <v>22</v>
      </c>
      <c r="B23" s="19">
        <v>45175</v>
      </c>
      <c r="C23" s="20" t="s">
        <v>26</v>
      </c>
      <c r="D23" s="20" t="s">
        <v>27</v>
      </c>
      <c r="E23" s="20" t="s">
        <v>17</v>
      </c>
      <c r="F23" s="20" t="s">
        <v>24</v>
      </c>
      <c r="G23" s="20" t="s">
        <v>29</v>
      </c>
      <c r="H23" s="21">
        <v>13136.74</v>
      </c>
      <c r="I23" s="20">
        <v>10</v>
      </c>
      <c r="J23" s="22">
        <v>2907.53</v>
      </c>
      <c r="K23" s="20" t="str">
        <f>IF(Table4[[#This Row],[Sales]]&gt;=40000,"BEST SALE","POOR SALE")</f>
        <v>POOR SALE</v>
      </c>
      <c r="L23" s="30" t="str" cm="1">
        <f t="array" ref="L23">_xlfn.IFS(Table4[[#This Row],[Sales]]&gt;=40000,"Best Sale", Table4[[#This Row],[Sales]]&gt;=20000,"Average Sale",Table4[[#This Row],[Sales]]&gt;0,"Poor Sale")</f>
        <v>Poor Sale</v>
      </c>
      <c r="M23" s="32" t="str" cm="1">
        <f t="array" ref="M23">_xlfn.IFS(Table4[[#This Row],[Sales]]&gt;=40000,"Best", Table4[[#This Row],[Sales]]&gt;=35000,"Average",Table4[[#This Row],[Sales]]&gt;0,"Poor")</f>
        <v>Poor</v>
      </c>
      <c r="N23" s="4" t="s">
        <v>53</v>
      </c>
      <c r="P23" s="4" t="s">
        <v>54</v>
      </c>
      <c r="R23" s="4" t="s">
        <v>55</v>
      </c>
      <c r="T23" s="4" t="s">
        <v>42</v>
      </c>
      <c r="V23" s="4" t="s">
        <v>56</v>
      </c>
      <c r="X23" s="4" t="s">
        <v>59</v>
      </c>
    </row>
    <row r="24" spans="1:32" x14ac:dyDescent="0.3">
      <c r="A24" s="13">
        <v>23</v>
      </c>
      <c r="B24" s="14">
        <v>45260</v>
      </c>
      <c r="C24" s="15" t="s">
        <v>26</v>
      </c>
      <c r="D24" s="15" t="s">
        <v>27</v>
      </c>
      <c r="E24" s="15" t="s">
        <v>20</v>
      </c>
      <c r="F24" s="15" t="s">
        <v>31</v>
      </c>
      <c r="G24" s="15" t="s">
        <v>39</v>
      </c>
      <c r="H24" s="16">
        <v>35956.54</v>
      </c>
      <c r="I24" s="15">
        <v>1</v>
      </c>
      <c r="J24" s="17">
        <v>6308.41</v>
      </c>
      <c r="K24" s="20" t="str">
        <f>IF(Table4[[#This Row],[Sales]]&gt;=40000,"BEST SALE","POOR SALE")</f>
        <v>POOR SALE</v>
      </c>
      <c r="L24" s="30" t="str" cm="1">
        <f t="array" ref="L24">_xlfn.IFS(Table4[[#This Row],[Sales]]&gt;=40000,"Best Sale", Table4[[#This Row],[Sales]]&gt;=20000,"Average Sale",Table4[[#This Row],[Sales]]&gt;0,"Poor Sale")</f>
        <v>Average Sale</v>
      </c>
      <c r="M24" s="32" t="str" cm="1">
        <f t="array" ref="M24">_xlfn.IFS(Table4[[#This Row],[Sales]]&gt;=40000,"Best", Table4[[#This Row],[Sales]]&gt;=35000,"Average",Table4[[#This Row],[Sales]]&gt;0,"Poor")</f>
        <v>Average</v>
      </c>
      <c r="N24" s="7">
        <f>SUMIFS(Table4[Sales],Table4[Category],"Electronics",Table4[Product],"Laptop")</f>
        <v>1645664.5499999996</v>
      </c>
      <c r="P24" s="7">
        <f>AVERAGEIFS(Table4[Profit],Table4[Category],"Clothing",Table4[Product],"Jeans")</f>
        <v>5490.6195454545459</v>
      </c>
      <c r="R24" s="7">
        <f>_xlfn.MINIFS(Table4[Sales],Table4[Category],"Electronics",Table4[Product],"Laptop")</f>
        <v>1166.95</v>
      </c>
      <c r="T24" s="7">
        <f>_xlfn.MAXIFS(Table4[Sales],Table4[Category],"Electronics",Table4[Product],"Laptop")</f>
        <v>49796.639999999999</v>
      </c>
      <c r="V24" s="7">
        <f>COUNTIFS(Table4[Category],"Electronics",Table4[Product],"Tablet")</f>
        <v>55</v>
      </c>
      <c r="X24" s="38" t="s">
        <v>89</v>
      </c>
      <c r="Y24" t="s">
        <v>79</v>
      </c>
    </row>
    <row r="25" spans="1:32" x14ac:dyDescent="0.3">
      <c r="A25" s="18">
        <v>24</v>
      </c>
      <c r="B25" s="19">
        <v>45103</v>
      </c>
      <c r="C25" s="20" t="s">
        <v>18</v>
      </c>
      <c r="D25" s="20" t="s">
        <v>19</v>
      </c>
      <c r="E25" s="20" t="s">
        <v>20</v>
      </c>
      <c r="F25" s="20" t="s">
        <v>31</v>
      </c>
      <c r="G25" s="20" t="s">
        <v>33</v>
      </c>
      <c r="H25" s="21">
        <v>36894.9</v>
      </c>
      <c r="I25" s="20">
        <v>5</v>
      </c>
      <c r="J25" s="22">
        <v>10265.879999999999</v>
      </c>
      <c r="K25" s="20" t="str">
        <f>IF(Table4[[#This Row],[Sales]]&gt;=40000,"BEST SALE","POOR SALE")</f>
        <v>POOR SALE</v>
      </c>
      <c r="L25" s="30" t="str" cm="1">
        <f t="array" ref="L25">_xlfn.IFS(Table4[[#This Row],[Sales]]&gt;=40000,"Best Sale", Table4[[#This Row],[Sales]]&gt;=20000,"Average Sale",Table4[[#This Row],[Sales]]&gt;0,"Poor Sale")</f>
        <v>Average Sale</v>
      </c>
      <c r="M25" s="32" t="str" cm="1">
        <f t="array" ref="M25">_xlfn.IFS(Table4[[#This Row],[Sales]]&gt;=40000,"Best", Table4[[#This Row],[Sales]]&gt;=35000,"Average",Table4[[#This Row],[Sales]]&gt;0,"Poor")</f>
        <v>Average</v>
      </c>
    </row>
    <row r="26" spans="1:32" x14ac:dyDescent="0.3">
      <c r="A26" s="13">
        <v>25</v>
      </c>
      <c r="B26" s="14">
        <v>45176</v>
      </c>
      <c r="C26" s="15" t="s">
        <v>35</v>
      </c>
      <c r="D26" s="15" t="s">
        <v>36</v>
      </c>
      <c r="E26" s="15" t="s">
        <v>12</v>
      </c>
      <c r="F26" s="15" t="s">
        <v>13</v>
      </c>
      <c r="G26" s="15" t="s">
        <v>34</v>
      </c>
      <c r="H26" s="16">
        <v>36393.839999999997</v>
      </c>
      <c r="I26" s="15">
        <v>2</v>
      </c>
      <c r="J26" s="17">
        <v>4029.33</v>
      </c>
      <c r="K26" s="20" t="str">
        <f>IF(Table4[[#This Row],[Sales]]&gt;=40000,"BEST SALE","POOR SALE")</f>
        <v>POOR SALE</v>
      </c>
      <c r="L26" s="30" t="str" cm="1">
        <f t="array" ref="L26">_xlfn.IFS(Table4[[#This Row],[Sales]]&gt;=40000,"Best Sale", Table4[[#This Row],[Sales]]&gt;=20000,"Average Sale",Table4[[#This Row],[Sales]]&gt;0,"Poor Sale")</f>
        <v>Average Sale</v>
      </c>
      <c r="M26" s="32" t="str" cm="1">
        <f t="array" ref="M26">_xlfn.IFS(Table4[[#This Row],[Sales]]&gt;=40000,"Best", Table4[[#This Row],[Sales]]&gt;=35000,"Average",Table4[[#This Row],[Sales]]&gt;0,"Poor")</f>
        <v>Average</v>
      </c>
    </row>
    <row r="27" spans="1:32" x14ac:dyDescent="0.3">
      <c r="A27" s="18">
        <v>26</v>
      </c>
      <c r="B27" s="19">
        <v>45153</v>
      </c>
      <c r="C27" s="20" t="s">
        <v>26</v>
      </c>
      <c r="D27" s="20" t="s">
        <v>27</v>
      </c>
      <c r="E27" s="20" t="s">
        <v>12</v>
      </c>
      <c r="F27" s="20" t="s">
        <v>24</v>
      </c>
      <c r="G27" s="20" t="s">
        <v>29</v>
      </c>
      <c r="H27" s="21">
        <v>18244.080000000002</v>
      </c>
      <c r="I27" s="20">
        <v>10</v>
      </c>
      <c r="J27" s="22">
        <v>1308.29</v>
      </c>
      <c r="K27" s="20" t="str">
        <f>IF(Table4[[#This Row],[Sales]]&gt;=40000,"BEST SALE","POOR SALE")</f>
        <v>POOR SALE</v>
      </c>
      <c r="L27" s="30" t="str" cm="1">
        <f t="array" ref="L27">_xlfn.IFS(Table4[[#This Row],[Sales]]&gt;=40000,"Best Sale", Table4[[#This Row],[Sales]]&gt;=20000,"Average Sale",Table4[[#This Row],[Sales]]&gt;0,"Poor Sale")</f>
        <v>Poor Sale</v>
      </c>
      <c r="M27" s="32" t="str" cm="1">
        <f t="array" ref="M27">_xlfn.IFS(Table4[[#This Row],[Sales]]&gt;=40000,"Best", Table4[[#This Row],[Sales]]&gt;=35000,"Average",Table4[[#This Row],[Sales]]&gt;0,"Poor")</f>
        <v>Poor</v>
      </c>
      <c r="N27" s="44" t="s">
        <v>60</v>
      </c>
      <c r="O27" s="44"/>
      <c r="P27" s="44"/>
      <c r="Q27" s="44"/>
      <c r="R27" s="44"/>
      <c r="S27" s="44"/>
      <c r="T27" s="44"/>
      <c r="U27" s="44"/>
      <c r="V27" s="44"/>
      <c r="W27" s="44"/>
      <c r="X27" s="7">
        <f>SUMIFS(Table4[Sales],Table4[State],"Gujarat",Table4[Region],"South")</f>
        <v>1557137.2400000005</v>
      </c>
      <c r="AE27" s="4" t="s">
        <v>65</v>
      </c>
      <c r="AF27" s="3">
        <f>SUMIF(Table4[Region],"North",Table4[Profit])</f>
        <v>627446.32000000018</v>
      </c>
    </row>
    <row r="28" spans="1:32" x14ac:dyDescent="0.3">
      <c r="A28" s="13">
        <v>27</v>
      </c>
      <c r="B28" s="14">
        <v>45050</v>
      </c>
      <c r="C28" s="15" t="s">
        <v>18</v>
      </c>
      <c r="D28" s="15" t="s">
        <v>19</v>
      </c>
      <c r="E28" s="15" t="s">
        <v>12</v>
      </c>
      <c r="F28" s="15" t="s">
        <v>24</v>
      </c>
      <c r="G28" s="15" t="s">
        <v>25</v>
      </c>
      <c r="H28" s="16">
        <v>39573.279999999999</v>
      </c>
      <c r="I28" s="15">
        <v>7</v>
      </c>
      <c r="J28" s="17">
        <v>6877.16</v>
      </c>
      <c r="K28" s="20" t="str">
        <f>IF(Table4[[#This Row],[Sales]]&gt;=40000,"BEST SALE","POOR SALE")</f>
        <v>POOR SALE</v>
      </c>
      <c r="L28" s="30" t="str" cm="1">
        <f t="array" ref="L28">_xlfn.IFS(Table4[[#This Row],[Sales]]&gt;=40000,"Best Sale", Table4[[#This Row],[Sales]]&gt;=20000,"Average Sale",Table4[[#This Row],[Sales]]&gt;0,"Poor Sale")</f>
        <v>Average Sale</v>
      </c>
      <c r="M28" s="32" t="str" cm="1">
        <f t="array" ref="M28">_xlfn.IFS(Table4[[#This Row],[Sales]]&gt;=40000,"Best", Table4[[#This Row],[Sales]]&gt;=35000,"Average",Table4[[#This Row],[Sales]]&gt;0,"Poor")</f>
        <v>Average</v>
      </c>
      <c r="N28" s="44" t="s">
        <v>61</v>
      </c>
      <c r="O28" s="44"/>
      <c r="P28" s="44"/>
      <c r="Q28" s="44"/>
      <c r="R28" s="44"/>
      <c r="S28" s="44"/>
      <c r="T28" s="44"/>
      <c r="U28" s="44"/>
      <c r="V28" s="44"/>
      <c r="W28" s="44"/>
      <c r="X28" s="7">
        <f>SUMIFS(Table4[Sales],Table4[State],"Gujarat",Table4[Region],"South",Table4[City],"ahmedabad")</f>
        <v>554700.17000000004</v>
      </c>
      <c r="AE28" s="4" t="s">
        <v>66</v>
      </c>
      <c r="AF28" s="3">
        <f>SUMIF(Table4[Region],"South",Table4[Profit])</f>
        <v>881288.17000000027</v>
      </c>
    </row>
    <row r="29" spans="1:32" x14ac:dyDescent="0.3">
      <c r="A29" s="18">
        <v>28</v>
      </c>
      <c r="B29" s="19">
        <v>44968</v>
      </c>
      <c r="C29" s="20" t="s">
        <v>37</v>
      </c>
      <c r="D29" s="20" t="s">
        <v>27</v>
      </c>
      <c r="E29" s="20" t="s">
        <v>12</v>
      </c>
      <c r="F29" s="20" t="s">
        <v>24</v>
      </c>
      <c r="G29" s="20" t="s">
        <v>25</v>
      </c>
      <c r="H29" s="21">
        <v>16112.12</v>
      </c>
      <c r="I29" s="20">
        <v>2</v>
      </c>
      <c r="J29" s="22">
        <v>2614.2399999999998</v>
      </c>
      <c r="K29" s="20" t="str">
        <f>IF(Table4[[#This Row],[Sales]]&gt;=40000,"BEST SALE","POOR SALE")</f>
        <v>POOR SALE</v>
      </c>
      <c r="L29" s="30" t="str" cm="1">
        <f t="array" ref="L29">_xlfn.IFS(Table4[[#This Row],[Sales]]&gt;=40000,"Best Sale", Table4[[#This Row],[Sales]]&gt;=20000,"Average Sale",Table4[[#This Row],[Sales]]&gt;0,"Poor Sale")</f>
        <v>Poor Sale</v>
      </c>
      <c r="M29" s="32" t="str" cm="1">
        <f t="array" ref="M29">_xlfn.IFS(Table4[[#This Row],[Sales]]&gt;=40000,"Best", Table4[[#This Row],[Sales]]&gt;=35000,"Average",Table4[[#This Row],[Sales]]&gt;0,"Poor")</f>
        <v>Poor</v>
      </c>
      <c r="N29" s="44" t="s">
        <v>62</v>
      </c>
      <c r="O29" s="44"/>
      <c r="P29" s="44"/>
      <c r="Q29" s="44"/>
      <c r="R29" s="44"/>
      <c r="S29" s="44"/>
      <c r="T29" s="44"/>
      <c r="U29" s="44"/>
      <c r="V29" s="44"/>
      <c r="W29" s="44"/>
      <c r="X29" s="31">
        <f>SUMIFS(Table4[Quantity],Table4[Region],"North",Table4[State],"Gujarat",Table4[City],"Vadodara",Table4[Product],"Tablet")</f>
        <v>5</v>
      </c>
      <c r="Z29" s="4" t="s">
        <v>65</v>
      </c>
      <c r="AA29" s="4" t="s">
        <v>66</v>
      </c>
      <c r="AB29" s="4" t="s">
        <v>67</v>
      </c>
      <c r="AC29" s="4" t="s">
        <v>68</v>
      </c>
      <c r="AE29" s="4" t="s">
        <v>67</v>
      </c>
      <c r="AF29" s="3">
        <f>SUMIF(Table4[Region],"East",Table4[Profit])</f>
        <v>747590.95000000019</v>
      </c>
    </row>
    <row r="30" spans="1:32" x14ac:dyDescent="0.3">
      <c r="A30" s="13">
        <v>29</v>
      </c>
      <c r="B30" s="14">
        <v>45166</v>
      </c>
      <c r="C30" s="15" t="s">
        <v>18</v>
      </c>
      <c r="D30" s="15" t="s">
        <v>19</v>
      </c>
      <c r="E30" s="15" t="s">
        <v>12</v>
      </c>
      <c r="F30" s="15" t="s">
        <v>13</v>
      </c>
      <c r="G30" s="15" t="s">
        <v>14</v>
      </c>
      <c r="H30" s="16">
        <v>17197.509999999998</v>
      </c>
      <c r="I30" s="15">
        <v>3</v>
      </c>
      <c r="J30" s="17">
        <v>1675.41</v>
      </c>
      <c r="K30" s="20" t="str">
        <f>IF(Table4[[#This Row],[Sales]]&gt;=40000,"BEST SALE","POOR SALE")</f>
        <v>POOR SALE</v>
      </c>
      <c r="L30" s="30" t="str" cm="1">
        <f t="array" ref="L30">_xlfn.IFS(Table4[[#This Row],[Sales]]&gt;=40000,"Best Sale", Table4[[#This Row],[Sales]]&gt;=20000,"Average Sale",Table4[[#This Row],[Sales]]&gt;0,"Poor Sale")</f>
        <v>Poor Sale</v>
      </c>
      <c r="M30" s="32" t="str" cm="1">
        <f t="array" ref="M30">_xlfn.IFS(Table4[[#This Row],[Sales]]&gt;=40000,"Best", Table4[[#This Row],[Sales]]&gt;=35000,"Average",Table4[[#This Row],[Sales]]&gt;0,"Poor")</f>
        <v>Poor</v>
      </c>
      <c r="N30" s="44" t="s">
        <v>63</v>
      </c>
      <c r="O30" s="44"/>
      <c r="P30" s="44"/>
      <c r="Q30" s="44"/>
      <c r="R30" s="44"/>
      <c r="S30" s="44"/>
      <c r="T30" s="44"/>
      <c r="U30" s="44"/>
      <c r="V30" s="44"/>
      <c r="W30" s="44"/>
      <c r="X30" s="7">
        <f>MAX(Z30:AC30)</f>
        <v>881288.17000000027</v>
      </c>
      <c r="Y30" t="str">
        <f>VLOOKUP(MAX(AF27:AF30),CHOOSE({1,2},AF27:AF30,AE27:AE30),2,FALSE)</f>
        <v>SOUTH</v>
      </c>
      <c r="Z30" s="3">
        <f>SUMIF(Table4[Region],"North",Table4[Profit])</f>
        <v>627446.32000000018</v>
      </c>
      <c r="AA30" s="3">
        <f>SUMIF(Table4[Region],"South",Table4[Profit])</f>
        <v>881288.17000000027</v>
      </c>
      <c r="AB30" s="3">
        <f>SUMIF(Table4[Region],"East",Table4[Profit])</f>
        <v>747590.95000000019</v>
      </c>
      <c r="AC30" s="3">
        <f>SUMIF(Table4[Region],"West",Table4[Profit])</f>
        <v>86233.62999999999</v>
      </c>
      <c r="AE30" s="4" t="s">
        <v>68</v>
      </c>
      <c r="AF30" s="3">
        <f>SUMIF(Table4[Region],"West",Table4[Profit])</f>
        <v>86233.62999999999</v>
      </c>
    </row>
    <row r="31" spans="1:32" x14ac:dyDescent="0.3">
      <c r="A31" s="18">
        <v>30</v>
      </c>
      <c r="B31" s="19">
        <v>44995</v>
      </c>
      <c r="C31" s="20" t="s">
        <v>30</v>
      </c>
      <c r="D31" s="20" t="s">
        <v>16</v>
      </c>
      <c r="E31" s="20" t="s">
        <v>12</v>
      </c>
      <c r="F31" s="20" t="s">
        <v>31</v>
      </c>
      <c r="G31" s="20" t="s">
        <v>39</v>
      </c>
      <c r="H31" s="21">
        <v>40062.949999999997</v>
      </c>
      <c r="I31" s="20">
        <v>5</v>
      </c>
      <c r="J31" s="22">
        <v>11536.21</v>
      </c>
      <c r="K31" s="20" t="str">
        <f>IF(Table4[[#This Row],[Sales]]&gt;=40000,"BEST SALE","POOR SALE")</f>
        <v>BEST SALE</v>
      </c>
      <c r="L31" s="30" t="str" cm="1">
        <f t="array" ref="L31">_xlfn.IFS(Table4[[#This Row],[Sales]]&gt;=40000,"Best Sale", Table4[[#This Row],[Sales]]&gt;=20000,"Average Sale",Table4[[#This Row],[Sales]]&gt;0,"Poor Sale")</f>
        <v>Best Sale</v>
      </c>
      <c r="M31" s="32" t="str" cm="1">
        <f t="array" ref="M31">_xlfn.IFS(Table4[[#This Row],[Sales]]&gt;=40000,"Best", Table4[[#This Row],[Sales]]&gt;=35000,"Average",Table4[[#This Row],[Sales]]&gt;0,"Poor")</f>
        <v>Best</v>
      </c>
      <c r="N31" s="44" t="s">
        <v>64</v>
      </c>
      <c r="O31" s="44"/>
      <c r="P31" s="44"/>
      <c r="Q31" s="44"/>
      <c r="R31" s="44"/>
      <c r="S31" s="44"/>
      <c r="T31" s="44"/>
      <c r="U31" s="44"/>
      <c r="V31" s="44"/>
      <c r="W31" s="44"/>
      <c r="X31" s="39" t="s">
        <v>93</v>
      </c>
    </row>
    <row r="32" spans="1:32" x14ac:dyDescent="0.3">
      <c r="A32" s="13">
        <v>31</v>
      </c>
      <c r="B32" s="14">
        <v>45217</v>
      </c>
      <c r="C32" s="15" t="s">
        <v>15</v>
      </c>
      <c r="D32" s="15" t="s">
        <v>16</v>
      </c>
      <c r="E32" s="15" t="s">
        <v>12</v>
      </c>
      <c r="F32" s="15" t="s">
        <v>24</v>
      </c>
      <c r="G32" s="15" t="s">
        <v>25</v>
      </c>
      <c r="H32" s="16">
        <v>30699.4</v>
      </c>
      <c r="I32" s="15">
        <v>2</v>
      </c>
      <c r="J32" s="17">
        <v>5821.81</v>
      </c>
      <c r="K32" s="20" t="str">
        <f>IF(Table4[[#This Row],[Sales]]&gt;=40000,"BEST SALE","POOR SALE")</f>
        <v>POOR SALE</v>
      </c>
      <c r="L32" s="30" t="str" cm="1">
        <f t="array" ref="L32">_xlfn.IFS(Table4[[#This Row],[Sales]]&gt;=40000,"Best Sale", Table4[[#This Row],[Sales]]&gt;=20000,"Average Sale",Table4[[#This Row],[Sales]]&gt;0,"Poor Sale")</f>
        <v>Average Sale</v>
      </c>
      <c r="M32" s="32" t="str" cm="1">
        <f t="array" ref="M32">_xlfn.IFS(Table4[[#This Row],[Sales]]&gt;=40000,"Best", Table4[[#This Row],[Sales]]&gt;=35000,"Average",Table4[[#This Row],[Sales]]&gt;0,"Poor")</f>
        <v>Poor</v>
      </c>
      <c r="N32" s="44" t="s">
        <v>69</v>
      </c>
      <c r="O32" s="44"/>
      <c r="P32" s="44"/>
      <c r="Q32" s="44"/>
      <c r="R32" s="44"/>
      <c r="S32" s="44"/>
      <c r="T32" s="44"/>
      <c r="U32" s="44"/>
      <c r="V32" s="44"/>
      <c r="W32" s="44"/>
      <c r="X32" s="31">
        <f>COUNTIFS(Table4[Product],"laptop",Table4[State],"Gujarat")</f>
        <v>23</v>
      </c>
      <c r="AE32" s="28" t="s">
        <v>72</v>
      </c>
      <c r="AF32" s="3">
        <f>SUMIF(Table4[Category],"CLOTHING",Table4[Quantity])</f>
        <v>848</v>
      </c>
    </row>
    <row r="33" spans="1:32" x14ac:dyDescent="0.3">
      <c r="A33" s="18">
        <v>32</v>
      </c>
      <c r="B33" s="19">
        <v>45127</v>
      </c>
      <c r="C33" s="20" t="s">
        <v>22</v>
      </c>
      <c r="D33" s="20" t="s">
        <v>22</v>
      </c>
      <c r="E33" s="20" t="s">
        <v>12</v>
      </c>
      <c r="F33" s="20" t="s">
        <v>31</v>
      </c>
      <c r="G33" s="20" t="s">
        <v>32</v>
      </c>
      <c r="H33" s="21">
        <v>46798.46</v>
      </c>
      <c r="I33" s="20">
        <v>8</v>
      </c>
      <c r="J33" s="22">
        <v>12650.58</v>
      </c>
      <c r="K33" s="20" t="str">
        <f>IF(Table4[[#This Row],[Sales]]&gt;=40000,"BEST SALE","POOR SALE")</f>
        <v>BEST SALE</v>
      </c>
      <c r="L33" s="30" t="str" cm="1">
        <f t="array" ref="L33">_xlfn.IFS(Table4[[#This Row],[Sales]]&gt;=40000,"Best Sale", Table4[[#This Row],[Sales]]&gt;=20000,"Average Sale",Table4[[#This Row],[Sales]]&gt;0,"Poor Sale")</f>
        <v>Best Sale</v>
      </c>
      <c r="M33" s="32" t="str" cm="1">
        <f t="array" ref="M33">_xlfn.IFS(Table4[[#This Row],[Sales]]&gt;=40000,"Best", Table4[[#This Row],[Sales]]&gt;=35000,"Average",Table4[[#This Row],[Sales]]&gt;0,"Poor")</f>
        <v>Best</v>
      </c>
      <c r="N33" s="44" t="s">
        <v>70</v>
      </c>
      <c r="O33" s="44"/>
      <c r="P33" s="44"/>
      <c r="Q33" s="44"/>
      <c r="R33" s="44"/>
      <c r="S33" s="44"/>
      <c r="T33" s="44"/>
      <c r="U33" s="44"/>
      <c r="V33" s="44"/>
      <c r="W33" s="44"/>
      <c r="X33" s="31">
        <f>SUMIFS(Table4[Profit],Table4[Product],"Jeans")</f>
        <v>241587.26000000004</v>
      </c>
      <c r="Z33" s="28" t="s">
        <v>72</v>
      </c>
      <c r="AA33" s="28" t="s">
        <v>73</v>
      </c>
      <c r="AB33" s="28" t="s">
        <v>74</v>
      </c>
      <c r="AE33" s="28" t="s">
        <v>73</v>
      </c>
      <c r="AF33" s="3">
        <f>SUMIF(Table4[Category],"ELECTRONICS",Table4[Quantity])</f>
        <v>924</v>
      </c>
    </row>
    <row r="34" spans="1:32" x14ac:dyDescent="0.3">
      <c r="A34" s="13">
        <v>33</v>
      </c>
      <c r="B34" s="14">
        <v>45005</v>
      </c>
      <c r="C34" s="15" t="s">
        <v>30</v>
      </c>
      <c r="D34" s="15" t="s">
        <v>16</v>
      </c>
      <c r="E34" s="15" t="s">
        <v>12</v>
      </c>
      <c r="F34" s="15" t="s">
        <v>24</v>
      </c>
      <c r="G34" s="15" t="s">
        <v>28</v>
      </c>
      <c r="H34" s="16">
        <v>18545.72</v>
      </c>
      <c r="I34" s="15">
        <v>9</v>
      </c>
      <c r="J34" s="17">
        <v>3893.71</v>
      </c>
      <c r="K34" s="20" t="str">
        <f>IF(Table4[[#This Row],[Sales]]&gt;=40000,"BEST SALE","POOR SALE")</f>
        <v>POOR SALE</v>
      </c>
      <c r="L34" s="30" t="str" cm="1">
        <f t="array" ref="L34">_xlfn.IFS(Table4[[#This Row],[Sales]]&gt;=40000,"Best Sale", Table4[[#This Row],[Sales]]&gt;=20000,"Average Sale",Table4[[#This Row],[Sales]]&gt;0,"Poor Sale")</f>
        <v>Poor Sale</v>
      </c>
      <c r="M34" s="32" t="str" cm="1">
        <f t="array" ref="M34">_xlfn.IFS(Table4[[#This Row],[Sales]]&gt;=40000,"Best", Table4[[#This Row],[Sales]]&gt;=35000,"Average",Table4[[#This Row],[Sales]]&gt;0,"Poor")</f>
        <v>Poor</v>
      </c>
      <c r="N34" s="44" t="s">
        <v>71</v>
      </c>
      <c r="O34" s="44"/>
      <c r="P34" s="44"/>
      <c r="Q34" s="44"/>
      <c r="R34" s="44"/>
      <c r="S34" s="44"/>
      <c r="T34" s="44"/>
      <c r="U34" s="44"/>
      <c r="V34" s="44"/>
      <c r="W34" s="44"/>
      <c r="X34" s="31">
        <f>MAX(Z34:AB34)</f>
        <v>937</v>
      </c>
      <c r="Y34" t="str">
        <f>INDEX(AE32:AE34,MATCH(MAX(AF32:AF34),AF32:AF34,0))</f>
        <v>FURNITURE</v>
      </c>
      <c r="Z34" s="3">
        <f>SUMIF(Table4[Category],"CLOTHING",Table4[Quantity])</f>
        <v>848</v>
      </c>
      <c r="AA34" s="3">
        <f>SUMIF(Table4[Category],"ELECTRONICS",Table4[Quantity])</f>
        <v>924</v>
      </c>
      <c r="AB34" s="3">
        <f>SUMIF(Table4[Category],"FURNITURE",Table4[Quantity])</f>
        <v>937</v>
      </c>
      <c r="AE34" s="28" t="s">
        <v>74</v>
      </c>
      <c r="AF34" s="3">
        <f>SUMIF(Table4[Category],"FURNITURE",Table4[Quantity])</f>
        <v>937</v>
      </c>
    </row>
    <row r="35" spans="1:32" ht="15" thickBot="1" x14ac:dyDescent="0.35">
      <c r="A35" s="18">
        <v>34</v>
      </c>
      <c r="B35" s="19">
        <v>45097</v>
      </c>
      <c r="C35" s="20" t="s">
        <v>15</v>
      </c>
      <c r="D35" s="20" t="s">
        <v>16</v>
      </c>
      <c r="E35" s="20" t="s">
        <v>12</v>
      </c>
      <c r="F35" s="20" t="s">
        <v>24</v>
      </c>
      <c r="G35" s="20" t="s">
        <v>25</v>
      </c>
      <c r="H35" s="21">
        <v>47078.67</v>
      </c>
      <c r="I35" s="20">
        <v>4</v>
      </c>
      <c r="J35" s="22">
        <v>5416.29</v>
      </c>
      <c r="K35" s="20" t="str">
        <f>IF(Table4[[#This Row],[Sales]]&gt;=40000,"BEST SALE","POOR SALE")</f>
        <v>BEST SALE</v>
      </c>
      <c r="L35" s="30" t="str" cm="1">
        <f t="array" ref="L35">_xlfn.IFS(Table4[[#This Row],[Sales]]&gt;=40000,"Best Sale", Table4[[#This Row],[Sales]]&gt;=20000,"Average Sale",Table4[[#This Row],[Sales]]&gt;0,"Poor Sale")</f>
        <v>Best Sale</v>
      </c>
      <c r="M35" s="32" t="str" cm="1">
        <f t="array" ref="M35">_xlfn.IFS(Table4[[#This Row],[Sales]]&gt;=40000,"Best", Table4[[#This Row],[Sales]]&gt;=35000,"Average",Table4[[#This Row],[Sales]]&gt;0,"Poor")</f>
        <v>Best</v>
      </c>
      <c r="N35" s="44" t="s">
        <v>83</v>
      </c>
      <c r="O35" s="44"/>
      <c r="P35" s="44"/>
      <c r="Q35" s="44"/>
      <c r="R35" s="44"/>
      <c r="S35" s="44"/>
      <c r="T35" s="44"/>
      <c r="U35" s="44"/>
      <c r="V35" s="44"/>
      <c r="W35" s="44"/>
      <c r="X35" s="7">
        <f>SUMIFS(Table4[Sales],Table4[Product],"Mobile",Table4[Region],"South",Table4[State],"Maharashtra",Table4[City],"Pune")</f>
        <v>30927.86</v>
      </c>
    </row>
    <row r="36" spans="1:32" x14ac:dyDescent="0.3">
      <c r="A36" s="13">
        <v>35</v>
      </c>
      <c r="B36" s="14">
        <v>44983</v>
      </c>
      <c r="C36" s="15" t="s">
        <v>37</v>
      </c>
      <c r="D36" s="15" t="s">
        <v>27</v>
      </c>
      <c r="E36" s="15" t="s">
        <v>12</v>
      </c>
      <c r="F36" s="15" t="s">
        <v>13</v>
      </c>
      <c r="G36" s="15" t="s">
        <v>21</v>
      </c>
      <c r="H36" s="16">
        <v>45410.16</v>
      </c>
      <c r="I36" s="15">
        <v>2</v>
      </c>
      <c r="J36" s="17">
        <v>6601.61</v>
      </c>
      <c r="K36" s="20" t="str">
        <f>IF(Table4[[#This Row],[Sales]]&gt;=40000,"BEST SALE","POOR SALE")</f>
        <v>BEST SALE</v>
      </c>
      <c r="L36" s="30" t="str" cm="1">
        <f t="array" ref="L36">_xlfn.IFS(Table4[[#This Row],[Sales]]&gt;=40000,"Best Sale", Table4[[#This Row],[Sales]]&gt;=20000,"Average Sale",Table4[[#This Row],[Sales]]&gt;0,"Poor Sale")</f>
        <v>Best Sale</v>
      </c>
      <c r="M36" s="32" t="str" cm="1">
        <f t="array" ref="M36">_xlfn.IFS(Table4[[#This Row],[Sales]]&gt;=40000,"Best", Table4[[#This Row],[Sales]]&gt;=35000,"Average",Table4[[#This Row],[Sales]]&gt;0,"Poor")</f>
        <v>Best</v>
      </c>
      <c r="N36" s="44" t="s">
        <v>84</v>
      </c>
      <c r="O36" s="44"/>
      <c r="P36" s="44"/>
      <c r="Q36" s="44"/>
      <c r="R36" s="44"/>
      <c r="S36" s="44"/>
      <c r="T36" s="44"/>
      <c r="U36" s="44"/>
      <c r="V36" s="44"/>
      <c r="W36" s="44"/>
      <c r="X36" s="7">
        <f>SUMIFS(Table4[Quantity],Table4[Product],"Sofa",Table4[Region],"North",Table4[State],"Gujarat",Table4[City],"Ahmedabad")</f>
        <v>6</v>
      </c>
      <c r="Z36" s="40" t="s">
        <v>94</v>
      </c>
      <c r="AA36" s="41"/>
      <c r="AB36" s="40" t="s">
        <v>95</v>
      </c>
      <c r="AC36" s="41"/>
    </row>
    <row r="37" spans="1:32" x14ac:dyDescent="0.3">
      <c r="A37" s="18">
        <v>36</v>
      </c>
      <c r="B37" s="19">
        <v>45083</v>
      </c>
      <c r="C37" s="20" t="s">
        <v>18</v>
      </c>
      <c r="D37" s="20" t="s">
        <v>19</v>
      </c>
      <c r="E37" s="20" t="s">
        <v>12</v>
      </c>
      <c r="F37" s="20" t="s">
        <v>31</v>
      </c>
      <c r="G37" s="20" t="s">
        <v>32</v>
      </c>
      <c r="H37" s="21">
        <v>8022.9</v>
      </c>
      <c r="I37" s="20">
        <v>9</v>
      </c>
      <c r="J37" s="22">
        <v>1118.83</v>
      </c>
      <c r="K37" s="20" t="str">
        <f>IF(Table4[[#This Row],[Sales]]&gt;=40000,"BEST SALE","POOR SALE")</f>
        <v>POOR SALE</v>
      </c>
      <c r="L37" s="30" t="str" cm="1">
        <f t="array" ref="L37">_xlfn.IFS(Table4[[#This Row],[Sales]]&gt;=40000,"Best Sale", Table4[[#This Row],[Sales]]&gt;=20000,"Average Sale",Table4[[#This Row],[Sales]]&gt;0,"Poor Sale")</f>
        <v>Poor Sale</v>
      </c>
      <c r="M37" s="32" t="str" cm="1">
        <f t="array" ref="M37">_xlfn.IFS(Table4[[#This Row],[Sales]]&gt;=40000,"Best", Table4[[#This Row],[Sales]]&gt;=35000,"Average",Table4[[#This Row],[Sales]]&gt;0,"Poor")</f>
        <v>Poor</v>
      </c>
      <c r="N37" s="44" t="s">
        <v>85</v>
      </c>
      <c r="O37" s="44"/>
      <c r="P37" s="44"/>
      <c r="Q37" s="44"/>
      <c r="R37" s="44"/>
      <c r="S37" s="44"/>
      <c r="T37" s="44"/>
      <c r="U37" s="44"/>
      <c r="V37" s="44"/>
      <c r="W37" s="44"/>
      <c r="X37" s="31">
        <f>MAX(AA37:AA39)</f>
        <v>293616.65000000008</v>
      </c>
      <c r="Y37" t="str">
        <f>INDEX(Z37:Z39,MATCH(MAX(AA37:AA39),AA37:AA39,0))</f>
        <v>Laptop</v>
      </c>
      <c r="Z37" s="33" t="str" cm="1">
        <f t="array" ref="Z37:Z39">_xlfn.UNIQUE(_xlfn._xlws.FILTER(G2:G501,F2:F501="Electronics"))</f>
        <v>Mobile</v>
      </c>
      <c r="AA37" s="34">
        <f>SUMIF(Table4[Product],"Mobile",Table4[Profit])</f>
        <v>271457.8899999999</v>
      </c>
      <c r="AB37" s="33" t="str" cm="1">
        <f t="array" ref="AB37:AB39">_xlfn.UNIQUE(_xlfn._xlws.FILTER(G2:G501,F2:F501="Clothing"))</f>
        <v>Jeans</v>
      </c>
      <c r="AC37" s="34">
        <f>SUMIF(Table4[Product],"Jeans",Table4[Profit])</f>
        <v>241587.26000000004</v>
      </c>
    </row>
    <row r="38" spans="1:32" x14ac:dyDescent="0.3">
      <c r="A38" s="13">
        <v>37</v>
      </c>
      <c r="B38" s="14">
        <v>45039</v>
      </c>
      <c r="C38" s="15" t="s">
        <v>15</v>
      </c>
      <c r="D38" s="15" t="s">
        <v>16</v>
      </c>
      <c r="E38" s="15" t="s">
        <v>12</v>
      </c>
      <c r="F38" s="15" t="s">
        <v>13</v>
      </c>
      <c r="G38" s="15" t="s">
        <v>34</v>
      </c>
      <c r="H38" s="16">
        <v>34478.959999999999</v>
      </c>
      <c r="I38" s="15">
        <v>5</v>
      </c>
      <c r="J38" s="17">
        <v>4118.41</v>
      </c>
      <c r="K38" s="20" t="str">
        <f>IF(Table4[[#This Row],[Sales]]&gt;=40000,"BEST SALE","POOR SALE")</f>
        <v>POOR SALE</v>
      </c>
      <c r="L38" s="30" t="str" cm="1">
        <f t="array" ref="L38">_xlfn.IFS(Table4[[#This Row],[Sales]]&gt;=40000,"Best Sale", Table4[[#This Row],[Sales]]&gt;=20000,"Average Sale",Table4[[#This Row],[Sales]]&gt;0,"Poor Sale")</f>
        <v>Average Sale</v>
      </c>
      <c r="M38" s="32" t="str" cm="1">
        <f t="array" ref="M38">_xlfn.IFS(Table4[[#This Row],[Sales]]&gt;=40000,"Best", Table4[[#This Row],[Sales]]&gt;=35000,"Average",Table4[[#This Row],[Sales]]&gt;0,"Poor")</f>
        <v>Poor</v>
      </c>
      <c r="N38" s="44" t="s">
        <v>86</v>
      </c>
      <c r="O38" s="44"/>
      <c r="P38" s="44"/>
      <c r="Q38" s="44"/>
      <c r="R38" s="44"/>
      <c r="S38" s="44"/>
      <c r="T38" s="44"/>
      <c r="U38" s="44"/>
      <c r="V38" s="44"/>
      <c r="W38" s="44"/>
      <c r="X38" s="31">
        <f>MAX(AC37:AC39)</f>
        <v>271882.18999999994</v>
      </c>
      <c r="Y38" t="str">
        <f>INDEX(_xlfn.ANCHORARRAY(AB37),MATCH(MAX(AC37:AC39),AC37:AC39,0))</f>
        <v>Jacket</v>
      </c>
      <c r="Z38" s="33" t="str">
        <v>Tablet</v>
      </c>
      <c r="AA38" s="34">
        <f>SUMIF(Table4[Product],"Tablet",Table4[Profit])</f>
        <v>247695.39000000004</v>
      </c>
      <c r="AB38" s="33" t="str">
        <v>Shirt</v>
      </c>
      <c r="AC38" s="34">
        <f>SUMIF(Table4[Product],"Shirt",Table4[Profit])</f>
        <v>268297.41000000009</v>
      </c>
    </row>
    <row r="39" spans="1:32" ht="15" thickBot="1" x14ac:dyDescent="0.35">
      <c r="A39" s="18">
        <v>38</v>
      </c>
      <c r="B39" s="19">
        <v>45247</v>
      </c>
      <c r="C39" s="20" t="s">
        <v>18</v>
      </c>
      <c r="D39" s="20" t="s">
        <v>19</v>
      </c>
      <c r="E39" s="20" t="s">
        <v>12</v>
      </c>
      <c r="F39" s="20" t="s">
        <v>31</v>
      </c>
      <c r="G39" s="20" t="s">
        <v>33</v>
      </c>
      <c r="H39" s="21">
        <v>34640.65</v>
      </c>
      <c r="I39" s="20">
        <v>10</v>
      </c>
      <c r="J39" s="22">
        <v>9567.4500000000007</v>
      </c>
      <c r="K39" s="20" t="str">
        <f>IF(Table4[[#This Row],[Sales]]&gt;=40000,"BEST SALE","POOR SALE")</f>
        <v>POOR SALE</v>
      </c>
      <c r="L39" s="30" t="str" cm="1">
        <f t="array" ref="L39">_xlfn.IFS(Table4[[#This Row],[Sales]]&gt;=40000,"Best Sale", Table4[[#This Row],[Sales]]&gt;=20000,"Average Sale",Table4[[#This Row],[Sales]]&gt;0,"Poor Sale")</f>
        <v>Average Sale</v>
      </c>
      <c r="M39" s="32" t="str" cm="1">
        <f t="array" ref="M39">_xlfn.IFS(Table4[[#This Row],[Sales]]&gt;=40000,"Best", Table4[[#This Row],[Sales]]&gt;=35000,"Average",Table4[[#This Row],[Sales]]&gt;0,"Poor")</f>
        <v>Poor</v>
      </c>
      <c r="Z39" s="35" t="str">
        <v>Laptop</v>
      </c>
      <c r="AA39" s="36">
        <f>SUMIF(Table4[Product],"Laptop",Table4[Profit])</f>
        <v>293616.65000000008</v>
      </c>
      <c r="AB39" s="35" t="str">
        <v>Jacket</v>
      </c>
      <c r="AC39" s="34">
        <f>SUMIF(Table4[Product],"Jacket",Table4[Profit])</f>
        <v>271882.18999999994</v>
      </c>
    </row>
    <row r="40" spans="1:32" x14ac:dyDescent="0.3">
      <c r="A40" s="13">
        <v>39</v>
      </c>
      <c r="B40" s="14">
        <v>44941</v>
      </c>
      <c r="C40" s="15" t="s">
        <v>26</v>
      </c>
      <c r="D40" s="15" t="s">
        <v>27</v>
      </c>
      <c r="E40" s="15" t="s">
        <v>12</v>
      </c>
      <c r="F40" s="15" t="s">
        <v>13</v>
      </c>
      <c r="G40" s="15" t="s">
        <v>34</v>
      </c>
      <c r="H40" s="16">
        <v>3218.7</v>
      </c>
      <c r="I40" s="15">
        <v>3</v>
      </c>
      <c r="J40" s="17">
        <v>572.08000000000004</v>
      </c>
      <c r="K40" s="20" t="str">
        <f>IF(Table4[[#This Row],[Sales]]&gt;=40000,"BEST SALE","POOR SALE")</f>
        <v>POOR SALE</v>
      </c>
      <c r="L40" s="30" t="str" cm="1">
        <f t="array" ref="L40">_xlfn.IFS(Table4[[#This Row],[Sales]]&gt;=40000,"Best Sale", Table4[[#This Row],[Sales]]&gt;=20000,"Average Sale",Table4[[#This Row],[Sales]]&gt;0,"Poor Sale")</f>
        <v>Poor Sale</v>
      </c>
      <c r="M40" s="32" t="str" cm="1">
        <f t="array" ref="M40">_xlfn.IFS(Table4[[#This Row],[Sales]]&gt;=40000,"Best", Table4[[#This Row],[Sales]]&gt;=35000,"Average",Table4[[#This Row],[Sales]]&gt;0,"Poor")</f>
        <v>Poor</v>
      </c>
    </row>
    <row r="41" spans="1:32" x14ac:dyDescent="0.3">
      <c r="A41" s="18">
        <v>40</v>
      </c>
      <c r="B41" s="19">
        <v>44941</v>
      </c>
      <c r="C41" s="20" t="s">
        <v>22</v>
      </c>
      <c r="D41" s="20" t="s">
        <v>22</v>
      </c>
      <c r="E41" s="20" t="s">
        <v>12</v>
      </c>
      <c r="F41" s="20" t="s">
        <v>31</v>
      </c>
      <c r="G41" s="20" t="s">
        <v>33</v>
      </c>
      <c r="H41" s="21">
        <v>28642.2</v>
      </c>
      <c r="I41" s="20">
        <v>5</v>
      </c>
      <c r="J41" s="22">
        <v>2312.54</v>
      </c>
      <c r="K41" s="20" t="str">
        <f>IF(Table4[[#This Row],[Sales]]&gt;=40000,"BEST SALE","POOR SALE")</f>
        <v>POOR SALE</v>
      </c>
      <c r="L41" s="30" t="str" cm="1">
        <f t="array" ref="L41">_xlfn.IFS(Table4[[#This Row],[Sales]]&gt;=40000,"Best Sale", Table4[[#This Row],[Sales]]&gt;=20000,"Average Sale",Table4[[#This Row],[Sales]]&gt;0,"Poor Sale")</f>
        <v>Average Sale</v>
      </c>
      <c r="M41" s="32" t="str" cm="1">
        <f t="array" ref="M41">_xlfn.IFS(Table4[[#This Row],[Sales]]&gt;=40000,"Best", Table4[[#This Row],[Sales]]&gt;=35000,"Average",Table4[[#This Row],[Sales]]&gt;0,"Poor")</f>
        <v>Poor</v>
      </c>
    </row>
    <row r="42" spans="1:32" x14ac:dyDescent="0.3">
      <c r="A42" s="13">
        <v>41</v>
      </c>
      <c r="B42" s="14">
        <v>45238</v>
      </c>
      <c r="C42" s="15" t="s">
        <v>15</v>
      </c>
      <c r="D42" s="15" t="s">
        <v>16</v>
      </c>
      <c r="E42" s="15" t="s">
        <v>12</v>
      </c>
      <c r="F42" s="15" t="s">
        <v>13</v>
      </c>
      <c r="G42" s="15" t="s">
        <v>14</v>
      </c>
      <c r="H42" s="16">
        <v>30927.86</v>
      </c>
      <c r="I42" s="15">
        <v>10</v>
      </c>
      <c r="J42" s="17">
        <v>8460.2199999999993</v>
      </c>
      <c r="K42" s="20" t="str">
        <f>IF(Table4[[#This Row],[Sales]]&gt;=40000,"BEST SALE","POOR SALE")</f>
        <v>POOR SALE</v>
      </c>
      <c r="L42" s="30" t="str" cm="1">
        <f t="array" ref="L42">_xlfn.IFS(Table4[[#This Row],[Sales]]&gt;=40000,"Best Sale", Table4[[#This Row],[Sales]]&gt;=20000,"Average Sale",Table4[[#This Row],[Sales]]&gt;0,"Poor Sale")</f>
        <v>Average Sale</v>
      </c>
      <c r="M42" s="32" t="str" cm="1">
        <f t="array" ref="M42">_xlfn.IFS(Table4[[#This Row],[Sales]]&gt;=40000,"Best", Table4[[#This Row],[Sales]]&gt;=35000,"Average",Table4[[#This Row],[Sales]]&gt;0,"Poor")</f>
        <v>Poor</v>
      </c>
    </row>
    <row r="43" spans="1:32" x14ac:dyDescent="0.3">
      <c r="A43" s="18">
        <v>42</v>
      </c>
      <c r="B43" s="19">
        <v>45143</v>
      </c>
      <c r="C43" s="20" t="s">
        <v>10</v>
      </c>
      <c r="D43" s="20" t="s">
        <v>11</v>
      </c>
      <c r="E43" s="20" t="s">
        <v>12</v>
      </c>
      <c r="F43" s="20" t="s">
        <v>31</v>
      </c>
      <c r="G43" s="20" t="s">
        <v>32</v>
      </c>
      <c r="H43" s="21">
        <v>32426.75</v>
      </c>
      <c r="I43" s="20">
        <v>7</v>
      </c>
      <c r="J43" s="22">
        <v>8518.11</v>
      </c>
      <c r="K43" s="20" t="str">
        <f>IF(Table4[[#This Row],[Sales]]&gt;=40000,"BEST SALE","POOR SALE")</f>
        <v>POOR SALE</v>
      </c>
      <c r="L43" s="30" t="str" cm="1">
        <f t="array" ref="L43">_xlfn.IFS(Table4[[#This Row],[Sales]]&gt;=40000,"Best Sale", Table4[[#This Row],[Sales]]&gt;=20000,"Average Sale",Table4[[#This Row],[Sales]]&gt;0,"Poor Sale")</f>
        <v>Average Sale</v>
      </c>
      <c r="M43" s="32" t="str" cm="1">
        <f t="array" ref="M43">_xlfn.IFS(Table4[[#This Row],[Sales]]&gt;=40000,"Best", Table4[[#This Row],[Sales]]&gt;=35000,"Average",Table4[[#This Row],[Sales]]&gt;0,"Poor")</f>
        <v>Poor</v>
      </c>
    </row>
    <row r="44" spans="1:32" x14ac:dyDescent="0.3">
      <c r="A44" s="13">
        <v>43</v>
      </c>
      <c r="B44" s="14">
        <v>45283</v>
      </c>
      <c r="C44" s="15" t="s">
        <v>38</v>
      </c>
      <c r="D44" s="15" t="s">
        <v>27</v>
      </c>
      <c r="E44" s="15" t="s">
        <v>20</v>
      </c>
      <c r="F44" s="15" t="s">
        <v>31</v>
      </c>
      <c r="G44" s="15" t="s">
        <v>39</v>
      </c>
      <c r="H44" s="16">
        <v>19643.03</v>
      </c>
      <c r="I44" s="15">
        <v>5</v>
      </c>
      <c r="J44" s="17">
        <v>2911.87</v>
      </c>
      <c r="K44" s="20" t="str">
        <f>IF(Table4[[#This Row],[Sales]]&gt;=40000,"BEST SALE","POOR SALE")</f>
        <v>POOR SALE</v>
      </c>
      <c r="L44" s="30" t="str" cm="1">
        <f t="array" ref="L44">_xlfn.IFS(Table4[[#This Row],[Sales]]&gt;=40000,"Best Sale", Table4[[#This Row],[Sales]]&gt;=20000,"Average Sale",Table4[[#This Row],[Sales]]&gt;0,"Poor Sale")</f>
        <v>Poor Sale</v>
      </c>
      <c r="M44" s="32" t="str" cm="1">
        <f t="array" ref="M44">_xlfn.IFS(Table4[[#This Row],[Sales]]&gt;=40000,"Best", Table4[[#This Row],[Sales]]&gt;=35000,"Average",Table4[[#This Row],[Sales]]&gt;0,"Poor")</f>
        <v>Poor</v>
      </c>
    </row>
    <row r="45" spans="1:32" x14ac:dyDescent="0.3">
      <c r="A45" s="18">
        <v>44</v>
      </c>
      <c r="B45" s="19">
        <v>44981</v>
      </c>
      <c r="C45" s="20" t="s">
        <v>26</v>
      </c>
      <c r="D45" s="20" t="s">
        <v>27</v>
      </c>
      <c r="E45" s="20" t="s">
        <v>20</v>
      </c>
      <c r="F45" s="20" t="s">
        <v>13</v>
      </c>
      <c r="G45" s="20" t="s">
        <v>34</v>
      </c>
      <c r="H45" s="21">
        <v>46031.41</v>
      </c>
      <c r="I45" s="20">
        <v>10</v>
      </c>
      <c r="J45" s="22">
        <v>12190.44</v>
      </c>
      <c r="K45" s="20" t="str">
        <f>IF(Table4[[#This Row],[Sales]]&gt;=40000,"BEST SALE","POOR SALE")</f>
        <v>BEST SALE</v>
      </c>
      <c r="L45" s="30" t="str" cm="1">
        <f t="array" ref="L45">_xlfn.IFS(Table4[[#This Row],[Sales]]&gt;=40000,"Best Sale", Table4[[#This Row],[Sales]]&gt;=20000,"Average Sale",Table4[[#This Row],[Sales]]&gt;0,"Poor Sale")</f>
        <v>Best Sale</v>
      </c>
      <c r="M45" s="32" t="str" cm="1">
        <f t="array" ref="M45">_xlfn.IFS(Table4[[#This Row],[Sales]]&gt;=40000,"Best", Table4[[#This Row],[Sales]]&gt;=35000,"Average",Table4[[#This Row],[Sales]]&gt;0,"Poor")</f>
        <v>Best</v>
      </c>
    </row>
    <row r="46" spans="1:32" x14ac:dyDescent="0.3">
      <c r="A46" s="13">
        <v>45</v>
      </c>
      <c r="B46" s="14">
        <v>44967</v>
      </c>
      <c r="C46" s="15" t="s">
        <v>22</v>
      </c>
      <c r="D46" s="15" t="s">
        <v>22</v>
      </c>
      <c r="E46" s="15" t="s">
        <v>20</v>
      </c>
      <c r="F46" s="15" t="s">
        <v>13</v>
      </c>
      <c r="G46" s="15" t="s">
        <v>21</v>
      </c>
      <c r="H46" s="16">
        <v>10312.469999999999</v>
      </c>
      <c r="I46" s="15">
        <v>3</v>
      </c>
      <c r="J46" s="17">
        <v>917.6</v>
      </c>
      <c r="K46" s="20" t="str">
        <f>IF(Table4[[#This Row],[Sales]]&gt;=40000,"BEST SALE","POOR SALE")</f>
        <v>POOR SALE</v>
      </c>
      <c r="L46" s="30" t="str" cm="1">
        <f t="array" ref="L46">_xlfn.IFS(Table4[[#This Row],[Sales]]&gt;=40000,"Best Sale", Table4[[#This Row],[Sales]]&gt;=20000,"Average Sale",Table4[[#This Row],[Sales]]&gt;0,"Poor Sale")</f>
        <v>Poor Sale</v>
      </c>
      <c r="M46" s="32" t="str" cm="1">
        <f t="array" ref="M46">_xlfn.IFS(Table4[[#This Row],[Sales]]&gt;=40000,"Best", Table4[[#This Row],[Sales]]&gt;=35000,"Average",Table4[[#This Row],[Sales]]&gt;0,"Poor")</f>
        <v>Poor</v>
      </c>
    </row>
    <row r="47" spans="1:32" x14ac:dyDescent="0.3">
      <c r="A47" s="18">
        <v>46</v>
      </c>
      <c r="B47" s="19">
        <v>45288</v>
      </c>
      <c r="C47" s="20" t="s">
        <v>37</v>
      </c>
      <c r="D47" s="20" t="s">
        <v>27</v>
      </c>
      <c r="E47" s="20" t="s">
        <v>20</v>
      </c>
      <c r="F47" s="20" t="s">
        <v>24</v>
      </c>
      <c r="G47" s="20" t="s">
        <v>28</v>
      </c>
      <c r="H47" s="21">
        <v>6582.1</v>
      </c>
      <c r="I47" s="20">
        <v>1</v>
      </c>
      <c r="J47" s="22">
        <v>1867.37</v>
      </c>
      <c r="K47" s="20" t="str">
        <f>IF(Table4[[#This Row],[Sales]]&gt;=40000,"BEST SALE","POOR SALE")</f>
        <v>POOR SALE</v>
      </c>
      <c r="L47" s="30" t="str" cm="1">
        <f t="array" ref="L47">_xlfn.IFS(Table4[[#This Row],[Sales]]&gt;=40000,"Best Sale", Table4[[#This Row],[Sales]]&gt;=20000,"Average Sale",Table4[[#This Row],[Sales]]&gt;0,"Poor Sale")</f>
        <v>Poor Sale</v>
      </c>
      <c r="M47" s="32" t="str" cm="1">
        <f t="array" ref="M47">_xlfn.IFS(Table4[[#This Row],[Sales]]&gt;=40000,"Best", Table4[[#This Row],[Sales]]&gt;=35000,"Average",Table4[[#This Row],[Sales]]&gt;0,"Poor")</f>
        <v>Poor</v>
      </c>
    </row>
    <row r="48" spans="1:32" x14ac:dyDescent="0.3">
      <c r="A48" s="13">
        <v>47</v>
      </c>
      <c r="B48" s="14">
        <v>45155</v>
      </c>
      <c r="C48" s="15" t="s">
        <v>15</v>
      </c>
      <c r="D48" s="15" t="s">
        <v>16</v>
      </c>
      <c r="E48" s="15" t="s">
        <v>20</v>
      </c>
      <c r="F48" s="15" t="s">
        <v>31</v>
      </c>
      <c r="G48" s="15" t="s">
        <v>39</v>
      </c>
      <c r="H48" s="16">
        <v>3134.95</v>
      </c>
      <c r="I48" s="15">
        <v>8</v>
      </c>
      <c r="J48" s="17">
        <v>371.46</v>
      </c>
      <c r="K48" s="20" t="str">
        <f>IF(Table4[[#This Row],[Sales]]&gt;=40000,"BEST SALE","POOR SALE")</f>
        <v>POOR SALE</v>
      </c>
      <c r="L48" s="30" t="str" cm="1">
        <f t="array" ref="L48">_xlfn.IFS(Table4[[#This Row],[Sales]]&gt;=40000,"Best Sale", Table4[[#This Row],[Sales]]&gt;=20000,"Average Sale",Table4[[#This Row],[Sales]]&gt;0,"Poor Sale")</f>
        <v>Poor Sale</v>
      </c>
      <c r="M48" s="32" t="str" cm="1">
        <f t="array" ref="M48">_xlfn.IFS(Table4[[#This Row],[Sales]]&gt;=40000,"Best", Table4[[#This Row],[Sales]]&gt;=35000,"Average",Table4[[#This Row],[Sales]]&gt;0,"Poor")</f>
        <v>Poor</v>
      </c>
    </row>
    <row r="49" spans="1:13" x14ac:dyDescent="0.3">
      <c r="A49" s="18">
        <v>48</v>
      </c>
      <c r="B49" s="19">
        <v>45252</v>
      </c>
      <c r="C49" s="20" t="s">
        <v>18</v>
      </c>
      <c r="D49" s="20" t="s">
        <v>19</v>
      </c>
      <c r="E49" s="20" t="s">
        <v>20</v>
      </c>
      <c r="F49" s="20" t="s">
        <v>31</v>
      </c>
      <c r="G49" s="20" t="s">
        <v>39</v>
      </c>
      <c r="H49" s="21">
        <v>43738.86</v>
      </c>
      <c r="I49" s="20">
        <v>4</v>
      </c>
      <c r="J49" s="22">
        <v>5140.59</v>
      </c>
      <c r="K49" s="20" t="str">
        <f>IF(Table4[[#This Row],[Sales]]&gt;=40000,"BEST SALE","POOR SALE")</f>
        <v>BEST SALE</v>
      </c>
      <c r="L49" s="30" t="str" cm="1">
        <f t="array" ref="L49">_xlfn.IFS(Table4[[#This Row],[Sales]]&gt;=40000,"Best Sale", Table4[[#This Row],[Sales]]&gt;=20000,"Average Sale",Table4[[#This Row],[Sales]]&gt;0,"Poor Sale")</f>
        <v>Best Sale</v>
      </c>
      <c r="M49" s="32" t="str" cm="1">
        <f t="array" ref="M49">_xlfn.IFS(Table4[[#This Row],[Sales]]&gt;=40000,"Best", Table4[[#This Row],[Sales]]&gt;=35000,"Average",Table4[[#This Row],[Sales]]&gt;0,"Poor")</f>
        <v>Best</v>
      </c>
    </row>
    <row r="50" spans="1:13" x14ac:dyDescent="0.3">
      <c r="A50" s="13">
        <v>49</v>
      </c>
      <c r="B50" s="14">
        <v>45229</v>
      </c>
      <c r="C50" s="15" t="s">
        <v>38</v>
      </c>
      <c r="D50" s="15" t="s">
        <v>27</v>
      </c>
      <c r="E50" s="15" t="s">
        <v>20</v>
      </c>
      <c r="F50" s="15" t="s">
        <v>24</v>
      </c>
      <c r="G50" s="15" t="s">
        <v>29</v>
      </c>
      <c r="H50" s="16">
        <v>17707.400000000001</v>
      </c>
      <c r="I50" s="15">
        <v>10</v>
      </c>
      <c r="J50" s="17">
        <v>2970.2</v>
      </c>
      <c r="K50" s="20" t="str">
        <f>IF(Table4[[#This Row],[Sales]]&gt;=40000,"BEST SALE","POOR SALE")</f>
        <v>POOR SALE</v>
      </c>
      <c r="L50" s="30" t="str" cm="1">
        <f t="array" ref="L50">_xlfn.IFS(Table4[[#This Row],[Sales]]&gt;=40000,"Best Sale", Table4[[#This Row],[Sales]]&gt;=20000,"Average Sale",Table4[[#This Row],[Sales]]&gt;0,"Poor Sale")</f>
        <v>Poor Sale</v>
      </c>
      <c r="M50" s="32" t="str" cm="1">
        <f t="array" ref="M50">_xlfn.IFS(Table4[[#This Row],[Sales]]&gt;=40000,"Best", Table4[[#This Row],[Sales]]&gt;=35000,"Average",Table4[[#This Row],[Sales]]&gt;0,"Poor")</f>
        <v>Poor</v>
      </c>
    </row>
    <row r="51" spans="1:13" x14ac:dyDescent="0.3">
      <c r="A51" s="18">
        <v>50</v>
      </c>
      <c r="B51" s="19">
        <v>45222</v>
      </c>
      <c r="C51" s="20" t="s">
        <v>15</v>
      </c>
      <c r="D51" s="20" t="s">
        <v>16</v>
      </c>
      <c r="E51" s="20" t="s">
        <v>20</v>
      </c>
      <c r="F51" s="20" t="s">
        <v>31</v>
      </c>
      <c r="G51" s="20" t="s">
        <v>39</v>
      </c>
      <c r="H51" s="21">
        <v>7789.2</v>
      </c>
      <c r="I51" s="20">
        <v>1</v>
      </c>
      <c r="J51" s="22">
        <v>1011.85</v>
      </c>
      <c r="K51" s="20" t="str">
        <f>IF(Table4[[#This Row],[Sales]]&gt;=40000,"BEST SALE","POOR SALE")</f>
        <v>POOR SALE</v>
      </c>
      <c r="L51" s="30" t="str" cm="1">
        <f t="array" ref="L51">_xlfn.IFS(Table4[[#This Row],[Sales]]&gt;=40000,"Best Sale", Table4[[#This Row],[Sales]]&gt;=20000,"Average Sale",Table4[[#This Row],[Sales]]&gt;0,"Poor Sale")</f>
        <v>Poor Sale</v>
      </c>
      <c r="M51" s="32" t="str" cm="1">
        <f t="array" ref="M51">_xlfn.IFS(Table4[[#This Row],[Sales]]&gt;=40000,"Best", Table4[[#This Row],[Sales]]&gt;=35000,"Average",Table4[[#This Row],[Sales]]&gt;0,"Poor")</f>
        <v>Poor</v>
      </c>
    </row>
    <row r="52" spans="1:13" x14ac:dyDescent="0.3">
      <c r="A52" s="13">
        <v>51</v>
      </c>
      <c r="B52" s="14">
        <v>45270</v>
      </c>
      <c r="C52" s="15" t="s">
        <v>18</v>
      </c>
      <c r="D52" s="15" t="s">
        <v>19</v>
      </c>
      <c r="E52" s="15" t="s">
        <v>20</v>
      </c>
      <c r="F52" s="15" t="s">
        <v>31</v>
      </c>
      <c r="G52" s="15" t="s">
        <v>33</v>
      </c>
      <c r="H52" s="16">
        <v>18333.759999999998</v>
      </c>
      <c r="I52" s="15">
        <v>7</v>
      </c>
      <c r="J52" s="17">
        <v>4255.3900000000003</v>
      </c>
      <c r="K52" s="20" t="str">
        <f>IF(Table4[[#This Row],[Sales]]&gt;=40000,"BEST SALE","POOR SALE")</f>
        <v>POOR SALE</v>
      </c>
      <c r="L52" s="30" t="str" cm="1">
        <f t="array" ref="L52">_xlfn.IFS(Table4[[#This Row],[Sales]]&gt;=40000,"Best Sale", Table4[[#This Row],[Sales]]&gt;=20000,"Average Sale",Table4[[#This Row],[Sales]]&gt;0,"Poor Sale")</f>
        <v>Poor Sale</v>
      </c>
      <c r="M52" s="32" t="str" cm="1">
        <f t="array" ref="M52">_xlfn.IFS(Table4[[#This Row],[Sales]]&gt;=40000,"Best", Table4[[#This Row],[Sales]]&gt;=35000,"Average",Table4[[#This Row],[Sales]]&gt;0,"Poor")</f>
        <v>Poor</v>
      </c>
    </row>
    <row r="53" spans="1:13" x14ac:dyDescent="0.3">
      <c r="A53" s="18">
        <v>52</v>
      </c>
      <c r="B53" s="19">
        <v>45041</v>
      </c>
      <c r="C53" s="20" t="s">
        <v>15</v>
      </c>
      <c r="D53" s="20" t="s">
        <v>16</v>
      </c>
      <c r="E53" s="20" t="s">
        <v>20</v>
      </c>
      <c r="F53" s="20" t="s">
        <v>31</v>
      </c>
      <c r="G53" s="20" t="s">
        <v>39</v>
      </c>
      <c r="H53" s="21">
        <v>29916.02</v>
      </c>
      <c r="I53" s="20">
        <v>1</v>
      </c>
      <c r="J53" s="22">
        <v>6067.18</v>
      </c>
      <c r="K53" s="20" t="str">
        <f>IF(Table4[[#This Row],[Sales]]&gt;=40000,"BEST SALE","POOR SALE")</f>
        <v>POOR SALE</v>
      </c>
      <c r="L53" s="30" t="str" cm="1">
        <f t="array" ref="L53">_xlfn.IFS(Table4[[#This Row],[Sales]]&gt;=40000,"Best Sale", Table4[[#This Row],[Sales]]&gt;=20000,"Average Sale",Table4[[#This Row],[Sales]]&gt;0,"Poor Sale")</f>
        <v>Average Sale</v>
      </c>
      <c r="M53" s="32" t="str" cm="1">
        <f t="array" ref="M53">_xlfn.IFS(Table4[[#This Row],[Sales]]&gt;=40000,"Best", Table4[[#This Row],[Sales]]&gt;=35000,"Average",Table4[[#This Row],[Sales]]&gt;0,"Poor")</f>
        <v>Poor</v>
      </c>
    </row>
    <row r="54" spans="1:13" x14ac:dyDescent="0.3">
      <c r="A54" s="13">
        <v>53</v>
      </c>
      <c r="B54" s="14">
        <v>45143</v>
      </c>
      <c r="C54" s="15" t="s">
        <v>15</v>
      </c>
      <c r="D54" s="15" t="s">
        <v>16</v>
      </c>
      <c r="E54" s="15" t="s">
        <v>20</v>
      </c>
      <c r="F54" s="15" t="s">
        <v>13</v>
      </c>
      <c r="G54" s="15" t="s">
        <v>14</v>
      </c>
      <c r="H54" s="16">
        <v>40222.480000000003</v>
      </c>
      <c r="I54" s="15">
        <v>5</v>
      </c>
      <c r="J54" s="17">
        <v>8031.61</v>
      </c>
      <c r="K54" s="20" t="str">
        <f>IF(Table4[[#This Row],[Sales]]&gt;=40000,"BEST SALE","POOR SALE")</f>
        <v>BEST SALE</v>
      </c>
      <c r="L54" s="30" t="str" cm="1">
        <f t="array" ref="L54">_xlfn.IFS(Table4[[#This Row],[Sales]]&gt;=40000,"Best Sale", Table4[[#This Row],[Sales]]&gt;=20000,"Average Sale",Table4[[#This Row],[Sales]]&gt;0,"Poor Sale")</f>
        <v>Best Sale</v>
      </c>
      <c r="M54" s="32" t="str" cm="1">
        <f t="array" ref="M54">_xlfn.IFS(Table4[[#This Row],[Sales]]&gt;=40000,"Best", Table4[[#This Row],[Sales]]&gt;=35000,"Average",Table4[[#This Row],[Sales]]&gt;0,"Poor")</f>
        <v>Best</v>
      </c>
    </row>
    <row r="55" spans="1:13" x14ac:dyDescent="0.3">
      <c r="A55" s="18">
        <v>54</v>
      </c>
      <c r="B55" s="19">
        <v>45148</v>
      </c>
      <c r="C55" s="20" t="s">
        <v>35</v>
      </c>
      <c r="D55" s="20" t="s">
        <v>36</v>
      </c>
      <c r="E55" s="20" t="s">
        <v>23</v>
      </c>
      <c r="F55" s="20" t="s">
        <v>13</v>
      </c>
      <c r="G55" s="20" t="s">
        <v>14</v>
      </c>
      <c r="H55" s="21">
        <v>28351.119999999999</v>
      </c>
      <c r="I55" s="20">
        <v>2</v>
      </c>
      <c r="J55" s="22">
        <v>7580.92</v>
      </c>
      <c r="K55" s="20" t="str">
        <f>IF(Table4[[#This Row],[Sales]]&gt;=40000,"BEST SALE","POOR SALE")</f>
        <v>POOR SALE</v>
      </c>
      <c r="L55" s="30" t="str" cm="1">
        <f t="array" ref="L55">_xlfn.IFS(Table4[[#This Row],[Sales]]&gt;=40000,"Best Sale", Table4[[#This Row],[Sales]]&gt;=20000,"Average Sale",Table4[[#This Row],[Sales]]&gt;0,"Poor Sale")</f>
        <v>Average Sale</v>
      </c>
      <c r="M55" s="32" t="str" cm="1">
        <f t="array" ref="M55">_xlfn.IFS(Table4[[#This Row],[Sales]]&gt;=40000,"Best", Table4[[#This Row],[Sales]]&gt;=35000,"Average",Table4[[#This Row],[Sales]]&gt;0,"Poor")</f>
        <v>Poor</v>
      </c>
    </row>
    <row r="56" spans="1:13" x14ac:dyDescent="0.3">
      <c r="A56" s="13">
        <v>55</v>
      </c>
      <c r="B56" s="14">
        <v>44980</v>
      </c>
      <c r="C56" s="15" t="s">
        <v>30</v>
      </c>
      <c r="D56" s="15" t="s">
        <v>16</v>
      </c>
      <c r="E56" s="15" t="s">
        <v>23</v>
      </c>
      <c r="F56" s="15" t="s">
        <v>31</v>
      </c>
      <c r="G56" s="15" t="s">
        <v>32</v>
      </c>
      <c r="H56" s="16">
        <v>26706.3</v>
      </c>
      <c r="I56" s="15">
        <v>5</v>
      </c>
      <c r="J56" s="17">
        <v>3028.14</v>
      </c>
      <c r="K56" s="20" t="str">
        <f>IF(Table4[[#This Row],[Sales]]&gt;=40000,"BEST SALE","POOR SALE")</f>
        <v>POOR SALE</v>
      </c>
      <c r="L56" s="30" t="str" cm="1">
        <f t="array" ref="L56">_xlfn.IFS(Table4[[#This Row],[Sales]]&gt;=40000,"Best Sale", Table4[[#This Row],[Sales]]&gt;=20000,"Average Sale",Table4[[#This Row],[Sales]]&gt;0,"Poor Sale")</f>
        <v>Average Sale</v>
      </c>
      <c r="M56" s="32" t="str" cm="1">
        <f t="array" ref="M56">_xlfn.IFS(Table4[[#This Row],[Sales]]&gt;=40000,"Best", Table4[[#This Row],[Sales]]&gt;=35000,"Average",Table4[[#This Row],[Sales]]&gt;0,"Poor")</f>
        <v>Poor</v>
      </c>
    </row>
    <row r="57" spans="1:13" x14ac:dyDescent="0.3">
      <c r="A57" s="18">
        <v>56</v>
      </c>
      <c r="B57" s="19">
        <v>45068</v>
      </c>
      <c r="C57" s="20" t="s">
        <v>10</v>
      </c>
      <c r="D57" s="20" t="s">
        <v>11</v>
      </c>
      <c r="E57" s="20" t="s">
        <v>23</v>
      </c>
      <c r="F57" s="20" t="s">
        <v>13</v>
      </c>
      <c r="G57" s="20" t="s">
        <v>34</v>
      </c>
      <c r="H57" s="21">
        <v>5030.05</v>
      </c>
      <c r="I57" s="20">
        <v>3</v>
      </c>
      <c r="J57" s="22">
        <v>1411.28</v>
      </c>
      <c r="K57" s="20" t="str">
        <f>IF(Table4[[#This Row],[Sales]]&gt;=40000,"BEST SALE","POOR SALE")</f>
        <v>POOR SALE</v>
      </c>
      <c r="L57" s="30" t="str" cm="1">
        <f t="array" ref="L57">_xlfn.IFS(Table4[[#This Row],[Sales]]&gt;=40000,"Best Sale", Table4[[#This Row],[Sales]]&gt;=20000,"Average Sale",Table4[[#This Row],[Sales]]&gt;0,"Poor Sale")</f>
        <v>Poor Sale</v>
      </c>
      <c r="M57" s="32" t="str" cm="1">
        <f t="array" ref="M57">_xlfn.IFS(Table4[[#This Row],[Sales]]&gt;=40000,"Best", Table4[[#This Row],[Sales]]&gt;=35000,"Average",Table4[[#This Row],[Sales]]&gt;0,"Poor")</f>
        <v>Poor</v>
      </c>
    </row>
    <row r="58" spans="1:13" x14ac:dyDescent="0.3">
      <c r="A58" s="13">
        <v>57</v>
      </c>
      <c r="B58" s="14">
        <v>45006</v>
      </c>
      <c r="C58" s="15" t="s">
        <v>30</v>
      </c>
      <c r="D58" s="15" t="s">
        <v>16</v>
      </c>
      <c r="E58" s="15" t="s">
        <v>23</v>
      </c>
      <c r="F58" s="15" t="s">
        <v>13</v>
      </c>
      <c r="G58" s="15" t="s">
        <v>21</v>
      </c>
      <c r="H58" s="16">
        <v>36606.480000000003</v>
      </c>
      <c r="I58" s="15">
        <v>1</v>
      </c>
      <c r="J58" s="17">
        <v>5249.58</v>
      </c>
      <c r="K58" s="20" t="str">
        <f>IF(Table4[[#This Row],[Sales]]&gt;=40000,"BEST SALE","POOR SALE")</f>
        <v>POOR SALE</v>
      </c>
      <c r="L58" s="30" t="str" cm="1">
        <f t="array" ref="L58">_xlfn.IFS(Table4[[#This Row],[Sales]]&gt;=40000,"Best Sale", Table4[[#This Row],[Sales]]&gt;=20000,"Average Sale",Table4[[#This Row],[Sales]]&gt;0,"Poor Sale")</f>
        <v>Average Sale</v>
      </c>
      <c r="M58" s="32" t="str" cm="1">
        <f t="array" ref="M58">_xlfn.IFS(Table4[[#This Row],[Sales]]&gt;=40000,"Best", Table4[[#This Row],[Sales]]&gt;=35000,"Average",Table4[[#This Row],[Sales]]&gt;0,"Poor")</f>
        <v>Average</v>
      </c>
    </row>
    <row r="59" spans="1:13" x14ac:dyDescent="0.3">
      <c r="A59" s="18">
        <v>58</v>
      </c>
      <c r="B59" s="19">
        <v>44946</v>
      </c>
      <c r="C59" s="20" t="s">
        <v>15</v>
      </c>
      <c r="D59" s="20" t="s">
        <v>16</v>
      </c>
      <c r="E59" s="20" t="s">
        <v>23</v>
      </c>
      <c r="F59" s="20" t="s">
        <v>13</v>
      </c>
      <c r="G59" s="20" t="s">
        <v>14</v>
      </c>
      <c r="H59" s="21">
        <v>30254.94</v>
      </c>
      <c r="I59" s="20">
        <v>3</v>
      </c>
      <c r="J59" s="22">
        <v>5950.99</v>
      </c>
      <c r="K59" s="20" t="str">
        <f>IF(Table4[[#This Row],[Sales]]&gt;=40000,"BEST SALE","POOR SALE")</f>
        <v>POOR SALE</v>
      </c>
      <c r="L59" s="30" t="str" cm="1">
        <f t="array" ref="L59">_xlfn.IFS(Table4[[#This Row],[Sales]]&gt;=40000,"Best Sale", Table4[[#This Row],[Sales]]&gt;=20000,"Average Sale",Table4[[#This Row],[Sales]]&gt;0,"Poor Sale")</f>
        <v>Average Sale</v>
      </c>
      <c r="M59" s="32" t="str" cm="1">
        <f t="array" ref="M59">_xlfn.IFS(Table4[[#This Row],[Sales]]&gt;=40000,"Best", Table4[[#This Row],[Sales]]&gt;=35000,"Average",Table4[[#This Row],[Sales]]&gt;0,"Poor")</f>
        <v>Poor</v>
      </c>
    </row>
    <row r="60" spans="1:13" x14ac:dyDescent="0.3">
      <c r="A60" s="13">
        <v>59</v>
      </c>
      <c r="B60" s="14">
        <v>45065</v>
      </c>
      <c r="C60" s="15" t="s">
        <v>30</v>
      </c>
      <c r="D60" s="15" t="s">
        <v>16</v>
      </c>
      <c r="E60" s="15" t="s">
        <v>23</v>
      </c>
      <c r="F60" s="15" t="s">
        <v>31</v>
      </c>
      <c r="G60" s="15" t="s">
        <v>39</v>
      </c>
      <c r="H60" s="16">
        <v>43019.7</v>
      </c>
      <c r="I60" s="15">
        <v>4</v>
      </c>
      <c r="J60" s="17">
        <v>9540.3799999999992</v>
      </c>
      <c r="K60" s="20" t="str">
        <f>IF(Table4[[#This Row],[Sales]]&gt;=40000,"BEST SALE","POOR SALE")</f>
        <v>BEST SALE</v>
      </c>
      <c r="L60" s="30" t="str" cm="1">
        <f t="array" ref="L60">_xlfn.IFS(Table4[[#This Row],[Sales]]&gt;=40000,"Best Sale", Table4[[#This Row],[Sales]]&gt;=20000,"Average Sale",Table4[[#This Row],[Sales]]&gt;0,"Poor Sale")</f>
        <v>Best Sale</v>
      </c>
      <c r="M60" s="32" t="str" cm="1">
        <f t="array" ref="M60">_xlfn.IFS(Table4[[#This Row],[Sales]]&gt;=40000,"Best", Table4[[#This Row],[Sales]]&gt;=35000,"Average",Table4[[#This Row],[Sales]]&gt;0,"Poor")</f>
        <v>Best</v>
      </c>
    </row>
    <row r="61" spans="1:13" x14ac:dyDescent="0.3">
      <c r="A61" s="18">
        <v>60</v>
      </c>
      <c r="B61" s="19">
        <v>44977</v>
      </c>
      <c r="C61" s="20" t="s">
        <v>38</v>
      </c>
      <c r="D61" s="20" t="s">
        <v>27</v>
      </c>
      <c r="E61" s="20" t="s">
        <v>23</v>
      </c>
      <c r="F61" s="20" t="s">
        <v>13</v>
      </c>
      <c r="G61" s="20" t="s">
        <v>21</v>
      </c>
      <c r="H61" s="21">
        <v>3020.57</v>
      </c>
      <c r="I61" s="20">
        <v>7</v>
      </c>
      <c r="J61" s="22">
        <v>762.12</v>
      </c>
      <c r="K61" s="20" t="str">
        <f>IF(Table4[[#This Row],[Sales]]&gt;=40000,"BEST SALE","POOR SALE")</f>
        <v>POOR SALE</v>
      </c>
      <c r="L61" s="30" t="str" cm="1">
        <f t="array" ref="L61">_xlfn.IFS(Table4[[#This Row],[Sales]]&gt;=40000,"Best Sale", Table4[[#This Row],[Sales]]&gt;=20000,"Average Sale",Table4[[#This Row],[Sales]]&gt;0,"Poor Sale")</f>
        <v>Poor Sale</v>
      </c>
      <c r="M61" s="32" t="str" cm="1">
        <f t="array" ref="M61">_xlfn.IFS(Table4[[#This Row],[Sales]]&gt;=40000,"Best", Table4[[#This Row],[Sales]]&gt;=35000,"Average",Table4[[#This Row],[Sales]]&gt;0,"Poor")</f>
        <v>Poor</v>
      </c>
    </row>
    <row r="62" spans="1:13" x14ac:dyDescent="0.3">
      <c r="A62" s="13">
        <v>61</v>
      </c>
      <c r="B62" s="14">
        <v>44992</v>
      </c>
      <c r="C62" s="15" t="s">
        <v>22</v>
      </c>
      <c r="D62" s="15" t="s">
        <v>22</v>
      </c>
      <c r="E62" s="15" t="s">
        <v>23</v>
      </c>
      <c r="F62" s="15" t="s">
        <v>13</v>
      </c>
      <c r="G62" s="15" t="s">
        <v>14</v>
      </c>
      <c r="H62" s="16">
        <v>29105.97</v>
      </c>
      <c r="I62" s="15">
        <v>7</v>
      </c>
      <c r="J62" s="17">
        <v>7986.26</v>
      </c>
      <c r="K62" s="20" t="str">
        <f>IF(Table4[[#This Row],[Sales]]&gt;=40000,"BEST SALE","POOR SALE")</f>
        <v>POOR SALE</v>
      </c>
      <c r="L62" s="30" t="str" cm="1">
        <f t="array" ref="L62">_xlfn.IFS(Table4[[#This Row],[Sales]]&gt;=40000,"Best Sale", Table4[[#This Row],[Sales]]&gt;=20000,"Average Sale",Table4[[#This Row],[Sales]]&gt;0,"Poor Sale")</f>
        <v>Average Sale</v>
      </c>
      <c r="M62" s="32" t="str" cm="1">
        <f t="array" ref="M62">_xlfn.IFS(Table4[[#This Row],[Sales]]&gt;=40000,"Best", Table4[[#This Row],[Sales]]&gt;=35000,"Average",Table4[[#This Row],[Sales]]&gt;0,"Poor")</f>
        <v>Poor</v>
      </c>
    </row>
    <row r="63" spans="1:13" x14ac:dyDescent="0.3">
      <c r="A63" s="18">
        <v>62</v>
      </c>
      <c r="B63" s="19">
        <v>44987</v>
      </c>
      <c r="C63" s="20" t="s">
        <v>18</v>
      </c>
      <c r="D63" s="20" t="s">
        <v>19</v>
      </c>
      <c r="E63" s="20" t="s">
        <v>23</v>
      </c>
      <c r="F63" s="20" t="s">
        <v>13</v>
      </c>
      <c r="G63" s="20" t="s">
        <v>21</v>
      </c>
      <c r="H63" s="21">
        <v>42202.76</v>
      </c>
      <c r="I63" s="20">
        <v>10</v>
      </c>
      <c r="J63" s="22">
        <v>5345.77</v>
      </c>
      <c r="K63" s="20" t="str">
        <f>IF(Table4[[#This Row],[Sales]]&gt;=40000,"BEST SALE","POOR SALE")</f>
        <v>BEST SALE</v>
      </c>
      <c r="L63" s="30" t="str" cm="1">
        <f t="array" ref="L63">_xlfn.IFS(Table4[[#This Row],[Sales]]&gt;=40000,"Best Sale", Table4[[#This Row],[Sales]]&gt;=20000,"Average Sale",Table4[[#This Row],[Sales]]&gt;0,"Poor Sale")</f>
        <v>Best Sale</v>
      </c>
      <c r="M63" s="32" t="str" cm="1">
        <f t="array" ref="M63">_xlfn.IFS(Table4[[#This Row],[Sales]]&gt;=40000,"Best", Table4[[#This Row],[Sales]]&gt;=35000,"Average",Table4[[#This Row],[Sales]]&gt;0,"Poor")</f>
        <v>Best</v>
      </c>
    </row>
    <row r="64" spans="1:13" x14ac:dyDescent="0.3">
      <c r="A64" s="13">
        <v>63</v>
      </c>
      <c r="B64" s="14">
        <v>45126</v>
      </c>
      <c r="C64" s="15" t="s">
        <v>15</v>
      </c>
      <c r="D64" s="15" t="s">
        <v>16</v>
      </c>
      <c r="E64" s="15" t="s">
        <v>23</v>
      </c>
      <c r="F64" s="15" t="s">
        <v>31</v>
      </c>
      <c r="G64" s="15" t="s">
        <v>33</v>
      </c>
      <c r="H64" s="16">
        <v>16484.55</v>
      </c>
      <c r="I64" s="15">
        <v>9</v>
      </c>
      <c r="J64" s="17">
        <v>1351</v>
      </c>
      <c r="K64" s="20" t="str">
        <f>IF(Table4[[#This Row],[Sales]]&gt;=40000,"BEST SALE","POOR SALE")</f>
        <v>POOR SALE</v>
      </c>
      <c r="L64" s="30" t="str" cm="1">
        <f t="array" ref="L64">_xlfn.IFS(Table4[[#This Row],[Sales]]&gt;=40000,"Best Sale", Table4[[#This Row],[Sales]]&gt;=20000,"Average Sale",Table4[[#This Row],[Sales]]&gt;0,"Poor Sale")</f>
        <v>Poor Sale</v>
      </c>
      <c r="M64" s="32" t="str" cm="1">
        <f t="array" ref="M64">_xlfn.IFS(Table4[[#This Row],[Sales]]&gt;=40000,"Best", Table4[[#This Row],[Sales]]&gt;=35000,"Average",Table4[[#This Row],[Sales]]&gt;0,"Poor")</f>
        <v>Poor</v>
      </c>
    </row>
    <row r="65" spans="1:13" x14ac:dyDescent="0.3">
      <c r="A65" s="18">
        <v>64</v>
      </c>
      <c r="B65" s="19">
        <v>45216</v>
      </c>
      <c r="C65" s="20" t="s">
        <v>15</v>
      </c>
      <c r="D65" s="20" t="s">
        <v>16</v>
      </c>
      <c r="E65" s="20" t="s">
        <v>23</v>
      </c>
      <c r="F65" s="20" t="s">
        <v>24</v>
      </c>
      <c r="G65" s="20" t="s">
        <v>28</v>
      </c>
      <c r="H65" s="21">
        <v>48949.84</v>
      </c>
      <c r="I65" s="20">
        <v>9</v>
      </c>
      <c r="J65" s="22">
        <v>10667.27</v>
      </c>
      <c r="K65" s="20" t="str">
        <f>IF(Table4[[#This Row],[Sales]]&gt;=40000,"BEST SALE","POOR SALE")</f>
        <v>BEST SALE</v>
      </c>
      <c r="L65" s="30" t="str" cm="1">
        <f t="array" ref="L65">_xlfn.IFS(Table4[[#This Row],[Sales]]&gt;=40000,"Best Sale", Table4[[#This Row],[Sales]]&gt;=20000,"Average Sale",Table4[[#This Row],[Sales]]&gt;0,"Poor Sale")</f>
        <v>Best Sale</v>
      </c>
      <c r="M65" s="32" t="str" cm="1">
        <f t="array" ref="M65">_xlfn.IFS(Table4[[#This Row],[Sales]]&gt;=40000,"Best", Table4[[#This Row],[Sales]]&gt;=35000,"Average",Table4[[#This Row],[Sales]]&gt;0,"Poor")</f>
        <v>Best</v>
      </c>
    </row>
    <row r="66" spans="1:13" x14ac:dyDescent="0.3">
      <c r="A66" s="13">
        <v>65</v>
      </c>
      <c r="B66" s="14">
        <v>45173</v>
      </c>
      <c r="C66" s="15" t="s">
        <v>30</v>
      </c>
      <c r="D66" s="15" t="s">
        <v>16</v>
      </c>
      <c r="E66" s="15" t="s">
        <v>23</v>
      </c>
      <c r="F66" s="15" t="s">
        <v>24</v>
      </c>
      <c r="G66" s="15" t="s">
        <v>28</v>
      </c>
      <c r="H66" s="16">
        <v>19183.52</v>
      </c>
      <c r="I66" s="15">
        <v>5</v>
      </c>
      <c r="J66" s="17">
        <v>2804.51</v>
      </c>
      <c r="K66" s="20" t="str">
        <f>IF(Table4[[#This Row],[Sales]]&gt;=40000,"BEST SALE","POOR SALE")</f>
        <v>POOR SALE</v>
      </c>
      <c r="L66" s="30" t="str" cm="1">
        <f t="array" ref="L66">_xlfn.IFS(Table4[[#This Row],[Sales]]&gt;=40000,"Best Sale", Table4[[#This Row],[Sales]]&gt;=20000,"Average Sale",Table4[[#This Row],[Sales]]&gt;0,"Poor Sale")</f>
        <v>Poor Sale</v>
      </c>
      <c r="M66" s="32" t="str" cm="1">
        <f t="array" ref="M66">_xlfn.IFS(Table4[[#This Row],[Sales]]&gt;=40000,"Best", Table4[[#This Row],[Sales]]&gt;=35000,"Average",Table4[[#This Row],[Sales]]&gt;0,"Poor")</f>
        <v>Poor</v>
      </c>
    </row>
    <row r="67" spans="1:13" x14ac:dyDescent="0.3">
      <c r="A67" s="18">
        <v>66</v>
      </c>
      <c r="B67" s="19">
        <v>45163</v>
      </c>
      <c r="C67" s="20" t="s">
        <v>22</v>
      </c>
      <c r="D67" s="20" t="s">
        <v>22</v>
      </c>
      <c r="E67" s="20" t="s">
        <v>23</v>
      </c>
      <c r="F67" s="20" t="s">
        <v>13</v>
      </c>
      <c r="G67" s="20" t="s">
        <v>34</v>
      </c>
      <c r="H67" s="21">
        <v>25834.9</v>
      </c>
      <c r="I67" s="20">
        <v>2</v>
      </c>
      <c r="J67" s="22">
        <v>6880.51</v>
      </c>
      <c r="K67" s="20" t="str">
        <f>IF(Table4[[#This Row],[Sales]]&gt;=40000,"BEST SALE","POOR SALE")</f>
        <v>POOR SALE</v>
      </c>
      <c r="L67" s="30" t="str" cm="1">
        <f t="array" ref="L67">_xlfn.IFS(Table4[[#This Row],[Sales]]&gt;=40000,"Best Sale", Table4[[#This Row],[Sales]]&gt;=20000,"Average Sale",Table4[[#This Row],[Sales]]&gt;0,"Poor Sale")</f>
        <v>Average Sale</v>
      </c>
      <c r="M67" s="32" t="str" cm="1">
        <f t="array" ref="M67">_xlfn.IFS(Table4[[#This Row],[Sales]]&gt;=40000,"Best", Table4[[#This Row],[Sales]]&gt;=35000,"Average",Table4[[#This Row],[Sales]]&gt;0,"Poor")</f>
        <v>Poor</v>
      </c>
    </row>
    <row r="68" spans="1:13" x14ac:dyDescent="0.3">
      <c r="A68" s="13">
        <v>67</v>
      </c>
      <c r="B68" s="14">
        <v>44930</v>
      </c>
      <c r="C68" s="15" t="s">
        <v>22</v>
      </c>
      <c r="D68" s="15" t="s">
        <v>22</v>
      </c>
      <c r="E68" s="15" t="s">
        <v>12</v>
      </c>
      <c r="F68" s="15" t="s">
        <v>13</v>
      </c>
      <c r="G68" s="15" t="s">
        <v>34</v>
      </c>
      <c r="H68" s="16">
        <v>37162.660000000003</v>
      </c>
      <c r="I68" s="15">
        <v>8</v>
      </c>
      <c r="J68" s="17">
        <v>5652.71</v>
      </c>
      <c r="K68" s="20" t="str">
        <f>IF(Table4[[#This Row],[Sales]]&gt;=40000,"BEST SALE","POOR SALE")</f>
        <v>POOR SALE</v>
      </c>
      <c r="L68" s="30" t="str" cm="1">
        <f t="array" ref="L68">_xlfn.IFS(Table4[[#This Row],[Sales]]&gt;=40000,"Best Sale", Table4[[#This Row],[Sales]]&gt;=20000,"Average Sale",Table4[[#This Row],[Sales]]&gt;0,"Poor Sale")</f>
        <v>Average Sale</v>
      </c>
      <c r="M68" s="32" t="str" cm="1">
        <f t="array" ref="M68">_xlfn.IFS(Table4[[#This Row],[Sales]]&gt;=40000,"Best", Table4[[#This Row],[Sales]]&gt;=35000,"Average",Table4[[#This Row],[Sales]]&gt;0,"Poor")</f>
        <v>Average</v>
      </c>
    </row>
    <row r="69" spans="1:13" x14ac:dyDescent="0.3">
      <c r="A69" s="18">
        <v>68</v>
      </c>
      <c r="B69" s="19">
        <v>45098</v>
      </c>
      <c r="C69" s="20" t="s">
        <v>30</v>
      </c>
      <c r="D69" s="20" t="s">
        <v>16</v>
      </c>
      <c r="E69" s="20" t="s">
        <v>17</v>
      </c>
      <c r="F69" s="20" t="s">
        <v>24</v>
      </c>
      <c r="G69" s="20" t="s">
        <v>25</v>
      </c>
      <c r="H69" s="21">
        <v>28938.6</v>
      </c>
      <c r="I69" s="20">
        <v>10</v>
      </c>
      <c r="J69" s="22">
        <v>7700.06</v>
      </c>
      <c r="K69" s="20" t="str">
        <f>IF(Table4[[#This Row],[Sales]]&gt;=40000,"BEST SALE","POOR SALE")</f>
        <v>POOR SALE</v>
      </c>
      <c r="L69" s="30" t="str" cm="1">
        <f t="array" ref="L69">_xlfn.IFS(Table4[[#This Row],[Sales]]&gt;=40000,"Best Sale", Table4[[#This Row],[Sales]]&gt;=20000,"Average Sale",Table4[[#This Row],[Sales]]&gt;0,"Poor Sale")</f>
        <v>Average Sale</v>
      </c>
      <c r="M69" s="32" t="str" cm="1">
        <f t="array" ref="M69">_xlfn.IFS(Table4[[#This Row],[Sales]]&gt;=40000,"Best", Table4[[#This Row],[Sales]]&gt;=35000,"Average",Table4[[#This Row],[Sales]]&gt;0,"Poor")</f>
        <v>Poor</v>
      </c>
    </row>
    <row r="70" spans="1:13" x14ac:dyDescent="0.3">
      <c r="A70" s="13">
        <v>69</v>
      </c>
      <c r="B70" s="14">
        <v>45268</v>
      </c>
      <c r="C70" s="15" t="s">
        <v>38</v>
      </c>
      <c r="D70" s="15" t="s">
        <v>27</v>
      </c>
      <c r="E70" s="15" t="s">
        <v>17</v>
      </c>
      <c r="F70" s="15" t="s">
        <v>24</v>
      </c>
      <c r="G70" s="15" t="s">
        <v>25</v>
      </c>
      <c r="H70" s="16">
        <v>10690.45</v>
      </c>
      <c r="I70" s="15">
        <v>5</v>
      </c>
      <c r="J70" s="17">
        <v>2992.24</v>
      </c>
      <c r="K70" s="20" t="str">
        <f>IF(Table4[[#This Row],[Sales]]&gt;=40000,"BEST SALE","POOR SALE")</f>
        <v>POOR SALE</v>
      </c>
      <c r="L70" s="30" t="str" cm="1">
        <f t="array" ref="L70">_xlfn.IFS(Table4[[#This Row],[Sales]]&gt;=40000,"Best Sale", Table4[[#This Row],[Sales]]&gt;=20000,"Average Sale",Table4[[#This Row],[Sales]]&gt;0,"Poor Sale")</f>
        <v>Poor Sale</v>
      </c>
      <c r="M70" s="32" t="str" cm="1">
        <f t="array" ref="M70">_xlfn.IFS(Table4[[#This Row],[Sales]]&gt;=40000,"Best", Table4[[#This Row],[Sales]]&gt;=35000,"Average",Table4[[#This Row],[Sales]]&gt;0,"Poor")</f>
        <v>Poor</v>
      </c>
    </row>
    <row r="71" spans="1:13" x14ac:dyDescent="0.3">
      <c r="A71" s="18">
        <v>70</v>
      </c>
      <c r="B71" s="19">
        <v>45137</v>
      </c>
      <c r="C71" s="20" t="s">
        <v>22</v>
      </c>
      <c r="D71" s="20" t="s">
        <v>22</v>
      </c>
      <c r="E71" s="20" t="s">
        <v>12</v>
      </c>
      <c r="F71" s="20" t="s">
        <v>31</v>
      </c>
      <c r="G71" s="20" t="s">
        <v>39</v>
      </c>
      <c r="H71" s="21">
        <v>4383.75</v>
      </c>
      <c r="I71" s="20">
        <v>1</v>
      </c>
      <c r="J71" s="22">
        <v>918.46</v>
      </c>
      <c r="K71" s="20" t="str">
        <f>IF(Table4[[#This Row],[Sales]]&gt;=40000,"BEST SALE","POOR SALE")</f>
        <v>POOR SALE</v>
      </c>
      <c r="L71" s="30" t="str" cm="1">
        <f t="array" ref="L71">_xlfn.IFS(Table4[[#This Row],[Sales]]&gt;=40000,"Best Sale", Table4[[#This Row],[Sales]]&gt;=20000,"Average Sale",Table4[[#This Row],[Sales]]&gt;0,"Poor Sale")</f>
        <v>Poor Sale</v>
      </c>
      <c r="M71" s="32" t="str" cm="1">
        <f t="array" ref="M71">_xlfn.IFS(Table4[[#This Row],[Sales]]&gt;=40000,"Best", Table4[[#This Row],[Sales]]&gt;=35000,"Average",Table4[[#This Row],[Sales]]&gt;0,"Poor")</f>
        <v>Poor</v>
      </c>
    </row>
    <row r="72" spans="1:13" x14ac:dyDescent="0.3">
      <c r="A72" s="13">
        <v>71</v>
      </c>
      <c r="B72" s="14">
        <v>45257</v>
      </c>
      <c r="C72" s="15" t="s">
        <v>30</v>
      </c>
      <c r="D72" s="15" t="s">
        <v>16</v>
      </c>
      <c r="E72" s="15" t="s">
        <v>12</v>
      </c>
      <c r="F72" s="15" t="s">
        <v>13</v>
      </c>
      <c r="G72" s="15" t="s">
        <v>21</v>
      </c>
      <c r="H72" s="16">
        <v>23844.99</v>
      </c>
      <c r="I72" s="15">
        <v>5</v>
      </c>
      <c r="J72" s="17">
        <v>2367.61</v>
      </c>
      <c r="K72" s="20" t="str">
        <f>IF(Table4[[#This Row],[Sales]]&gt;=40000,"BEST SALE","POOR SALE")</f>
        <v>POOR SALE</v>
      </c>
      <c r="L72" s="30" t="str" cm="1">
        <f t="array" ref="L72">_xlfn.IFS(Table4[[#This Row],[Sales]]&gt;=40000,"Best Sale", Table4[[#This Row],[Sales]]&gt;=20000,"Average Sale",Table4[[#This Row],[Sales]]&gt;0,"Poor Sale")</f>
        <v>Average Sale</v>
      </c>
      <c r="M72" s="32" t="str" cm="1">
        <f t="array" ref="M72">_xlfn.IFS(Table4[[#This Row],[Sales]]&gt;=40000,"Best", Table4[[#This Row],[Sales]]&gt;=35000,"Average",Table4[[#This Row],[Sales]]&gt;0,"Poor")</f>
        <v>Poor</v>
      </c>
    </row>
    <row r="73" spans="1:13" x14ac:dyDescent="0.3">
      <c r="A73" s="18">
        <v>72</v>
      </c>
      <c r="B73" s="19">
        <v>45214</v>
      </c>
      <c r="C73" s="20" t="s">
        <v>15</v>
      </c>
      <c r="D73" s="20" t="s">
        <v>16</v>
      </c>
      <c r="E73" s="20" t="s">
        <v>17</v>
      </c>
      <c r="F73" s="20" t="s">
        <v>24</v>
      </c>
      <c r="G73" s="20" t="s">
        <v>29</v>
      </c>
      <c r="H73" s="21">
        <v>48504.77</v>
      </c>
      <c r="I73" s="20">
        <v>10</v>
      </c>
      <c r="J73" s="22">
        <v>8679.41</v>
      </c>
      <c r="K73" s="20" t="str">
        <f>IF(Table4[[#This Row],[Sales]]&gt;=40000,"BEST SALE","POOR SALE")</f>
        <v>BEST SALE</v>
      </c>
      <c r="L73" s="30" t="str" cm="1">
        <f t="array" ref="L73">_xlfn.IFS(Table4[[#This Row],[Sales]]&gt;=40000,"Best Sale", Table4[[#This Row],[Sales]]&gt;=20000,"Average Sale",Table4[[#This Row],[Sales]]&gt;0,"Poor Sale")</f>
        <v>Best Sale</v>
      </c>
      <c r="M73" s="32" t="str" cm="1">
        <f t="array" ref="M73">_xlfn.IFS(Table4[[#This Row],[Sales]]&gt;=40000,"Best", Table4[[#This Row],[Sales]]&gt;=35000,"Average",Table4[[#This Row],[Sales]]&gt;0,"Poor")</f>
        <v>Best</v>
      </c>
    </row>
    <row r="74" spans="1:13" x14ac:dyDescent="0.3">
      <c r="A74" s="13">
        <v>73</v>
      </c>
      <c r="B74" s="14">
        <v>45053</v>
      </c>
      <c r="C74" s="15" t="s">
        <v>37</v>
      </c>
      <c r="D74" s="15" t="s">
        <v>27</v>
      </c>
      <c r="E74" s="15" t="s">
        <v>12</v>
      </c>
      <c r="F74" s="15" t="s">
        <v>31</v>
      </c>
      <c r="G74" s="15" t="s">
        <v>32</v>
      </c>
      <c r="H74" s="16">
        <v>10052.780000000001</v>
      </c>
      <c r="I74" s="15">
        <v>8</v>
      </c>
      <c r="J74" s="17">
        <v>2293.2600000000002</v>
      </c>
      <c r="K74" s="20" t="str">
        <f>IF(Table4[[#This Row],[Sales]]&gt;=40000,"BEST SALE","POOR SALE")</f>
        <v>POOR SALE</v>
      </c>
      <c r="L74" s="30" t="str" cm="1">
        <f t="array" ref="L74">_xlfn.IFS(Table4[[#This Row],[Sales]]&gt;=40000,"Best Sale", Table4[[#This Row],[Sales]]&gt;=20000,"Average Sale",Table4[[#This Row],[Sales]]&gt;0,"Poor Sale")</f>
        <v>Poor Sale</v>
      </c>
      <c r="M74" s="32" t="str" cm="1">
        <f t="array" ref="M74">_xlfn.IFS(Table4[[#This Row],[Sales]]&gt;=40000,"Best", Table4[[#This Row],[Sales]]&gt;=35000,"Average",Table4[[#This Row],[Sales]]&gt;0,"Poor")</f>
        <v>Poor</v>
      </c>
    </row>
    <row r="75" spans="1:13" x14ac:dyDescent="0.3">
      <c r="A75" s="18">
        <v>74</v>
      </c>
      <c r="B75" s="19">
        <v>44964</v>
      </c>
      <c r="C75" s="20" t="s">
        <v>37</v>
      </c>
      <c r="D75" s="20" t="s">
        <v>27</v>
      </c>
      <c r="E75" s="20" t="s">
        <v>17</v>
      </c>
      <c r="F75" s="20" t="s">
        <v>13</v>
      </c>
      <c r="G75" s="20" t="s">
        <v>34</v>
      </c>
      <c r="H75" s="21">
        <v>47147.42</v>
      </c>
      <c r="I75" s="20">
        <v>6</v>
      </c>
      <c r="J75" s="22">
        <v>9546.64</v>
      </c>
      <c r="K75" s="20" t="str">
        <f>IF(Table4[[#This Row],[Sales]]&gt;=40000,"BEST SALE","POOR SALE")</f>
        <v>BEST SALE</v>
      </c>
      <c r="L75" s="30" t="str" cm="1">
        <f t="array" ref="L75">_xlfn.IFS(Table4[[#This Row],[Sales]]&gt;=40000,"Best Sale", Table4[[#This Row],[Sales]]&gt;=20000,"Average Sale",Table4[[#This Row],[Sales]]&gt;0,"Poor Sale")</f>
        <v>Best Sale</v>
      </c>
      <c r="M75" s="32" t="str" cm="1">
        <f t="array" ref="M75">_xlfn.IFS(Table4[[#This Row],[Sales]]&gt;=40000,"Best", Table4[[#This Row],[Sales]]&gt;=35000,"Average",Table4[[#This Row],[Sales]]&gt;0,"Poor")</f>
        <v>Best</v>
      </c>
    </row>
    <row r="76" spans="1:13" x14ac:dyDescent="0.3">
      <c r="A76" s="13">
        <v>75</v>
      </c>
      <c r="B76" s="14">
        <v>45109</v>
      </c>
      <c r="C76" s="15" t="s">
        <v>37</v>
      </c>
      <c r="D76" s="15" t="s">
        <v>27</v>
      </c>
      <c r="E76" s="15" t="s">
        <v>20</v>
      </c>
      <c r="F76" s="15" t="s">
        <v>13</v>
      </c>
      <c r="G76" s="15" t="s">
        <v>14</v>
      </c>
      <c r="H76" s="16">
        <v>35496.660000000003</v>
      </c>
      <c r="I76" s="15">
        <v>8</v>
      </c>
      <c r="J76" s="17">
        <v>8170.12</v>
      </c>
      <c r="K76" s="20" t="str">
        <f>IF(Table4[[#This Row],[Sales]]&gt;=40000,"BEST SALE","POOR SALE")</f>
        <v>POOR SALE</v>
      </c>
      <c r="L76" s="30" t="str" cm="1">
        <f t="array" ref="L76">_xlfn.IFS(Table4[[#This Row],[Sales]]&gt;=40000,"Best Sale", Table4[[#This Row],[Sales]]&gt;=20000,"Average Sale",Table4[[#This Row],[Sales]]&gt;0,"Poor Sale")</f>
        <v>Average Sale</v>
      </c>
      <c r="M76" s="32" t="str" cm="1">
        <f t="array" ref="M76">_xlfn.IFS(Table4[[#This Row],[Sales]]&gt;=40000,"Best", Table4[[#This Row],[Sales]]&gt;=35000,"Average",Table4[[#This Row],[Sales]]&gt;0,"Poor")</f>
        <v>Average</v>
      </c>
    </row>
    <row r="77" spans="1:13" x14ac:dyDescent="0.3">
      <c r="A77" s="18">
        <v>76</v>
      </c>
      <c r="B77" s="19">
        <v>45274</v>
      </c>
      <c r="C77" s="20" t="s">
        <v>35</v>
      </c>
      <c r="D77" s="20" t="s">
        <v>36</v>
      </c>
      <c r="E77" s="20" t="s">
        <v>20</v>
      </c>
      <c r="F77" s="20" t="s">
        <v>13</v>
      </c>
      <c r="G77" s="20" t="s">
        <v>34</v>
      </c>
      <c r="H77" s="21">
        <v>33753.199999999997</v>
      </c>
      <c r="I77" s="20">
        <v>9</v>
      </c>
      <c r="J77" s="22">
        <v>4284.71</v>
      </c>
      <c r="K77" s="20" t="str">
        <f>IF(Table4[[#This Row],[Sales]]&gt;=40000,"BEST SALE","POOR SALE")</f>
        <v>POOR SALE</v>
      </c>
      <c r="L77" s="30" t="str" cm="1">
        <f t="array" ref="L77">_xlfn.IFS(Table4[[#This Row],[Sales]]&gt;=40000,"Best Sale", Table4[[#This Row],[Sales]]&gt;=20000,"Average Sale",Table4[[#This Row],[Sales]]&gt;0,"Poor Sale")</f>
        <v>Average Sale</v>
      </c>
      <c r="M77" s="32" t="str" cm="1">
        <f t="array" ref="M77">_xlfn.IFS(Table4[[#This Row],[Sales]]&gt;=40000,"Best", Table4[[#This Row],[Sales]]&gt;=35000,"Average",Table4[[#This Row],[Sales]]&gt;0,"Poor")</f>
        <v>Poor</v>
      </c>
    </row>
    <row r="78" spans="1:13" x14ac:dyDescent="0.3">
      <c r="A78" s="13">
        <v>77</v>
      </c>
      <c r="B78" s="14">
        <v>45228</v>
      </c>
      <c r="C78" s="15" t="s">
        <v>35</v>
      </c>
      <c r="D78" s="15" t="s">
        <v>36</v>
      </c>
      <c r="E78" s="15" t="s">
        <v>20</v>
      </c>
      <c r="F78" s="15" t="s">
        <v>31</v>
      </c>
      <c r="G78" s="15" t="s">
        <v>39</v>
      </c>
      <c r="H78" s="16">
        <v>7488.8</v>
      </c>
      <c r="I78" s="15">
        <v>5</v>
      </c>
      <c r="J78" s="17">
        <v>2208.5100000000002</v>
      </c>
      <c r="K78" s="20" t="str">
        <f>IF(Table4[[#This Row],[Sales]]&gt;=40000,"BEST SALE","POOR SALE")</f>
        <v>POOR SALE</v>
      </c>
      <c r="L78" s="30" t="str" cm="1">
        <f t="array" ref="L78">_xlfn.IFS(Table4[[#This Row],[Sales]]&gt;=40000,"Best Sale", Table4[[#This Row],[Sales]]&gt;=20000,"Average Sale",Table4[[#This Row],[Sales]]&gt;0,"Poor Sale")</f>
        <v>Poor Sale</v>
      </c>
      <c r="M78" s="32" t="str" cm="1">
        <f t="array" ref="M78">_xlfn.IFS(Table4[[#This Row],[Sales]]&gt;=40000,"Best", Table4[[#This Row],[Sales]]&gt;=35000,"Average",Table4[[#This Row],[Sales]]&gt;0,"Poor")</f>
        <v>Poor</v>
      </c>
    </row>
    <row r="79" spans="1:13" x14ac:dyDescent="0.3">
      <c r="A79" s="18">
        <v>78</v>
      </c>
      <c r="B79" s="19">
        <v>45135</v>
      </c>
      <c r="C79" s="20" t="s">
        <v>22</v>
      </c>
      <c r="D79" s="20" t="s">
        <v>22</v>
      </c>
      <c r="E79" s="20" t="s">
        <v>20</v>
      </c>
      <c r="F79" s="20" t="s">
        <v>13</v>
      </c>
      <c r="G79" s="20" t="s">
        <v>34</v>
      </c>
      <c r="H79" s="21">
        <v>41949.599999999999</v>
      </c>
      <c r="I79" s="20">
        <v>1</v>
      </c>
      <c r="J79" s="22">
        <v>2775.01</v>
      </c>
      <c r="K79" s="20" t="str">
        <f>IF(Table4[[#This Row],[Sales]]&gt;=40000,"BEST SALE","POOR SALE")</f>
        <v>BEST SALE</v>
      </c>
      <c r="L79" s="30" t="str" cm="1">
        <f t="array" ref="L79">_xlfn.IFS(Table4[[#This Row],[Sales]]&gt;=40000,"Best Sale", Table4[[#This Row],[Sales]]&gt;=20000,"Average Sale",Table4[[#This Row],[Sales]]&gt;0,"Poor Sale")</f>
        <v>Best Sale</v>
      </c>
      <c r="M79" s="32" t="str" cm="1">
        <f t="array" ref="M79">_xlfn.IFS(Table4[[#This Row],[Sales]]&gt;=40000,"Best", Table4[[#This Row],[Sales]]&gt;=35000,"Average",Table4[[#This Row],[Sales]]&gt;0,"Poor")</f>
        <v>Best</v>
      </c>
    </row>
    <row r="80" spans="1:13" x14ac:dyDescent="0.3">
      <c r="A80" s="13">
        <v>79</v>
      </c>
      <c r="B80" s="14">
        <v>45008</v>
      </c>
      <c r="C80" s="15" t="s">
        <v>26</v>
      </c>
      <c r="D80" s="15" t="s">
        <v>27</v>
      </c>
      <c r="E80" s="15" t="s">
        <v>20</v>
      </c>
      <c r="F80" s="15" t="s">
        <v>24</v>
      </c>
      <c r="G80" s="15" t="s">
        <v>29</v>
      </c>
      <c r="H80" s="16">
        <v>34219.17</v>
      </c>
      <c r="I80" s="15">
        <v>5</v>
      </c>
      <c r="J80" s="17">
        <v>6904.79</v>
      </c>
      <c r="K80" s="20" t="str">
        <f>IF(Table4[[#This Row],[Sales]]&gt;=40000,"BEST SALE","POOR SALE")</f>
        <v>POOR SALE</v>
      </c>
      <c r="L80" s="30" t="str" cm="1">
        <f t="array" ref="L80">_xlfn.IFS(Table4[[#This Row],[Sales]]&gt;=40000,"Best Sale", Table4[[#This Row],[Sales]]&gt;=20000,"Average Sale",Table4[[#This Row],[Sales]]&gt;0,"Poor Sale")</f>
        <v>Average Sale</v>
      </c>
      <c r="M80" s="32" t="str" cm="1">
        <f t="array" ref="M80">_xlfn.IFS(Table4[[#This Row],[Sales]]&gt;=40000,"Best", Table4[[#This Row],[Sales]]&gt;=35000,"Average",Table4[[#This Row],[Sales]]&gt;0,"Poor")</f>
        <v>Poor</v>
      </c>
    </row>
    <row r="81" spans="1:13" x14ac:dyDescent="0.3">
      <c r="A81" s="18">
        <v>80</v>
      </c>
      <c r="B81" s="19">
        <v>45057</v>
      </c>
      <c r="C81" s="20" t="s">
        <v>30</v>
      </c>
      <c r="D81" s="20" t="s">
        <v>16</v>
      </c>
      <c r="E81" s="20" t="s">
        <v>20</v>
      </c>
      <c r="F81" s="20" t="s">
        <v>13</v>
      </c>
      <c r="G81" s="20" t="s">
        <v>21</v>
      </c>
      <c r="H81" s="21">
        <v>18981.490000000002</v>
      </c>
      <c r="I81" s="20">
        <v>2</v>
      </c>
      <c r="J81" s="22">
        <v>4601.25</v>
      </c>
      <c r="K81" s="20" t="str">
        <f>IF(Table4[[#This Row],[Sales]]&gt;=40000,"BEST SALE","POOR SALE")</f>
        <v>POOR SALE</v>
      </c>
      <c r="L81" s="30" t="str" cm="1">
        <f t="array" ref="L81">_xlfn.IFS(Table4[[#This Row],[Sales]]&gt;=40000,"Best Sale", Table4[[#This Row],[Sales]]&gt;=20000,"Average Sale",Table4[[#This Row],[Sales]]&gt;0,"Poor Sale")</f>
        <v>Poor Sale</v>
      </c>
      <c r="M81" s="32" t="str" cm="1">
        <f t="array" ref="M81">_xlfn.IFS(Table4[[#This Row],[Sales]]&gt;=40000,"Best", Table4[[#This Row],[Sales]]&gt;=35000,"Average",Table4[[#This Row],[Sales]]&gt;0,"Poor")</f>
        <v>Poor</v>
      </c>
    </row>
    <row r="82" spans="1:13" x14ac:dyDescent="0.3">
      <c r="A82" s="13">
        <v>81</v>
      </c>
      <c r="B82" s="14">
        <v>45074</v>
      </c>
      <c r="C82" s="15" t="s">
        <v>38</v>
      </c>
      <c r="D82" s="15" t="s">
        <v>27</v>
      </c>
      <c r="E82" s="15" t="s">
        <v>20</v>
      </c>
      <c r="F82" s="15" t="s">
        <v>13</v>
      </c>
      <c r="G82" s="15" t="s">
        <v>34</v>
      </c>
      <c r="H82" s="16">
        <v>13262.03</v>
      </c>
      <c r="I82" s="15">
        <v>3</v>
      </c>
      <c r="J82" s="17">
        <v>1704.76</v>
      </c>
      <c r="K82" s="20" t="str">
        <f>IF(Table4[[#This Row],[Sales]]&gt;=40000,"BEST SALE","POOR SALE")</f>
        <v>POOR SALE</v>
      </c>
      <c r="L82" s="30" t="str" cm="1">
        <f t="array" ref="L82">_xlfn.IFS(Table4[[#This Row],[Sales]]&gt;=40000,"Best Sale", Table4[[#This Row],[Sales]]&gt;=20000,"Average Sale",Table4[[#This Row],[Sales]]&gt;0,"Poor Sale")</f>
        <v>Poor Sale</v>
      </c>
      <c r="M82" s="32" t="str" cm="1">
        <f t="array" ref="M82">_xlfn.IFS(Table4[[#This Row],[Sales]]&gt;=40000,"Best", Table4[[#This Row],[Sales]]&gt;=35000,"Average",Table4[[#This Row],[Sales]]&gt;0,"Poor")</f>
        <v>Poor</v>
      </c>
    </row>
    <row r="83" spans="1:13" x14ac:dyDescent="0.3">
      <c r="A83" s="18">
        <v>82</v>
      </c>
      <c r="B83" s="19">
        <v>45007</v>
      </c>
      <c r="C83" s="20" t="s">
        <v>30</v>
      </c>
      <c r="D83" s="20" t="s">
        <v>16</v>
      </c>
      <c r="E83" s="20" t="s">
        <v>20</v>
      </c>
      <c r="F83" s="20" t="s">
        <v>31</v>
      </c>
      <c r="G83" s="20" t="s">
        <v>33</v>
      </c>
      <c r="H83" s="21">
        <v>28533.71</v>
      </c>
      <c r="I83" s="20">
        <v>7</v>
      </c>
      <c r="J83" s="22">
        <v>5376.75</v>
      </c>
      <c r="K83" s="20" t="str">
        <f>IF(Table4[[#This Row],[Sales]]&gt;=40000,"BEST SALE","POOR SALE")</f>
        <v>POOR SALE</v>
      </c>
      <c r="L83" s="30" t="str" cm="1">
        <f t="array" ref="L83">_xlfn.IFS(Table4[[#This Row],[Sales]]&gt;=40000,"Best Sale", Table4[[#This Row],[Sales]]&gt;=20000,"Average Sale",Table4[[#This Row],[Sales]]&gt;0,"Poor Sale")</f>
        <v>Average Sale</v>
      </c>
      <c r="M83" s="32" t="str" cm="1">
        <f t="array" ref="M83">_xlfn.IFS(Table4[[#This Row],[Sales]]&gt;=40000,"Best", Table4[[#This Row],[Sales]]&gt;=35000,"Average",Table4[[#This Row],[Sales]]&gt;0,"Poor")</f>
        <v>Poor</v>
      </c>
    </row>
    <row r="84" spans="1:13" x14ac:dyDescent="0.3">
      <c r="A84" s="13">
        <v>83</v>
      </c>
      <c r="B84" s="14">
        <v>45065</v>
      </c>
      <c r="C84" s="15" t="s">
        <v>38</v>
      </c>
      <c r="D84" s="15" t="s">
        <v>27</v>
      </c>
      <c r="E84" s="15" t="s">
        <v>20</v>
      </c>
      <c r="F84" s="15" t="s">
        <v>31</v>
      </c>
      <c r="G84" s="15" t="s">
        <v>32</v>
      </c>
      <c r="H84" s="16">
        <v>23050.22</v>
      </c>
      <c r="I84" s="15">
        <v>9</v>
      </c>
      <c r="J84" s="17">
        <v>3097.82</v>
      </c>
      <c r="K84" s="20" t="str">
        <f>IF(Table4[[#This Row],[Sales]]&gt;=40000,"BEST SALE","POOR SALE")</f>
        <v>POOR SALE</v>
      </c>
      <c r="L84" s="30" t="str" cm="1">
        <f t="array" ref="L84">_xlfn.IFS(Table4[[#This Row],[Sales]]&gt;=40000,"Best Sale", Table4[[#This Row],[Sales]]&gt;=20000,"Average Sale",Table4[[#This Row],[Sales]]&gt;0,"Poor Sale")</f>
        <v>Average Sale</v>
      </c>
      <c r="M84" s="32" t="str" cm="1">
        <f t="array" ref="M84">_xlfn.IFS(Table4[[#This Row],[Sales]]&gt;=40000,"Best", Table4[[#This Row],[Sales]]&gt;=35000,"Average",Table4[[#This Row],[Sales]]&gt;0,"Poor")</f>
        <v>Poor</v>
      </c>
    </row>
    <row r="85" spans="1:13" x14ac:dyDescent="0.3">
      <c r="A85" s="18">
        <v>84</v>
      </c>
      <c r="B85" s="19">
        <v>45083</v>
      </c>
      <c r="C85" s="20" t="s">
        <v>22</v>
      </c>
      <c r="D85" s="20" t="s">
        <v>22</v>
      </c>
      <c r="E85" s="20" t="s">
        <v>20</v>
      </c>
      <c r="F85" s="20" t="s">
        <v>13</v>
      </c>
      <c r="G85" s="20" t="s">
        <v>34</v>
      </c>
      <c r="H85" s="21">
        <v>5628.94</v>
      </c>
      <c r="I85" s="20">
        <v>10</v>
      </c>
      <c r="J85" s="22">
        <v>502.11</v>
      </c>
      <c r="K85" s="20" t="str">
        <f>IF(Table4[[#This Row],[Sales]]&gt;=40000,"BEST SALE","POOR SALE")</f>
        <v>POOR SALE</v>
      </c>
      <c r="L85" s="30" t="str" cm="1">
        <f t="array" ref="L85">_xlfn.IFS(Table4[[#This Row],[Sales]]&gt;=40000,"Best Sale", Table4[[#This Row],[Sales]]&gt;=20000,"Average Sale",Table4[[#This Row],[Sales]]&gt;0,"Poor Sale")</f>
        <v>Poor Sale</v>
      </c>
      <c r="M85" s="32" t="str" cm="1">
        <f t="array" ref="M85">_xlfn.IFS(Table4[[#This Row],[Sales]]&gt;=40000,"Best", Table4[[#This Row],[Sales]]&gt;=35000,"Average",Table4[[#This Row],[Sales]]&gt;0,"Poor")</f>
        <v>Poor</v>
      </c>
    </row>
    <row r="86" spans="1:13" x14ac:dyDescent="0.3">
      <c r="A86" s="13">
        <v>85</v>
      </c>
      <c r="B86" s="14">
        <v>45094</v>
      </c>
      <c r="C86" s="15" t="s">
        <v>26</v>
      </c>
      <c r="D86" s="15" t="s">
        <v>27</v>
      </c>
      <c r="E86" s="15" t="s">
        <v>20</v>
      </c>
      <c r="F86" s="15" t="s">
        <v>13</v>
      </c>
      <c r="G86" s="15" t="s">
        <v>34</v>
      </c>
      <c r="H86" s="16">
        <v>24580.28</v>
      </c>
      <c r="I86" s="15">
        <v>4</v>
      </c>
      <c r="J86" s="17">
        <v>4569.32</v>
      </c>
      <c r="K86" s="20" t="str">
        <f>IF(Table4[[#This Row],[Sales]]&gt;=40000,"BEST SALE","POOR SALE")</f>
        <v>POOR SALE</v>
      </c>
      <c r="L86" s="30" t="str" cm="1">
        <f t="array" ref="L86">_xlfn.IFS(Table4[[#This Row],[Sales]]&gt;=40000,"Best Sale", Table4[[#This Row],[Sales]]&gt;=20000,"Average Sale",Table4[[#This Row],[Sales]]&gt;0,"Poor Sale")</f>
        <v>Average Sale</v>
      </c>
      <c r="M86" s="32" t="str" cm="1">
        <f t="array" ref="M86">_xlfn.IFS(Table4[[#This Row],[Sales]]&gt;=40000,"Best", Table4[[#This Row],[Sales]]&gt;=35000,"Average",Table4[[#This Row],[Sales]]&gt;0,"Poor")</f>
        <v>Poor</v>
      </c>
    </row>
    <row r="87" spans="1:13" x14ac:dyDescent="0.3">
      <c r="A87" s="18">
        <v>86</v>
      </c>
      <c r="B87" s="19">
        <v>45167</v>
      </c>
      <c r="C87" s="20" t="s">
        <v>15</v>
      </c>
      <c r="D87" s="20" t="s">
        <v>16</v>
      </c>
      <c r="E87" s="20" t="s">
        <v>20</v>
      </c>
      <c r="F87" s="20" t="s">
        <v>31</v>
      </c>
      <c r="G87" s="20" t="s">
        <v>33</v>
      </c>
      <c r="H87" s="21">
        <v>5581.58</v>
      </c>
      <c r="I87" s="20">
        <v>4</v>
      </c>
      <c r="J87" s="22">
        <v>1382.81</v>
      </c>
      <c r="K87" s="20" t="str">
        <f>IF(Table4[[#This Row],[Sales]]&gt;=40000,"BEST SALE","POOR SALE")</f>
        <v>POOR SALE</v>
      </c>
      <c r="L87" s="30" t="str" cm="1">
        <f t="array" ref="L87">_xlfn.IFS(Table4[[#This Row],[Sales]]&gt;=40000,"Best Sale", Table4[[#This Row],[Sales]]&gt;=20000,"Average Sale",Table4[[#This Row],[Sales]]&gt;0,"Poor Sale")</f>
        <v>Poor Sale</v>
      </c>
      <c r="M87" s="32" t="str" cm="1">
        <f t="array" ref="M87">_xlfn.IFS(Table4[[#This Row],[Sales]]&gt;=40000,"Best", Table4[[#This Row],[Sales]]&gt;=35000,"Average",Table4[[#This Row],[Sales]]&gt;0,"Poor")</f>
        <v>Poor</v>
      </c>
    </row>
    <row r="88" spans="1:13" x14ac:dyDescent="0.3">
      <c r="A88" s="13">
        <v>87</v>
      </c>
      <c r="B88" s="14">
        <v>45180</v>
      </c>
      <c r="C88" s="15" t="s">
        <v>38</v>
      </c>
      <c r="D88" s="15" t="s">
        <v>27</v>
      </c>
      <c r="E88" s="15" t="s">
        <v>20</v>
      </c>
      <c r="F88" s="15" t="s">
        <v>24</v>
      </c>
      <c r="G88" s="15" t="s">
        <v>28</v>
      </c>
      <c r="H88" s="16">
        <v>42628.71</v>
      </c>
      <c r="I88" s="15">
        <v>2</v>
      </c>
      <c r="J88" s="17">
        <v>12647.05</v>
      </c>
      <c r="K88" s="20" t="str">
        <f>IF(Table4[[#This Row],[Sales]]&gt;=40000,"BEST SALE","POOR SALE")</f>
        <v>BEST SALE</v>
      </c>
      <c r="L88" s="30" t="str" cm="1">
        <f t="array" ref="L88">_xlfn.IFS(Table4[[#This Row],[Sales]]&gt;=40000,"Best Sale", Table4[[#This Row],[Sales]]&gt;=20000,"Average Sale",Table4[[#This Row],[Sales]]&gt;0,"Poor Sale")</f>
        <v>Best Sale</v>
      </c>
      <c r="M88" s="32" t="str" cm="1">
        <f t="array" ref="M88">_xlfn.IFS(Table4[[#This Row],[Sales]]&gt;=40000,"Best", Table4[[#This Row],[Sales]]&gt;=35000,"Average",Table4[[#This Row],[Sales]]&gt;0,"Poor")</f>
        <v>Best</v>
      </c>
    </row>
    <row r="89" spans="1:13" x14ac:dyDescent="0.3">
      <c r="A89" s="18">
        <v>88</v>
      </c>
      <c r="B89" s="19">
        <v>45026</v>
      </c>
      <c r="C89" s="20" t="s">
        <v>26</v>
      </c>
      <c r="D89" s="20" t="s">
        <v>27</v>
      </c>
      <c r="E89" s="20" t="s">
        <v>20</v>
      </c>
      <c r="F89" s="20" t="s">
        <v>24</v>
      </c>
      <c r="G89" s="20" t="s">
        <v>25</v>
      </c>
      <c r="H89" s="21">
        <v>36936.449999999997</v>
      </c>
      <c r="I89" s="20">
        <v>1</v>
      </c>
      <c r="J89" s="22">
        <v>1871.1</v>
      </c>
      <c r="K89" s="20" t="str">
        <f>IF(Table4[[#This Row],[Sales]]&gt;=40000,"BEST SALE","POOR SALE")</f>
        <v>POOR SALE</v>
      </c>
      <c r="L89" s="30" t="str" cm="1">
        <f t="array" ref="L89">_xlfn.IFS(Table4[[#This Row],[Sales]]&gt;=40000,"Best Sale", Table4[[#This Row],[Sales]]&gt;=20000,"Average Sale",Table4[[#This Row],[Sales]]&gt;0,"Poor Sale")</f>
        <v>Average Sale</v>
      </c>
      <c r="M89" s="32" t="str" cm="1">
        <f t="array" ref="M89">_xlfn.IFS(Table4[[#This Row],[Sales]]&gt;=40000,"Best", Table4[[#This Row],[Sales]]&gt;=35000,"Average",Table4[[#This Row],[Sales]]&gt;0,"Poor")</f>
        <v>Average</v>
      </c>
    </row>
    <row r="90" spans="1:13" x14ac:dyDescent="0.3">
      <c r="A90" s="13">
        <v>89</v>
      </c>
      <c r="B90" s="14">
        <v>45154</v>
      </c>
      <c r="C90" s="15" t="s">
        <v>10</v>
      </c>
      <c r="D90" s="15" t="s">
        <v>11</v>
      </c>
      <c r="E90" s="15" t="s">
        <v>20</v>
      </c>
      <c r="F90" s="15" t="s">
        <v>13</v>
      </c>
      <c r="G90" s="15" t="s">
        <v>34</v>
      </c>
      <c r="H90" s="16">
        <v>49161.73</v>
      </c>
      <c r="I90" s="15">
        <v>4</v>
      </c>
      <c r="J90" s="17">
        <v>11453.36</v>
      </c>
      <c r="K90" s="20" t="str">
        <f>IF(Table4[[#This Row],[Sales]]&gt;=40000,"BEST SALE","POOR SALE")</f>
        <v>BEST SALE</v>
      </c>
      <c r="L90" s="30" t="str" cm="1">
        <f t="array" ref="L90">_xlfn.IFS(Table4[[#This Row],[Sales]]&gt;=40000,"Best Sale", Table4[[#This Row],[Sales]]&gt;=20000,"Average Sale",Table4[[#This Row],[Sales]]&gt;0,"Poor Sale")</f>
        <v>Best Sale</v>
      </c>
      <c r="M90" s="32" t="str" cm="1">
        <f t="array" ref="M90">_xlfn.IFS(Table4[[#This Row],[Sales]]&gt;=40000,"Best", Table4[[#This Row],[Sales]]&gt;=35000,"Average",Table4[[#This Row],[Sales]]&gt;0,"Poor")</f>
        <v>Best</v>
      </c>
    </row>
    <row r="91" spans="1:13" x14ac:dyDescent="0.3">
      <c r="A91" s="18">
        <v>90</v>
      </c>
      <c r="B91" s="19">
        <v>45256</v>
      </c>
      <c r="C91" s="20" t="s">
        <v>18</v>
      </c>
      <c r="D91" s="20" t="s">
        <v>19</v>
      </c>
      <c r="E91" s="20" t="s">
        <v>20</v>
      </c>
      <c r="F91" s="20" t="s">
        <v>24</v>
      </c>
      <c r="G91" s="20" t="s">
        <v>28</v>
      </c>
      <c r="H91" s="21">
        <v>2971.97</v>
      </c>
      <c r="I91" s="20">
        <v>4</v>
      </c>
      <c r="J91" s="22">
        <v>387.64</v>
      </c>
      <c r="K91" s="20" t="str">
        <f>IF(Table4[[#This Row],[Sales]]&gt;=40000,"BEST SALE","POOR SALE")</f>
        <v>POOR SALE</v>
      </c>
      <c r="L91" s="30" t="str" cm="1">
        <f t="array" ref="L91">_xlfn.IFS(Table4[[#This Row],[Sales]]&gt;=40000,"Best Sale", Table4[[#This Row],[Sales]]&gt;=20000,"Average Sale",Table4[[#This Row],[Sales]]&gt;0,"Poor Sale")</f>
        <v>Poor Sale</v>
      </c>
      <c r="M91" s="32" t="str" cm="1">
        <f t="array" ref="M91">_xlfn.IFS(Table4[[#This Row],[Sales]]&gt;=40000,"Best", Table4[[#This Row],[Sales]]&gt;=35000,"Average",Table4[[#This Row],[Sales]]&gt;0,"Poor")</f>
        <v>Poor</v>
      </c>
    </row>
    <row r="92" spans="1:13" x14ac:dyDescent="0.3">
      <c r="A92" s="13">
        <v>91</v>
      </c>
      <c r="B92" s="14">
        <v>45221</v>
      </c>
      <c r="C92" s="15" t="s">
        <v>26</v>
      </c>
      <c r="D92" s="15" t="s">
        <v>27</v>
      </c>
      <c r="E92" s="15" t="s">
        <v>20</v>
      </c>
      <c r="F92" s="15" t="s">
        <v>31</v>
      </c>
      <c r="G92" s="15" t="s">
        <v>33</v>
      </c>
      <c r="H92" s="16">
        <v>45280.43</v>
      </c>
      <c r="I92" s="15">
        <v>8</v>
      </c>
      <c r="J92" s="17">
        <v>5426.84</v>
      </c>
      <c r="K92" s="20" t="str">
        <f>IF(Table4[[#This Row],[Sales]]&gt;=40000,"BEST SALE","POOR SALE")</f>
        <v>BEST SALE</v>
      </c>
      <c r="L92" s="30" t="str" cm="1">
        <f t="array" ref="L92">_xlfn.IFS(Table4[[#This Row],[Sales]]&gt;=40000,"Best Sale", Table4[[#This Row],[Sales]]&gt;=20000,"Average Sale",Table4[[#This Row],[Sales]]&gt;0,"Poor Sale")</f>
        <v>Best Sale</v>
      </c>
      <c r="M92" s="32" t="str" cm="1">
        <f t="array" ref="M92">_xlfn.IFS(Table4[[#This Row],[Sales]]&gt;=40000,"Best", Table4[[#This Row],[Sales]]&gt;=35000,"Average",Table4[[#This Row],[Sales]]&gt;0,"Poor")</f>
        <v>Best</v>
      </c>
    </row>
    <row r="93" spans="1:13" x14ac:dyDescent="0.3">
      <c r="A93" s="18">
        <v>92</v>
      </c>
      <c r="B93" s="19">
        <v>44956</v>
      </c>
      <c r="C93" s="20" t="s">
        <v>22</v>
      </c>
      <c r="D93" s="20" t="s">
        <v>22</v>
      </c>
      <c r="E93" s="20" t="s">
        <v>20</v>
      </c>
      <c r="F93" s="20" t="s">
        <v>13</v>
      </c>
      <c r="G93" s="20" t="s">
        <v>14</v>
      </c>
      <c r="H93" s="21">
        <v>15117.73</v>
      </c>
      <c r="I93" s="20">
        <v>1</v>
      </c>
      <c r="J93" s="22">
        <v>3245</v>
      </c>
      <c r="K93" s="20" t="str">
        <f>IF(Table4[[#This Row],[Sales]]&gt;=40000,"BEST SALE","POOR SALE")</f>
        <v>POOR SALE</v>
      </c>
      <c r="L93" s="30" t="str" cm="1">
        <f t="array" ref="L93">_xlfn.IFS(Table4[[#This Row],[Sales]]&gt;=40000,"Best Sale", Table4[[#This Row],[Sales]]&gt;=20000,"Average Sale",Table4[[#This Row],[Sales]]&gt;0,"Poor Sale")</f>
        <v>Poor Sale</v>
      </c>
      <c r="M93" s="32" t="str" cm="1">
        <f t="array" ref="M93">_xlfn.IFS(Table4[[#This Row],[Sales]]&gt;=40000,"Best", Table4[[#This Row],[Sales]]&gt;=35000,"Average",Table4[[#This Row],[Sales]]&gt;0,"Poor")</f>
        <v>Poor</v>
      </c>
    </row>
    <row r="94" spans="1:13" x14ac:dyDescent="0.3">
      <c r="A94" s="13">
        <v>93</v>
      </c>
      <c r="B94" s="14">
        <v>45211</v>
      </c>
      <c r="C94" s="15" t="s">
        <v>15</v>
      </c>
      <c r="D94" s="15" t="s">
        <v>16</v>
      </c>
      <c r="E94" s="15" t="s">
        <v>20</v>
      </c>
      <c r="F94" s="15" t="s">
        <v>31</v>
      </c>
      <c r="G94" s="15" t="s">
        <v>39</v>
      </c>
      <c r="H94" s="16">
        <v>17343.349999999999</v>
      </c>
      <c r="I94" s="15">
        <v>4</v>
      </c>
      <c r="J94" s="17">
        <v>3930.83</v>
      </c>
      <c r="K94" s="20" t="str">
        <f>IF(Table4[[#This Row],[Sales]]&gt;=40000,"BEST SALE","POOR SALE")</f>
        <v>POOR SALE</v>
      </c>
      <c r="L94" s="30" t="str" cm="1">
        <f t="array" ref="L94">_xlfn.IFS(Table4[[#This Row],[Sales]]&gt;=40000,"Best Sale", Table4[[#This Row],[Sales]]&gt;=20000,"Average Sale",Table4[[#This Row],[Sales]]&gt;0,"Poor Sale")</f>
        <v>Poor Sale</v>
      </c>
      <c r="M94" s="32" t="str" cm="1">
        <f t="array" ref="M94">_xlfn.IFS(Table4[[#This Row],[Sales]]&gt;=40000,"Best", Table4[[#This Row],[Sales]]&gt;=35000,"Average",Table4[[#This Row],[Sales]]&gt;0,"Poor")</f>
        <v>Poor</v>
      </c>
    </row>
    <row r="95" spans="1:13" x14ac:dyDescent="0.3">
      <c r="A95" s="18">
        <v>94</v>
      </c>
      <c r="B95" s="19">
        <v>45080</v>
      </c>
      <c r="C95" s="20" t="s">
        <v>38</v>
      </c>
      <c r="D95" s="20" t="s">
        <v>27</v>
      </c>
      <c r="E95" s="20" t="s">
        <v>20</v>
      </c>
      <c r="F95" s="20" t="s">
        <v>13</v>
      </c>
      <c r="G95" s="20" t="s">
        <v>34</v>
      </c>
      <c r="H95" s="21">
        <v>20412.259999999998</v>
      </c>
      <c r="I95" s="20">
        <v>9</v>
      </c>
      <c r="J95" s="22">
        <v>4042.76</v>
      </c>
      <c r="K95" s="20" t="str">
        <f>IF(Table4[[#This Row],[Sales]]&gt;=40000,"BEST SALE","POOR SALE")</f>
        <v>POOR SALE</v>
      </c>
      <c r="L95" s="30" t="str" cm="1">
        <f t="array" ref="L95">_xlfn.IFS(Table4[[#This Row],[Sales]]&gt;=40000,"Best Sale", Table4[[#This Row],[Sales]]&gt;=20000,"Average Sale",Table4[[#This Row],[Sales]]&gt;0,"Poor Sale")</f>
        <v>Average Sale</v>
      </c>
      <c r="M95" s="32" t="str" cm="1">
        <f t="array" ref="M95">_xlfn.IFS(Table4[[#This Row],[Sales]]&gt;=40000,"Best", Table4[[#This Row],[Sales]]&gt;=35000,"Average",Table4[[#This Row],[Sales]]&gt;0,"Poor")</f>
        <v>Poor</v>
      </c>
    </row>
    <row r="96" spans="1:13" x14ac:dyDescent="0.3">
      <c r="A96" s="13">
        <v>95</v>
      </c>
      <c r="B96" s="14">
        <v>45237</v>
      </c>
      <c r="C96" s="15" t="s">
        <v>10</v>
      </c>
      <c r="D96" s="15" t="s">
        <v>11</v>
      </c>
      <c r="E96" s="15" t="s">
        <v>20</v>
      </c>
      <c r="F96" s="15" t="s">
        <v>31</v>
      </c>
      <c r="G96" s="15" t="s">
        <v>33</v>
      </c>
      <c r="H96" s="16">
        <v>43100.75</v>
      </c>
      <c r="I96" s="15">
        <v>3</v>
      </c>
      <c r="J96" s="17">
        <v>7277.93</v>
      </c>
      <c r="K96" s="20" t="str">
        <f>IF(Table4[[#This Row],[Sales]]&gt;=40000,"BEST SALE","POOR SALE")</f>
        <v>BEST SALE</v>
      </c>
      <c r="L96" s="30" t="str" cm="1">
        <f t="array" ref="L96">_xlfn.IFS(Table4[[#This Row],[Sales]]&gt;=40000,"Best Sale", Table4[[#This Row],[Sales]]&gt;=20000,"Average Sale",Table4[[#This Row],[Sales]]&gt;0,"Poor Sale")</f>
        <v>Best Sale</v>
      </c>
      <c r="M96" s="32" t="str" cm="1">
        <f t="array" ref="M96">_xlfn.IFS(Table4[[#This Row],[Sales]]&gt;=40000,"Best", Table4[[#This Row],[Sales]]&gt;=35000,"Average",Table4[[#This Row],[Sales]]&gt;0,"Poor")</f>
        <v>Best</v>
      </c>
    </row>
    <row r="97" spans="1:13" x14ac:dyDescent="0.3">
      <c r="A97" s="18">
        <v>96</v>
      </c>
      <c r="B97" s="19">
        <v>45167</v>
      </c>
      <c r="C97" s="20" t="s">
        <v>22</v>
      </c>
      <c r="D97" s="20" t="s">
        <v>22</v>
      </c>
      <c r="E97" s="20" t="s">
        <v>20</v>
      </c>
      <c r="F97" s="20" t="s">
        <v>24</v>
      </c>
      <c r="G97" s="20" t="s">
        <v>25</v>
      </c>
      <c r="H97" s="21">
        <v>33221.47</v>
      </c>
      <c r="I97" s="20">
        <v>2</v>
      </c>
      <c r="J97" s="22">
        <v>8139.07</v>
      </c>
      <c r="K97" s="20" t="str">
        <f>IF(Table4[[#This Row],[Sales]]&gt;=40000,"BEST SALE","POOR SALE")</f>
        <v>POOR SALE</v>
      </c>
      <c r="L97" s="30" t="str" cm="1">
        <f t="array" ref="L97">_xlfn.IFS(Table4[[#This Row],[Sales]]&gt;=40000,"Best Sale", Table4[[#This Row],[Sales]]&gt;=20000,"Average Sale",Table4[[#This Row],[Sales]]&gt;0,"Poor Sale")</f>
        <v>Average Sale</v>
      </c>
      <c r="M97" s="32" t="str" cm="1">
        <f t="array" ref="M97">_xlfn.IFS(Table4[[#This Row],[Sales]]&gt;=40000,"Best", Table4[[#This Row],[Sales]]&gt;=35000,"Average",Table4[[#This Row],[Sales]]&gt;0,"Poor")</f>
        <v>Poor</v>
      </c>
    </row>
    <row r="98" spans="1:13" x14ac:dyDescent="0.3">
      <c r="A98" s="13">
        <v>97</v>
      </c>
      <c r="B98" s="14">
        <v>45145</v>
      </c>
      <c r="C98" s="15" t="s">
        <v>15</v>
      </c>
      <c r="D98" s="15" t="s">
        <v>16</v>
      </c>
      <c r="E98" s="15" t="s">
        <v>20</v>
      </c>
      <c r="F98" s="15" t="s">
        <v>31</v>
      </c>
      <c r="G98" s="15" t="s">
        <v>33</v>
      </c>
      <c r="H98" s="16">
        <v>27420.6</v>
      </c>
      <c r="I98" s="15">
        <v>1</v>
      </c>
      <c r="J98" s="17">
        <v>3380.25</v>
      </c>
      <c r="K98" s="20" t="str">
        <f>IF(Table4[[#This Row],[Sales]]&gt;=40000,"BEST SALE","POOR SALE")</f>
        <v>POOR SALE</v>
      </c>
      <c r="L98" s="30" t="str" cm="1">
        <f t="array" ref="L98">_xlfn.IFS(Table4[[#This Row],[Sales]]&gt;=40000,"Best Sale", Table4[[#This Row],[Sales]]&gt;=20000,"Average Sale",Table4[[#This Row],[Sales]]&gt;0,"Poor Sale")</f>
        <v>Average Sale</v>
      </c>
      <c r="M98" s="32" t="str" cm="1">
        <f t="array" ref="M98">_xlfn.IFS(Table4[[#This Row],[Sales]]&gt;=40000,"Best", Table4[[#This Row],[Sales]]&gt;=35000,"Average",Table4[[#This Row],[Sales]]&gt;0,"Poor")</f>
        <v>Poor</v>
      </c>
    </row>
    <row r="99" spans="1:13" x14ac:dyDescent="0.3">
      <c r="A99" s="18">
        <v>98</v>
      </c>
      <c r="B99" s="19">
        <v>45151</v>
      </c>
      <c r="C99" s="20" t="s">
        <v>18</v>
      </c>
      <c r="D99" s="20" t="s">
        <v>19</v>
      </c>
      <c r="E99" s="20" t="s">
        <v>20</v>
      </c>
      <c r="F99" s="20" t="s">
        <v>13</v>
      </c>
      <c r="G99" s="20" t="s">
        <v>21</v>
      </c>
      <c r="H99" s="21">
        <v>41720.79</v>
      </c>
      <c r="I99" s="20">
        <v>9</v>
      </c>
      <c r="J99" s="22">
        <v>7269.45</v>
      </c>
      <c r="K99" s="20" t="str">
        <f>IF(Table4[[#This Row],[Sales]]&gt;=40000,"BEST SALE","POOR SALE")</f>
        <v>BEST SALE</v>
      </c>
      <c r="L99" s="30" t="str" cm="1">
        <f t="array" ref="L99">_xlfn.IFS(Table4[[#This Row],[Sales]]&gt;=40000,"Best Sale", Table4[[#This Row],[Sales]]&gt;=20000,"Average Sale",Table4[[#This Row],[Sales]]&gt;0,"Poor Sale")</f>
        <v>Best Sale</v>
      </c>
      <c r="M99" s="32" t="str" cm="1">
        <f t="array" ref="M99">_xlfn.IFS(Table4[[#This Row],[Sales]]&gt;=40000,"Best", Table4[[#This Row],[Sales]]&gt;=35000,"Average",Table4[[#This Row],[Sales]]&gt;0,"Poor")</f>
        <v>Best</v>
      </c>
    </row>
    <row r="100" spans="1:13" x14ac:dyDescent="0.3">
      <c r="A100" s="13">
        <v>99</v>
      </c>
      <c r="B100" s="14">
        <v>45008</v>
      </c>
      <c r="C100" s="15" t="s">
        <v>22</v>
      </c>
      <c r="D100" s="15" t="s">
        <v>22</v>
      </c>
      <c r="E100" s="15" t="s">
        <v>20</v>
      </c>
      <c r="F100" s="15" t="s">
        <v>13</v>
      </c>
      <c r="G100" s="15" t="s">
        <v>14</v>
      </c>
      <c r="H100" s="16">
        <v>43520.98</v>
      </c>
      <c r="I100" s="15">
        <v>8</v>
      </c>
      <c r="J100" s="17">
        <v>6580.87</v>
      </c>
      <c r="K100" s="20" t="str">
        <f>IF(Table4[[#This Row],[Sales]]&gt;=40000,"BEST SALE","POOR SALE")</f>
        <v>BEST SALE</v>
      </c>
      <c r="L100" s="30" t="str" cm="1">
        <f t="array" ref="L100">_xlfn.IFS(Table4[[#This Row],[Sales]]&gt;=40000,"Best Sale", Table4[[#This Row],[Sales]]&gt;=20000,"Average Sale",Table4[[#This Row],[Sales]]&gt;0,"Poor Sale")</f>
        <v>Best Sale</v>
      </c>
      <c r="M100" s="32" t="str" cm="1">
        <f t="array" ref="M100">_xlfn.IFS(Table4[[#This Row],[Sales]]&gt;=40000,"Best", Table4[[#This Row],[Sales]]&gt;=35000,"Average",Table4[[#This Row],[Sales]]&gt;0,"Poor")</f>
        <v>Best</v>
      </c>
    </row>
    <row r="101" spans="1:13" x14ac:dyDescent="0.3">
      <c r="A101" s="18">
        <v>100</v>
      </c>
      <c r="B101" s="19">
        <v>45104</v>
      </c>
      <c r="C101" s="20" t="s">
        <v>18</v>
      </c>
      <c r="D101" s="20" t="s">
        <v>19</v>
      </c>
      <c r="E101" s="20" t="s">
        <v>12</v>
      </c>
      <c r="F101" s="20" t="s">
        <v>31</v>
      </c>
      <c r="G101" s="20" t="s">
        <v>39</v>
      </c>
      <c r="H101" s="21">
        <v>43256.76</v>
      </c>
      <c r="I101" s="20">
        <v>9</v>
      </c>
      <c r="J101" s="22">
        <v>12801</v>
      </c>
      <c r="K101" s="20" t="str">
        <f>IF(Table4[[#This Row],[Sales]]&gt;=40000,"BEST SALE","POOR SALE")</f>
        <v>BEST SALE</v>
      </c>
      <c r="L101" s="30" t="str" cm="1">
        <f t="array" ref="L101">_xlfn.IFS(Table4[[#This Row],[Sales]]&gt;=40000,"Best Sale", Table4[[#This Row],[Sales]]&gt;=20000,"Average Sale",Table4[[#This Row],[Sales]]&gt;0,"Poor Sale")</f>
        <v>Best Sale</v>
      </c>
      <c r="M101" s="32" t="str" cm="1">
        <f t="array" ref="M101">_xlfn.IFS(Table4[[#This Row],[Sales]]&gt;=40000,"Best", Table4[[#This Row],[Sales]]&gt;=35000,"Average",Table4[[#This Row],[Sales]]&gt;0,"Poor")</f>
        <v>Best</v>
      </c>
    </row>
    <row r="102" spans="1:13" x14ac:dyDescent="0.3">
      <c r="A102" s="13">
        <v>101</v>
      </c>
      <c r="B102" s="14">
        <v>45016</v>
      </c>
      <c r="C102" s="15" t="s">
        <v>38</v>
      </c>
      <c r="D102" s="15" t="s">
        <v>27</v>
      </c>
      <c r="E102" s="15" t="s">
        <v>12</v>
      </c>
      <c r="F102" s="15" t="s">
        <v>31</v>
      </c>
      <c r="G102" s="15" t="s">
        <v>33</v>
      </c>
      <c r="H102" s="16">
        <v>28432</v>
      </c>
      <c r="I102" s="15">
        <v>1</v>
      </c>
      <c r="J102" s="17">
        <v>4326.1000000000004</v>
      </c>
      <c r="K102" s="20" t="str">
        <f>IF(Table4[[#This Row],[Sales]]&gt;=40000,"BEST SALE","POOR SALE")</f>
        <v>POOR SALE</v>
      </c>
      <c r="L102" s="30" t="str" cm="1">
        <f t="array" ref="L102">_xlfn.IFS(Table4[[#This Row],[Sales]]&gt;=40000,"Best Sale", Table4[[#This Row],[Sales]]&gt;=20000,"Average Sale",Table4[[#This Row],[Sales]]&gt;0,"Poor Sale")</f>
        <v>Average Sale</v>
      </c>
      <c r="M102" s="32" t="str" cm="1">
        <f t="array" ref="M102">_xlfn.IFS(Table4[[#This Row],[Sales]]&gt;=40000,"Best", Table4[[#This Row],[Sales]]&gt;=35000,"Average",Table4[[#This Row],[Sales]]&gt;0,"Poor")</f>
        <v>Poor</v>
      </c>
    </row>
    <row r="103" spans="1:13" x14ac:dyDescent="0.3">
      <c r="A103" s="18">
        <v>102</v>
      </c>
      <c r="B103" s="19">
        <v>45043</v>
      </c>
      <c r="C103" s="20" t="s">
        <v>26</v>
      </c>
      <c r="D103" s="20" t="s">
        <v>27</v>
      </c>
      <c r="E103" s="20" t="s">
        <v>12</v>
      </c>
      <c r="F103" s="20" t="s">
        <v>24</v>
      </c>
      <c r="G103" s="20" t="s">
        <v>29</v>
      </c>
      <c r="H103" s="21">
        <v>45607.68</v>
      </c>
      <c r="I103" s="20">
        <v>9</v>
      </c>
      <c r="J103" s="22">
        <v>10061.65</v>
      </c>
      <c r="K103" s="20" t="str">
        <f>IF(Table4[[#This Row],[Sales]]&gt;=40000,"BEST SALE","POOR SALE")</f>
        <v>BEST SALE</v>
      </c>
      <c r="L103" s="30" t="str" cm="1">
        <f t="array" ref="L103">_xlfn.IFS(Table4[[#This Row],[Sales]]&gt;=40000,"Best Sale", Table4[[#This Row],[Sales]]&gt;=20000,"Average Sale",Table4[[#This Row],[Sales]]&gt;0,"Poor Sale")</f>
        <v>Best Sale</v>
      </c>
      <c r="M103" s="32" t="str" cm="1">
        <f t="array" ref="M103">_xlfn.IFS(Table4[[#This Row],[Sales]]&gt;=40000,"Best", Table4[[#This Row],[Sales]]&gt;=35000,"Average",Table4[[#This Row],[Sales]]&gt;0,"Poor")</f>
        <v>Best</v>
      </c>
    </row>
    <row r="104" spans="1:13" x14ac:dyDescent="0.3">
      <c r="A104" s="13">
        <v>103</v>
      </c>
      <c r="B104" s="14">
        <v>45249</v>
      </c>
      <c r="C104" s="15" t="s">
        <v>15</v>
      </c>
      <c r="D104" s="15" t="s">
        <v>16</v>
      </c>
      <c r="E104" s="15" t="s">
        <v>12</v>
      </c>
      <c r="F104" s="15" t="s">
        <v>24</v>
      </c>
      <c r="G104" s="15" t="s">
        <v>28</v>
      </c>
      <c r="H104" s="16">
        <v>45100.31</v>
      </c>
      <c r="I104" s="15">
        <v>5</v>
      </c>
      <c r="J104" s="17">
        <v>5435.3</v>
      </c>
      <c r="K104" s="20" t="str">
        <f>IF(Table4[[#This Row],[Sales]]&gt;=40000,"BEST SALE","POOR SALE")</f>
        <v>BEST SALE</v>
      </c>
      <c r="L104" s="30" t="str" cm="1">
        <f t="array" ref="L104">_xlfn.IFS(Table4[[#This Row],[Sales]]&gt;=40000,"Best Sale", Table4[[#This Row],[Sales]]&gt;=20000,"Average Sale",Table4[[#This Row],[Sales]]&gt;0,"Poor Sale")</f>
        <v>Best Sale</v>
      </c>
      <c r="M104" s="32" t="str" cm="1">
        <f t="array" ref="M104">_xlfn.IFS(Table4[[#This Row],[Sales]]&gt;=40000,"Best", Table4[[#This Row],[Sales]]&gt;=35000,"Average",Table4[[#This Row],[Sales]]&gt;0,"Poor")</f>
        <v>Best</v>
      </c>
    </row>
    <row r="105" spans="1:13" x14ac:dyDescent="0.3">
      <c r="A105" s="18">
        <v>104</v>
      </c>
      <c r="B105" s="19">
        <v>45258</v>
      </c>
      <c r="C105" s="20" t="s">
        <v>35</v>
      </c>
      <c r="D105" s="20" t="s">
        <v>36</v>
      </c>
      <c r="E105" s="20" t="s">
        <v>12</v>
      </c>
      <c r="F105" s="20" t="s">
        <v>13</v>
      </c>
      <c r="G105" s="20" t="s">
        <v>21</v>
      </c>
      <c r="H105" s="21">
        <v>31680.26</v>
      </c>
      <c r="I105" s="20">
        <v>6</v>
      </c>
      <c r="J105" s="22">
        <v>7130.43</v>
      </c>
      <c r="K105" s="20" t="str">
        <f>IF(Table4[[#This Row],[Sales]]&gt;=40000,"BEST SALE","POOR SALE")</f>
        <v>POOR SALE</v>
      </c>
      <c r="L105" s="30" t="str" cm="1">
        <f t="array" ref="L105">_xlfn.IFS(Table4[[#This Row],[Sales]]&gt;=40000,"Best Sale", Table4[[#This Row],[Sales]]&gt;=20000,"Average Sale",Table4[[#This Row],[Sales]]&gt;0,"Poor Sale")</f>
        <v>Average Sale</v>
      </c>
      <c r="M105" s="32" t="str" cm="1">
        <f t="array" ref="M105">_xlfn.IFS(Table4[[#This Row],[Sales]]&gt;=40000,"Best", Table4[[#This Row],[Sales]]&gt;=35000,"Average",Table4[[#This Row],[Sales]]&gt;0,"Poor")</f>
        <v>Poor</v>
      </c>
    </row>
    <row r="106" spans="1:13" x14ac:dyDescent="0.3">
      <c r="A106" s="13">
        <v>105</v>
      </c>
      <c r="B106" s="14">
        <v>45178</v>
      </c>
      <c r="C106" s="15" t="s">
        <v>10</v>
      </c>
      <c r="D106" s="15" t="s">
        <v>11</v>
      </c>
      <c r="E106" s="15" t="s">
        <v>12</v>
      </c>
      <c r="F106" s="15" t="s">
        <v>24</v>
      </c>
      <c r="G106" s="15" t="s">
        <v>29</v>
      </c>
      <c r="H106" s="16">
        <v>17942.34</v>
      </c>
      <c r="I106" s="15">
        <v>4</v>
      </c>
      <c r="J106" s="17">
        <v>4800.71</v>
      </c>
      <c r="K106" s="20" t="str">
        <f>IF(Table4[[#This Row],[Sales]]&gt;=40000,"BEST SALE","POOR SALE")</f>
        <v>POOR SALE</v>
      </c>
      <c r="L106" s="30" t="str" cm="1">
        <f t="array" ref="L106">_xlfn.IFS(Table4[[#This Row],[Sales]]&gt;=40000,"Best Sale", Table4[[#This Row],[Sales]]&gt;=20000,"Average Sale",Table4[[#This Row],[Sales]]&gt;0,"Poor Sale")</f>
        <v>Poor Sale</v>
      </c>
      <c r="M106" s="32" t="str" cm="1">
        <f t="array" ref="M106">_xlfn.IFS(Table4[[#This Row],[Sales]]&gt;=40000,"Best", Table4[[#This Row],[Sales]]&gt;=35000,"Average",Table4[[#This Row],[Sales]]&gt;0,"Poor")</f>
        <v>Poor</v>
      </c>
    </row>
    <row r="107" spans="1:13" x14ac:dyDescent="0.3">
      <c r="A107" s="18">
        <v>106</v>
      </c>
      <c r="B107" s="19">
        <v>44943</v>
      </c>
      <c r="C107" s="20" t="s">
        <v>38</v>
      </c>
      <c r="D107" s="20" t="s">
        <v>27</v>
      </c>
      <c r="E107" s="20" t="s">
        <v>12</v>
      </c>
      <c r="F107" s="20" t="s">
        <v>31</v>
      </c>
      <c r="G107" s="20" t="s">
        <v>33</v>
      </c>
      <c r="H107" s="21">
        <v>46409.88</v>
      </c>
      <c r="I107" s="20">
        <v>7</v>
      </c>
      <c r="J107" s="22">
        <v>12657.84</v>
      </c>
      <c r="K107" s="20" t="str">
        <f>IF(Table4[[#This Row],[Sales]]&gt;=40000,"BEST SALE","POOR SALE")</f>
        <v>BEST SALE</v>
      </c>
      <c r="L107" s="30" t="str" cm="1">
        <f t="array" ref="L107">_xlfn.IFS(Table4[[#This Row],[Sales]]&gt;=40000,"Best Sale", Table4[[#This Row],[Sales]]&gt;=20000,"Average Sale",Table4[[#This Row],[Sales]]&gt;0,"Poor Sale")</f>
        <v>Best Sale</v>
      </c>
      <c r="M107" s="32" t="str" cm="1">
        <f t="array" ref="M107">_xlfn.IFS(Table4[[#This Row],[Sales]]&gt;=40000,"Best", Table4[[#This Row],[Sales]]&gt;=35000,"Average",Table4[[#This Row],[Sales]]&gt;0,"Poor")</f>
        <v>Best</v>
      </c>
    </row>
    <row r="108" spans="1:13" x14ac:dyDescent="0.3">
      <c r="A108" s="13">
        <v>107</v>
      </c>
      <c r="B108" s="14">
        <v>45270</v>
      </c>
      <c r="C108" s="15" t="s">
        <v>35</v>
      </c>
      <c r="D108" s="15" t="s">
        <v>36</v>
      </c>
      <c r="E108" s="15" t="s">
        <v>12</v>
      </c>
      <c r="F108" s="15" t="s">
        <v>31</v>
      </c>
      <c r="G108" s="15" t="s">
        <v>33</v>
      </c>
      <c r="H108" s="16">
        <v>20904.05</v>
      </c>
      <c r="I108" s="15">
        <v>9</v>
      </c>
      <c r="J108" s="17">
        <v>2758.95</v>
      </c>
      <c r="K108" s="20" t="str">
        <f>IF(Table4[[#This Row],[Sales]]&gt;=40000,"BEST SALE","POOR SALE")</f>
        <v>POOR SALE</v>
      </c>
      <c r="L108" s="30" t="str" cm="1">
        <f t="array" ref="L108">_xlfn.IFS(Table4[[#This Row],[Sales]]&gt;=40000,"Best Sale", Table4[[#This Row],[Sales]]&gt;=20000,"Average Sale",Table4[[#This Row],[Sales]]&gt;0,"Poor Sale")</f>
        <v>Average Sale</v>
      </c>
      <c r="M108" s="32" t="str" cm="1">
        <f t="array" ref="M108">_xlfn.IFS(Table4[[#This Row],[Sales]]&gt;=40000,"Best", Table4[[#This Row],[Sales]]&gt;=35000,"Average",Table4[[#This Row],[Sales]]&gt;0,"Poor")</f>
        <v>Poor</v>
      </c>
    </row>
    <row r="109" spans="1:13" x14ac:dyDescent="0.3">
      <c r="A109" s="18">
        <v>108</v>
      </c>
      <c r="B109" s="19">
        <v>45143</v>
      </c>
      <c r="C109" s="20" t="s">
        <v>18</v>
      </c>
      <c r="D109" s="20" t="s">
        <v>19</v>
      </c>
      <c r="E109" s="20" t="s">
        <v>12</v>
      </c>
      <c r="F109" s="20" t="s">
        <v>31</v>
      </c>
      <c r="G109" s="20" t="s">
        <v>39</v>
      </c>
      <c r="H109" s="21">
        <v>9106.1</v>
      </c>
      <c r="I109" s="20">
        <v>3</v>
      </c>
      <c r="J109" s="22">
        <v>519.4</v>
      </c>
      <c r="K109" s="20" t="str">
        <f>IF(Table4[[#This Row],[Sales]]&gt;=40000,"BEST SALE","POOR SALE")</f>
        <v>POOR SALE</v>
      </c>
      <c r="L109" s="30" t="str" cm="1">
        <f t="array" ref="L109">_xlfn.IFS(Table4[[#This Row],[Sales]]&gt;=40000,"Best Sale", Table4[[#This Row],[Sales]]&gt;=20000,"Average Sale",Table4[[#This Row],[Sales]]&gt;0,"Poor Sale")</f>
        <v>Poor Sale</v>
      </c>
      <c r="M109" s="32" t="str" cm="1">
        <f t="array" ref="M109">_xlfn.IFS(Table4[[#This Row],[Sales]]&gt;=40000,"Best", Table4[[#This Row],[Sales]]&gt;=35000,"Average",Table4[[#This Row],[Sales]]&gt;0,"Poor")</f>
        <v>Poor</v>
      </c>
    </row>
    <row r="110" spans="1:13" x14ac:dyDescent="0.3">
      <c r="A110" s="13">
        <v>109</v>
      </c>
      <c r="B110" s="14">
        <v>45214</v>
      </c>
      <c r="C110" s="15" t="s">
        <v>10</v>
      </c>
      <c r="D110" s="15" t="s">
        <v>11</v>
      </c>
      <c r="E110" s="15" t="s">
        <v>12</v>
      </c>
      <c r="F110" s="15" t="s">
        <v>24</v>
      </c>
      <c r="G110" s="15" t="s">
        <v>25</v>
      </c>
      <c r="H110" s="16">
        <v>7629.97</v>
      </c>
      <c r="I110" s="15">
        <v>9</v>
      </c>
      <c r="J110" s="17">
        <v>1489.6</v>
      </c>
      <c r="K110" s="20" t="str">
        <f>IF(Table4[[#This Row],[Sales]]&gt;=40000,"BEST SALE","POOR SALE")</f>
        <v>POOR SALE</v>
      </c>
      <c r="L110" s="30" t="str" cm="1">
        <f t="array" ref="L110">_xlfn.IFS(Table4[[#This Row],[Sales]]&gt;=40000,"Best Sale", Table4[[#This Row],[Sales]]&gt;=20000,"Average Sale",Table4[[#This Row],[Sales]]&gt;0,"Poor Sale")</f>
        <v>Poor Sale</v>
      </c>
      <c r="M110" s="32" t="str" cm="1">
        <f t="array" ref="M110">_xlfn.IFS(Table4[[#This Row],[Sales]]&gt;=40000,"Best", Table4[[#This Row],[Sales]]&gt;=35000,"Average",Table4[[#This Row],[Sales]]&gt;0,"Poor")</f>
        <v>Poor</v>
      </c>
    </row>
    <row r="111" spans="1:13" x14ac:dyDescent="0.3">
      <c r="A111" s="18">
        <v>110</v>
      </c>
      <c r="B111" s="19">
        <v>45008</v>
      </c>
      <c r="C111" s="20" t="s">
        <v>26</v>
      </c>
      <c r="D111" s="20" t="s">
        <v>27</v>
      </c>
      <c r="E111" s="20" t="s">
        <v>12</v>
      </c>
      <c r="F111" s="20" t="s">
        <v>13</v>
      </c>
      <c r="G111" s="20" t="s">
        <v>14</v>
      </c>
      <c r="H111" s="21">
        <v>23310.71</v>
      </c>
      <c r="I111" s="20">
        <v>1</v>
      </c>
      <c r="J111" s="22">
        <v>3512.57</v>
      </c>
      <c r="K111" s="20" t="str">
        <f>IF(Table4[[#This Row],[Sales]]&gt;=40000,"BEST SALE","POOR SALE")</f>
        <v>POOR SALE</v>
      </c>
      <c r="L111" s="30" t="str" cm="1">
        <f t="array" ref="L111">_xlfn.IFS(Table4[[#This Row],[Sales]]&gt;=40000,"Best Sale", Table4[[#This Row],[Sales]]&gt;=20000,"Average Sale",Table4[[#This Row],[Sales]]&gt;0,"Poor Sale")</f>
        <v>Average Sale</v>
      </c>
      <c r="M111" s="32" t="str" cm="1">
        <f t="array" ref="M111">_xlfn.IFS(Table4[[#This Row],[Sales]]&gt;=40000,"Best", Table4[[#This Row],[Sales]]&gt;=35000,"Average",Table4[[#This Row],[Sales]]&gt;0,"Poor")</f>
        <v>Poor</v>
      </c>
    </row>
    <row r="112" spans="1:13" x14ac:dyDescent="0.3">
      <c r="A112" s="13">
        <v>111</v>
      </c>
      <c r="B112" s="14">
        <v>45085</v>
      </c>
      <c r="C112" s="15" t="s">
        <v>30</v>
      </c>
      <c r="D112" s="15" t="s">
        <v>16</v>
      </c>
      <c r="E112" s="15" t="s">
        <v>12</v>
      </c>
      <c r="F112" s="15" t="s">
        <v>13</v>
      </c>
      <c r="G112" s="15" t="s">
        <v>34</v>
      </c>
      <c r="H112" s="16">
        <v>27994.05</v>
      </c>
      <c r="I112" s="15">
        <v>4</v>
      </c>
      <c r="J112" s="17">
        <v>5449.63</v>
      </c>
      <c r="K112" s="20" t="str">
        <f>IF(Table4[[#This Row],[Sales]]&gt;=40000,"BEST SALE","POOR SALE")</f>
        <v>POOR SALE</v>
      </c>
      <c r="L112" s="30" t="str" cm="1">
        <f t="array" ref="L112">_xlfn.IFS(Table4[[#This Row],[Sales]]&gt;=40000,"Best Sale", Table4[[#This Row],[Sales]]&gt;=20000,"Average Sale",Table4[[#This Row],[Sales]]&gt;0,"Poor Sale")</f>
        <v>Average Sale</v>
      </c>
      <c r="M112" s="32" t="str" cm="1">
        <f t="array" ref="M112">_xlfn.IFS(Table4[[#This Row],[Sales]]&gt;=40000,"Best", Table4[[#This Row],[Sales]]&gt;=35000,"Average",Table4[[#This Row],[Sales]]&gt;0,"Poor")</f>
        <v>Poor</v>
      </c>
    </row>
    <row r="113" spans="1:13" x14ac:dyDescent="0.3">
      <c r="A113" s="18">
        <v>112</v>
      </c>
      <c r="B113" s="19">
        <v>44963</v>
      </c>
      <c r="C113" s="20" t="s">
        <v>18</v>
      </c>
      <c r="D113" s="20" t="s">
        <v>19</v>
      </c>
      <c r="E113" s="20" t="s">
        <v>12</v>
      </c>
      <c r="F113" s="20" t="s">
        <v>13</v>
      </c>
      <c r="G113" s="20" t="s">
        <v>34</v>
      </c>
      <c r="H113" s="21">
        <v>32440.06</v>
      </c>
      <c r="I113" s="20">
        <v>3</v>
      </c>
      <c r="J113" s="22">
        <v>7193.85</v>
      </c>
      <c r="K113" s="20" t="str">
        <f>IF(Table4[[#This Row],[Sales]]&gt;=40000,"BEST SALE","POOR SALE")</f>
        <v>POOR SALE</v>
      </c>
      <c r="L113" s="30" t="str" cm="1">
        <f t="array" ref="L113">_xlfn.IFS(Table4[[#This Row],[Sales]]&gt;=40000,"Best Sale", Table4[[#This Row],[Sales]]&gt;=20000,"Average Sale",Table4[[#This Row],[Sales]]&gt;0,"Poor Sale")</f>
        <v>Average Sale</v>
      </c>
      <c r="M113" s="32" t="str" cm="1">
        <f t="array" ref="M113">_xlfn.IFS(Table4[[#This Row],[Sales]]&gt;=40000,"Best", Table4[[#This Row],[Sales]]&gt;=35000,"Average",Table4[[#This Row],[Sales]]&gt;0,"Poor")</f>
        <v>Poor</v>
      </c>
    </row>
    <row r="114" spans="1:13" x14ac:dyDescent="0.3">
      <c r="A114" s="13">
        <v>113</v>
      </c>
      <c r="B114" s="14">
        <v>45103</v>
      </c>
      <c r="C114" s="15" t="s">
        <v>30</v>
      </c>
      <c r="D114" s="15" t="s">
        <v>16</v>
      </c>
      <c r="E114" s="15" t="s">
        <v>12</v>
      </c>
      <c r="F114" s="15" t="s">
        <v>13</v>
      </c>
      <c r="G114" s="15" t="s">
        <v>34</v>
      </c>
      <c r="H114" s="16">
        <v>40462.19</v>
      </c>
      <c r="I114" s="15">
        <v>3</v>
      </c>
      <c r="J114" s="17">
        <v>9068.9</v>
      </c>
      <c r="K114" s="20" t="str">
        <f>IF(Table4[[#This Row],[Sales]]&gt;=40000,"BEST SALE","POOR SALE")</f>
        <v>BEST SALE</v>
      </c>
      <c r="L114" s="30" t="str" cm="1">
        <f t="array" ref="L114">_xlfn.IFS(Table4[[#This Row],[Sales]]&gt;=40000,"Best Sale", Table4[[#This Row],[Sales]]&gt;=20000,"Average Sale",Table4[[#This Row],[Sales]]&gt;0,"Poor Sale")</f>
        <v>Best Sale</v>
      </c>
      <c r="M114" s="32" t="str" cm="1">
        <f t="array" ref="M114">_xlfn.IFS(Table4[[#This Row],[Sales]]&gt;=40000,"Best", Table4[[#This Row],[Sales]]&gt;=35000,"Average",Table4[[#This Row],[Sales]]&gt;0,"Poor")</f>
        <v>Best</v>
      </c>
    </row>
    <row r="115" spans="1:13" x14ac:dyDescent="0.3">
      <c r="A115" s="18">
        <v>114</v>
      </c>
      <c r="B115" s="19">
        <v>45086</v>
      </c>
      <c r="C115" s="20" t="s">
        <v>37</v>
      </c>
      <c r="D115" s="20" t="s">
        <v>27</v>
      </c>
      <c r="E115" s="20" t="s">
        <v>12</v>
      </c>
      <c r="F115" s="20" t="s">
        <v>31</v>
      </c>
      <c r="G115" s="20" t="s">
        <v>32</v>
      </c>
      <c r="H115" s="21">
        <v>4946.33</v>
      </c>
      <c r="I115" s="20">
        <v>9</v>
      </c>
      <c r="J115" s="22">
        <v>1157.56</v>
      </c>
      <c r="K115" s="20" t="str">
        <f>IF(Table4[[#This Row],[Sales]]&gt;=40000,"BEST SALE","POOR SALE")</f>
        <v>POOR SALE</v>
      </c>
      <c r="L115" s="30" t="str" cm="1">
        <f t="array" ref="L115">_xlfn.IFS(Table4[[#This Row],[Sales]]&gt;=40000,"Best Sale", Table4[[#This Row],[Sales]]&gt;=20000,"Average Sale",Table4[[#This Row],[Sales]]&gt;0,"Poor Sale")</f>
        <v>Poor Sale</v>
      </c>
      <c r="M115" s="32" t="str" cm="1">
        <f t="array" ref="M115">_xlfn.IFS(Table4[[#This Row],[Sales]]&gt;=40000,"Best", Table4[[#This Row],[Sales]]&gt;=35000,"Average",Table4[[#This Row],[Sales]]&gt;0,"Poor")</f>
        <v>Poor</v>
      </c>
    </row>
    <row r="116" spans="1:13" x14ac:dyDescent="0.3">
      <c r="A116" s="13">
        <v>115</v>
      </c>
      <c r="B116" s="14">
        <v>45067</v>
      </c>
      <c r="C116" s="15" t="s">
        <v>18</v>
      </c>
      <c r="D116" s="15" t="s">
        <v>19</v>
      </c>
      <c r="E116" s="15" t="s">
        <v>12</v>
      </c>
      <c r="F116" s="15" t="s">
        <v>24</v>
      </c>
      <c r="G116" s="15" t="s">
        <v>25</v>
      </c>
      <c r="H116" s="16">
        <v>41523.230000000003</v>
      </c>
      <c r="I116" s="15">
        <v>7</v>
      </c>
      <c r="J116" s="17">
        <v>9474.06</v>
      </c>
      <c r="K116" s="20" t="str">
        <f>IF(Table4[[#This Row],[Sales]]&gt;=40000,"BEST SALE","POOR SALE")</f>
        <v>BEST SALE</v>
      </c>
      <c r="L116" s="30" t="str" cm="1">
        <f t="array" ref="L116">_xlfn.IFS(Table4[[#This Row],[Sales]]&gt;=40000,"Best Sale", Table4[[#This Row],[Sales]]&gt;=20000,"Average Sale",Table4[[#This Row],[Sales]]&gt;0,"Poor Sale")</f>
        <v>Best Sale</v>
      </c>
      <c r="M116" s="32" t="str" cm="1">
        <f t="array" ref="M116">_xlfn.IFS(Table4[[#This Row],[Sales]]&gt;=40000,"Best", Table4[[#This Row],[Sales]]&gt;=35000,"Average",Table4[[#This Row],[Sales]]&gt;0,"Poor")</f>
        <v>Best</v>
      </c>
    </row>
    <row r="117" spans="1:13" x14ac:dyDescent="0.3">
      <c r="A117" s="18">
        <v>116</v>
      </c>
      <c r="B117" s="19">
        <v>45091</v>
      </c>
      <c r="C117" s="20" t="s">
        <v>37</v>
      </c>
      <c r="D117" s="20" t="s">
        <v>27</v>
      </c>
      <c r="E117" s="20" t="s">
        <v>12</v>
      </c>
      <c r="F117" s="20" t="s">
        <v>31</v>
      </c>
      <c r="G117" s="20" t="s">
        <v>33</v>
      </c>
      <c r="H117" s="21">
        <v>41692.239999999998</v>
      </c>
      <c r="I117" s="20">
        <v>1</v>
      </c>
      <c r="J117" s="22">
        <v>11454.59</v>
      </c>
      <c r="K117" s="20" t="str">
        <f>IF(Table4[[#This Row],[Sales]]&gt;=40000,"BEST SALE","POOR SALE")</f>
        <v>BEST SALE</v>
      </c>
      <c r="L117" s="30" t="str" cm="1">
        <f t="array" ref="L117">_xlfn.IFS(Table4[[#This Row],[Sales]]&gt;=40000,"Best Sale", Table4[[#This Row],[Sales]]&gt;=20000,"Average Sale",Table4[[#This Row],[Sales]]&gt;0,"Poor Sale")</f>
        <v>Best Sale</v>
      </c>
      <c r="M117" s="32" t="str" cm="1">
        <f t="array" ref="M117">_xlfn.IFS(Table4[[#This Row],[Sales]]&gt;=40000,"Best", Table4[[#This Row],[Sales]]&gt;=35000,"Average",Table4[[#This Row],[Sales]]&gt;0,"Poor")</f>
        <v>Best</v>
      </c>
    </row>
    <row r="118" spans="1:13" x14ac:dyDescent="0.3">
      <c r="A118" s="13">
        <v>117</v>
      </c>
      <c r="B118" s="14">
        <v>45275</v>
      </c>
      <c r="C118" s="15" t="s">
        <v>18</v>
      </c>
      <c r="D118" s="15" t="s">
        <v>19</v>
      </c>
      <c r="E118" s="15" t="s">
        <v>12</v>
      </c>
      <c r="F118" s="15" t="s">
        <v>24</v>
      </c>
      <c r="G118" s="15" t="s">
        <v>25</v>
      </c>
      <c r="H118" s="16">
        <v>37435.72</v>
      </c>
      <c r="I118" s="15">
        <v>10</v>
      </c>
      <c r="J118" s="17">
        <v>7225.3</v>
      </c>
      <c r="K118" s="20" t="str">
        <f>IF(Table4[[#This Row],[Sales]]&gt;=40000,"BEST SALE","POOR SALE")</f>
        <v>POOR SALE</v>
      </c>
      <c r="L118" s="30" t="str" cm="1">
        <f t="array" ref="L118">_xlfn.IFS(Table4[[#This Row],[Sales]]&gt;=40000,"Best Sale", Table4[[#This Row],[Sales]]&gt;=20000,"Average Sale",Table4[[#This Row],[Sales]]&gt;0,"Poor Sale")</f>
        <v>Average Sale</v>
      </c>
      <c r="M118" s="32" t="str" cm="1">
        <f t="array" ref="M118">_xlfn.IFS(Table4[[#This Row],[Sales]]&gt;=40000,"Best", Table4[[#This Row],[Sales]]&gt;=35000,"Average",Table4[[#This Row],[Sales]]&gt;0,"Poor")</f>
        <v>Average</v>
      </c>
    </row>
    <row r="119" spans="1:13" x14ac:dyDescent="0.3">
      <c r="A119" s="18">
        <v>118</v>
      </c>
      <c r="B119" s="19">
        <v>44993</v>
      </c>
      <c r="C119" s="20" t="s">
        <v>22</v>
      </c>
      <c r="D119" s="20" t="s">
        <v>22</v>
      </c>
      <c r="E119" s="20" t="s">
        <v>12</v>
      </c>
      <c r="F119" s="20" t="s">
        <v>31</v>
      </c>
      <c r="G119" s="20" t="s">
        <v>39</v>
      </c>
      <c r="H119" s="21">
        <v>24188.17</v>
      </c>
      <c r="I119" s="20">
        <v>4</v>
      </c>
      <c r="J119" s="22">
        <v>1398.98</v>
      </c>
      <c r="K119" s="20" t="str">
        <f>IF(Table4[[#This Row],[Sales]]&gt;=40000,"BEST SALE","POOR SALE")</f>
        <v>POOR SALE</v>
      </c>
      <c r="L119" s="30" t="str" cm="1">
        <f t="array" ref="L119">_xlfn.IFS(Table4[[#This Row],[Sales]]&gt;=40000,"Best Sale", Table4[[#This Row],[Sales]]&gt;=20000,"Average Sale",Table4[[#This Row],[Sales]]&gt;0,"Poor Sale")</f>
        <v>Average Sale</v>
      </c>
      <c r="M119" s="32" t="str" cm="1">
        <f t="array" ref="M119">_xlfn.IFS(Table4[[#This Row],[Sales]]&gt;=40000,"Best", Table4[[#This Row],[Sales]]&gt;=35000,"Average",Table4[[#This Row],[Sales]]&gt;0,"Poor")</f>
        <v>Poor</v>
      </c>
    </row>
    <row r="120" spans="1:13" x14ac:dyDescent="0.3">
      <c r="A120" s="13">
        <v>119</v>
      </c>
      <c r="B120" s="14">
        <v>44978</v>
      </c>
      <c r="C120" s="15" t="s">
        <v>10</v>
      </c>
      <c r="D120" s="15" t="s">
        <v>11</v>
      </c>
      <c r="E120" s="15" t="s">
        <v>12</v>
      </c>
      <c r="F120" s="15" t="s">
        <v>13</v>
      </c>
      <c r="G120" s="15" t="s">
        <v>14</v>
      </c>
      <c r="H120" s="16">
        <v>7636.41</v>
      </c>
      <c r="I120" s="15">
        <v>5</v>
      </c>
      <c r="J120" s="17">
        <v>1440.24</v>
      </c>
      <c r="K120" s="20" t="str">
        <f>IF(Table4[[#This Row],[Sales]]&gt;=40000,"BEST SALE","POOR SALE")</f>
        <v>POOR SALE</v>
      </c>
      <c r="L120" s="30" t="str" cm="1">
        <f t="array" ref="L120">_xlfn.IFS(Table4[[#This Row],[Sales]]&gt;=40000,"Best Sale", Table4[[#This Row],[Sales]]&gt;=20000,"Average Sale",Table4[[#This Row],[Sales]]&gt;0,"Poor Sale")</f>
        <v>Poor Sale</v>
      </c>
      <c r="M120" s="32" t="str" cm="1">
        <f t="array" ref="M120">_xlfn.IFS(Table4[[#This Row],[Sales]]&gt;=40000,"Best", Table4[[#This Row],[Sales]]&gt;=35000,"Average",Table4[[#This Row],[Sales]]&gt;0,"Poor")</f>
        <v>Poor</v>
      </c>
    </row>
    <row r="121" spans="1:13" x14ac:dyDescent="0.3">
      <c r="A121" s="18">
        <v>120</v>
      </c>
      <c r="B121" s="19">
        <v>44930</v>
      </c>
      <c r="C121" s="20" t="s">
        <v>30</v>
      </c>
      <c r="D121" s="20" t="s">
        <v>16</v>
      </c>
      <c r="E121" s="20" t="s">
        <v>12</v>
      </c>
      <c r="F121" s="20" t="s">
        <v>24</v>
      </c>
      <c r="G121" s="20" t="s">
        <v>29</v>
      </c>
      <c r="H121" s="21">
        <v>46770.74</v>
      </c>
      <c r="I121" s="20">
        <v>9</v>
      </c>
      <c r="J121" s="22">
        <v>10311.32</v>
      </c>
      <c r="K121" s="20" t="str">
        <f>IF(Table4[[#This Row],[Sales]]&gt;=40000,"BEST SALE","POOR SALE")</f>
        <v>BEST SALE</v>
      </c>
      <c r="L121" s="30" t="str" cm="1">
        <f t="array" ref="L121">_xlfn.IFS(Table4[[#This Row],[Sales]]&gt;=40000,"Best Sale", Table4[[#This Row],[Sales]]&gt;=20000,"Average Sale",Table4[[#This Row],[Sales]]&gt;0,"Poor Sale")</f>
        <v>Best Sale</v>
      </c>
      <c r="M121" s="32" t="str" cm="1">
        <f t="array" ref="M121">_xlfn.IFS(Table4[[#This Row],[Sales]]&gt;=40000,"Best", Table4[[#This Row],[Sales]]&gt;=35000,"Average",Table4[[#This Row],[Sales]]&gt;0,"Poor")</f>
        <v>Best</v>
      </c>
    </row>
    <row r="122" spans="1:13" x14ac:dyDescent="0.3">
      <c r="A122" s="13">
        <v>121</v>
      </c>
      <c r="B122" s="14">
        <v>45269</v>
      </c>
      <c r="C122" s="15" t="s">
        <v>30</v>
      </c>
      <c r="D122" s="15" t="s">
        <v>16</v>
      </c>
      <c r="E122" s="15" t="s">
        <v>12</v>
      </c>
      <c r="F122" s="15" t="s">
        <v>24</v>
      </c>
      <c r="G122" s="15" t="s">
        <v>29</v>
      </c>
      <c r="H122" s="16">
        <v>25666.98</v>
      </c>
      <c r="I122" s="15">
        <v>6</v>
      </c>
      <c r="J122" s="17">
        <v>5659.2</v>
      </c>
      <c r="K122" s="20" t="str">
        <f>IF(Table4[[#This Row],[Sales]]&gt;=40000,"BEST SALE","POOR SALE")</f>
        <v>POOR SALE</v>
      </c>
      <c r="L122" s="30" t="str" cm="1">
        <f t="array" ref="L122">_xlfn.IFS(Table4[[#This Row],[Sales]]&gt;=40000,"Best Sale", Table4[[#This Row],[Sales]]&gt;=20000,"Average Sale",Table4[[#This Row],[Sales]]&gt;0,"Poor Sale")</f>
        <v>Average Sale</v>
      </c>
      <c r="M122" s="32" t="str" cm="1">
        <f t="array" ref="M122">_xlfn.IFS(Table4[[#This Row],[Sales]]&gt;=40000,"Best", Table4[[#This Row],[Sales]]&gt;=35000,"Average",Table4[[#This Row],[Sales]]&gt;0,"Poor")</f>
        <v>Poor</v>
      </c>
    </row>
    <row r="123" spans="1:13" x14ac:dyDescent="0.3">
      <c r="A123" s="18">
        <v>122</v>
      </c>
      <c r="B123" s="19">
        <v>45281</v>
      </c>
      <c r="C123" s="20" t="s">
        <v>37</v>
      </c>
      <c r="D123" s="20" t="s">
        <v>27</v>
      </c>
      <c r="E123" s="20" t="s">
        <v>12</v>
      </c>
      <c r="F123" s="20" t="s">
        <v>13</v>
      </c>
      <c r="G123" s="20" t="s">
        <v>14</v>
      </c>
      <c r="H123" s="21">
        <v>23082.5</v>
      </c>
      <c r="I123" s="20">
        <v>5</v>
      </c>
      <c r="J123" s="22">
        <v>6692.32</v>
      </c>
      <c r="K123" s="20" t="str">
        <f>IF(Table4[[#This Row],[Sales]]&gt;=40000,"BEST SALE","POOR SALE")</f>
        <v>POOR SALE</v>
      </c>
      <c r="L123" s="30" t="str" cm="1">
        <f t="array" ref="L123">_xlfn.IFS(Table4[[#This Row],[Sales]]&gt;=40000,"Best Sale", Table4[[#This Row],[Sales]]&gt;=20000,"Average Sale",Table4[[#This Row],[Sales]]&gt;0,"Poor Sale")</f>
        <v>Average Sale</v>
      </c>
      <c r="M123" s="32" t="str" cm="1">
        <f t="array" ref="M123">_xlfn.IFS(Table4[[#This Row],[Sales]]&gt;=40000,"Best", Table4[[#This Row],[Sales]]&gt;=35000,"Average",Table4[[#This Row],[Sales]]&gt;0,"Poor")</f>
        <v>Poor</v>
      </c>
    </row>
    <row r="124" spans="1:13" x14ac:dyDescent="0.3">
      <c r="A124" s="13">
        <v>123</v>
      </c>
      <c r="B124" s="14">
        <v>45087</v>
      </c>
      <c r="C124" s="15" t="s">
        <v>37</v>
      </c>
      <c r="D124" s="15" t="s">
        <v>27</v>
      </c>
      <c r="E124" s="15" t="s">
        <v>12</v>
      </c>
      <c r="F124" s="15" t="s">
        <v>31</v>
      </c>
      <c r="G124" s="15" t="s">
        <v>33</v>
      </c>
      <c r="H124" s="16">
        <v>38476.03</v>
      </c>
      <c r="I124" s="15">
        <v>5</v>
      </c>
      <c r="J124" s="17">
        <v>4209.84</v>
      </c>
      <c r="K124" s="20" t="str">
        <f>IF(Table4[[#This Row],[Sales]]&gt;=40000,"BEST SALE","POOR SALE")</f>
        <v>POOR SALE</v>
      </c>
      <c r="L124" s="30" t="str" cm="1">
        <f t="array" ref="L124">_xlfn.IFS(Table4[[#This Row],[Sales]]&gt;=40000,"Best Sale", Table4[[#This Row],[Sales]]&gt;=20000,"Average Sale",Table4[[#This Row],[Sales]]&gt;0,"Poor Sale")</f>
        <v>Average Sale</v>
      </c>
      <c r="M124" s="32" t="str" cm="1">
        <f t="array" ref="M124">_xlfn.IFS(Table4[[#This Row],[Sales]]&gt;=40000,"Best", Table4[[#This Row],[Sales]]&gt;=35000,"Average",Table4[[#This Row],[Sales]]&gt;0,"Poor")</f>
        <v>Average</v>
      </c>
    </row>
    <row r="125" spans="1:13" x14ac:dyDescent="0.3">
      <c r="A125" s="18">
        <v>124</v>
      </c>
      <c r="B125" s="19">
        <v>44997</v>
      </c>
      <c r="C125" s="20" t="s">
        <v>37</v>
      </c>
      <c r="D125" s="20" t="s">
        <v>27</v>
      </c>
      <c r="E125" s="20" t="s">
        <v>12</v>
      </c>
      <c r="F125" s="20" t="s">
        <v>31</v>
      </c>
      <c r="G125" s="20" t="s">
        <v>32</v>
      </c>
      <c r="H125" s="21">
        <v>18610.04</v>
      </c>
      <c r="I125" s="20">
        <v>9</v>
      </c>
      <c r="J125" s="22">
        <v>2849.41</v>
      </c>
      <c r="K125" s="20" t="str">
        <f>IF(Table4[[#This Row],[Sales]]&gt;=40000,"BEST SALE","POOR SALE")</f>
        <v>POOR SALE</v>
      </c>
      <c r="L125" s="30" t="str" cm="1">
        <f t="array" ref="L125">_xlfn.IFS(Table4[[#This Row],[Sales]]&gt;=40000,"Best Sale", Table4[[#This Row],[Sales]]&gt;=20000,"Average Sale",Table4[[#This Row],[Sales]]&gt;0,"Poor Sale")</f>
        <v>Poor Sale</v>
      </c>
      <c r="M125" s="32" t="str" cm="1">
        <f t="array" ref="M125">_xlfn.IFS(Table4[[#This Row],[Sales]]&gt;=40000,"Best", Table4[[#This Row],[Sales]]&gt;=35000,"Average",Table4[[#This Row],[Sales]]&gt;0,"Poor")</f>
        <v>Poor</v>
      </c>
    </row>
    <row r="126" spans="1:13" x14ac:dyDescent="0.3">
      <c r="A126" s="13">
        <v>125</v>
      </c>
      <c r="B126" s="14">
        <v>44996</v>
      </c>
      <c r="C126" s="15" t="s">
        <v>30</v>
      </c>
      <c r="D126" s="15" t="s">
        <v>16</v>
      </c>
      <c r="E126" s="15" t="s">
        <v>12</v>
      </c>
      <c r="F126" s="15" t="s">
        <v>13</v>
      </c>
      <c r="G126" s="15" t="s">
        <v>14</v>
      </c>
      <c r="H126" s="16">
        <v>9386.76</v>
      </c>
      <c r="I126" s="15">
        <v>5</v>
      </c>
      <c r="J126" s="17">
        <v>1362.58</v>
      </c>
      <c r="K126" s="20" t="str">
        <f>IF(Table4[[#This Row],[Sales]]&gt;=40000,"BEST SALE","POOR SALE")</f>
        <v>POOR SALE</v>
      </c>
      <c r="L126" s="30" t="str" cm="1">
        <f t="array" ref="L126">_xlfn.IFS(Table4[[#This Row],[Sales]]&gt;=40000,"Best Sale", Table4[[#This Row],[Sales]]&gt;=20000,"Average Sale",Table4[[#This Row],[Sales]]&gt;0,"Poor Sale")</f>
        <v>Poor Sale</v>
      </c>
      <c r="M126" s="32" t="str" cm="1">
        <f t="array" ref="M126">_xlfn.IFS(Table4[[#This Row],[Sales]]&gt;=40000,"Best", Table4[[#This Row],[Sales]]&gt;=35000,"Average",Table4[[#This Row],[Sales]]&gt;0,"Poor")</f>
        <v>Poor</v>
      </c>
    </row>
    <row r="127" spans="1:13" x14ac:dyDescent="0.3">
      <c r="A127" s="18">
        <v>126</v>
      </c>
      <c r="B127" s="19">
        <v>45288</v>
      </c>
      <c r="C127" s="20" t="s">
        <v>26</v>
      </c>
      <c r="D127" s="20" t="s">
        <v>27</v>
      </c>
      <c r="E127" s="20" t="s">
        <v>12</v>
      </c>
      <c r="F127" s="20" t="s">
        <v>13</v>
      </c>
      <c r="G127" s="20" t="s">
        <v>14</v>
      </c>
      <c r="H127" s="21">
        <v>28617.52</v>
      </c>
      <c r="I127" s="20">
        <v>6</v>
      </c>
      <c r="J127" s="22">
        <v>2807.32</v>
      </c>
      <c r="K127" s="20" t="str">
        <f>IF(Table4[[#This Row],[Sales]]&gt;=40000,"BEST SALE","POOR SALE")</f>
        <v>POOR SALE</v>
      </c>
      <c r="L127" s="30" t="str" cm="1">
        <f t="array" ref="L127">_xlfn.IFS(Table4[[#This Row],[Sales]]&gt;=40000,"Best Sale", Table4[[#This Row],[Sales]]&gt;=20000,"Average Sale",Table4[[#This Row],[Sales]]&gt;0,"Poor Sale")</f>
        <v>Average Sale</v>
      </c>
      <c r="M127" s="32" t="str" cm="1">
        <f t="array" ref="M127">_xlfn.IFS(Table4[[#This Row],[Sales]]&gt;=40000,"Best", Table4[[#This Row],[Sales]]&gt;=35000,"Average",Table4[[#This Row],[Sales]]&gt;0,"Poor")</f>
        <v>Poor</v>
      </c>
    </row>
    <row r="128" spans="1:13" x14ac:dyDescent="0.3">
      <c r="A128" s="13">
        <v>127</v>
      </c>
      <c r="B128" s="14">
        <v>45268</v>
      </c>
      <c r="C128" s="15" t="s">
        <v>15</v>
      </c>
      <c r="D128" s="15" t="s">
        <v>16</v>
      </c>
      <c r="E128" s="15" t="s">
        <v>12</v>
      </c>
      <c r="F128" s="15" t="s">
        <v>31</v>
      </c>
      <c r="G128" s="15" t="s">
        <v>32</v>
      </c>
      <c r="H128" s="16">
        <v>23321.11</v>
      </c>
      <c r="I128" s="15">
        <v>6</v>
      </c>
      <c r="J128" s="17">
        <v>6516.94</v>
      </c>
      <c r="K128" s="20" t="str">
        <f>IF(Table4[[#This Row],[Sales]]&gt;=40000,"BEST SALE","POOR SALE")</f>
        <v>POOR SALE</v>
      </c>
      <c r="L128" s="30" t="str" cm="1">
        <f t="array" ref="L128">_xlfn.IFS(Table4[[#This Row],[Sales]]&gt;=40000,"Best Sale", Table4[[#This Row],[Sales]]&gt;=20000,"Average Sale",Table4[[#This Row],[Sales]]&gt;0,"Poor Sale")</f>
        <v>Average Sale</v>
      </c>
      <c r="M128" s="32" t="str" cm="1">
        <f t="array" ref="M128">_xlfn.IFS(Table4[[#This Row],[Sales]]&gt;=40000,"Best", Table4[[#This Row],[Sales]]&gt;=35000,"Average",Table4[[#This Row],[Sales]]&gt;0,"Poor")</f>
        <v>Poor</v>
      </c>
    </row>
    <row r="129" spans="1:13" x14ac:dyDescent="0.3">
      <c r="A129" s="18">
        <v>128</v>
      </c>
      <c r="B129" s="19">
        <v>45195</v>
      </c>
      <c r="C129" s="20" t="s">
        <v>26</v>
      </c>
      <c r="D129" s="20" t="s">
        <v>27</v>
      </c>
      <c r="E129" s="20" t="s">
        <v>12</v>
      </c>
      <c r="F129" s="20" t="s">
        <v>13</v>
      </c>
      <c r="G129" s="20" t="s">
        <v>14</v>
      </c>
      <c r="H129" s="21">
        <v>30886.63</v>
      </c>
      <c r="I129" s="20">
        <v>3</v>
      </c>
      <c r="J129" s="22">
        <v>7845.04</v>
      </c>
      <c r="K129" s="20" t="str">
        <f>IF(Table4[[#This Row],[Sales]]&gt;=40000,"BEST SALE","POOR SALE")</f>
        <v>POOR SALE</v>
      </c>
      <c r="L129" s="30" t="str" cm="1">
        <f t="array" ref="L129">_xlfn.IFS(Table4[[#This Row],[Sales]]&gt;=40000,"Best Sale", Table4[[#This Row],[Sales]]&gt;=20000,"Average Sale",Table4[[#This Row],[Sales]]&gt;0,"Poor Sale")</f>
        <v>Average Sale</v>
      </c>
      <c r="M129" s="32" t="str" cm="1">
        <f t="array" ref="M129">_xlfn.IFS(Table4[[#This Row],[Sales]]&gt;=40000,"Best", Table4[[#This Row],[Sales]]&gt;=35000,"Average",Table4[[#This Row],[Sales]]&gt;0,"Poor")</f>
        <v>Poor</v>
      </c>
    </row>
    <row r="130" spans="1:13" x14ac:dyDescent="0.3">
      <c r="A130" s="13">
        <v>129</v>
      </c>
      <c r="B130" s="14">
        <v>45236</v>
      </c>
      <c r="C130" s="15" t="s">
        <v>10</v>
      </c>
      <c r="D130" s="15" t="s">
        <v>11</v>
      </c>
      <c r="E130" s="15" t="s">
        <v>12</v>
      </c>
      <c r="F130" s="15" t="s">
        <v>31</v>
      </c>
      <c r="G130" s="15" t="s">
        <v>39</v>
      </c>
      <c r="H130" s="16">
        <v>33355.910000000003</v>
      </c>
      <c r="I130" s="15">
        <v>5</v>
      </c>
      <c r="J130" s="17">
        <v>2731.47</v>
      </c>
      <c r="K130" s="20" t="str">
        <f>IF(Table4[[#This Row],[Sales]]&gt;=40000,"BEST SALE","POOR SALE")</f>
        <v>POOR SALE</v>
      </c>
      <c r="L130" s="30" t="str" cm="1">
        <f t="array" ref="L130">_xlfn.IFS(Table4[[#This Row],[Sales]]&gt;=40000,"Best Sale", Table4[[#This Row],[Sales]]&gt;=20000,"Average Sale",Table4[[#This Row],[Sales]]&gt;0,"Poor Sale")</f>
        <v>Average Sale</v>
      </c>
      <c r="M130" s="32" t="str" cm="1">
        <f t="array" ref="M130">_xlfn.IFS(Table4[[#This Row],[Sales]]&gt;=40000,"Best", Table4[[#This Row],[Sales]]&gt;=35000,"Average",Table4[[#This Row],[Sales]]&gt;0,"Poor")</f>
        <v>Poor</v>
      </c>
    </row>
    <row r="131" spans="1:13" x14ac:dyDescent="0.3">
      <c r="A131" s="18">
        <v>130</v>
      </c>
      <c r="B131" s="19">
        <v>45109</v>
      </c>
      <c r="C131" s="20" t="s">
        <v>10</v>
      </c>
      <c r="D131" s="20" t="s">
        <v>11</v>
      </c>
      <c r="E131" s="20" t="s">
        <v>12</v>
      </c>
      <c r="F131" s="20" t="s">
        <v>24</v>
      </c>
      <c r="G131" s="20" t="s">
        <v>28</v>
      </c>
      <c r="H131" s="21">
        <v>23925.26</v>
      </c>
      <c r="I131" s="20">
        <v>3</v>
      </c>
      <c r="J131" s="22">
        <v>4614.3999999999996</v>
      </c>
      <c r="K131" s="20" t="str">
        <f>IF(Table4[[#This Row],[Sales]]&gt;=40000,"BEST SALE","POOR SALE")</f>
        <v>POOR SALE</v>
      </c>
      <c r="L131" s="30" t="str" cm="1">
        <f t="array" ref="L131">_xlfn.IFS(Table4[[#This Row],[Sales]]&gt;=40000,"Best Sale", Table4[[#This Row],[Sales]]&gt;=20000,"Average Sale",Table4[[#This Row],[Sales]]&gt;0,"Poor Sale")</f>
        <v>Average Sale</v>
      </c>
      <c r="M131" s="32" t="str" cm="1">
        <f t="array" ref="M131">_xlfn.IFS(Table4[[#This Row],[Sales]]&gt;=40000,"Best", Table4[[#This Row],[Sales]]&gt;=35000,"Average",Table4[[#This Row],[Sales]]&gt;0,"Poor")</f>
        <v>Poor</v>
      </c>
    </row>
    <row r="132" spans="1:13" x14ac:dyDescent="0.3">
      <c r="A132" s="13">
        <v>131</v>
      </c>
      <c r="B132" s="14">
        <v>44930</v>
      </c>
      <c r="C132" s="15" t="s">
        <v>10</v>
      </c>
      <c r="D132" s="15" t="s">
        <v>11</v>
      </c>
      <c r="E132" s="15" t="s">
        <v>12</v>
      </c>
      <c r="F132" s="15" t="s">
        <v>13</v>
      </c>
      <c r="G132" s="15" t="s">
        <v>34</v>
      </c>
      <c r="H132" s="16">
        <v>46208.11</v>
      </c>
      <c r="I132" s="15">
        <v>1</v>
      </c>
      <c r="J132" s="17">
        <v>4640.21</v>
      </c>
      <c r="K132" s="20" t="str">
        <f>IF(Table4[[#This Row],[Sales]]&gt;=40000,"BEST SALE","POOR SALE")</f>
        <v>BEST SALE</v>
      </c>
      <c r="L132" s="30" t="str" cm="1">
        <f t="array" ref="L132">_xlfn.IFS(Table4[[#This Row],[Sales]]&gt;=40000,"Best Sale", Table4[[#This Row],[Sales]]&gt;=20000,"Average Sale",Table4[[#This Row],[Sales]]&gt;0,"Poor Sale")</f>
        <v>Best Sale</v>
      </c>
      <c r="M132" s="32" t="str" cm="1">
        <f t="array" ref="M132">_xlfn.IFS(Table4[[#This Row],[Sales]]&gt;=40000,"Best", Table4[[#This Row],[Sales]]&gt;=35000,"Average",Table4[[#This Row],[Sales]]&gt;0,"Poor")</f>
        <v>Best</v>
      </c>
    </row>
    <row r="133" spans="1:13" x14ac:dyDescent="0.3">
      <c r="A133" s="18">
        <v>132</v>
      </c>
      <c r="B133" s="19">
        <v>44967</v>
      </c>
      <c r="C133" s="20" t="s">
        <v>10</v>
      </c>
      <c r="D133" s="20" t="s">
        <v>11</v>
      </c>
      <c r="E133" s="20" t="s">
        <v>12</v>
      </c>
      <c r="F133" s="20" t="s">
        <v>31</v>
      </c>
      <c r="G133" s="20" t="s">
        <v>39</v>
      </c>
      <c r="H133" s="21">
        <v>7965.54</v>
      </c>
      <c r="I133" s="20">
        <v>3</v>
      </c>
      <c r="J133" s="22">
        <v>2341.5300000000002</v>
      </c>
      <c r="K133" s="20" t="str">
        <f>IF(Table4[[#This Row],[Sales]]&gt;=40000,"BEST SALE","POOR SALE")</f>
        <v>POOR SALE</v>
      </c>
      <c r="L133" s="30" t="str" cm="1">
        <f t="array" ref="L133">_xlfn.IFS(Table4[[#This Row],[Sales]]&gt;=40000,"Best Sale", Table4[[#This Row],[Sales]]&gt;=20000,"Average Sale",Table4[[#This Row],[Sales]]&gt;0,"Poor Sale")</f>
        <v>Poor Sale</v>
      </c>
      <c r="M133" s="32" t="str" cm="1">
        <f t="array" ref="M133">_xlfn.IFS(Table4[[#This Row],[Sales]]&gt;=40000,"Best", Table4[[#This Row],[Sales]]&gt;=35000,"Average",Table4[[#This Row],[Sales]]&gt;0,"Poor")</f>
        <v>Poor</v>
      </c>
    </row>
    <row r="134" spans="1:13" x14ac:dyDescent="0.3">
      <c r="A134" s="13">
        <v>133</v>
      </c>
      <c r="B134" s="14">
        <v>45265</v>
      </c>
      <c r="C134" s="15" t="s">
        <v>15</v>
      </c>
      <c r="D134" s="15" t="s">
        <v>16</v>
      </c>
      <c r="E134" s="15" t="s">
        <v>12</v>
      </c>
      <c r="F134" s="15" t="s">
        <v>13</v>
      </c>
      <c r="G134" s="15" t="s">
        <v>34</v>
      </c>
      <c r="H134" s="16">
        <v>47622.58</v>
      </c>
      <c r="I134" s="15">
        <v>8</v>
      </c>
      <c r="J134" s="17">
        <v>13847.81</v>
      </c>
      <c r="K134" s="20" t="str">
        <f>IF(Table4[[#This Row],[Sales]]&gt;=40000,"BEST SALE","POOR SALE")</f>
        <v>BEST SALE</v>
      </c>
      <c r="L134" s="30" t="str" cm="1">
        <f t="array" ref="L134">_xlfn.IFS(Table4[[#This Row],[Sales]]&gt;=40000,"Best Sale", Table4[[#This Row],[Sales]]&gt;=20000,"Average Sale",Table4[[#This Row],[Sales]]&gt;0,"Poor Sale")</f>
        <v>Best Sale</v>
      </c>
      <c r="M134" s="32" t="str" cm="1">
        <f t="array" ref="M134">_xlfn.IFS(Table4[[#This Row],[Sales]]&gt;=40000,"Best", Table4[[#This Row],[Sales]]&gt;=35000,"Average",Table4[[#This Row],[Sales]]&gt;0,"Poor")</f>
        <v>Best</v>
      </c>
    </row>
    <row r="135" spans="1:13" x14ac:dyDescent="0.3">
      <c r="A135" s="18">
        <v>134</v>
      </c>
      <c r="B135" s="19">
        <v>45204</v>
      </c>
      <c r="C135" s="20" t="s">
        <v>22</v>
      </c>
      <c r="D135" s="20" t="s">
        <v>22</v>
      </c>
      <c r="E135" s="20" t="s">
        <v>12</v>
      </c>
      <c r="F135" s="20" t="s">
        <v>31</v>
      </c>
      <c r="G135" s="20" t="s">
        <v>33</v>
      </c>
      <c r="H135" s="21">
        <v>2192.81</v>
      </c>
      <c r="I135" s="20">
        <v>2</v>
      </c>
      <c r="J135" s="22">
        <v>448.06</v>
      </c>
      <c r="K135" s="20" t="str">
        <f>IF(Table4[[#This Row],[Sales]]&gt;=40000,"BEST SALE","POOR SALE")</f>
        <v>POOR SALE</v>
      </c>
      <c r="L135" s="30" t="str" cm="1">
        <f t="array" ref="L135">_xlfn.IFS(Table4[[#This Row],[Sales]]&gt;=40000,"Best Sale", Table4[[#This Row],[Sales]]&gt;=20000,"Average Sale",Table4[[#This Row],[Sales]]&gt;0,"Poor Sale")</f>
        <v>Poor Sale</v>
      </c>
      <c r="M135" s="32" t="str" cm="1">
        <f t="array" ref="M135">_xlfn.IFS(Table4[[#This Row],[Sales]]&gt;=40000,"Best", Table4[[#This Row],[Sales]]&gt;=35000,"Average",Table4[[#This Row],[Sales]]&gt;0,"Poor")</f>
        <v>Poor</v>
      </c>
    </row>
    <row r="136" spans="1:13" x14ac:dyDescent="0.3">
      <c r="A136" s="13">
        <v>135</v>
      </c>
      <c r="B136" s="14">
        <v>45182</v>
      </c>
      <c r="C136" s="15" t="s">
        <v>35</v>
      </c>
      <c r="D136" s="15" t="s">
        <v>36</v>
      </c>
      <c r="E136" s="15" t="s">
        <v>12</v>
      </c>
      <c r="F136" s="15" t="s">
        <v>13</v>
      </c>
      <c r="G136" s="15" t="s">
        <v>34</v>
      </c>
      <c r="H136" s="16">
        <v>39455.26</v>
      </c>
      <c r="I136" s="15">
        <v>6</v>
      </c>
      <c r="J136" s="17">
        <v>7254.89</v>
      </c>
      <c r="K136" s="20" t="str">
        <f>IF(Table4[[#This Row],[Sales]]&gt;=40000,"BEST SALE","POOR SALE")</f>
        <v>POOR SALE</v>
      </c>
      <c r="L136" s="30" t="str" cm="1">
        <f t="array" ref="L136">_xlfn.IFS(Table4[[#This Row],[Sales]]&gt;=40000,"Best Sale", Table4[[#This Row],[Sales]]&gt;=20000,"Average Sale",Table4[[#This Row],[Sales]]&gt;0,"Poor Sale")</f>
        <v>Average Sale</v>
      </c>
      <c r="M136" s="32" t="str" cm="1">
        <f t="array" ref="M136">_xlfn.IFS(Table4[[#This Row],[Sales]]&gt;=40000,"Best", Table4[[#This Row],[Sales]]&gt;=35000,"Average",Table4[[#This Row],[Sales]]&gt;0,"Poor")</f>
        <v>Average</v>
      </c>
    </row>
    <row r="137" spans="1:13" x14ac:dyDescent="0.3">
      <c r="A137" s="18">
        <v>136</v>
      </c>
      <c r="B137" s="19">
        <v>45066</v>
      </c>
      <c r="C137" s="20" t="s">
        <v>30</v>
      </c>
      <c r="D137" s="20" t="s">
        <v>16</v>
      </c>
      <c r="E137" s="20" t="s">
        <v>12</v>
      </c>
      <c r="F137" s="20" t="s">
        <v>31</v>
      </c>
      <c r="G137" s="20" t="s">
        <v>33</v>
      </c>
      <c r="H137" s="21">
        <v>33615.199999999997</v>
      </c>
      <c r="I137" s="20">
        <v>10</v>
      </c>
      <c r="J137" s="22">
        <v>9400.1200000000008</v>
      </c>
      <c r="K137" s="20" t="str">
        <f>IF(Table4[[#This Row],[Sales]]&gt;=40000,"BEST SALE","POOR SALE")</f>
        <v>POOR SALE</v>
      </c>
      <c r="L137" s="30" t="str" cm="1">
        <f t="array" ref="L137">_xlfn.IFS(Table4[[#This Row],[Sales]]&gt;=40000,"Best Sale", Table4[[#This Row],[Sales]]&gt;=20000,"Average Sale",Table4[[#This Row],[Sales]]&gt;0,"Poor Sale")</f>
        <v>Average Sale</v>
      </c>
      <c r="M137" s="32" t="str" cm="1">
        <f t="array" ref="M137">_xlfn.IFS(Table4[[#This Row],[Sales]]&gt;=40000,"Best", Table4[[#This Row],[Sales]]&gt;=35000,"Average",Table4[[#This Row],[Sales]]&gt;0,"Poor")</f>
        <v>Poor</v>
      </c>
    </row>
    <row r="138" spans="1:13" x14ac:dyDescent="0.3">
      <c r="A138" s="13">
        <v>137</v>
      </c>
      <c r="B138" s="14">
        <v>45112</v>
      </c>
      <c r="C138" s="15" t="s">
        <v>10</v>
      </c>
      <c r="D138" s="15" t="s">
        <v>11</v>
      </c>
      <c r="E138" s="15" t="s">
        <v>12</v>
      </c>
      <c r="F138" s="15" t="s">
        <v>13</v>
      </c>
      <c r="G138" s="15" t="s">
        <v>21</v>
      </c>
      <c r="H138" s="16">
        <v>43630.27</v>
      </c>
      <c r="I138" s="15">
        <v>1</v>
      </c>
      <c r="J138" s="17">
        <v>5720.89</v>
      </c>
      <c r="K138" s="20" t="str">
        <f>IF(Table4[[#This Row],[Sales]]&gt;=40000,"BEST SALE","POOR SALE")</f>
        <v>BEST SALE</v>
      </c>
      <c r="L138" s="30" t="str" cm="1">
        <f t="array" ref="L138">_xlfn.IFS(Table4[[#This Row],[Sales]]&gt;=40000,"Best Sale", Table4[[#This Row],[Sales]]&gt;=20000,"Average Sale",Table4[[#This Row],[Sales]]&gt;0,"Poor Sale")</f>
        <v>Best Sale</v>
      </c>
      <c r="M138" s="32" t="str" cm="1">
        <f t="array" ref="M138">_xlfn.IFS(Table4[[#This Row],[Sales]]&gt;=40000,"Best", Table4[[#This Row],[Sales]]&gt;=35000,"Average",Table4[[#This Row],[Sales]]&gt;0,"Poor")</f>
        <v>Best</v>
      </c>
    </row>
    <row r="139" spans="1:13" x14ac:dyDescent="0.3">
      <c r="A139" s="18">
        <v>138</v>
      </c>
      <c r="B139" s="19">
        <v>45222</v>
      </c>
      <c r="C139" s="20" t="s">
        <v>30</v>
      </c>
      <c r="D139" s="20" t="s">
        <v>16</v>
      </c>
      <c r="E139" s="20" t="s">
        <v>12</v>
      </c>
      <c r="F139" s="20" t="s">
        <v>31</v>
      </c>
      <c r="G139" s="20" t="s">
        <v>39</v>
      </c>
      <c r="H139" s="21">
        <v>45089.98</v>
      </c>
      <c r="I139" s="20">
        <v>5</v>
      </c>
      <c r="J139" s="22">
        <v>4787.6899999999996</v>
      </c>
      <c r="K139" s="20" t="str">
        <f>IF(Table4[[#This Row],[Sales]]&gt;=40000,"BEST SALE","POOR SALE")</f>
        <v>BEST SALE</v>
      </c>
      <c r="L139" s="30" t="str" cm="1">
        <f t="array" ref="L139">_xlfn.IFS(Table4[[#This Row],[Sales]]&gt;=40000,"Best Sale", Table4[[#This Row],[Sales]]&gt;=20000,"Average Sale",Table4[[#This Row],[Sales]]&gt;0,"Poor Sale")</f>
        <v>Best Sale</v>
      </c>
      <c r="M139" s="32" t="str" cm="1">
        <f t="array" ref="M139">_xlfn.IFS(Table4[[#This Row],[Sales]]&gt;=40000,"Best", Table4[[#This Row],[Sales]]&gt;=35000,"Average",Table4[[#This Row],[Sales]]&gt;0,"Poor")</f>
        <v>Best</v>
      </c>
    </row>
    <row r="140" spans="1:13" x14ac:dyDescent="0.3">
      <c r="A140" s="13">
        <v>139</v>
      </c>
      <c r="B140" s="14">
        <v>45193</v>
      </c>
      <c r="C140" s="15" t="s">
        <v>30</v>
      </c>
      <c r="D140" s="15" t="s">
        <v>16</v>
      </c>
      <c r="E140" s="15" t="s">
        <v>12</v>
      </c>
      <c r="F140" s="15" t="s">
        <v>24</v>
      </c>
      <c r="G140" s="15" t="s">
        <v>29</v>
      </c>
      <c r="H140" s="16">
        <v>41314.769999999997</v>
      </c>
      <c r="I140" s="15">
        <v>7</v>
      </c>
      <c r="J140" s="17">
        <v>9847.14</v>
      </c>
      <c r="K140" s="20" t="str">
        <f>IF(Table4[[#This Row],[Sales]]&gt;=40000,"BEST SALE","POOR SALE")</f>
        <v>BEST SALE</v>
      </c>
      <c r="L140" s="30" t="str" cm="1">
        <f t="array" ref="L140">_xlfn.IFS(Table4[[#This Row],[Sales]]&gt;=40000,"Best Sale", Table4[[#This Row],[Sales]]&gt;=20000,"Average Sale",Table4[[#This Row],[Sales]]&gt;0,"Poor Sale")</f>
        <v>Best Sale</v>
      </c>
      <c r="M140" s="32" t="str" cm="1">
        <f t="array" ref="M140">_xlfn.IFS(Table4[[#This Row],[Sales]]&gt;=40000,"Best", Table4[[#This Row],[Sales]]&gt;=35000,"Average",Table4[[#This Row],[Sales]]&gt;0,"Poor")</f>
        <v>Best</v>
      </c>
    </row>
    <row r="141" spans="1:13" x14ac:dyDescent="0.3">
      <c r="A141" s="18">
        <v>140</v>
      </c>
      <c r="B141" s="19">
        <v>44981</v>
      </c>
      <c r="C141" s="20" t="s">
        <v>30</v>
      </c>
      <c r="D141" s="20" t="s">
        <v>16</v>
      </c>
      <c r="E141" s="20" t="s">
        <v>12</v>
      </c>
      <c r="F141" s="20" t="s">
        <v>24</v>
      </c>
      <c r="G141" s="20" t="s">
        <v>28</v>
      </c>
      <c r="H141" s="21">
        <v>33348.76</v>
      </c>
      <c r="I141" s="20">
        <v>2</v>
      </c>
      <c r="J141" s="22">
        <v>3732.78</v>
      </c>
      <c r="K141" s="20" t="str">
        <f>IF(Table4[[#This Row],[Sales]]&gt;=40000,"BEST SALE","POOR SALE")</f>
        <v>POOR SALE</v>
      </c>
      <c r="L141" s="30" t="str" cm="1">
        <f t="array" ref="L141">_xlfn.IFS(Table4[[#This Row],[Sales]]&gt;=40000,"Best Sale", Table4[[#This Row],[Sales]]&gt;=20000,"Average Sale",Table4[[#This Row],[Sales]]&gt;0,"Poor Sale")</f>
        <v>Average Sale</v>
      </c>
      <c r="M141" s="32" t="str" cm="1">
        <f t="array" ref="M141">_xlfn.IFS(Table4[[#This Row],[Sales]]&gt;=40000,"Best", Table4[[#This Row],[Sales]]&gt;=35000,"Average",Table4[[#This Row],[Sales]]&gt;0,"Poor")</f>
        <v>Poor</v>
      </c>
    </row>
    <row r="142" spans="1:13" x14ac:dyDescent="0.3">
      <c r="A142" s="13">
        <v>141</v>
      </c>
      <c r="B142" s="14">
        <v>44944</v>
      </c>
      <c r="C142" s="15" t="s">
        <v>18</v>
      </c>
      <c r="D142" s="15" t="s">
        <v>19</v>
      </c>
      <c r="E142" s="15" t="s">
        <v>12</v>
      </c>
      <c r="F142" s="15" t="s">
        <v>13</v>
      </c>
      <c r="G142" s="15" t="s">
        <v>14</v>
      </c>
      <c r="H142" s="16">
        <v>36059.56</v>
      </c>
      <c r="I142" s="15">
        <v>8</v>
      </c>
      <c r="J142" s="17">
        <v>6777.54</v>
      </c>
      <c r="K142" s="20" t="str">
        <f>IF(Table4[[#This Row],[Sales]]&gt;=40000,"BEST SALE","POOR SALE")</f>
        <v>POOR SALE</v>
      </c>
      <c r="L142" s="30" t="str" cm="1">
        <f t="array" ref="L142">_xlfn.IFS(Table4[[#This Row],[Sales]]&gt;=40000,"Best Sale", Table4[[#This Row],[Sales]]&gt;=20000,"Average Sale",Table4[[#This Row],[Sales]]&gt;0,"Poor Sale")</f>
        <v>Average Sale</v>
      </c>
      <c r="M142" s="32" t="str" cm="1">
        <f t="array" ref="M142">_xlfn.IFS(Table4[[#This Row],[Sales]]&gt;=40000,"Best", Table4[[#This Row],[Sales]]&gt;=35000,"Average",Table4[[#This Row],[Sales]]&gt;0,"Poor")</f>
        <v>Average</v>
      </c>
    </row>
    <row r="143" spans="1:13" x14ac:dyDescent="0.3">
      <c r="A143" s="18">
        <v>142</v>
      </c>
      <c r="B143" s="19">
        <v>45063</v>
      </c>
      <c r="C143" s="20" t="s">
        <v>37</v>
      </c>
      <c r="D143" s="20" t="s">
        <v>27</v>
      </c>
      <c r="E143" s="20" t="s">
        <v>12</v>
      </c>
      <c r="F143" s="20" t="s">
        <v>24</v>
      </c>
      <c r="G143" s="20" t="s">
        <v>29</v>
      </c>
      <c r="H143" s="21">
        <v>21431.96</v>
      </c>
      <c r="I143" s="20">
        <v>6</v>
      </c>
      <c r="J143" s="22">
        <v>2214.5500000000002</v>
      </c>
      <c r="K143" s="20" t="str">
        <f>IF(Table4[[#This Row],[Sales]]&gt;=40000,"BEST SALE","POOR SALE")</f>
        <v>POOR SALE</v>
      </c>
      <c r="L143" s="30" t="str" cm="1">
        <f t="array" ref="L143">_xlfn.IFS(Table4[[#This Row],[Sales]]&gt;=40000,"Best Sale", Table4[[#This Row],[Sales]]&gt;=20000,"Average Sale",Table4[[#This Row],[Sales]]&gt;0,"Poor Sale")</f>
        <v>Average Sale</v>
      </c>
      <c r="M143" s="32" t="str" cm="1">
        <f t="array" ref="M143">_xlfn.IFS(Table4[[#This Row],[Sales]]&gt;=40000,"Best", Table4[[#This Row],[Sales]]&gt;=35000,"Average",Table4[[#This Row],[Sales]]&gt;0,"Poor")</f>
        <v>Poor</v>
      </c>
    </row>
    <row r="144" spans="1:13" x14ac:dyDescent="0.3">
      <c r="A144" s="13">
        <v>143</v>
      </c>
      <c r="B144" s="14">
        <v>45177</v>
      </c>
      <c r="C144" s="15" t="s">
        <v>26</v>
      </c>
      <c r="D144" s="15" t="s">
        <v>27</v>
      </c>
      <c r="E144" s="15" t="s">
        <v>12</v>
      </c>
      <c r="F144" s="15" t="s">
        <v>13</v>
      </c>
      <c r="G144" s="15" t="s">
        <v>14</v>
      </c>
      <c r="H144" s="16">
        <v>29187.79</v>
      </c>
      <c r="I144" s="15">
        <v>2</v>
      </c>
      <c r="J144" s="17">
        <v>1532.13</v>
      </c>
      <c r="K144" s="20" t="str">
        <f>IF(Table4[[#This Row],[Sales]]&gt;=40000,"BEST SALE","POOR SALE")</f>
        <v>POOR SALE</v>
      </c>
      <c r="L144" s="30" t="str" cm="1">
        <f t="array" ref="L144">_xlfn.IFS(Table4[[#This Row],[Sales]]&gt;=40000,"Best Sale", Table4[[#This Row],[Sales]]&gt;=20000,"Average Sale",Table4[[#This Row],[Sales]]&gt;0,"Poor Sale")</f>
        <v>Average Sale</v>
      </c>
      <c r="M144" s="32" t="str" cm="1">
        <f t="array" ref="M144">_xlfn.IFS(Table4[[#This Row],[Sales]]&gt;=40000,"Best", Table4[[#This Row],[Sales]]&gt;=35000,"Average",Table4[[#This Row],[Sales]]&gt;0,"Poor")</f>
        <v>Poor</v>
      </c>
    </row>
    <row r="145" spans="1:13" x14ac:dyDescent="0.3">
      <c r="A145" s="18">
        <v>144</v>
      </c>
      <c r="B145" s="19">
        <v>44930</v>
      </c>
      <c r="C145" s="20" t="s">
        <v>30</v>
      </c>
      <c r="D145" s="20" t="s">
        <v>16</v>
      </c>
      <c r="E145" s="20" t="s">
        <v>17</v>
      </c>
      <c r="F145" s="20" t="s">
        <v>31</v>
      </c>
      <c r="G145" s="20" t="s">
        <v>32</v>
      </c>
      <c r="H145" s="21">
        <v>45025.54</v>
      </c>
      <c r="I145" s="20">
        <v>2</v>
      </c>
      <c r="J145" s="22">
        <v>12720.22</v>
      </c>
      <c r="K145" s="20" t="str">
        <f>IF(Table4[[#This Row],[Sales]]&gt;=40000,"BEST SALE","POOR SALE")</f>
        <v>BEST SALE</v>
      </c>
      <c r="L145" s="30" t="str" cm="1">
        <f t="array" ref="L145">_xlfn.IFS(Table4[[#This Row],[Sales]]&gt;=40000,"Best Sale", Table4[[#This Row],[Sales]]&gt;=20000,"Average Sale",Table4[[#This Row],[Sales]]&gt;0,"Poor Sale")</f>
        <v>Best Sale</v>
      </c>
      <c r="M145" s="32" t="str" cm="1">
        <f t="array" ref="M145">_xlfn.IFS(Table4[[#This Row],[Sales]]&gt;=40000,"Best", Table4[[#This Row],[Sales]]&gt;=35000,"Average",Table4[[#This Row],[Sales]]&gt;0,"Poor")</f>
        <v>Best</v>
      </c>
    </row>
    <row r="146" spans="1:13" x14ac:dyDescent="0.3">
      <c r="A146" s="13">
        <v>145</v>
      </c>
      <c r="B146" s="14">
        <v>45118</v>
      </c>
      <c r="C146" s="15" t="s">
        <v>15</v>
      </c>
      <c r="D146" s="15" t="s">
        <v>16</v>
      </c>
      <c r="E146" s="15" t="s">
        <v>17</v>
      </c>
      <c r="F146" s="15" t="s">
        <v>13</v>
      </c>
      <c r="G146" s="15" t="s">
        <v>14</v>
      </c>
      <c r="H146" s="16">
        <v>29484.35</v>
      </c>
      <c r="I146" s="15">
        <v>4</v>
      </c>
      <c r="J146" s="17">
        <v>2052.4299999999998</v>
      </c>
      <c r="K146" s="20" t="str">
        <f>IF(Table4[[#This Row],[Sales]]&gt;=40000,"BEST SALE","POOR SALE")</f>
        <v>POOR SALE</v>
      </c>
      <c r="L146" s="30" t="str" cm="1">
        <f t="array" ref="L146">_xlfn.IFS(Table4[[#This Row],[Sales]]&gt;=40000,"Best Sale", Table4[[#This Row],[Sales]]&gt;=20000,"Average Sale",Table4[[#This Row],[Sales]]&gt;0,"Poor Sale")</f>
        <v>Average Sale</v>
      </c>
      <c r="M146" s="32" t="str" cm="1">
        <f t="array" ref="M146">_xlfn.IFS(Table4[[#This Row],[Sales]]&gt;=40000,"Best", Table4[[#This Row],[Sales]]&gt;=35000,"Average",Table4[[#This Row],[Sales]]&gt;0,"Poor")</f>
        <v>Poor</v>
      </c>
    </row>
    <row r="147" spans="1:13" x14ac:dyDescent="0.3">
      <c r="A147" s="18">
        <v>146</v>
      </c>
      <c r="B147" s="19">
        <v>45067</v>
      </c>
      <c r="C147" s="20" t="s">
        <v>26</v>
      </c>
      <c r="D147" s="20" t="s">
        <v>27</v>
      </c>
      <c r="E147" s="20" t="s">
        <v>17</v>
      </c>
      <c r="F147" s="20" t="s">
        <v>13</v>
      </c>
      <c r="G147" s="20" t="s">
        <v>34</v>
      </c>
      <c r="H147" s="21">
        <v>16959.68</v>
      </c>
      <c r="I147" s="20">
        <v>4</v>
      </c>
      <c r="J147" s="22">
        <v>1943.65</v>
      </c>
      <c r="K147" s="20" t="str">
        <f>IF(Table4[[#This Row],[Sales]]&gt;=40000,"BEST SALE","POOR SALE")</f>
        <v>POOR SALE</v>
      </c>
      <c r="L147" s="30" t="str" cm="1">
        <f t="array" ref="L147">_xlfn.IFS(Table4[[#This Row],[Sales]]&gt;=40000,"Best Sale", Table4[[#This Row],[Sales]]&gt;=20000,"Average Sale",Table4[[#This Row],[Sales]]&gt;0,"Poor Sale")</f>
        <v>Poor Sale</v>
      </c>
      <c r="M147" s="32" t="str" cm="1">
        <f t="array" ref="M147">_xlfn.IFS(Table4[[#This Row],[Sales]]&gt;=40000,"Best", Table4[[#This Row],[Sales]]&gt;=35000,"Average",Table4[[#This Row],[Sales]]&gt;0,"Poor")</f>
        <v>Poor</v>
      </c>
    </row>
    <row r="148" spans="1:13" x14ac:dyDescent="0.3">
      <c r="A148" s="13">
        <v>147</v>
      </c>
      <c r="B148" s="14">
        <v>45022</v>
      </c>
      <c r="C148" s="15" t="s">
        <v>38</v>
      </c>
      <c r="D148" s="15" t="s">
        <v>27</v>
      </c>
      <c r="E148" s="15" t="s">
        <v>17</v>
      </c>
      <c r="F148" s="15" t="s">
        <v>13</v>
      </c>
      <c r="G148" s="15" t="s">
        <v>34</v>
      </c>
      <c r="H148" s="16">
        <v>31987.86</v>
      </c>
      <c r="I148" s="15">
        <v>8</v>
      </c>
      <c r="J148" s="17">
        <v>9445.74</v>
      </c>
      <c r="K148" s="20" t="str">
        <f>IF(Table4[[#This Row],[Sales]]&gt;=40000,"BEST SALE","POOR SALE")</f>
        <v>POOR SALE</v>
      </c>
      <c r="L148" s="30" t="str" cm="1">
        <f t="array" ref="L148">_xlfn.IFS(Table4[[#This Row],[Sales]]&gt;=40000,"Best Sale", Table4[[#This Row],[Sales]]&gt;=20000,"Average Sale",Table4[[#This Row],[Sales]]&gt;0,"Poor Sale")</f>
        <v>Average Sale</v>
      </c>
      <c r="M148" s="32" t="str" cm="1">
        <f t="array" ref="M148">_xlfn.IFS(Table4[[#This Row],[Sales]]&gt;=40000,"Best", Table4[[#This Row],[Sales]]&gt;=35000,"Average",Table4[[#This Row],[Sales]]&gt;0,"Poor")</f>
        <v>Poor</v>
      </c>
    </row>
    <row r="149" spans="1:13" x14ac:dyDescent="0.3">
      <c r="A149" s="18">
        <v>148</v>
      </c>
      <c r="B149" s="19">
        <v>44953</v>
      </c>
      <c r="C149" s="20" t="s">
        <v>38</v>
      </c>
      <c r="D149" s="20" t="s">
        <v>27</v>
      </c>
      <c r="E149" s="20" t="s">
        <v>17</v>
      </c>
      <c r="F149" s="20" t="s">
        <v>31</v>
      </c>
      <c r="G149" s="20" t="s">
        <v>32</v>
      </c>
      <c r="H149" s="21">
        <v>24644.97</v>
      </c>
      <c r="I149" s="20">
        <v>5</v>
      </c>
      <c r="J149" s="22">
        <v>2363.06</v>
      </c>
      <c r="K149" s="20" t="str">
        <f>IF(Table4[[#This Row],[Sales]]&gt;=40000,"BEST SALE","POOR SALE")</f>
        <v>POOR SALE</v>
      </c>
      <c r="L149" s="30" t="str" cm="1">
        <f t="array" ref="L149">_xlfn.IFS(Table4[[#This Row],[Sales]]&gt;=40000,"Best Sale", Table4[[#This Row],[Sales]]&gt;=20000,"Average Sale",Table4[[#This Row],[Sales]]&gt;0,"Poor Sale")</f>
        <v>Average Sale</v>
      </c>
      <c r="M149" s="32" t="str" cm="1">
        <f t="array" ref="M149">_xlfn.IFS(Table4[[#This Row],[Sales]]&gt;=40000,"Best", Table4[[#This Row],[Sales]]&gt;=35000,"Average",Table4[[#This Row],[Sales]]&gt;0,"Poor")</f>
        <v>Poor</v>
      </c>
    </row>
    <row r="150" spans="1:13" x14ac:dyDescent="0.3">
      <c r="A150" s="13">
        <v>149</v>
      </c>
      <c r="B150" s="14">
        <v>45241</v>
      </c>
      <c r="C150" s="15" t="s">
        <v>37</v>
      </c>
      <c r="D150" s="15" t="s">
        <v>27</v>
      </c>
      <c r="E150" s="15" t="s">
        <v>17</v>
      </c>
      <c r="F150" s="15" t="s">
        <v>13</v>
      </c>
      <c r="G150" s="15" t="s">
        <v>14</v>
      </c>
      <c r="H150" s="16">
        <v>28554.67</v>
      </c>
      <c r="I150" s="15">
        <v>9</v>
      </c>
      <c r="J150" s="17">
        <v>7750.57</v>
      </c>
      <c r="K150" s="20" t="str">
        <f>IF(Table4[[#This Row],[Sales]]&gt;=40000,"BEST SALE","POOR SALE")</f>
        <v>POOR SALE</v>
      </c>
      <c r="L150" s="30" t="str" cm="1">
        <f t="array" ref="L150">_xlfn.IFS(Table4[[#This Row],[Sales]]&gt;=40000,"Best Sale", Table4[[#This Row],[Sales]]&gt;=20000,"Average Sale",Table4[[#This Row],[Sales]]&gt;0,"Poor Sale")</f>
        <v>Average Sale</v>
      </c>
      <c r="M150" s="32" t="str" cm="1">
        <f t="array" ref="M150">_xlfn.IFS(Table4[[#This Row],[Sales]]&gt;=40000,"Best", Table4[[#This Row],[Sales]]&gt;=35000,"Average",Table4[[#This Row],[Sales]]&gt;0,"Poor")</f>
        <v>Poor</v>
      </c>
    </row>
    <row r="151" spans="1:13" x14ac:dyDescent="0.3">
      <c r="A151" s="18">
        <v>150</v>
      </c>
      <c r="B151" s="19">
        <v>44960</v>
      </c>
      <c r="C151" s="20" t="s">
        <v>18</v>
      </c>
      <c r="D151" s="20" t="s">
        <v>19</v>
      </c>
      <c r="E151" s="20" t="s">
        <v>17</v>
      </c>
      <c r="F151" s="20" t="s">
        <v>13</v>
      </c>
      <c r="G151" s="20" t="s">
        <v>34</v>
      </c>
      <c r="H151" s="21">
        <v>8418.6</v>
      </c>
      <c r="I151" s="20">
        <v>7</v>
      </c>
      <c r="J151" s="22">
        <v>1523.75</v>
      </c>
      <c r="K151" s="20" t="str">
        <f>IF(Table4[[#This Row],[Sales]]&gt;=40000,"BEST SALE","POOR SALE")</f>
        <v>POOR SALE</v>
      </c>
      <c r="L151" s="30" t="str" cm="1">
        <f t="array" ref="L151">_xlfn.IFS(Table4[[#This Row],[Sales]]&gt;=40000,"Best Sale", Table4[[#This Row],[Sales]]&gt;=20000,"Average Sale",Table4[[#This Row],[Sales]]&gt;0,"Poor Sale")</f>
        <v>Poor Sale</v>
      </c>
      <c r="M151" s="32" t="str" cm="1">
        <f t="array" ref="M151">_xlfn.IFS(Table4[[#This Row],[Sales]]&gt;=40000,"Best", Table4[[#This Row],[Sales]]&gt;=35000,"Average",Table4[[#This Row],[Sales]]&gt;0,"Poor")</f>
        <v>Poor</v>
      </c>
    </row>
    <row r="152" spans="1:13" x14ac:dyDescent="0.3">
      <c r="A152" s="13">
        <v>151</v>
      </c>
      <c r="B152" s="14">
        <v>45257</v>
      </c>
      <c r="C152" s="15" t="s">
        <v>18</v>
      </c>
      <c r="D152" s="15" t="s">
        <v>19</v>
      </c>
      <c r="E152" s="15" t="s">
        <v>17</v>
      </c>
      <c r="F152" s="15" t="s">
        <v>24</v>
      </c>
      <c r="G152" s="15" t="s">
        <v>28</v>
      </c>
      <c r="H152" s="16">
        <v>27560.07</v>
      </c>
      <c r="I152" s="15">
        <v>8</v>
      </c>
      <c r="J152" s="17">
        <v>2515.9699999999998</v>
      </c>
      <c r="K152" s="20" t="str">
        <f>IF(Table4[[#This Row],[Sales]]&gt;=40000,"BEST SALE","POOR SALE")</f>
        <v>POOR SALE</v>
      </c>
      <c r="L152" s="30" t="str" cm="1">
        <f t="array" ref="L152">_xlfn.IFS(Table4[[#This Row],[Sales]]&gt;=40000,"Best Sale", Table4[[#This Row],[Sales]]&gt;=20000,"Average Sale",Table4[[#This Row],[Sales]]&gt;0,"Poor Sale")</f>
        <v>Average Sale</v>
      </c>
      <c r="M152" s="32" t="str" cm="1">
        <f t="array" ref="M152">_xlfn.IFS(Table4[[#This Row],[Sales]]&gt;=40000,"Best", Table4[[#This Row],[Sales]]&gt;=35000,"Average",Table4[[#This Row],[Sales]]&gt;0,"Poor")</f>
        <v>Poor</v>
      </c>
    </row>
    <row r="153" spans="1:13" x14ac:dyDescent="0.3">
      <c r="A153" s="18">
        <v>152</v>
      </c>
      <c r="B153" s="19">
        <v>45201</v>
      </c>
      <c r="C153" s="20" t="s">
        <v>35</v>
      </c>
      <c r="D153" s="20" t="s">
        <v>36</v>
      </c>
      <c r="E153" s="20" t="s">
        <v>17</v>
      </c>
      <c r="F153" s="20" t="s">
        <v>24</v>
      </c>
      <c r="G153" s="20" t="s">
        <v>25</v>
      </c>
      <c r="H153" s="21">
        <v>13616.19</v>
      </c>
      <c r="I153" s="20">
        <v>10</v>
      </c>
      <c r="J153" s="22">
        <v>4009.3</v>
      </c>
      <c r="K153" s="20" t="str">
        <f>IF(Table4[[#This Row],[Sales]]&gt;=40000,"BEST SALE","POOR SALE")</f>
        <v>POOR SALE</v>
      </c>
      <c r="L153" s="30" t="str" cm="1">
        <f t="array" ref="L153">_xlfn.IFS(Table4[[#This Row],[Sales]]&gt;=40000,"Best Sale", Table4[[#This Row],[Sales]]&gt;=20000,"Average Sale",Table4[[#This Row],[Sales]]&gt;0,"Poor Sale")</f>
        <v>Poor Sale</v>
      </c>
      <c r="M153" s="32" t="str" cm="1">
        <f t="array" ref="M153">_xlfn.IFS(Table4[[#This Row],[Sales]]&gt;=40000,"Best", Table4[[#This Row],[Sales]]&gt;=35000,"Average",Table4[[#This Row],[Sales]]&gt;0,"Poor")</f>
        <v>Poor</v>
      </c>
    </row>
    <row r="154" spans="1:13" x14ac:dyDescent="0.3">
      <c r="A154" s="13">
        <v>153</v>
      </c>
      <c r="B154" s="14">
        <v>45139</v>
      </c>
      <c r="C154" s="15" t="s">
        <v>35</v>
      </c>
      <c r="D154" s="15" t="s">
        <v>36</v>
      </c>
      <c r="E154" s="15" t="s">
        <v>17</v>
      </c>
      <c r="F154" s="15" t="s">
        <v>13</v>
      </c>
      <c r="G154" s="15" t="s">
        <v>21</v>
      </c>
      <c r="H154" s="16">
        <v>25212.93</v>
      </c>
      <c r="I154" s="15">
        <v>8</v>
      </c>
      <c r="J154" s="17">
        <v>3535.68</v>
      </c>
      <c r="K154" s="20" t="str">
        <f>IF(Table4[[#This Row],[Sales]]&gt;=40000,"BEST SALE","POOR SALE")</f>
        <v>POOR SALE</v>
      </c>
      <c r="L154" s="30" t="str" cm="1">
        <f t="array" ref="L154">_xlfn.IFS(Table4[[#This Row],[Sales]]&gt;=40000,"Best Sale", Table4[[#This Row],[Sales]]&gt;=20000,"Average Sale",Table4[[#This Row],[Sales]]&gt;0,"Poor Sale")</f>
        <v>Average Sale</v>
      </c>
      <c r="M154" s="32" t="str" cm="1">
        <f t="array" ref="M154">_xlfn.IFS(Table4[[#This Row],[Sales]]&gt;=40000,"Best", Table4[[#This Row],[Sales]]&gt;=35000,"Average",Table4[[#This Row],[Sales]]&gt;0,"Poor")</f>
        <v>Poor</v>
      </c>
    </row>
    <row r="155" spans="1:13" x14ac:dyDescent="0.3">
      <c r="A155" s="18">
        <v>154</v>
      </c>
      <c r="B155" s="19">
        <v>44977</v>
      </c>
      <c r="C155" s="20" t="s">
        <v>15</v>
      </c>
      <c r="D155" s="20" t="s">
        <v>16</v>
      </c>
      <c r="E155" s="20" t="s">
        <v>17</v>
      </c>
      <c r="F155" s="20" t="s">
        <v>31</v>
      </c>
      <c r="G155" s="20" t="s">
        <v>39</v>
      </c>
      <c r="H155" s="21">
        <v>43825.39</v>
      </c>
      <c r="I155" s="20">
        <v>6</v>
      </c>
      <c r="J155" s="22">
        <v>10611</v>
      </c>
      <c r="K155" s="20" t="str">
        <f>IF(Table4[[#This Row],[Sales]]&gt;=40000,"BEST SALE","POOR SALE")</f>
        <v>BEST SALE</v>
      </c>
      <c r="L155" s="30" t="str" cm="1">
        <f t="array" ref="L155">_xlfn.IFS(Table4[[#This Row],[Sales]]&gt;=40000,"Best Sale", Table4[[#This Row],[Sales]]&gt;=20000,"Average Sale",Table4[[#This Row],[Sales]]&gt;0,"Poor Sale")</f>
        <v>Best Sale</v>
      </c>
      <c r="M155" s="32" t="str" cm="1">
        <f t="array" ref="M155">_xlfn.IFS(Table4[[#This Row],[Sales]]&gt;=40000,"Best", Table4[[#This Row],[Sales]]&gt;=35000,"Average",Table4[[#This Row],[Sales]]&gt;0,"Poor")</f>
        <v>Best</v>
      </c>
    </row>
    <row r="156" spans="1:13" x14ac:dyDescent="0.3">
      <c r="A156" s="13">
        <v>155</v>
      </c>
      <c r="B156" s="14">
        <v>45011</v>
      </c>
      <c r="C156" s="15" t="s">
        <v>22</v>
      </c>
      <c r="D156" s="15" t="s">
        <v>22</v>
      </c>
      <c r="E156" s="15" t="s">
        <v>17</v>
      </c>
      <c r="F156" s="15" t="s">
        <v>24</v>
      </c>
      <c r="G156" s="15" t="s">
        <v>29</v>
      </c>
      <c r="H156" s="16">
        <v>40738.550000000003</v>
      </c>
      <c r="I156" s="15">
        <v>10</v>
      </c>
      <c r="J156" s="17">
        <v>3969.18</v>
      </c>
      <c r="K156" s="20" t="str">
        <f>IF(Table4[[#This Row],[Sales]]&gt;=40000,"BEST SALE","POOR SALE")</f>
        <v>BEST SALE</v>
      </c>
      <c r="L156" s="30" t="str" cm="1">
        <f t="array" ref="L156">_xlfn.IFS(Table4[[#This Row],[Sales]]&gt;=40000,"Best Sale", Table4[[#This Row],[Sales]]&gt;=20000,"Average Sale",Table4[[#This Row],[Sales]]&gt;0,"Poor Sale")</f>
        <v>Best Sale</v>
      </c>
      <c r="M156" s="32" t="str" cm="1">
        <f t="array" ref="M156">_xlfn.IFS(Table4[[#This Row],[Sales]]&gt;=40000,"Best", Table4[[#This Row],[Sales]]&gt;=35000,"Average",Table4[[#This Row],[Sales]]&gt;0,"Poor")</f>
        <v>Best</v>
      </c>
    </row>
    <row r="157" spans="1:13" x14ac:dyDescent="0.3">
      <c r="A157" s="18">
        <v>156</v>
      </c>
      <c r="B157" s="19">
        <v>45007</v>
      </c>
      <c r="C157" s="20" t="s">
        <v>10</v>
      </c>
      <c r="D157" s="20" t="s">
        <v>11</v>
      </c>
      <c r="E157" s="20" t="s">
        <v>17</v>
      </c>
      <c r="F157" s="20" t="s">
        <v>24</v>
      </c>
      <c r="G157" s="20" t="s">
        <v>28</v>
      </c>
      <c r="H157" s="21">
        <v>8460.74</v>
      </c>
      <c r="I157" s="20">
        <v>4</v>
      </c>
      <c r="J157" s="22">
        <v>1472.42</v>
      </c>
      <c r="K157" s="20" t="str">
        <f>IF(Table4[[#This Row],[Sales]]&gt;=40000,"BEST SALE","POOR SALE")</f>
        <v>POOR SALE</v>
      </c>
      <c r="L157" s="30" t="str" cm="1">
        <f t="array" ref="L157">_xlfn.IFS(Table4[[#This Row],[Sales]]&gt;=40000,"Best Sale", Table4[[#This Row],[Sales]]&gt;=20000,"Average Sale",Table4[[#This Row],[Sales]]&gt;0,"Poor Sale")</f>
        <v>Poor Sale</v>
      </c>
      <c r="M157" s="32" t="str" cm="1">
        <f t="array" ref="M157">_xlfn.IFS(Table4[[#This Row],[Sales]]&gt;=40000,"Best", Table4[[#This Row],[Sales]]&gt;=35000,"Average",Table4[[#This Row],[Sales]]&gt;0,"Poor")</f>
        <v>Poor</v>
      </c>
    </row>
    <row r="158" spans="1:13" x14ac:dyDescent="0.3">
      <c r="A158" s="13">
        <v>157</v>
      </c>
      <c r="B158" s="14">
        <v>45002</v>
      </c>
      <c r="C158" s="15" t="s">
        <v>37</v>
      </c>
      <c r="D158" s="15" t="s">
        <v>27</v>
      </c>
      <c r="E158" s="15" t="s">
        <v>17</v>
      </c>
      <c r="F158" s="15" t="s">
        <v>13</v>
      </c>
      <c r="G158" s="15" t="s">
        <v>34</v>
      </c>
      <c r="H158" s="16">
        <v>41629.51</v>
      </c>
      <c r="I158" s="15">
        <v>9</v>
      </c>
      <c r="J158" s="17">
        <v>11605.29</v>
      </c>
      <c r="K158" s="20" t="str">
        <f>IF(Table4[[#This Row],[Sales]]&gt;=40000,"BEST SALE","POOR SALE")</f>
        <v>BEST SALE</v>
      </c>
      <c r="L158" s="30" t="str" cm="1">
        <f t="array" ref="L158">_xlfn.IFS(Table4[[#This Row],[Sales]]&gt;=40000,"Best Sale", Table4[[#This Row],[Sales]]&gt;=20000,"Average Sale",Table4[[#This Row],[Sales]]&gt;0,"Poor Sale")</f>
        <v>Best Sale</v>
      </c>
      <c r="M158" s="32" t="str" cm="1">
        <f t="array" ref="M158">_xlfn.IFS(Table4[[#This Row],[Sales]]&gt;=40000,"Best", Table4[[#This Row],[Sales]]&gt;=35000,"Average",Table4[[#This Row],[Sales]]&gt;0,"Poor")</f>
        <v>Best</v>
      </c>
    </row>
    <row r="159" spans="1:13" x14ac:dyDescent="0.3">
      <c r="A159" s="18">
        <v>158</v>
      </c>
      <c r="B159" s="19">
        <v>45166</v>
      </c>
      <c r="C159" s="20" t="s">
        <v>15</v>
      </c>
      <c r="D159" s="20" t="s">
        <v>16</v>
      </c>
      <c r="E159" s="20" t="s">
        <v>17</v>
      </c>
      <c r="F159" s="20" t="s">
        <v>24</v>
      </c>
      <c r="G159" s="20" t="s">
        <v>28</v>
      </c>
      <c r="H159" s="21">
        <v>26680.82</v>
      </c>
      <c r="I159" s="20">
        <v>2</v>
      </c>
      <c r="J159" s="22">
        <v>5004.5</v>
      </c>
      <c r="K159" s="20" t="str">
        <f>IF(Table4[[#This Row],[Sales]]&gt;=40000,"BEST SALE","POOR SALE")</f>
        <v>POOR SALE</v>
      </c>
      <c r="L159" s="30" t="str" cm="1">
        <f t="array" ref="L159">_xlfn.IFS(Table4[[#This Row],[Sales]]&gt;=40000,"Best Sale", Table4[[#This Row],[Sales]]&gt;=20000,"Average Sale",Table4[[#This Row],[Sales]]&gt;0,"Poor Sale")</f>
        <v>Average Sale</v>
      </c>
      <c r="M159" s="32" t="str" cm="1">
        <f t="array" ref="M159">_xlfn.IFS(Table4[[#This Row],[Sales]]&gt;=40000,"Best", Table4[[#This Row],[Sales]]&gt;=35000,"Average",Table4[[#This Row],[Sales]]&gt;0,"Poor")</f>
        <v>Poor</v>
      </c>
    </row>
    <row r="160" spans="1:13" x14ac:dyDescent="0.3">
      <c r="A160" s="13">
        <v>159</v>
      </c>
      <c r="B160" s="14">
        <v>45085</v>
      </c>
      <c r="C160" s="15" t="s">
        <v>15</v>
      </c>
      <c r="D160" s="15" t="s">
        <v>16</v>
      </c>
      <c r="E160" s="15" t="s">
        <v>17</v>
      </c>
      <c r="F160" s="15" t="s">
        <v>24</v>
      </c>
      <c r="G160" s="15" t="s">
        <v>28</v>
      </c>
      <c r="H160" s="16">
        <v>31459.86</v>
      </c>
      <c r="I160" s="15">
        <v>7</v>
      </c>
      <c r="J160" s="17">
        <v>2921.88</v>
      </c>
      <c r="K160" s="20" t="str">
        <f>IF(Table4[[#This Row],[Sales]]&gt;=40000,"BEST SALE","POOR SALE")</f>
        <v>POOR SALE</v>
      </c>
      <c r="L160" s="30" t="str" cm="1">
        <f t="array" ref="L160">_xlfn.IFS(Table4[[#This Row],[Sales]]&gt;=40000,"Best Sale", Table4[[#This Row],[Sales]]&gt;=20000,"Average Sale",Table4[[#This Row],[Sales]]&gt;0,"Poor Sale")</f>
        <v>Average Sale</v>
      </c>
      <c r="M160" s="32" t="str" cm="1">
        <f t="array" ref="M160">_xlfn.IFS(Table4[[#This Row],[Sales]]&gt;=40000,"Best", Table4[[#This Row],[Sales]]&gt;=35000,"Average",Table4[[#This Row],[Sales]]&gt;0,"Poor")</f>
        <v>Poor</v>
      </c>
    </row>
    <row r="161" spans="1:13" x14ac:dyDescent="0.3">
      <c r="A161" s="18">
        <v>160</v>
      </c>
      <c r="B161" s="19">
        <v>45122</v>
      </c>
      <c r="C161" s="20" t="s">
        <v>26</v>
      </c>
      <c r="D161" s="20" t="s">
        <v>27</v>
      </c>
      <c r="E161" s="20" t="s">
        <v>17</v>
      </c>
      <c r="F161" s="20" t="s">
        <v>24</v>
      </c>
      <c r="G161" s="20" t="s">
        <v>25</v>
      </c>
      <c r="H161" s="21">
        <v>2532.71</v>
      </c>
      <c r="I161" s="20">
        <v>8</v>
      </c>
      <c r="J161" s="22">
        <v>324.74</v>
      </c>
      <c r="K161" s="20" t="str">
        <f>IF(Table4[[#This Row],[Sales]]&gt;=40000,"BEST SALE","POOR SALE")</f>
        <v>POOR SALE</v>
      </c>
      <c r="L161" s="30" t="str" cm="1">
        <f t="array" ref="L161">_xlfn.IFS(Table4[[#This Row],[Sales]]&gt;=40000,"Best Sale", Table4[[#This Row],[Sales]]&gt;=20000,"Average Sale",Table4[[#This Row],[Sales]]&gt;0,"Poor Sale")</f>
        <v>Poor Sale</v>
      </c>
      <c r="M161" s="32" t="str" cm="1">
        <f t="array" ref="M161">_xlfn.IFS(Table4[[#This Row],[Sales]]&gt;=40000,"Best", Table4[[#This Row],[Sales]]&gt;=35000,"Average",Table4[[#This Row],[Sales]]&gt;0,"Poor")</f>
        <v>Poor</v>
      </c>
    </row>
    <row r="162" spans="1:13" x14ac:dyDescent="0.3">
      <c r="A162" s="13">
        <v>161</v>
      </c>
      <c r="B162" s="14">
        <v>45062</v>
      </c>
      <c r="C162" s="15" t="s">
        <v>38</v>
      </c>
      <c r="D162" s="15" t="s">
        <v>27</v>
      </c>
      <c r="E162" s="15" t="s">
        <v>17</v>
      </c>
      <c r="F162" s="15" t="s">
        <v>31</v>
      </c>
      <c r="G162" s="15" t="s">
        <v>33</v>
      </c>
      <c r="H162" s="16">
        <v>26794.54</v>
      </c>
      <c r="I162" s="15">
        <v>8</v>
      </c>
      <c r="J162" s="17">
        <v>5027.8900000000003</v>
      </c>
      <c r="K162" s="20" t="str">
        <f>IF(Table4[[#This Row],[Sales]]&gt;=40000,"BEST SALE","POOR SALE")</f>
        <v>POOR SALE</v>
      </c>
      <c r="L162" s="30" t="str" cm="1">
        <f t="array" ref="L162">_xlfn.IFS(Table4[[#This Row],[Sales]]&gt;=40000,"Best Sale", Table4[[#This Row],[Sales]]&gt;=20000,"Average Sale",Table4[[#This Row],[Sales]]&gt;0,"Poor Sale")</f>
        <v>Average Sale</v>
      </c>
      <c r="M162" s="32" t="str" cm="1">
        <f t="array" ref="M162">_xlfn.IFS(Table4[[#This Row],[Sales]]&gt;=40000,"Best", Table4[[#This Row],[Sales]]&gt;=35000,"Average",Table4[[#This Row],[Sales]]&gt;0,"Poor")</f>
        <v>Poor</v>
      </c>
    </row>
    <row r="163" spans="1:13" x14ac:dyDescent="0.3">
      <c r="A163" s="18">
        <v>162</v>
      </c>
      <c r="B163" s="19">
        <v>45069</v>
      </c>
      <c r="C163" s="20" t="s">
        <v>10</v>
      </c>
      <c r="D163" s="20" t="s">
        <v>11</v>
      </c>
      <c r="E163" s="20" t="s">
        <v>17</v>
      </c>
      <c r="F163" s="20" t="s">
        <v>31</v>
      </c>
      <c r="G163" s="20" t="s">
        <v>33</v>
      </c>
      <c r="H163" s="21">
        <v>36838.78</v>
      </c>
      <c r="I163" s="20">
        <v>6</v>
      </c>
      <c r="J163" s="22">
        <v>4092.23</v>
      </c>
      <c r="K163" s="20" t="str">
        <f>IF(Table4[[#This Row],[Sales]]&gt;=40000,"BEST SALE","POOR SALE")</f>
        <v>POOR SALE</v>
      </c>
      <c r="L163" s="30" t="str" cm="1">
        <f t="array" ref="L163">_xlfn.IFS(Table4[[#This Row],[Sales]]&gt;=40000,"Best Sale", Table4[[#This Row],[Sales]]&gt;=20000,"Average Sale",Table4[[#This Row],[Sales]]&gt;0,"Poor Sale")</f>
        <v>Average Sale</v>
      </c>
      <c r="M163" s="32" t="str" cm="1">
        <f t="array" ref="M163">_xlfn.IFS(Table4[[#This Row],[Sales]]&gt;=40000,"Best", Table4[[#This Row],[Sales]]&gt;=35000,"Average",Table4[[#This Row],[Sales]]&gt;0,"Poor")</f>
        <v>Average</v>
      </c>
    </row>
    <row r="164" spans="1:13" x14ac:dyDescent="0.3">
      <c r="A164" s="13">
        <v>163</v>
      </c>
      <c r="B164" s="14">
        <v>45233</v>
      </c>
      <c r="C164" s="15" t="s">
        <v>22</v>
      </c>
      <c r="D164" s="15" t="s">
        <v>22</v>
      </c>
      <c r="E164" s="15" t="s">
        <v>17</v>
      </c>
      <c r="F164" s="15" t="s">
        <v>31</v>
      </c>
      <c r="G164" s="15" t="s">
        <v>39</v>
      </c>
      <c r="H164" s="16">
        <v>13801.62</v>
      </c>
      <c r="I164" s="15">
        <v>1</v>
      </c>
      <c r="J164" s="17">
        <v>1863.69</v>
      </c>
      <c r="K164" s="20" t="str">
        <f>IF(Table4[[#This Row],[Sales]]&gt;=40000,"BEST SALE","POOR SALE")</f>
        <v>POOR SALE</v>
      </c>
      <c r="L164" s="30" t="str" cm="1">
        <f t="array" ref="L164">_xlfn.IFS(Table4[[#This Row],[Sales]]&gt;=40000,"Best Sale", Table4[[#This Row],[Sales]]&gt;=20000,"Average Sale",Table4[[#This Row],[Sales]]&gt;0,"Poor Sale")</f>
        <v>Poor Sale</v>
      </c>
      <c r="M164" s="32" t="str" cm="1">
        <f t="array" ref="M164">_xlfn.IFS(Table4[[#This Row],[Sales]]&gt;=40000,"Best", Table4[[#This Row],[Sales]]&gt;=35000,"Average",Table4[[#This Row],[Sales]]&gt;0,"Poor")</f>
        <v>Poor</v>
      </c>
    </row>
    <row r="165" spans="1:13" x14ac:dyDescent="0.3">
      <c r="A165" s="18">
        <v>164</v>
      </c>
      <c r="B165" s="19">
        <v>45018</v>
      </c>
      <c r="C165" s="20" t="s">
        <v>37</v>
      </c>
      <c r="D165" s="20" t="s">
        <v>27</v>
      </c>
      <c r="E165" s="20" t="s">
        <v>17</v>
      </c>
      <c r="F165" s="20" t="s">
        <v>31</v>
      </c>
      <c r="G165" s="20" t="s">
        <v>32</v>
      </c>
      <c r="H165" s="21">
        <v>26884.04</v>
      </c>
      <c r="I165" s="20">
        <v>9</v>
      </c>
      <c r="J165" s="22">
        <v>4634.18</v>
      </c>
      <c r="K165" s="20" t="str">
        <f>IF(Table4[[#This Row],[Sales]]&gt;=40000,"BEST SALE","POOR SALE")</f>
        <v>POOR SALE</v>
      </c>
      <c r="L165" s="30" t="str" cm="1">
        <f t="array" ref="L165">_xlfn.IFS(Table4[[#This Row],[Sales]]&gt;=40000,"Best Sale", Table4[[#This Row],[Sales]]&gt;=20000,"Average Sale",Table4[[#This Row],[Sales]]&gt;0,"Poor Sale")</f>
        <v>Average Sale</v>
      </c>
      <c r="M165" s="32" t="str" cm="1">
        <f t="array" ref="M165">_xlfn.IFS(Table4[[#This Row],[Sales]]&gt;=40000,"Best", Table4[[#This Row],[Sales]]&gt;=35000,"Average",Table4[[#This Row],[Sales]]&gt;0,"Poor")</f>
        <v>Poor</v>
      </c>
    </row>
    <row r="166" spans="1:13" x14ac:dyDescent="0.3">
      <c r="A166" s="13">
        <v>165</v>
      </c>
      <c r="B166" s="14">
        <v>45280</v>
      </c>
      <c r="C166" s="15" t="s">
        <v>22</v>
      </c>
      <c r="D166" s="15" t="s">
        <v>22</v>
      </c>
      <c r="E166" s="15" t="s">
        <v>17</v>
      </c>
      <c r="F166" s="15" t="s">
        <v>31</v>
      </c>
      <c r="G166" s="15" t="s">
        <v>39</v>
      </c>
      <c r="H166" s="16">
        <v>24536.3</v>
      </c>
      <c r="I166" s="15">
        <v>4</v>
      </c>
      <c r="J166" s="17">
        <v>4883.58</v>
      </c>
      <c r="K166" s="20" t="str">
        <f>IF(Table4[[#This Row],[Sales]]&gt;=40000,"BEST SALE","POOR SALE")</f>
        <v>POOR SALE</v>
      </c>
      <c r="L166" s="30" t="str" cm="1">
        <f t="array" ref="L166">_xlfn.IFS(Table4[[#This Row],[Sales]]&gt;=40000,"Best Sale", Table4[[#This Row],[Sales]]&gt;=20000,"Average Sale",Table4[[#This Row],[Sales]]&gt;0,"Poor Sale")</f>
        <v>Average Sale</v>
      </c>
      <c r="M166" s="32" t="str" cm="1">
        <f t="array" ref="M166">_xlfn.IFS(Table4[[#This Row],[Sales]]&gt;=40000,"Best", Table4[[#This Row],[Sales]]&gt;=35000,"Average",Table4[[#This Row],[Sales]]&gt;0,"Poor")</f>
        <v>Poor</v>
      </c>
    </row>
    <row r="167" spans="1:13" x14ac:dyDescent="0.3">
      <c r="A167" s="18">
        <v>166</v>
      </c>
      <c r="B167" s="19">
        <v>45092</v>
      </c>
      <c r="C167" s="20" t="s">
        <v>26</v>
      </c>
      <c r="D167" s="20" t="s">
        <v>27</v>
      </c>
      <c r="E167" s="20" t="s">
        <v>17</v>
      </c>
      <c r="F167" s="20" t="s">
        <v>13</v>
      </c>
      <c r="G167" s="20" t="s">
        <v>14</v>
      </c>
      <c r="H167" s="21">
        <v>38091.9</v>
      </c>
      <c r="I167" s="20">
        <v>3</v>
      </c>
      <c r="J167" s="22">
        <v>2162.17</v>
      </c>
      <c r="K167" s="20" t="str">
        <f>IF(Table4[[#This Row],[Sales]]&gt;=40000,"BEST SALE","POOR SALE")</f>
        <v>POOR SALE</v>
      </c>
      <c r="L167" s="30" t="str" cm="1">
        <f t="array" ref="L167">_xlfn.IFS(Table4[[#This Row],[Sales]]&gt;=40000,"Best Sale", Table4[[#This Row],[Sales]]&gt;=20000,"Average Sale",Table4[[#This Row],[Sales]]&gt;0,"Poor Sale")</f>
        <v>Average Sale</v>
      </c>
      <c r="M167" s="32" t="str" cm="1">
        <f t="array" ref="M167">_xlfn.IFS(Table4[[#This Row],[Sales]]&gt;=40000,"Best", Table4[[#This Row],[Sales]]&gt;=35000,"Average",Table4[[#This Row],[Sales]]&gt;0,"Poor")</f>
        <v>Average</v>
      </c>
    </row>
    <row r="168" spans="1:13" x14ac:dyDescent="0.3">
      <c r="A168" s="13">
        <v>167</v>
      </c>
      <c r="B168" s="14">
        <v>45066</v>
      </c>
      <c r="C168" s="15" t="s">
        <v>38</v>
      </c>
      <c r="D168" s="15" t="s">
        <v>27</v>
      </c>
      <c r="E168" s="15" t="s">
        <v>17</v>
      </c>
      <c r="F168" s="15" t="s">
        <v>24</v>
      </c>
      <c r="G168" s="15" t="s">
        <v>28</v>
      </c>
      <c r="H168" s="16">
        <v>39598.29</v>
      </c>
      <c r="I168" s="15">
        <v>5</v>
      </c>
      <c r="J168" s="17">
        <v>6403.75</v>
      </c>
      <c r="K168" s="20" t="str">
        <f>IF(Table4[[#This Row],[Sales]]&gt;=40000,"BEST SALE","POOR SALE")</f>
        <v>POOR SALE</v>
      </c>
      <c r="L168" s="30" t="str" cm="1">
        <f t="array" ref="L168">_xlfn.IFS(Table4[[#This Row],[Sales]]&gt;=40000,"Best Sale", Table4[[#This Row],[Sales]]&gt;=20000,"Average Sale",Table4[[#This Row],[Sales]]&gt;0,"Poor Sale")</f>
        <v>Average Sale</v>
      </c>
      <c r="M168" s="32" t="str" cm="1">
        <f t="array" ref="M168">_xlfn.IFS(Table4[[#This Row],[Sales]]&gt;=40000,"Best", Table4[[#This Row],[Sales]]&gt;=35000,"Average",Table4[[#This Row],[Sales]]&gt;0,"Poor")</f>
        <v>Average</v>
      </c>
    </row>
    <row r="169" spans="1:13" x14ac:dyDescent="0.3">
      <c r="A169" s="18">
        <v>168</v>
      </c>
      <c r="B169" s="19">
        <v>44968</v>
      </c>
      <c r="C169" s="20" t="s">
        <v>38</v>
      </c>
      <c r="D169" s="20" t="s">
        <v>27</v>
      </c>
      <c r="E169" s="20" t="s">
        <v>17</v>
      </c>
      <c r="F169" s="20" t="s">
        <v>13</v>
      </c>
      <c r="G169" s="20" t="s">
        <v>34</v>
      </c>
      <c r="H169" s="21">
        <v>4814.78</v>
      </c>
      <c r="I169" s="20">
        <v>6</v>
      </c>
      <c r="J169" s="22">
        <v>378.7</v>
      </c>
      <c r="K169" s="20" t="str">
        <f>IF(Table4[[#This Row],[Sales]]&gt;=40000,"BEST SALE","POOR SALE")</f>
        <v>POOR SALE</v>
      </c>
      <c r="L169" s="30" t="str" cm="1">
        <f t="array" ref="L169">_xlfn.IFS(Table4[[#This Row],[Sales]]&gt;=40000,"Best Sale", Table4[[#This Row],[Sales]]&gt;=20000,"Average Sale",Table4[[#This Row],[Sales]]&gt;0,"Poor Sale")</f>
        <v>Poor Sale</v>
      </c>
      <c r="M169" s="32" t="str" cm="1">
        <f t="array" ref="M169">_xlfn.IFS(Table4[[#This Row],[Sales]]&gt;=40000,"Best", Table4[[#This Row],[Sales]]&gt;=35000,"Average",Table4[[#This Row],[Sales]]&gt;0,"Poor")</f>
        <v>Poor</v>
      </c>
    </row>
    <row r="170" spans="1:13" x14ac:dyDescent="0.3">
      <c r="A170" s="13">
        <v>169</v>
      </c>
      <c r="B170" s="14">
        <v>45237</v>
      </c>
      <c r="C170" s="15" t="s">
        <v>18</v>
      </c>
      <c r="D170" s="15" t="s">
        <v>19</v>
      </c>
      <c r="E170" s="15" t="s">
        <v>17</v>
      </c>
      <c r="F170" s="15" t="s">
        <v>31</v>
      </c>
      <c r="G170" s="15" t="s">
        <v>32</v>
      </c>
      <c r="H170" s="16">
        <v>20072.27</v>
      </c>
      <c r="I170" s="15">
        <v>1</v>
      </c>
      <c r="J170" s="17">
        <v>4794.18</v>
      </c>
      <c r="K170" s="20" t="str">
        <f>IF(Table4[[#This Row],[Sales]]&gt;=40000,"BEST SALE","POOR SALE")</f>
        <v>POOR SALE</v>
      </c>
      <c r="L170" s="30" t="str" cm="1">
        <f t="array" ref="L170">_xlfn.IFS(Table4[[#This Row],[Sales]]&gt;=40000,"Best Sale", Table4[[#This Row],[Sales]]&gt;=20000,"Average Sale",Table4[[#This Row],[Sales]]&gt;0,"Poor Sale")</f>
        <v>Average Sale</v>
      </c>
      <c r="M170" s="32" t="str" cm="1">
        <f t="array" ref="M170">_xlfn.IFS(Table4[[#This Row],[Sales]]&gt;=40000,"Best", Table4[[#This Row],[Sales]]&gt;=35000,"Average",Table4[[#This Row],[Sales]]&gt;0,"Poor")</f>
        <v>Poor</v>
      </c>
    </row>
    <row r="171" spans="1:13" x14ac:dyDescent="0.3">
      <c r="A171" s="18">
        <v>170</v>
      </c>
      <c r="B171" s="19">
        <v>45175</v>
      </c>
      <c r="C171" s="20" t="s">
        <v>10</v>
      </c>
      <c r="D171" s="20" t="s">
        <v>11</v>
      </c>
      <c r="E171" s="20" t="s">
        <v>17</v>
      </c>
      <c r="F171" s="20" t="s">
        <v>31</v>
      </c>
      <c r="G171" s="20" t="s">
        <v>32</v>
      </c>
      <c r="H171" s="21">
        <v>23725.51</v>
      </c>
      <c r="I171" s="20">
        <v>1</v>
      </c>
      <c r="J171" s="22">
        <v>1324.6</v>
      </c>
      <c r="K171" s="20" t="str">
        <f>IF(Table4[[#This Row],[Sales]]&gt;=40000,"BEST SALE","POOR SALE")</f>
        <v>POOR SALE</v>
      </c>
      <c r="L171" s="30" t="str" cm="1">
        <f t="array" ref="L171">_xlfn.IFS(Table4[[#This Row],[Sales]]&gt;=40000,"Best Sale", Table4[[#This Row],[Sales]]&gt;=20000,"Average Sale",Table4[[#This Row],[Sales]]&gt;0,"Poor Sale")</f>
        <v>Average Sale</v>
      </c>
      <c r="M171" s="32" t="str" cm="1">
        <f t="array" ref="M171">_xlfn.IFS(Table4[[#This Row],[Sales]]&gt;=40000,"Best", Table4[[#This Row],[Sales]]&gt;=35000,"Average",Table4[[#This Row],[Sales]]&gt;0,"Poor")</f>
        <v>Poor</v>
      </c>
    </row>
    <row r="172" spans="1:13" x14ac:dyDescent="0.3">
      <c r="A172" s="13">
        <v>171</v>
      </c>
      <c r="B172" s="14">
        <v>45192</v>
      </c>
      <c r="C172" s="15" t="s">
        <v>18</v>
      </c>
      <c r="D172" s="15" t="s">
        <v>19</v>
      </c>
      <c r="E172" s="15" t="s">
        <v>17</v>
      </c>
      <c r="F172" s="15" t="s">
        <v>13</v>
      </c>
      <c r="G172" s="15" t="s">
        <v>14</v>
      </c>
      <c r="H172" s="16">
        <v>6338.6</v>
      </c>
      <c r="I172" s="15">
        <v>10</v>
      </c>
      <c r="J172" s="17">
        <v>850.83</v>
      </c>
      <c r="K172" s="20" t="str">
        <f>IF(Table4[[#This Row],[Sales]]&gt;=40000,"BEST SALE","POOR SALE")</f>
        <v>POOR SALE</v>
      </c>
      <c r="L172" s="30" t="str" cm="1">
        <f t="array" ref="L172">_xlfn.IFS(Table4[[#This Row],[Sales]]&gt;=40000,"Best Sale", Table4[[#This Row],[Sales]]&gt;=20000,"Average Sale",Table4[[#This Row],[Sales]]&gt;0,"Poor Sale")</f>
        <v>Poor Sale</v>
      </c>
      <c r="M172" s="32" t="str" cm="1">
        <f t="array" ref="M172">_xlfn.IFS(Table4[[#This Row],[Sales]]&gt;=40000,"Best", Table4[[#This Row],[Sales]]&gt;=35000,"Average",Table4[[#This Row],[Sales]]&gt;0,"Poor")</f>
        <v>Poor</v>
      </c>
    </row>
    <row r="173" spans="1:13" x14ac:dyDescent="0.3">
      <c r="A173" s="18">
        <v>172</v>
      </c>
      <c r="B173" s="19">
        <v>44934</v>
      </c>
      <c r="C173" s="20" t="s">
        <v>26</v>
      </c>
      <c r="D173" s="20" t="s">
        <v>27</v>
      </c>
      <c r="E173" s="20" t="s">
        <v>17</v>
      </c>
      <c r="F173" s="20" t="s">
        <v>31</v>
      </c>
      <c r="G173" s="20" t="s">
        <v>33</v>
      </c>
      <c r="H173" s="21">
        <v>43340.91</v>
      </c>
      <c r="I173" s="20">
        <v>3</v>
      </c>
      <c r="J173" s="22">
        <v>3409.31</v>
      </c>
      <c r="K173" s="20" t="str">
        <f>IF(Table4[[#This Row],[Sales]]&gt;=40000,"BEST SALE","POOR SALE")</f>
        <v>BEST SALE</v>
      </c>
      <c r="L173" s="30" t="str" cm="1">
        <f t="array" ref="L173">_xlfn.IFS(Table4[[#This Row],[Sales]]&gt;=40000,"Best Sale", Table4[[#This Row],[Sales]]&gt;=20000,"Average Sale",Table4[[#This Row],[Sales]]&gt;0,"Poor Sale")</f>
        <v>Best Sale</v>
      </c>
      <c r="M173" s="32" t="str" cm="1">
        <f t="array" ref="M173">_xlfn.IFS(Table4[[#This Row],[Sales]]&gt;=40000,"Best", Table4[[#This Row],[Sales]]&gt;=35000,"Average",Table4[[#This Row],[Sales]]&gt;0,"Poor")</f>
        <v>Best</v>
      </c>
    </row>
    <row r="174" spans="1:13" x14ac:dyDescent="0.3">
      <c r="A174" s="13">
        <v>173</v>
      </c>
      <c r="B174" s="14">
        <v>45014</v>
      </c>
      <c r="C174" s="15" t="s">
        <v>37</v>
      </c>
      <c r="D174" s="15" t="s">
        <v>27</v>
      </c>
      <c r="E174" s="15" t="s">
        <v>17</v>
      </c>
      <c r="F174" s="15" t="s">
        <v>31</v>
      </c>
      <c r="G174" s="15" t="s">
        <v>39</v>
      </c>
      <c r="H174" s="16">
        <v>5774.71</v>
      </c>
      <c r="I174" s="15">
        <v>6</v>
      </c>
      <c r="J174" s="17">
        <v>1350.62</v>
      </c>
      <c r="K174" s="20" t="str">
        <f>IF(Table4[[#This Row],[Sales]]&gt;=40000,"BEST SALE","POOR SALE")</f>
        <v>POOR SALE</v>
      </c>
      <c r="L174" s="30" t="str" cm="1">
        <f t="array" ref="L174">_xlfn.IFS(Table4[[#This Row],[Sales]]&gt;=40000,"Best Sale", Table4[[#This Row],[Sales]]&gt;=20000,"Average Sale",Table4[[#This Row],[Sales]]&gt;0,"Poor Sale")</f>
        <v>Poor Sale</v>
      </c>
      <c r="M174" s="32" t="str" cm="1">
        <f t="array" ref="M174">_xlfn.IFS(Table4[[#This Row],[Sales]]&gt;=40000,"Best", Table4[[#This Row],[Sales]]&gt;=35000,"Average",Table4[[#This Row],[Sales]]&gt;0,"Poor")</f>
        <v>Poor</v>
      </c>
    </row>
    <row r="175" spans="1:13" x14ac:dyDescent="0.3">
      <c r="A175" s="18">
        <v>174</v>
      </c>
      <c r="B175" s="19">
        <v>45178</v>
      </c>
      <c r="C175" s="20" t="s">
        <v>10</v>
      </c>
      <c r="D175" s="20" t="s">
        <v>11</v>
      </c>
      <c r="E175" s="20" t="s">
        <v>17</v>
      </c>
      <c r="F175" s="20" t="s">
        <v>13</v>
      </c>
      <c r="G175" s="20" t="s">
        <v>14</v>
      </c>
      <c r="H175" s="21">
        <v>31543.41</v>
      </c>
      <c r="I175" s="20">
        <v>7</v>
      </c>
      <c r="J175" s="22">
        <v>7095.9</v>
      </c>
      <c r="K175" s="20" t="str">
        <f>IF(Table4[[#This Row],[Sales]]&gt;=40000,"BEST SALE","POOR SALE")</f>
        <v>POOR SALE</v>
      </c>
      <c r="L175" s="30" t="str" cm="1">
        <f t="array" ref="L175">_xlfn.IFS(Table4[[#This Row],[Sales]]&gt;=40000,"Best Sale", Table4[[#This Row],[Sales]]&gt;=20000,"Average Sale",Table4[[#This Row],[Sales]]&gt;0,"Poor Sale")</f>
        <v>Average Sale</v>
      </c>
      <c r="M175" s="32" t="str" cm="1">
        <f t="array" ref="M175">_xlfn.IFS(Table4[[#This Row],[Sales]]&gt;=40000,"Best", Table4[[#This Row],[Sales]]&gt;=35000,"Average",Table4[[#This Row],[Sales]]&gt;0,"Poor")</f>
        <v>Poor</v>
      </c>
    </row>
    <row r="176" spans="1:13" x14ac:dyDescent="0.3">
      <c r="A176" s="13">
        <v>175</v>
      </c>
      <c r="B176" s="14">
        <v>45127</v>
      </c>
      <c r="C176" s="15" t="s">
        <v>37</v>
      </c>
      <c r="D176" s="15" t="s">
        <v>27</v>
      </c>
      <c r="E176" s="15" t="s">
        <v>17</v>
      </c>
      <c r="F176" s="15" t="s">
        <v>24</v>
      </c>
      <c r="G176" s="15" t="s">
        <v>28</v>
      </c>
      <c r="H176" s="16">
        <v>48726.25</v>
      </c>
      <c r="I176" s="15">
        <v>6</v>
      </c>
      <c r="J176" s="17">
        <v>9754.02</v>
      </c>
      <c r="K176" s="20" t="str">
        <f>IF(Table4[[#This Row],[Sales]]&gt;=40000,"BEST SALE","POOR SALE")</f>
        <v>BEST SALE</v>
      </c>
      <c r="L176" s="30" t="str" cm="1">
        <f t="array" ref="L176">_xlfn.IFS(Table4[[#This Row],[Sales]]&gt;=40000,"Best Sale", Table4[[#This Row],[Sales]]&gt;=20000,"Average Sale",Table4[[#This Row],[Sales]]&gt;0,"Poor Sale")</f>
        <v>Best Sale</v>
      </c>
      <c r="M176" s="32" t="str" cm="1">
        <f t="array" ref="M176">_xlfn.IFS(Table4[[#This Row],[Sales]]&gt;=40000,"Best", Table4[[#This Row],[Sales]]&gt;=35000,"Average",Table4[[#This Row],[Sales]]&gt;0,"Poor")</f>
        <v>Best</v>
      </c>
    </row>
    <row r="177" spans="1:13" x14ac:dyDescent="0.3">
      <c r="A177" s="18">
        <v>176</v>
      </c>
      <c r="B177" s="19">
        <v>45082</v>
      </c>
      <c r="C177" s="20" t="s">
        <v>22</v>
      </c>
      <c r="D177" s="20" t="s">
        <v>22</v>
      </c>
      <c r="E177" s="20" t="s">
        <v>17</v>
      </c>
      <c r="F177" s="20" t="s">
        <v>13</v>
      </c>
      <c r="G177" s="20" t="s">
        <v>21</v>
      </c>
      <c r="H177" s="21">
        <v>4877.32</v>
      </c>
      <c r="I177" s="20">
        <v>2</v>
      </c>
      <c r="J177" s="22">
        <v>678.04</v>
      </c>
      <c r="K177" s="20" t="str">
        <f>IF(Table4[[#This Row],[Sales]]&gt;=40000,"BEST SALE","POOR SALE")</f>
        <v>POOR SALE</v>
      </c>
      <c r="L177" s="30" t="str" cm="1">
        <f t="array" ref="L177">_xlfn.IFS(Table4[[#This Row],[Sales]]&gt;=40000,"Best Sale", Table4[[#This Row],[Sales]]&gt;=20000,"Average Sale",Table4[[#This Row],[Sales]]&gt;0,"Poor Sale")</f>
        <v>Poor Sale</v>
      </c>
      <c r="M177" s="32" t="str" cm="1">
        <f t="array" ref="M177">_xlfn.IFS(Table4[[#This Row],[Sales]]&gt;=40000,"Best", Table4[[#This Row],[Sales]]&gt;=35000,"Average",Table4[[#This Row],[Sales]]&gt;0,"Poor")</f>
        <v>Poor</v>
      </c>
    </row>
    <row r="178" spans="1:13" x14ac:dyDescent="0.3">
      <c r="A178" s="13">
        <v>177</v>
      </c>
      <c r="B178" s="14">
        <v>45227</v>
      </c>
      <c r="C178" s="15" t="s">
        <v>30</v>
      </c>
      <c r="D178" s="15" t="s">
        <v>16</v>
      </c>
      <c r="E178" s="15" t="s">
        <v>17</v>
      </c>
      <c r="F178" s="15" t="s">
        <v>24</v>
      </c>
      <c r="G178" s="15" t="s">
        <v>28</v>
      </c>
      <c r="H178" s="16">
        <v>36632.480000000003</v>
      </c>
      <c r="I178" s="15">
        <v>5</v>
      </c>
      <c r="J178" s="17">
        <v>4419.68</v>
      </c>
      <c r="K178" s="20" t="str">
        <f>IF(Table4[[#This Row],[Sales]]&gt;=40000,"BEST SALE","POOR SALE")</f>
        <v>POOR SALE</v>
      </c>
      <c r="L178" s="30" t="str" cm="1">
        <f t="array" ref="L178">_xlfn.IFS(Table4[[#This Row],[Sales]]&gt;=40000,"Best Sale", Table4[[#This Row],[Sales]]&gt;=20000,"Average Sale",Table4[[#This Row],[Sales]]&gt;0,"Poor Sale")</f>
        <v>Average Sale</v>
      </c>
      <c r="M178" s="32" t="str" cm="1">
        <f t="array" ref="M178">_xlfn.IFS(Table4[[#This Row],[Sales]]&gt;=40000,"Best", Table4[[#This Row],[Sales]]&gt;=35000,"Average",Table4[[#This Row],[Sales]]&gt;0,"Poor")</f>
        <v>Average</v>
      </c>
    </row>
    <row r="179" spans="1:13" x14ac:dyDescent="0.3">
      <c r="A179" s="18">
        <v>178</v>
      </c>
      <c r="B179" s="19">
        <v>44978</v>
      </c>
      <c r="C179" s="20" t="s">
        <v>26</v>
      </c>
      <c r="D179" s="20" t="s">
        <v>27</v>
      </c>
      <c r="E179" s="20" t="s">
        <v>17</v>
      </c>
      <c r="F179" s="20" t="s">
        <v>31</v>
      </c>
      <c r="G179" s="20" t="s">
        <v>32</v>
      </c>
      <c r="H179" s="21">
        <v>7302.34</v>
      </c>
      <c r="I179" s="20">
        <v>10</v>
      </c>
      <c r="J179" s="22">
        <v>909.18</v>
      </c>
      <c r="K179" s="20" t="str">
        <f>IF(Table4[[#This Row],[Sales]]&gt;=40000,"BEST SALE","POOR SALE")</f>
        <v>POOR SALE</v>
      </c>
      <c r="L179" s="30" t="str" cm="1">
        <f t="array" ref="L179">_xlfn.IFS(Table4[[#This Row],[Sales]]&gt;=40000,"Best Sale", Table4[[#This Row],[Sales]]&gt;=20000,"Average Sale",Table4[[#This Row],[Sales]]&gt;0,"Poor Sale")</f>
        <v>Poor Sale</v>
      </c>
      <c r="M179" s="32" t="str" cm="1">
        <f t="array" ref="M179">_xlfn.IFS(Table4[[#This Row],[Sales]]&gt;=40000,"Best", Table4[[#This Row],[Sales]]&gt;=35000,"Average",Table4[[#This Row],[Sales]]&gt;0,"Poor")</f>
        <v>Poor</v>
      </c>
    </row>
    <row r="180" spans="1:13" x14ac:dyDescent="0.3">
      <c r="A180" s="13">
        <v>179</v>
      </c>
      <c r="B180" s="14">
        <v>44993</v>
      </c>
      <c r="C180" s="15" t="s">
        <v>15</v>
      </c>
      <c r="D180" s="15" t="s">
        <v>16</v>
      </c>
      <c r="E180" s="15" t="s">
        <v>17</v>
      </c>
      <c r="F180" s="15" t="s">
        <v>31</v>
      </c>
      <c r="G180" s="15" t="s">
        <v>39</v>
      </c>
      <c r="H180" s="16">
        <v>17646.86</v>
      </c>
      <c r="I180" s="15">
        <v>9</v>
      </c>
      <c r="J180" s="17">
        <v>3145.05</v>
      </c>
      <c r="K180" s="20" t="str">
        <f>IF(Table4[[#This Row],[Sales]]&gt;=40000,"BEST SALE","POOR SALE")</f>
        <v>POOR SALE</v>
      </c>
      <c r="L180" s="30" t="str" cm="1">
        <f t="array" ref="L180">_xlfn.IFS(Table4[[#This Row],[Sales]]&gt;=40000,"Best Sale", Table4[[#This Row],[Sales]]&gt;=20000,"Average Sale",Table4[[#This Row],[Sales]]&gt;0,"Poor Sale")</f>
        <v>Poor Sale</v>
      </c>
      <c r="M180" s="32" t="str" cm="1">
        <f t="array" ref="M180">_xlfn.IFS(Table4[[#This Row],[Sales]]&gt;=40000,"Best", Table4[[#This Row],[Sales]]&gt;=35000,"Average",Table4[[#This Row],[Sales]]&gt;0,"Poor")</f>
        <v>Poor</v>
      </c>
    </row>
    <row r="181" spans="1:13" x14ac:dyDescent="0.3">
      <c r="A181" s="18">
        <v>180</v>
      </c>
      <c r="B181" s="19">
        <v>45230</v>
      </c>
      <c r="C181" s="20" t="s">
        <v>37</v>
      </c>
      <c r="D181" s="20" t="s">
        <v>27</v>
      </c>
      <c r="E181" s="20" t="s">
        <v>17</v>
      </c>
      <c r="F181" s="20" t="s">
        <v>13</v>
      </c>
      <c r="G181" s="20" t="s">
        <v>14</v>
      </c>
      <c r="H181" s="21">
        <v>18272.21</v>
      </c>
      <c r="I181" s="20">
        <v>9</v>
      </c>
      <c r="J181" s="22">
        <v>4352.6099999999997</v>
      </c>
      <c r="K181" s="20" t="str">
        <f>IF(Table4[[#This Row],[Sales]]&gt;=40000,"BEST SALE","POOR SALE")</f>
        <v>POOR SALE</v>
      </c>
      <c r="L181" s="30" t="str" cm="1">
        <f t="array" ref="L181">_xlfn.IFS(Table4[[#This Row],[Sales]]&gt;=40000,"Best Sale", Table4[[#This Row],[Sales]]&gt;=20000,"Average Sale",Table4[[#This Row],[Sales]]&gt;0,"Poor Sale")</f>
        <v>Poor Sale</v>
      </c>
      <c r="M181" s="32" t="str" cm="1">
        <f t="array" ref="M181">_xlfn.IFS(Table4[[#This Row],[Sales]]&gt;=40000,"Best", Table4[[#This Row],[Sales]]&gt;=35000,"Average",Table4[[#This Row],[Sales]]&gt;0,"Poor")</f>
        <v>Poor</v>
      </c>
    </row>
    <row r="182" spans="1:13" x14ac:dyDescent="0.3">
      <c r="A182" s="13">
        <v>181</v>
      </c>
      <c r="B182" s="14">
        <v>45151</v>
      </c>
      <c r="C182" s="15" t="s">
        <v>22</v>
      </c>
      <c r="D182" s="15" t="s">
        <v>22</v>
      </c>
      <c r="E182" s="15" t="s">
        <v>17</v>
      </c>
      <c r="F182" s="15" t="s">
        <v>24</v>
      </c>
      <c r="G182" s="15" t="s">
        <v>29</v>
      </c>
      <c r="H182" s="16">
        <v>30968.38</v>
      </c>
      <c r="I182" s="15">
        <v>7</v>
      </c>
      <c r="J182" s="17">
        <v>4688.1000000000004</v>
      </c>
      <c r="K182" s="20" t="str">
        <f>IF(Table4[[#This Row],[Sales]]&gt;=40000,"BEST SALE","POOR SALE")</f>
        <v>POOR SALE</v>
      </c>
      <c r="L182" s="30" t="str" cm="1">
        <f t="array" ref="L182">_xlfn.IFS(Table4[[#This Row],[Sales]]&gt;=40000,"Best Sale", Table4[[#This Row],[Sales]]&gt;=20000,"Average Sale",Table4[[#This Row],[Sales]]&gt;0,"Poor Sale")</f>
        <v>Average Sale</v>
      </c>
      <c r="M182" s="32" t="str" cm="1">
        <f t="array" ref="M182">_xlfn.IFS(Table4[[#This Row],[Sales]]&gt;=40000,"Best", Table4[[#This Row],[Sales]]&gt;=35000,"Average",Table4[[#This Row],[Sales]]&gt;0,"Poor")</f>
        <v>Poor</v>
      </c>
    </row>
    <row r="183" spans="1:13" x14ac:dyDescent="0.3">
      <c r="A183" s="18">
        <v>182</v>
      </c>
      <c r="B183" s="19">
        <v>45080</v>
      </c>
      <c r="C183" s="20" t="s">
        <v>26</v>
      </c>
      <c r="D183" s="20" t="s">
        <v>27</v>
      </c>
      <c r="E183" s="20" t="s">
        <v>17</v>
      </c>
      <c r="F183" s="20" t="s">
        <v>31</v>
      </c>
      <c r="G183" s="20" t="s">
        <v>33</v>
      </c>
      <c r="H183" s="21">
        <v>17745.36</v>
      </c>
      <c r="I183" s="20">
        <v>2</v>
      </c>
      <c r="J183" s="22">
        <v>1736.15</v>
      </c>
      <c r="K183" s="20" t="str">
        <f>IF(Table4[[#This Row],[Sales]]&gt;=40000,"BEST SALE","POOR SALE")</f>
        <v>POOR SALE</v>
      </c>
      <c r="L183" s="30" t="str" cm="1">
        <f t="array" ref="L183">_xlfn.IFS(Table4[[#This Row],[Sales]]&gt;=40000,"Best Sale", Table4[[#This Row],[Sales]]&gt;=20000,"Average Sale",Table4[[#This Row],[Sales]]&gt;0,"Poor Sale")</f>
        <v>Poor Sale</v>
      </c>
      <c r="M183" s="32" t="str" cm="1">
        <f t="array" ref="M183">_xlfn.IFS(Table4[[#This Row],[Sales]]&gt;=40000,"Best", Table4[[#This Row],[Sales]]&gt;=35000,"Average",Table4[[#This Row],[Sales]]&gt;0,"Poor")</f>
        <v>Poor</v>
      </c>
    </row>
    <row r="184" spans="1:13" x14ac:dyDescent="0.3">
      <c r="A184" s="13">
        <v>183</v>
      </c>
      <c r="B184" s="14">
        <v>44984</v>
      </c>
      <c r="C184" s="15" t="s">
        <v>26</v>
      </c>
      <c r="D184" s="15" t="s">
        <v>27</v>
      </c>
      <c r="E184" s="15" t="s">
        <v>17</v>
      </c>
      <c r="F184" s="15" t="s">
        <v>13</v>
      </c>
      <c r="G184" s="15" t="s">
        <v>21</v>
      </c>
      <c r="H184" s="16">
        <v>30601.31</v>
      </c>
      <c r="I184" s="15">
        <v>9</v>
      </c>
      <c r="J184" s="17">
        <v>4632.5600000000004</v>
      </c>
      <c r="K184" s="20" t="str">
        <f>IF(Table4[[#This Row],[Sales]]&gt;=40000,"BEST SALE","POOR SALE")</f>
        <v>POOR SALE</v>
      </c>
      <c r="L184" s="30" t="str" cm="1">
        <f t="array" ref="L184">_xlfn.IFS(Table4[[#This Row],[Sales]]&gt;=40000,"Best Sale", Table4[[#This Row],[Sales]]&gt;=20000,"Average Sale",Table4[[#This Row],[Sales]]&gt;0,"Poor Sale")</f>
        <v>Average Sale</v>
      </c>
      <c r="M184" s="32" t="str" cm="1">
        <f t="array" ref="M184">_xlfn.IFS(Table4[[#This Row],[Sales]]&gt;=40000,"Best", Table4[[#This Row],[Sales]]&gt;=35000,"Average",Table4[[#This Row],[Sales]]&gt;0,"Poor")</f>
        <v>Poor</v>
      </c>
    </row>
    <row r="185" spans="1:13" x14ac:dyDescent="0.3">
      <c r="A185" s="18">
        <v>184</v>
      </c>
      <c r="B185" s="19">
        <v>45256</v>
      </c>
      <c r="C185" s="20" t="s">
        <v>22</v>
      </c>
      <c r="D185" s="20" t="s">
        <v>22</v>
      </c>
      <c r="E185" s="20" t="s">
        <v>17</v>
      </c>
      <c r="F185" s="20" t="s">
        <v>24</v>
      </c>
      <c r="G185" s="20" t="s">
        <v>25</v>
      </c>
      <c r="H185" s="21">
        <v>27508.720000000001</v>
      </c>
      <c r="I185" s="20">
        <v>4</v>
      </c>
      <c r="J185" s="22">
        <v>2649.16</v>
      </c>
      <c r="K185" s="20" t="str">
        <f>IF(Table4[[#This Row],[Sales]]&gt;=40000,"BEST SALE","POOR SALE")</f>
        <v>POOR SALE</v>
      </c>
      <c r="L185" s="30" t="str" cm="1">
        <f t="array" ref="L185">_xlfn.IFS(Table4[[#This Row],[Sales]]&gt;=40000,"Best Sale", Table4[[#This Row],[Sales]]&gt;=20000,"Average Sale",Table4[[#This Row],[Sales]]&gt;0,"Poor Sale")</f>
        <v>Average Sale</v>
      </c>
      <c r="M185" s="32" t="str" cm="1">
        <f t="array" ref="M185">_xlfn.IFS(Table4[[#This Row],[Sales]]&gt;=40000,"Best", Table4[[#This Row],[Sales]]&gt;=35000,"Average",Table4[[#This Row],[Sales]]&gt;0,"Poor")</f>
        <v>Poor</v>
      </c>
    </row>
    <row r="186" spans="1:13" x14ac:dyDescent="0.3">
      <c r="A186" s="13">
        <v>185</v>
      </c>
      <c r="B186" s="14">
        <v>44959</v>
      </c>
      <c r="C186" s="15" t="s">
        <v>35</v>
      </c>
      <c r="D186" s="15" t="s">
        <v>36</v>
      </c>
      <c r="E186" s="15" t="s">
        <v>17</v>
      </c>
      <c r="F186" s="15" t="s">
        <v>24</v>
      </c>
      <c r="G186" s="15" t="s">
        <v>29</v>
      </c>
      <c r="H186" s="16">
        <v>20818.54</v>
      </c>
      <c r="I186" s="15">
        <v>10</v>
      </c>
      <c r="J186" s="17">
        <v>2457.2199999999998</v>
      </c>
      <c r="K186" s="20" t="str">
        <f>IF(Table4[[#This Row],[Sales]]&gt;=40000,"BEST SALE","POOR SALE")</f>
        <v>POOR SALE</v>
      </c>
      <c r="L186" s="30" t="str" cm="1">
        <f t="array" ref="L186">_xlfn.IFS(Table4[[#This Row],[Sales]]&gt;=40000,"Best Sale", Table4[[#This Row],[Sales]]&gt;=20000,"Average Sale",Table4[[#This Row],[Sales]]&gt;0,"Poor Sale")</f>
        <v>Average Sale</v>
      </c>
      <c r="M186" s="32" t="str" cm="1">
        <f t="array" ref="M186">_xlfn.IFS(Table4[[#This Row],[Sales]]&gt;=40000,"Best", Table4[[#This Row],[Sales]]&gt;=35000,"Average",Table4[[#This Row],[Sales]]&gt;0,"Poor")</f>
        <v>Poor</v>
      </c>
    </row>
    <row r="187" spans="1:13" x14ac:dyDescent="0.3">
      <c r="A187" s="18">
        <v>186</v>
      </c>
      <c r="B187" s="19">
        <v>44990</v>
      </c>
      <c r="C187" s="20" t="s">
        <v>18</v>
      </c>
      <c r="D187" s="20" t="s">
        <v>19</v>
      </c>
      <c r="E187" s="20" t="s">
        <v>17</v>
      </c>
      <c r="F187" s="20" t="s">
        <v>24</v>
      </c>
      <c r="G187" s="20" t="s">
        <v>29</v>
      </c>
      <c r="H187" s="21">
        <v>49951.15</v>
      </c>
      <c r="I187" s="20">
        <v>8</v>
      </c>
      <c r="J187" s="22">
        <v>9925.48</v>
      </c>
      <c r="K187" s="20" t="str">
        <f>IF(Table4[[#This Row],[Sales]]&gt;=40000,"BEST SALE","POOR SALE")</f>
        <v>BEST SALE</v>
      </c>
      <c r="L187" s="30" t="str" cm="1">
        <f t="array" ref="L187">_xlfn.IFS(Table4[[#This Row],[Sales]]&gt;=40000,"Best Sale", Table4[[#This Row],[Sales]]&gt;=20000,"Average Sale",Table4[[#This Row],[Sales]]&gt;0,"Poor Sale")</f>
        <v>Best Sale</v>
      </c>
      <c r="M187" s="32" t="str" cm="1">
        <f t="array" ref="M187">_xlfn.IFS(Table4[[#This Row],[Sales]]&gt;=40000,"Best", Table4[[#This Row],[Sales]]&gt;=35000,"Average",Table4[[#This Row],[Sales]]&gt;0,"Poor")</f>
        <v>Best</v>
      </c>
    </row>
    <row r="188" spans="1:13" x14ac:dyDescent="0.3">
      <c r="A188" s="13">
        <v>187</v>
      </c>
      <c r="B188" s="14">
        <v>45184</v>
      </c>
      <c r="C188" s="15" t="s">
        <v>26</v>
      </c>
      <c r="D188" s="15" t="s">
        <v>27</v>
      </c>
      <c r="E188" s="15" t="s">
        <v>17</v>
      </c>
      <c r="F188" s="15" t="s">
        <v>31</v>
      </c>
      <c r="G188" s="15" t="s">
        <v>33</v>
      </c>
      <c r="H188" s="16">
        <v>14099.59</v>
      </c>
      <c r="I188" s="15">
        <v>7</v>
      </c>
      <c r="J188" s="17">
        <v>1349.86</v>
      </c>
      <c r="K188" s="20" t="str">
        <f>IF(Table4[[#This Row],[Sales]]&gt;=40000,"BEST SALE","POOR SALE")</f>
        <v>POOR SALE</v>
      </c>
      <c r="L188" s="30" t="str" cm="1">
        <f t="array" ref="L188">_xlfn.IFS(Table4[[#This Row],[Sales]]&gt;=40000,"Best Sale", Table4[[#This Row],[Sales]]&gt;=20000,"Average Sale",Table4[[#This Row],[Sales]]&gt;0,"Poor Sale")</f>
        <v>Poor Sale</v>
      </c>
      <c r="M188" s="32" t="str" cm="1">
        <f t="array" ref="M188">_xlfn.IFS(Table4[[#This Row],[Sales]]&gt;=40000,"Best", Table4[[#This Row],[Sales]]&gt;=35000,"Average",Table4[[#This Row],[Sales]]&gt;0,"Poor")</f>
        <v>Poor</v>
      </c>
    </row>
    <row r="189" spans="1:13" x14ac:dyDescent="0.3">
      <c r="A189" s="18">
        <v>188</v>
      </c>
      <c r="B189" s="19">
        <v>45210</v>
      </c>
      <c r="C189" s="20" t="s">
        <v>15</v>
      </c>
      <c r="D189" s="20" t="s">
        <v>16</v>
      </c>
      <c r="E189" s="20" t="s">
        <v>12</v>
      </c>
      <c r="F189" s="20" t="s">
        <v>31</v>
      </c>
      <c r="G189" s="20" t="s">
        <v>33</v>
      </c>
      <c r="H189" s="21">
        <v>30464.74</v>
      </c>
      <c r="I189" s="20">
        <v>6</v>
      </c>
      <c r="J189" s="22">
        <v>7362.23</v>
      </c>
      <c r="K189" s="20" t="str">
        <f>IF(Table4[[#This Row],[Sales]]&gt;=40000,"BEST SALE","POOR SALE")</f>
        <v>POOR SALE</v>
      </c>
      <c r="L189" s="30" t="str" cm="1">
        <f t="array" ref="L189">_xlfn.IFS(Table4[[#This Row],[Sales]]&gt;=40000,"Best Sale", Table4[[#This Row],[Sales]]&gt;=20000,"Average Sale",Table4[[#This Row],[Sales]]&gt;0,"Poor Sale")</f>
        <v>Average Sale</v>
      </c>
      <c r="M189" s="32" t="str" cm="1">
        <f t="array" ref="M189">_xlfn.IFS(Table4[[#This Row],[Sales]]&gt;=40000,"Best", Table4[[#This Row],[Sales]]&gt;=35000,"Average",Table4[[#This Row],[Sales]]&gt;0,"Poor")</f>
        <v>Poor</v>
      </c>
    </row>
    <row r="190" spans="1:13" x14ac:dyDescent="0.3">
      <c r="A190" s="13">
        <v>189</v>
      </c>
      <c r="B190" s="14">
        <v>45041</v>
      </c>
      <c r="C190" s="15" t="s">
        <v>18</v>
      </c>
      <c r="D190" s="15" t="s">
        <v>19</v>
      </c>
      <c r="E190" s="15" t="s">
        <v>17</v>
      </c>
      <c r="F190" s="15" t="s">
        <v>13</v>
      </c>
      <c r="G190" s="15" t="s">
        <v>21</v>
      </c>
      <c r="H190" s="16">
        <v>45371.4</v>
      </c>
      <c r="I190" s="15">
        <v>9</v>
      </c>
      <c r="J190" s="17">
        <v>10014.870000000001</v>
      </c>
      <c r="K190" s="20" t="str">
        <f>IF(Table4[[#This Row],[Sales]]&gt;=40000,"BEST SALE","POOR SALE")</f>
        <v>BEST SALE</v>
      </c>
      <c r="L190" s="30" t="str" cm="1">
        <f t="array" ref="L190">_xlfn.IFS(Table4[[#This Row],[Sales]]&gt;=40000,"Best Sale", Table4[[#This Row],[Sales]]&gt;=20000,"Average Sale",Table4[[#This Row],[Sales]]&gt;0,"Poor Sale")</f>
        <v>Best Sale</v>
      </c>
      <c r="M190" s="32" t="str" cm="1">
        <f t="array" ref="M190">_xlfn.IFS(Table4[[#This Row],[Sales]]&gt;=40000,"Best", Table4[[#This Row],[Sales]]&gt;=35000,"Average",Table4[[#This Row],[Sales]]&gt;0,"Poor")</f>
        <v>Best</v>
      </c>
    </row>
    <row r="191" spans="1:13" x14ac:dyDescent="0.3">
      <c r="A191" s="18">
        <v>190</v>
      </c>
      <c r="B191" s="19">
        <v>45082</v>
      </c>
      <c r="C191" s="20" t="s">
        <v>38</v>
      </c>
      <c r="D191" s="20" t="s">
        <v>27</v>
      </c>
      <c r="E191" s="20" t="s">
        <v>12</v>
      </c>
      <c r="F191" s="20" t="s">
        <v>31</v>
      </c>
      <c r="G191" s="20" t="s">
        <v>32</v>
      </c>
      <c r="H191" s="21">
        <v>22118.26</v>
      </c>
      <c r="I191" s="20">
        <v>4</v>
      </c>
      <c r="J191" s="22">
        <v>2171.89</v>
      </c>
      <c r="K191" s="20" t="str">
        <f>IF(Table4[[#This Row],[Sales]]&gt;=40000,"BEST SALE","POOR SALE")</f>
        <v>POOR SALE</v>
      </c>
      <c r="L191" s="30" t="str" cm="1">
        <f t="array" ref="L191">_xlfn.IFS(Table4[[#This Row],[Sales]]&gt;=40000,"Best Sale", Table4[[#This Row],[Sales]]&gt;=20000,"Average Sale",Table4[[#This Row],[Sales]]&gt;0,"Poor Sale")</f>
        <v>Average Sale</v>
      </c>
      <c r="M191" s="32" t="str" cm="1">
        <f t="array" ref="M191">_xlfn.IFS(Table4[[#This Row],[Sales]]&gt;=40000,"Best", Table4[[#This Row],[Sales]]&gt;=35000,"Average",Table4[[#This Row],[Sales]]&gt;0,"Poor")</f>
        <v>Poor</v>
      </c>
    </row>
    <row r="192" spans="1:13" x14ac:dyDescent="0.3">
      <c r="A192" s="13">
        <v>191</v>
      </c>
      <c r="B192" s="14">
        <v>45248</v>
      </c>
      <c r="C192" s="15" t="s">
        <v>10</v>
      </c>
      <c r="D192" s="15" t="s">
        <v>11</v>
      </c>
      <c r="E192" s="15" t="s">
        <v>17</v>
      </c>
      <c r="F192" s="15" t="s">
        <v>13</v>
      </c>
      <c r="G192" s="15" t="s">
        <v>21</v>
      </c>
      <c r="H192" s="16">
        <v>37631.99</v>
      </c>
      <c r="I192" s="15">
        <v>10</v>
      </c>
      <c r="J192" s="17">
        <v>2815.66</v>
      </c>
      <c r="K192" s="20" t="str">
        <f>IF(Table4[[#This Row],[Sales]]&gt;=40000,"BEST SALE","POOR SALE")</f>
        <v>POOR SALE</v>
      </c>
      <c r="L192" s="30" t="str" cm="1">
        <f t="array" ref="L192">_xlfn.IFS(Table4[[#This Row],[Sales]]&gt;=40000,"Best Sale", Table4[[#This Row],[Sales]]&gt;=20000,"Average Sale",Table4[[#This Row],[Sales]]&gt;0,"Poor Sale")</f>
        <v>Average Sale</v>
      </c>
      <c r="M192" s="32" t="str" cm="1">
        <f t="array" ref="M192">_xlfn.IFS(Table4[[#This Row],[Sales]]&gt;=40000,"Best", Table4[[#This Row],[Sales]]&gt;=35000,"Average",Table4[[#This Row],[Sales]]&gt;0,"Poor")</f>
        <v>Average</v>
      </c>
    </row>
    <row r="193" spans="1:13" x14ac:dyDescent="0.3">
      <c r="A193" s="18">
        <v>192</v>
      </c>
      <c r="B193" s="19">
        <v>45279</v>
      </c>
      <c r="C193" s="20" t="s">
        <v>15</v>
      </c>
      <c r="D193" s="20" t="s">
        <v>16</v>
      </c>
      <c r="E193" s="20" t="s">
        <v>20</v>
      </c>
      <c r="F193" s="20" t="s">
        <v>13</v>
      </c>
      <c r="G193" s="20" t="s">
        <v>34</v>
      </c>
      <c r="H193" s="21">
        <v>32613.74</v>
      </c>
      <c r="I193" s="20">
        <v>3</v>
      </c>
      <c r="J193" s="22">
        <v>2329.77</v>
      </c>
      <c r="K193" s="20" t="str">
        <f>IF(Table4[[#This Row],[Sales]]&gt;=40000,"BEST SALE","POOR SALE")</f>
        <v>POOR SALE</v>
      </c>
      <c r="L193" s="30" t="str" cm="1">
        <f t="array" ref="L193">_xlfn.IFS(Table4[[#This Row],[Sales]]&gt;=40000,"Best Sale", Table4[[#This Row],[Sales]]&gt;=20000,"Average Sale",Table4[[#This Row],[Sales]]&gt;0,"Poor Sale")</f>
        <v>Average Sale</v>
      </c>
      <c r="M193" s="32" t="str" cm="1">
        <f t="array" ref="M193">_xlfn.IFS(Table4[[#This Row],[Sales]]&gt;=40000,"Best", Table4[[#This Row],[Sales]]&gt;=35000,"Average",Table4[[#This Row],[Sales]]&gt;0,"Poor")</f>
        <v>Poor</v>
      </c>
    </row>
    <row r="194" spans="1:13" x14ac:dyDescent="0.3">
      <c r="A194" s="13">
        <v>193</v>
      </c>
      <c r="B194" s="14">
        <v>45031</v>
      </c>
      <c r="C194" s="15" t="s">
        <v>38</v>
      </c>
      <c r="D194" s="15" t="s">
        <v>27</v>
      </c>
      <c r="E194" s="15" t="s">
        <v>20</v>
      </c>
      <c r="F194" s="15" t="s">
        <v>31</v>
      </c>
      <c r="G194" s="15" t="s">
        <v>39</v>
      </c>
      <c r="H194" s="16">
        <v>19402.79</v>
      </c>
      <c r="I194" s="15">
        <v>5</v>
      </c>
      <c r="J194" s="17">
        <v>4070.53</v>
      </c>
      <c r="K194" s="20" t="str">
        <f>IF(Table4[[#This Row],[Sales]]&gt;=40000,"BEST SALE","POOR SALE")</f>
        <v>POOR SALE</v>
      </c>
      <c r="L194" s="30" t="str" cm="1">
        <f t="array" ref="L194">_xlfn.IFS(Table4[[#This Row],[Sales]]&gt;=40000,"Best Sale", Table4[[#This Row],[Sales]]&gt;=20000,"Average Sale",Table4[[#This Row],[Sales]]&gt;0,"Poor Sale")</f>
        <v>Poor Sale</v>
      </c>
      <c r="M194" s="32" t="str" cm="1">
        <f t="array" ref="M194">_xlfn.IFS(Table4[[#This Row],[Sales]]&gt;=40000,"Best", Table4[[#This Row],[Sales]]&gt;=35000,"Average",Table4[[#This Row],[Sales]]&gt;0,"Poor")</f>
        <v>Poor</v>
      </c>
    </row>
    <row r="195" spans="1:13" x14ac:dyDescent="0.3">
      <c r="A195" s="18">
        <v>194</v>
      </c>
      <c r="B195" s="19">
        <v>45226</v>
      </c>
      <c r="C195" s="20" t="s">
        <v>37</v>
      </c>
      <c r="D195" s="20" t="s">
        <v>27</v>
      </c>
      <c r="E195" s="20" t="s">
        <v>12</v>
      </c>
      <c r="F195" s="20" t="s">
        <v>13</v>
      </c>
      <c r="G195" s="20" t="s">
        <v>21</v>
      </c>
      <c r="H195" s="21">
        <v>38828.89</v>
      </c>
      <c r="I195" s="20">
        <v>1</v>
      </c>
      <c r="J195" s="22">
        <v>3558.41</v>
      </c>
      <c r="K195" s="20" t="str">
        <f>IF(Table4[[#This Row],[Sales]]&gt;=40000,"BEST SALE","POOR SALE")</f>
        <v>POOR SALE</v>
      </c>
      <c r="L195" s="30" t="str" cm="1">
        <f t="array" ref="L195">_xlfn.IFS(Table4[[#This Row],[Sales]]&gt;=40000,"Best Sale", Table4[[#This Row],[Sales]]&gt;=20000,"Average Sale",Table4[[#This Row],[Sales]]&gt;0,"Poor Sale")</f>
        <v>Average Sale</v>
      </c>
      <c r="M195" s="32" t="str" cm="1">
        <f t="array" ref="M195">_xlfn.IFS(Table4[[#This Row],[Sales]]&gt;=40000,"Best", Table4[[#This Row],[Sales]]&gt;=35000,"Average",Table4[[#This Row],[Sales]]&gt;0,"Poor")</f>
        <v>Average</v>
      </c>
    </row>
    <row r="196" spans="1:13" x14ac:dyDescent="0.3">
      <c r="A196" s="13">
        <v>195</v>
      </c>
      <c r="B196" s="14">
        <v>45285</v>
      </c>
      <c r="C196" s="15" t="s">
        <v>10</v>
      </c>
      <c r="D196" s="15" t="s">
        <v>11</v>
      </c>
      <c r="E196" s="15" t="s">
        <v>17</v>
      </c>
      <c r="F196" s="15" t="s">
        <v>13</v>
      </c>
      <c r="G196" s="15" t="s">
        <v>34</v>
      </c>
      <c r="H196" s="16">
        <v>40947.69</v>
      </c>
      <c r="I196" s="15">
        <v>10</v>
      </c>
      <c r="J196" s="17">
        <v>3402.46</v>
      </c>
      <c r="K196" s="20" t="str">
        <f>IF(Table4[[#This Row],[Sales]]&gt;=40000,"BEST SALE","POOR SALE")</f>
        <v>BEST SALE</v>
      </c>
      <c r="L196" s="30" t="str" cm="1">
        <f t="array" ref="L196">_xlfn.IFS(Table4[[#This Row],[Sales]]&gt;=40000,"Best Sale", Table4[[#This Row],[Sales]]&gt;=20000,"Average Sale",Table4[[#This Row],[Sales]]&gt;0,"Poor Sale")</f>
        <v>Best Sale</v>
      </c>
      <c r="M196" s="32" t="str" cm="1">
        <f t="array" ref="M196">_xlfn.IFS(Table4[[#This Row],[Sales]]&gt;=40000,"Best", Table4[[#This Row],[Sales]]&gt;=35000,"Average",Table4[[#This Row],[Sales]]&gt;0,"Poor")</f>
        <v>Best</v>
      </c>
    </row>
    <row r="197" spans="1:13" x14ac:dyDescent="0.3">
      <c r="A197" s="18">
        <v>196</v>
      </c>
      <c r="B197" s="19">
        <v>45132</v>
      </c>
      <c r="C197" s="20" t="s">
        <v>38</v>
      </c>
      <c r="D197" s="20" t="s">
        <v>27</v>
      </c>
      <c r="E197" s="20" t="s">
        <v>12</v>
      </c>
      <c r="F197" s="20" t="s">
        <v>13</v>
      </c>
      <c r="G197" s="20" t="s">
        <v>34</v>
      </c>
      <c r="H197" s="21">
        <v>42010.67</v>
      </c>
      <c r="I197" s="20">
        <v>2</v>
      </c>
      <c r="J197" s="22">
        <v>11879.89</v>
      </c>
      <c r="K197" s="20" t="str">
        <f>IF(Table4[[#This Row],[Sales]]&gt;=40000,"BEST SALE","POOR SALE")</f>
        <v>BEST SALE</v>
      </c>
      <c r="L197" s="30" t="str" cm="1">
        <f t="array" ref="L197">_xlfn.IFS(Table4[[#This Row],[Sales]]&gt;=40000,"Best Sale", Table4[[#This Row],[Sales]]&gt;=20000,"Average Sale",Table4[[#This Row],[Sales]]&gt;0,"Poor Sale")</f>
        <v>Best Sale</v>
      </c>
      <c r="M197" s="32" t="str" cm="1">
        <f t="array" ref="M197">_xlfn.IFS(Table4[[#This Row],[Sales]]&gt;=40000,"Best", Table4[[#This Row],[Sales]]&gt;=35000,"Average",Table4[[#This Row],[Sales]]&gt;0,"Poor")</f>
        <v>Best</v>
      </c>
    </row>
    <row r="198" spans="1:13" x14ac:dyDescent="0.3">
      <c r="A198" s="13">
        <v>197</v>
      </c>
      <c r="B198" s="14">
        <v>44951</v>
      </c>
      <c r="C198" s="15" t="s">
        <v>10</v>
      </c>
      <c r="D198" s="15" t="s">
        <v>11</v>
      </c>
      <c r="E198" s="15" t="s">
        <v>17</v>
      </c>
      <c r="F198" s="15" t="s">
        <v>31</v>
      </c>
      <c r="G198" s="15" t="s">
        <v>33</v>
      </c>
      <c r="H198" s="16">
        <v>15486.53</v>
      </c>
      <c r="I198" s="15">
        <v>3</v>
      </c>
      <c r="J198" s="17">
        <v>3644.96</v>
      </c>
      <c r="K198" s="20" t="str">
        <f>IF(Table4[[#This Row],[Sales]]&gt;=40000,"BEST SALE","POOR SALE")</f>
        <v>POOR SALE</v>
      </c>
      <c r="L198" s="30" t="str" cm="1">
        <f t="array" ref="L198">_xlfn.IFS(Table4[[#This Row],[Sales]]&gt;=40000,"Best Sale", Table4[[#This Row],[Sales]]&gt;=20000,"Average Sale",Table4[[#This Row],[Sales]]&gt;0,"Poor Sale")</f>
        <v>Poor Sale</v>
      </c>
      <c r="M198" s="32" t="str" cm="1">
        <f t="array" ref="M198">_xlfn.IFS(Table4[[#This Row],[Sales]]&gt;=40000,"Best", Table4[[#This Row],[Sales]]&gt;=35000,"Average",Table4[[#This Row],[Sales]]&gt;0,"Poor")</f>
        <v>Poor</v>
      </c>
    </row>
    <row r="199" spans="1:13" x14ac:dyDescent="0.3">
      <c r="A199" s="18">
        <v>198</v>
      </c>
      <c r="B199" s="19">
        <v>44962</v>
      </c>
      <c r="C199" s="20" t="s">
        <v>35</v>
      </c>
      <c r="D199" s="20" t="s">
        <v>36</v>
      </c>
      <c r="E199" s="20" t="s">
        <v>20</v>
      </c>
      <c r="F199" s="20" t="s">
        <v>13</v>
      </c>
      <c r="G199" s="20" t="s">
        <v>34</v>
      </c>
      <c r="H199" s="21">
        <v>30608.400000000001</v>
      </c>
      <c r="I199" s="20">
        <v>1</v>
      </c>
      <c r="J199" s="22">
        <v>2635.57</v>
      </c>
      <c r="K199" s="20" t="str">
        <f>IF(Table4[[#This Row],[Sales]]&gt;=40000,"BEST SALE","POOR SALE")</f>
        <v>POOR SALE</v>
      </c>
      <c r="L199" s="30" t="str" cm="1">
        <f t="array" ref="L199">_xlfn.IFS(Table4[[#This Row],[Sales]]&gt;=40000,"Best Sale", Table4[[#This Row],[Sales]]&gt;=20000,"Average Sale",Table4[[#This Row],[Sales]]&gt;0,"Poor Sale")</f>
        <v>Average Sale</v>
      </c>
      <c r="M199" s="32" t="str" cm="1">
        <f t="array" ref="M199">_xlfn.IFS(Table4[[#This Row],[Sales]]&gt;=40000,"Best", Table4[[#This Row],[Sales]]&gt;=35000,"Average",Table4[[#This Row],[Sales]]&gt;0,"Poor")</f>
        <v>Poor</v>
      </c>
    </row>
    <row r="200" spans="1:13" x14ac:dyDescent="0.3">
      <c r="A200" s="13">
        <v>199</v>
      </c>
      <c r="B200" s="14">
        <v>45181</v>
      </c>
      <c r="C200" s="15" t="s">
        <v>18</v>
      </c>
      <c r="D200" s="15" t="s">
        <v>19</v>
      </c>
      <c r="E200" s="15" t="s">
        <v>20</v>
      </c>
      <c r="F200" s="15" t="s">
        <v>31</v>
      </c>
      <c r="G200" s="15" t="s">
        <v>33</v>
      </c>
      <c r="H200" s="16">
        <v>15000.25</v>
      </c>
      <c r="I200" s="15">
        <v>1</v>
      </c>
      <c r="J200" s="17">
        <v>3201.7</v>
      </c>
      <c r="K200" s="20" t="str">
        <f>IF(Table4[[#This Row],[Sales]]&gt;=40000,"BEST SALE","POOR SALE")</f>
        <v>POOR SALE</v>
      </c>
      <c r="L200" s="30" t="str" cm="1">
        <f t="array" ref="L200">_xlfn.IFS(Table4[[#This Row],[Sales]]&gt;=40000,"Best Sale", Table4[[#This Row],[Sales]]&gt;=20000,"Average Sale",Table4[[#This Row],[Sales]]&gt;0,"Poor Sale")</f>
        <v>Poor Sale</v>
      </c>
      <c r="M200" s="32" t="str" cm="1">
        <f t="array" ref="M200">_xlfn.IFS(Table4[[#This Row],[Sales]]&gt;=40000,"Best", Table4[[#This Row],[Sales]]&gt;=35000,"Average",Table4[[#This Row],[Sales]]&gt;0,"Poor")</f>
        <v>Poor</v>
      </c>
    </row>
    <row r="201" spans="1:13" x14ac:dyDescent="0.3">
      <c r="A201" s="18">
        <v>200</v>
      </c>
      <c r="B201" s="19">
        <v>45266</v>
      </c>
      <c r="C201" s="20" t="s">
        <v>15</v>
      </c>
      <c r="D201" s="20" t="s">
        <v>16</v>
      </c>
      <c r="E201" s="20" t="s">
        <v>12</v>
      </c>
      <c r="F201" s="20" t="s">
        <v>24</v>
      </c>
      <c r="G201" s="20" t="s">
        <v>25</v>
      </c>
      <c r="H201" s="21">
        <v>30584.37</v>
      </c>
      <c r="I201" s="20">
        <v>4</v>
      </c>
      <c r="J201" s="22">
        <v>5866.07</v>
      </c>
      <c r="K201" s="20" t="str">
        <f>IF(Table4[[#This Row],[Sales]]&gt;=40000,"BEST SALE","POOR SALE")</f>
        <v>POOR SALE</v>
      </c>
      <c r="L201" s="30" t="str" cm="1">
        <f t="array" ref="L201">_xlfn.IFS(Table4[[#This Row],[Sales]]&gt;=40000,"Best Sale", Table4[[#This Row],[Sales]]&gt;=20000,"Average Sale",Table4[[#This Row],[Sales]]&gt;0,"Poor Sale")</f>
        <v>Average Sale</v>
      </c>
      <c r="M201" s="32" t="str" cm="1">
        <f t="array" ref="M201">_xlfn.IFS(Table4[[#This Row],[Sales]]&gt;=40000,"Best", Table4[[#This Row],[Sales]]&gt;=35000,"Average",Table4[[#This Row],[Sales]]&gt;0,"Poor")</f>
        <v>Poor</v>
      </c>
    </row>
    <row r="202" spans="1:13" x14ac:dyDescent="0.3">
      <c r="A202" s="13">
        <v>201</v>
      </c>
      <c r="B202" s="14">
        <v>44995</v>
      </c>
      <c r="C202" s="15" t="s">
        <v>30</v>
      </c>
      <c r="D202" s="15" t="s">
        <v>16</v>
      </c>
      <c r="E202" s="15" t="s">
        <v>17</v>
      </c>
      <c r="F202" s="15" t="s">
        <v>24</v>
      </c>
      <c r="G202" s="15" t="s">
        <v>29</v>
      </c>
      <c r="H202" s="16">
        <v>2307.9</v>
      </c>
      <c r="I202" s="15">
        <v>2</v>
      </c>
      <c r="J202" s="17">
        <v>185.88</v>
      </c>
      <c r="K202" s="20" t="str">
        <f>IF(Table4[[#This Row],[Sales]]&gt;=40000,"BEST SALE","POOR SALE")</f>
        <v>POOR SALE</v>
      </c>
      <c r="L202" s="30" t="str" cm="1">
        <f t="array" ref="L202">_xlfn.IFS(Table4[[#This Row],[Sales]]&gt;=40000,"Best Sale", Table4[[#This Row],[Sales]]&gt;=20000,"Average Sale",Table4[[#This Row],[Sales]]&gt;0,"Poor Sale")</f>
        <v>Poor Sale</v>
      </c>
      <c r="M202" s="32" t="str" cm="1">
        <f t="array" ref="M202">_xlfn.IFS(Table4[[#This Row],[Sales]]&gt;=40000,"Best", Table4[[#This Row],[Sales]]&gt;=35000,"Average",Table4[[#This Row],[Sales]]&gt;0,"Poor")</f>
        <v>Poor</v>
      </c>
    </row>
    <row r="203" spans="1:13" x14ac:dyDescent="0.3">
      <c r="A203" s="18">
        <v>202</v>
      </c>
      <c r="B203" s="19">
        <v>45210</v>
      </c>
      <c r="C203" s="20" t="s">
        <v>15</v>
      </c>
      <c r="D203" s="20" t="s">
        <v>16</v>
      </c>
      <c r="E203" s="20" t="s">
        <v>12</v>
      </c>
      <c r="F203" s="20" t="s">
        <v>24</v>
      </c>
      <c r="G203" s="20" t="s">
        <v>28</v>
      </c>
      <c r="H203" s="21">
        <v>46291.49</v>
      </c>
      <c r="I203" s="20">
        <v>6</v>
      </c>
      <c r="J203" s="22">
        <v>5632.5</v>
      </c>
      <c r="K203" s="20" t="str">
        <f>IF(Table4[[#This Row],[Sales]]&gt;=40000,"BEST SALE","POOR SALE")</f>
        <v>BEST SALE</v>
      </c>
      <c r="L203" s="30" t="str" cm="1">
        <f t="array" ref="L203">_xlfn.IFS(Table4[[#This Row],[Sales]]&gt;=40000,"Best Sale", Table4[[#This Row],[Sales]]&gt;=20000,"Average Sale",Table4[[#This Row],[Sales]]&gt;0,"Poor Sale")</f>
        <v>Best Sale</v>
      </c>
      <c r="M203" s="32" t="str" cm="1">
        <f t="array" ref="M203">_xlfn.IFS(Table4[[#This Row],[Sales]]&gt;=40000,"Best", Table4[[#This Row],[Sales]]&gt;=35000,"Average",Table4[[#This Row],[Sales]]&gt;0,"Poor")</f>
        <v>Best</v>
      </c>
    </row>
    <row r="204" spans="1:13" x14ac:dyDescent="0.3">
      <c r="A204" s="13">
        <v>203</v>
      </c>
      <c r="B204" s="14">
        <v>44974</v>
      </c>
      <c r="C204" s="15" t="s">
        <v>38</v>
      </c>
      <c r="D204" s="15" t="s">
        <v>27</v>
      </c>
      <c r="E204" s="15" t="s">
        <v>17</v>
      </c>
      <c r="F204" s="15" t="s">
        <v>13</v>
      </c>
      <c r="G204" s="15" t="s">
        <v>21</v>
      </c>
      <c r="H204" s="16">
        <v>14665.44</v>
      </c>
      <c r="I204" s="15">
        <v>7</v>
      </c>
      <c r="J204" s="17">
        <v>2033.06</v>
      </c>
      <c r="K204" s="20" t="str">
        <f>IF(Table4[[#This Row],[Sales]]&gt;=40000,"BEST SALE","POOR SALE")</f>
        <v>POOR SALE</v>
      </c>
      <c r="L204" s="30" t="str" cm="1">
        <f t="array" ref="L204">_xlfn.IFS(Table4[[#This Row],[Sales]]&gt;=40000,"Best Sale", Table4[[#This Row],[Sales]]&gt;=20000,"Average Sale",Table4[[#This Row],[Sales]]&gt;0,"Poor Sale")</f>
        <v>Poor Sale</v>
      </c>
      <c r="M204" s="32" t="str" cm="1">
        <f t="array" ref="M204">_xlfn.IFS(Table4[[#This Row],[Sales]]&gt;=40000,"Best", Table4[[#This Row],[Sales]]&gt;=35000,"Average",Table4[[#This Row],[Sales]]&gt;0,"Poor")</f>
        <v>Poor</v>
      </c>
    </row>
    <row r="205" spans="1:13" x14ac:dyDescent="0.3">
      <c r="A205" s="18">
        <v>204</v>
      </c>
      <c r="B205" s="19">
        <v>44982</v>
      </c>
      <c r="C205" s="20" t="s">
        <v>18</v>
      </c>
      <c r="D205" s="20" t="s">
        <v>19</v>
      </c>
      <c r="E205" s="20" t="s">
        <v>20</v>
      </c>
      <c r="F205" s="20" t="s">
        <v>24</v>
      </c>
      <c r="G205" s="20" t="s">
        <v>25</v>
      </c>
      <c r="H205" s="21">
        <v>29742</v>
      </c>
      <c r="I205" s="20">
        <v>1</v>
      </c>
      <c r="J205" s="22">
        <v>5975.9</v>
      </c>
      <c r="K205" s="20" t="str">
        <f>IF(Table4[[#This Row],[Sales]]&gt;=40000,"BEST SALE","POOR SALE")</f>
        <v>POOR SALE</v>
      </c>
      <c r="L205" s="30" t="str" cm="1">
        <f t="array" ref="L205">_xlfn.IFS(Table4[[#This Row],[Sales]]&gt;=40000,"Best Sale", Table4[[#This Row],[Sales]]&gt;=20000,"Average Sale",Table4[[#This Row],[Sales]]&gt;0,"Poor Sale")</f>
        <v>Average Sale</v>
      </c>
      <c r="M205" s="32" t="str" cm="1">
        <f t="array" ref="M205">_xlfn.IFS(Table4[[#This Row],[Sales]]&gt;=40000,"Best", Table4[[#This Row],[Sales]]&gt;=35000,"Average",Table4[[#This Row],[Sales]]&gt;0,"Poor")</f>
        <v>Poor</v>
      </c>
    </row>
    <row r="206" spans="1:13" x14ac:dyDescent="0.3">
      <c r="A206" s="13">
        <v>205</v>
      </c>
      <c r="B206" s="14">
        <v>44955</v>
      </c>
      <c r="C206" s="15" t="s">
        <v>15</v>
      </c>
      <c r="D206" s="15" t="s">
        <v>16</v>
      </c>
      <c r="E206" s="15" t="s">
        <v>20</v>
      </c>
      <c r="F206" s="15" t="s">
        <v>13</v>
      </c>
      <c r="G206" s="15" t="s">
        <v>34</v>
      </c>
      <c r="H206" s="16">
        <v>35349.51</v>
      </c>
      <c r="I206" s="15">
        <v>4</v>
      </c>
      <c r="J206" s="17">
        <v>10510.77</v>
      </c>
      <c r="K206" s="20" t="str">
        <f>IF(Table4[[#This Row],[Sales]]&gt;=40000,"BEST SALE","POOR SALE")</f>
        <v>POOR SALE</v>
      </c>
      <c r="L206" s="30" t="str" cm="1">
        <f t="array" ref="L206">_xlfn.IFS(Table4[[#This Row],[Sales]]&gt;=40000,"Best Sale", Table4[[#This Row],[Sales]]&gt;=20000,"Average Sale",Table4[[#This Row],[Sales]]&gt;0,"Poor Sale")</f>
        <v>Average Sale</v>
      </c>
      <c r="M206" s="32" t="str" cm="1">
        <f t="array" ref="M206">_xlfn.IFS(Table4[[#This Row],[Sales]]&gt;=40000,"Best", Table4[[#This Row],[Sales]]&gt;=35000,"Average",Table4[[#This Row],[Sales]]&gt;0,"Poor")</f>
        <v>Average</v>
      </c>
    </row>
    <row r="207" spans="1:13" x14ac:dyDescent="0.3">
      <c r="A207" s="18">
        <v>206</v>
      </c>
      <c r="B207" s="19">
        <v>45253</v>
      </c>
      <c r="C207" s="20" t="s">
        <v>26</v>
      </c>
      <c r="D207" s="20" t="s">
        <v>27</v>
      </c>
      <c r="E207" s="20" t="s">
        <v>12</v>
      </c>
      <c r="F207" s="20" t="s">
        <v>13</v>
      </c>
      <c r="G207" s="20" t="s">
        <v>14</v>
      </c>
      <c r="H207" s="21">
        <v>25985.13</v>
      </c>
      <c r="I207" s="20">
        <v>6</v>
      </c>
      <c r="J207" s="22">
        <v>2350.9299999999998</v>
      </c>
      <c r="K207" s="20" t="str">
        <f>IF(Table4[[#This Row],[Sales]]&gt;=40000,"BEST SALE","POOR SALE")</f>
        <v>POOR SALE</v>
      </c>
      <c r="L207" s="30" t="str" cm="1">
        <f t="array" ref="L207">_xlfn.IFS(Table4[[#This Row],[Sales]]&gt;=40000,"Best Sale", Table4[[#This Row],[Sales]]&gt;=20000,"Average Sale",Table4[[#This Row],[Sales]]&gt;0,"Poor Sale")</f>
        <v>Average Sale</v>
      </c>
      <c r="M207" s="32" t="str" cm="1">
        <f t="array" ref="M207">_xlfn.IFS(Table4[[#This Row],[Sales]]&gt;=40000,"Best", Table4[[#This Row],[Sales]]&gt;=35000,"Average",Table4[[#This Row],[Sales]]&gt;0,"Poor")</f>
        <v>Poor</v>
      </c>
    </row>
    <row r="208" spans="1:13" x14ac:dyDescent="0.3">
      <c r="A208" s="13">
        <v>207</v>
      </c>
      <c r="B208" s="14">
        <v>45156</v>
      </c>
      <c r="C208" s="15" t="s">
        <v>30</v>
      </c>
      <c r="D208" s="15" t="s">
        <v>16</v>
      </c>
      <c r="E208" s="15" t="s">
        <v>17</v>
      </c>
      <c r="F208" s="15" t="s">
        <v>24</v>
      </c>
      <c r="G208" s="15" t="s">
        <v>25</v>
      </c>
      <c r="H208" s="16">
        <v>42832.639999999999</v>
      </c>
      <c r="I208" s="15">
        <v>7</v>
      </c>
      <c r="J208" s="17">
        <v>9063.49</v>
      </c>
      <c r="K208" s="20" t="str">
        <f>IF(Table4[[#This Row],[Sales]]&gt;=40000,"BEST SALE","POOR SALE")</f>
        <v>BEST SALE</v>
      </c>
      <c r="L208" s="30" t="str" cm="1">
        <f t="array" ref="L208">_xlfn.IFS(Table4[[#This Row],[Sales]]&gt;=40000,"Best Sale", Table4[[#This Row],[Sales]]&gt;=20000,"Average Sale",Table4[[#This Row],[Sales]]&gt;0,"Poor Sale")</f>
        <v>Best Sale</v>
      </c>
      <c r="M208" s="32" t="str" cm="1">
        <f t="array" ref="M208">_xlfn.IFS(Table4[[#This Row],[Sales]]&gt;=40000,"Best", Table4[[#This Row],[Sales]]&gt;=35000,"Average",Table4[[#This Row],[Sales]]&gt;0,"Poor")</f>
        <v>Best</v>
      </c>
    </row>
    <row r="209" spans="1:13" x14ac:dyDescent="0.3">
      <c r="A209" s="18">
        <v>208</v>
      </c>
      <c r="B209" s="19">
        <v>45079</v>
      </c>
      <c r="C209" s="20" t="s">
        <v>37</v>
      </c>
      <c r="D209" s="20" t="s">
        <v>27</v>
      </c>
      <c r="E209" s="20" t="s">
        <v>12</v>
      </c>
      <c r="F209" s="20" t="s">
        <v>31</v>
      </c>
      <c r="G209" s="20" t="s">
        <v>32</v>
      </c>
      <c r="H209" s="21">
        <v>22629.8</v>
      </c>
      <c r="I209" s="20">
        <v>9</v>
      </c>
      <c r="J209" s="22">
        <v>6097.6</v>
      </c>
      <c r="K209" s="20" t="str">
        <f>IF(Table4[[#This Row],[Sales]]&gt;=40000,"BEST SALE","POOR SALE")</f>
        <v>POOR SALE</v>
      </c>
      <c r="L209" s="30" t="str" cm="1">
        <f t="array" ref="L209">_xlfn.IFS(Table4[[#This Row],[Sales]]&gt;=40000,"Best Sale", Table4[[#This Row],[Sales]]&gt;=20000,"Average Sale",Table4[[#This Row],[Sales]]&gt;0,"Poor Sale")</f>
        <v>Average Sale</v>
      </c>
      <c r="M209" s="32" t="str" cm="1">
        <f t="array" ref="M209">_xlfn.IFS(Table4[[#This Row],[Sales]]&gt;=40000,"Best", Table4[[#This Row],[Sales]]&gt;=35000,"Average",Table4[[#This Row],[Sales]]&gt;0,"Poor")</f>
        <v>Poor</v>
      </c>
    </row>
    <row r="210" spans="1:13" x14ac:dyDescent="0.3">
      <c r="A210" s="13">
        <v>209</v>
      </c>
      <c r="B210" s="14">
        <v>45030</v>
      </c>
      <c r="C210" s="15" t="s">
        <v>22</v>
      </c>
      <c r="D210" s="15" t="s">
        <v>22</v>
      </c>
      <c r="E210" s="15" t="s">
        <v>17</v>
      </c>
      <c r="F210" s="15" t="s">
        <v>13</v>
      </c>
      <c r="G210" s="15" t="s">
        <v>34</v>
      </c>
      <c r="H210" s="16">
        <v>13679.99</v>
      </c>
      <c r="I210" s="15">
        <v>6</v>
      </c>
      <c r="J210" s="17">
        <v>3823.09</v>
      </c>
      <c r="K210" s="20" t="str">
        <f>IF(Table4[[#This Row],[Sales]]&gt;=40000,"BEST SALE","POOR SALE")</f>
        <v>POOR SALE</v>
      </c>
      <c r="L210" s="30" t="str" cm="1">
        <f t="array" ref="L210">_xlfn.IFS(Table4[[#This Row],[Sales]]&gt;=40000,"Best Sale", Table4[[#This Row],[Sales]]&gt;=20000,"Average Sale",Table4[[#This Row],[Sales]]&gt;0,"Poor Sale")</f>
        <v>Poor Sale</v>
      </c>
      <c r="M210" s="32" t="str" cm="1">
        <f t="array" ref="M210">_xlfn.IFS(Table4[[#This Row],[Sales]]&gt;=40000,"Best", Table4[[#This Row],[Sales]]&gt;=35000,"Average",Table4[[#This Row],[Sales]]&gt;0,"Poor")</f>
        <v>Poor</v>
      </c>
    </row>
    <row r="211" spans="1:13" x14ac:dyDescent="0.3">
      <c r="A211" s="18">
        <v>210</v>
      </c>
      <c r="B211" s="19">
        <v>45183</v>
      </c>
      <c r="C211" s="20" t="s">
        <v>15</v>
      </c>
      <c r="D211" s="20" t="s">
        <v>16</v>
      </c>
      <c r="E211" s="20" t="s">
        <v>20</v>
      </c>
      <c r="F211" s="20" t="s">
        <v>24</v>
      </c>
      <c r="G211" s="20" t="s">
        <v>28</v>
      </c>
      <c r="H211" s="21">
        <v>36043.949999999997</v>
      </c>
      <c r="I211" s="20">
        <v>8</v>
      </c>
      <c r="J211" s="22">
        <v>5946.66</v>
      </c>
      <c r="K211" s="20" t="str">
        <f>IF(Table4[[#This Row],[Sales]]&gt;=40000,"BEST SALE","POOR SALE")</f>
        <v>POOR SALE</v>
      </c>
      <c r="L211" s="30" t="str" cm="1">
        <f t="array" ref="L211">_xlfn.IFS(Table4[[#This Row],[Sales]]&gt;=40000,"Best Sale", Table4[[#This Row],[Sales]]&gt;=20000,"Average Sale",Table4[[#This Row],[Sales]]&gt;0,"Poor Sale")</f>
        <v>Average Sale</v>
      </c>
      <c r="M211" s="32" t="str" cm="1">
        <f t="array" ref="M211">_xlfn.IFS(Table4[[#This Row],[Sales]]&gt;=40000,"Best", Table4[[#This Row],[Sales]]&gt;=35000,"Average",Table4[[#This Row],[Sales]]&gt;0,"Poor")</f>
        <v>Average</v>
      </c>
    </row>
    <row r="212" spans="1:13" x14ac:dyDescent="0.3">
      <c r="A212" s="13">
        <v>211</v>
      </c>
      <c r="B212" s="14">
        <v>45220</v>
      </c>
      <c r="C212" s="15" t="s">
        <v>18</v>
      </c>
      <c r="D212" s="15" t="s">
        <v>19</v>
      </c>
      <c r="E212" s="15" t="s">
        <v>20</v>
      </c>
      <c r="F212" s="15" t="s">
        <v>31</v>
      </c>
      <c r="G212" s="15" t="s">
        <v>33</v>
      </c>
      <c r="H212" s="16">
        <v>8717.0400000000009</v>
      </c>
      <c r="I212" s="15">
        <v>7</v>
      </c>
      <c r="J212" s="17">
        <v>550.32000000000005</v>
      </c>
      <c r="K212" s="20" t="str">
        <f>IF(Table4[[#This Row],[Sales]]&gt;=40000,"BEST SALE","POOR SALE")</f>
        <v>POOR SALE</v>
      </c>
      <c r="L212" s="30" t="str" cm="1">
        <f t="array" ref="L212">_xlfn.IFS(Table4[[#This Row],[Sales]]&gt;=40000,"Best Sale", Table4[[#This Row],[Sales]]&gt;=20000,"Average Sale",Table4[[#This Row],[Sales]]&gt;0,"Poor Sale")</f>
        <v>Poor Sale</v>
      </c>
      <c r="M212" s="32" t="str" cm="1">
        <f t="array" ref="M212">_xlfn.IFS(Table4[[#This Row],[Sales]]&gt;=40000,"Best", Table4[[#This Row],[Sales]]&gt;=35000,"Average",Table4[[#This Row],[Sales]]&gt;0,"Poor")</f>
        <v>Poor</v>
      </c>
    </row>
    <row r="213" spans="1:13" x14ac:dyDescent="0.3">
      <c r="A213" s="18">
        <v>212</v>
      </c>
      <c r="B213" s="19">
        <v>45238</v>
      </c>
      <c r="C213" s="20" t="s">
        <v>15</v>
      </c>
      <c r="D213" s="20" t="s">
        <v>16</v>
      </c>
      <c r="E213" s="20" t="s">
        <v>12</v>
      </c>
      <c r="F213" s="20" t="s">
        <v>24</v>
      </c>
      <c r="G213" s="20" t="s">
        <v>28</v>
      </c>
      <c r="H213" s="21">
        <v>49857.23</v>
      </c>
      <c r="I213" s="20">
        <v>1</v>
      </c>
      <c r="J213" s="22">
        <v>9642.2000000000007</v>
      </c>
      <c r="K213" s="20" t="str">
        <f>IF(Table4[[#This Row],[Sales]]&gt;=40000,"BEST SALE","POOR SALE")</f>
        <v>BEST SALE</v>
      </c>
      <c r="L213" s="30" t="str" cm="1">
        <f t="array" ref="L213">_xlfn.IFS(Table4[[#This Row],[Sales]]&gt;=40000,"Best Sale", Table4[[#This Row],[Sales]]&gt;=20000,"Average Sale",Table4[[#This Row],[Sales]]&gt;0,"Poor Sale")</f>
        <v>Best Sale</v>
      </c>
      <c r="M213" s="32" t="str" cm="1">
        <f t="array" ref="M213">_xlfn.IFS(Table4[[#This Row],[Sales]]&gt;=40000,"Best", Table4[[#This Row],[Sales]]&gt;=35000,"Average",Table4[[#This Row],[Sales]]&gt;0,"Poor")</f>
        <v>Best</v>
      </c>
    </row>
    <row r="214" spans="1:13" x14ac:dyDescent="0.3">
      <c r="A214" s="13">
        <v>213</v>
      </c>
      <c r="B214" s="14">
        <v>45287</v>
      </c>
      <c r="C214" s="15" t="s">
        <v>30</v>
      </c>
      <c r="D214" s="15" t="s">
        <v>16</v>
      </c>
      <c r="E214" s="15" t="s">
        <v>17</v>
      </c>
      <c r="F214" s="15" t="s">
        <v>13</v>
      </c>
      <c r="G214" s="15" t="s">
        <v>14</v>
      </c>
      <c r="H214" s="16">
        <v>11971.17</v>
      </c>
      <c r="I214" s="15">
        <v>4</v>
      </c>
      <c r="J214" s="17">
        <v>2338.79</v>
      </c>
      <c r="K214" s="20" t="str">
        <f>IF(Table4[[#This Row],[Sales]]&gt;=40000,"BEST SALE","POOR SALE")</f>
        <v>POOR SALE</v>
      </c>
      <c r="L214" s="30" t="str" cm="1">
        <f t="array" ref="L214">_xlfn.IFS(Table4[[#This Row],[Sales]]&gt;=40000,"Best Sale", Table4[[#This Row],[Sales]]&gt;=20000,"Average Sale",Table4[[#This Row],[Sales]]&gt;0,"Poor Sale")</f>
        <v>Poor Sale</v>
      </c>
      <c r="M214" s="32" t="str" cm="1">
        <f t="array" ref="M214">_xlfn.IFS(Table4[[#This Row],[Sales]]&gt;=40000,"Best", Table4[[#This Row],[Sales]]&gt;=35000,"Average",Table4[[#This Row],[Sales]]&gt;0,"Poor")</f>
        <v>Poor</v>
      </c>
    </row>
    <row r="215" spans="1:13" x14ac:dyDescent="0.3">
      <c r="A215" s="18">
        <v>214</v>
      </c>
      <c r="B215" s="19">
        <v>45252</v>
      </c>
      <c r="C215" s="20" t="s">
        <v>10</v>
      </c>
      <c r="D215" s="20" t="s">
        <v>11</v>
      </c>
      <c r="E215" s="20" t="s">
        <v>12</v>
      </c>
      <c r="F215" s="20" t="s">
        <v>13</v>
      </c>
      <c r="G215" s="20" t="s">
        <v>14</v>
      </c>
      <c r="H215" s="21">
        <v>35720.53</v>
      </c>
      <c r="I215" s="20">
        <v>2</v>
      </c>
      <c r="J215" s="22">
        <v>7171.98</v>
      </c>
      <c r="K215" s="20" t="str">
        <f>IF(Table4[[#This Row],[Sales]]&gt;=40000,"BEST SALE","POOR SALE")</f>
        <v>POOR SALE</v>
      </c>
      <c r="L215" s="30" t="str" cm="1">
        <f t="array" ref="L215">_xlfn.IFS(Table4[[#This Row],[Sales]]&gt;=40000,"Best Sale", Table4[[#This Row],[Sales]]&gt;=20000,"Average Sale",Table4[[#This Row],[Sales]]&gt;0,"Poor Sale")</f>
        <v>Average Sale</v>
      </c>
      <c r="M215" s="32" t="str" cm="1">
        <f t="array" ref="M215">_xlfn.IFS(Table4[[#This Row],[Sales]]&gt;=40000,"Best", Table4[[#This Row],[Sales]]&gt;=35000,"Average",Table4[[#This Row],[Sales]]&gt;0,"Poor")</f>
        <v>Average</v>
      </c>
    </row>
    <row r="216" spans="1:13" x14ac:dyDescent="0.3">
      <c r="A216" s="13">
        <v>215</v>
      </c>
      <c r="B216" s="14">
        <v>45167</v>
      </c>
      <c r="C216" s="15" t="s">
        <v>10</v>
      </c>
      <c r="D216" s="15" t="s">
        <v>11</v>
      </c>
      <c r="E216" s="15" t="s">
        <v>17</v>
      </c>
      <c r="F216" s="15" t="s">
        <v>13</v>
      </c>
      <c r="G216" s="15" t="s">
        <v>21</v>
      </c>
      <c r="H216" s="16">
        <v>15091</v>
      </c>
      <c r="I216" s="15">
        <v>10</v>
      </c>
      <c r="J216" s="17">
        <v>4408.8599999999997</v>
      </c>
      <c r="K216" s="20" t="str">
        <f>IF(Table4[[#This Row],[Sales]]&gt;=40000,"BEST SALE","POOR SALE")</f>
        <v>POOR SALE</v>
      </c>
      <c r="L216" s="30" t="str" cm="1">
        <f t="array" ref="L216">_xlfn.IFS(Table4[[#This Row],[Sales]]&gt;=40000,"Best Sale", Table4[[#This Row],[Sales]]&gt;=20000,"Average Sale",Table4[[#This Row],[Sales]]&gt;0,"Poor Sale")</f>
        <v>Poor Sale</v>
      </c>
      <c r="M216" s="32" t="str" cm="1">
        <f t="array" ref="M216">_xlfn.IFS(Table4[[#This Row],[Sales]]&gt;=40000,"Best", Table4[[#This Row],[Sales]]&gt;=35000,"Average",Table4[[#This Row],[Sales]]&gt;0,"Poor")</f>
        <v>Poor</v>
      </c>
    </row>
    <row r="217" spans="1:13" x14ac:dyDescent="0.3">
      <c r="A217" s="18">
        <v>216</v>
      </c>
      <c r="B217" s="19">
        <v>45142</v>
      </c>
      <c r="C217" s="20" t="s">
        <v>38</v>
      </c>
      <c r="D217" s="20" t="s">
        <v>27</v>
      </c>
      <c r="E217" s="20" t="s">
        <v>20</v>
      </c>
      <c r="F217" s="20" t="s">
        <v>13</v>
      </c>
      <c r="G217" s="20" t="s">
        <v>21</v>
      </c>
      <c r="H217" s="21">
        <v>1464.91</v>
      </c>
      <c r="I217" s="20">
        <v>2</v>
      </c>
      <c r="J217" s="22">
        <v>166.33</v>
      </c>
      <c r="K217" s="20" t="str">
        <f>IF(Table4[[#This Row],[Sales]]&gt;=40000,"BEST SALE","POOR SALE")</f>
        <v>POOR SALE</v>
      </c>
      <c r="L217" s="30" t="str" cm="1">
        <f t="array" ref="L217">_xlfn.IFS(Table4[[#This Row],[Sales]]&gt;=40000,"Best Sale", Table4[[#This Row],[Sales]]&gt;=20000,"Average Sale",Table4[[#This Row],[Sales]]&gt;0,"Poor Sale")</f>
        <v>Poor Sale</v>
      </c>
      <c r="M217" s="32" t="str" cm="1">
        <f t="array" ref="M217">_xlfn.IFS(Table4[[#This Row],[Sales]]&gt;=40000,"Best", Table4[[#This Row],[Sales]]&gt;=35000,"Average",Table4[[#This Row],[Sales]]&gt;0,"Poor")</f>
        <v>Poor</v>
      </c>
    </row>
    <row r="218" spans="1:13" x14ac:dyDescent="0.3">
      <c r="A218" s="13">
        <v>217</v>
      </c>
      <c r="B218" s="14">
        <v>45057</v>
      </c>
      <c r="C218" s="15" t="s">
        <v>38</v>
      </c>
      <c r="D218" s="15" t="s">
        <v>27</v>
      </c>
      <c r="E218" s="15" t="s">
        <v>20</v>
      </c>
      <c r="F218" s="15" t="s">
        <v>13</v>
      </c>
      <c r="G218" s="15" t="s">
        <v>14</v>
      </c>
      <c r="H218" s="16">
        <v>20871</v>
      </c>
      <c r="I218" s="15">
        <v>6</v>
      </c>
      <c r="J218" s="17">
        <v>1123.25</v>
      </c>
      <c r="K218" s="20" t="str">
        <f>IF(Table4[[#This Row],[Sales]]&gt;=40000,"BEST SALE","POOR SALE")</f>
        <v>POOR SALE</v>
      </c>
      <c r="L218" s="30" t="str" cm="1">
        <f t="array" ref="L218">_xlfn.IFS(Table4[[#This Row],[Sales]]&gt;=40000,"Best Sale", Table4[[#This Row],[Sales]]&gt;=20000,"Average Sale",Table4[[#This Row],[Sales]]&gt;0,"Poor Sale")</f>
        <v>Average Sale</v>
      </c>
      <c r="M218" s="32" t="str" cm="1">
        <f t="array" ref="M218">_xlfn.IFS(Table4[[#This Row],[Sales]]&gt;=40000,"Best", Table4[[#This Row],[Sales]]&gt;=35000,"Average",Table4[[#This Row],[Sales]]&gt;0,"Poor")</f>
        <v>Poor</v>
      </c>
    </row>
    <row r="219" spans="1:13" x14ac:dyDescent="0.3">
      <c r="A219" s="18">
        <v>218</v>
      </c>
      <c r="B219" s="19">
        <v>45060</v>
      </c>
      <c r="C219" s="20" t="s">
        <v>10</v>
      </c>
      <c r="D219" s="20" t="s">
        <v>11</v>
      </c>
      <c r="E219" s="20" t="s">
        <v>12</v>
      </c>
      <c r="F219" s="20" t="s">
        <v>31</v>
      </c>
      <c r="G219" s="20" t="s">
        <v>39</v>
      </c>
      <c r="H219" s="21">
        <v>16475.830000000002</v>
      </c>
      <c r="I219" s="20">
        <v>3</v>
      </c>
      <c r="J219" s="22">
        <v>2544.4499999999998</v>
      </c>
      <c r="K219" s="20" t="str">
        <f>IF(Table4[[#This Row],[Sales]]&gt;=40000,"BEST SALE","POOR SALE")</f>
        <v>POOR SALE</v>
      </c>
      <c r="L219" s="30" t="str" cm="1">
        <f t="array" ref="L219">_xlfn.IFS(Table4[[#This Row],[Sales]]&gt;=40000,"Best Sale", Table4[[#This Row],[Sales]]&gt;=20000,"Average Sale",Table4[[#This Row],[Sales]]&gt;0,"Poor Sale")</f>
        <v>Poor Sale</v>
      </c>
      <c r="M219" s="32" t="str" cm="1">
        <f t="array" ref="M219">_xlfn.IFS(Table4[[#This Row],[Sales]]&gt;=40000,"Best", Table4[[#This Row],[Sales]]&gt;=35000,"Average",Table4[[#This Row],[Sales]]&gt;0,"Poor")</f>
        <v>Poor</v>
      </c>
    </row>
    <row r="220" spans="1:13" x14ac:dyDescent="0.3">
      <c r="A220" s="13">
        <v>219</v>
      </c>
      <c r="B220" s="14">
        <v>45166</v>
      </c>
      <c r="C220" s="15" t="s">
        <v>15</v>
      </c>
      <c r="D220" s="15" t="s">
        <v>16</v>
      </c>
      <c r="E220" s="15" t="s">
        <v>17</v>
      </c>
      <c r="F220" s="15" t="s">
        <v>13</v>
      </c>
      <c r="G220" s="15" t="s">
        <v>21</v>
      </c>
      <c r="H220" s="16">
        <v>40284</v>
      </c>
      <c r="I220" s="15">
        <v>5</v>
      </c>
      <c r="J220" s="17">
        <v>10032.85</v>
      </c>
      <c r="K220" s="20" t="str">
        <f>IF(Table4[[#This Row],[Sales]]&gt;=40000,"BEST SALE","POOR SALE")</f>
        <v>BEST SALE</v>
      </c>
      <c r="L220" s="30" t="str" cm="1">
        <f t="array" ref="L220">_xlfn.IFS(Table4[[#This Row],[Sales]]&gt;=40000,"Best Sale", Table4[[#This Row],[Sales]]&gt;=20000,"Average Sale",Table4[[#This Row],[Sales]]&gt;0,"Poor Sale")</f>
        <v>Best Sale</v>
      </c>
      <c r="M220" s="32" t="str" cm="1">
        <f t="array" ref="M220">_xlfn.IFS(Table4[[#This Row],[Sales]]&gt;=40000,"Best", Table4[[#This Row],[Sales]]&gt;=35000,"Average",Table4[[#This Row],[Sales]]&gt;0,"Poor")</f>
        <v>Best</v>
      </c>
    </row>
    <row r="221" spans="1:13" x14ac:dyDescent="0.3">
      <c r="A221" s="18">
        <v>220</v>
      </c>
      <c r="B221" s="19">
        <v>45188</v>
      </c>
      <c r="C221" s="20" t="s">
        <v>35</v>
      </c>
      <c r="D221" s="20" t="s">
        <v>36</v>
      </c>
      <c r="E221" s="20" t="s">
        <v>12</v>
      </c>
      <c r="F221" s="20" t="s">
        <v>13</v>
      </c>
      <c r="G221" s="20" t="s">
        <v>14</v>
      </c>
      <c r="H221" s="21">
        <v>8686.2199999999993</v>
      </c>
      <c r="I221" s="20">
        <v>2</v>
      </c>
      <c r="J221" s="22">
        <v>929.05</v>
      </c>
      <c r="K221" s="20" t="str">
        <f>IF(Table4[[#This Row],[Sales]]&gt;=40000,"BEST SALE","POOR SALE")</f>
        <v>POOR SALE</v>
      </c>
      <c r="L221" s="30" t="str" cm="1">
        <f t="array" ref="L221">_xlfn.IFS(Table4[[#This Row],[Sales]]&gt;=40000,"Best Sale", Table4[[#This Row],[Sales]]&gt;=20000,"Average Sale",Table4[[#This Row],[Sales]]&gt;0,"Poor Sale")</f>
        <v>Poor Sale</v>
      </c>
      <c r="M221" s="32" t="str" cm="1">
        <f t="array" ref="M221">_xlfn.IFS(Table4[[#This Row],[Sales]]&gt;=40000,"Best", Table4[[#This Row],[Sales]]&gt;=35000,"Average",Table4[[#This Row],[Sales]]&gt;0,"Poor")</f>
        <v>Poor</v>
      </c>
    </row>
    <row r="222" spans="1:13" x14ac:dyDescent="0.3">
      <c r="A222" s="13">
        <v>221</v>
      </c>
      <c r="B222" s="14">
        <v>44991</v>
      </c>
      <c r="C222" s="15" t="s">
        <v>37</v>
      </c>
      <c r="D222" s="15" t="s">
        <v>27</v>
      </c>
      <c r="E222" s="15" t="s">
        <v>17</v>
      </c>
      <c r="F222" s="15" t="s">
        <v>24</v>
      </c>
      <c r="G222" s="15" t="s">
        <v>25</v>
      </c>
      <c r="H222" s="16">
        <v>6913.56</v>
      </c>
      <c r="I222" s="15">
        <v>3</v>
      </c>
      <c r="J222" s="17">
        <v>1983.12</v>
      </c>
      <c r="K222" s="20" t="str">
        <f>IF(Table4[[#This Row],[Sales]]&gt;=40000,"BEST SALE","POOR SALE")</f>
        <v>POOR SALE</v>
      </c>
      <c r="L222" s="30" t="str" cm="1">
        <f t="array" ref="L222">_xlfn.IFS(Table4[[#This Row],[Sales]]&gt;=40000,"Best Sale", Table4[[#This Row],[Sales]]&gt;=20000,"Average Sale",Table4[[#This Row],[Sales]]&gt;0,"Poor Sale")</f>
        <v>Poor Sale</v>
      </c>
      <c r="M222" s="32" t="str" cm="1">
        <f t="array" ref="M222">_xlfn.IFS(Table4[[#This Row],[Sales]]&gt;=40000,"Best", Table4[[#This Row],[Sales]]&gt;=35000,"Average",Table4[[#This Row],[Sales]]&gt;0,"Poor")</f>
        <v>Poor</v>
      </c>
    </row>
    <row r="223" spans="1:13" x14ac:dyDescent="0.3">
      <c r="A223" s="18">
        <v>222</v>
      </c>
      <c r="B223" s="19">
        <v>45022</v>
      </c>
      <c r="C223" s="20" t="s">
        <v>22</v>
      </c>
      <c r="D223" s="20" t="s">
        <v>22</v>
      </c>
      <c r="E223" s="20" t="s">
        <v>20</v>
      </c>
      <c r="F223" s="20" t="s">
        <v>24</v>
      </c>
      <c r="G223" s="20" t="s">
        <v>28</v>
      </c>
      <c r="H223" s="21">
        <v>37149.339999999997</v>
      </c>
      <c r="I223" s="20">
        <v>10</v>
      </c>
      <c r="J223" s="22">
        <v>10843.22</v>
      </c>
      <c r="K223" s="20" t="str">
        <f>IF(Table4[[#This Row],[Sales]]&gt;=40000,"BEST SALE","POOR SALE")</f>
        <v>POOR SALE</v>
      </c>
      <c r="L223" s="30" t="str" cm="1">
        <f t="array" ref="L223">_xlfn.IFS(Table4[[#This Row],[Sales]]&gt;=40000,"Best Sale", Table4[[#This Row],[Sales]]&gt;=20000,"Average Sale",Table4[[#This Row],[Sales]]&gt;0,"Poor Sale")</f>
        <v>Average Sale</v>
      </c>
      <c r="M223" s="32" t="str" cm="1">
        <f t="array" ref="M223">_xlfn.IFS(Table4[[#This Row],[Sales]]&gt;=40000,"Best", Table4[[#This Row],[Sales]]&gt;=35000,"Average",Table4[[#This Row],[Sales]]&gt;0,"Poor")</f>
        <v>Average</v>
      </c>
    </row>
    <row r="224" spans="1:13" x14ac:dyDescent="0.3">
      <c r="A224" s="13">
        <v>223</v>
      </c>
      <c r="B224" s="14">
        <v>45146</v>
      </c>
      <c r="C224" s="15" t="s">
        <v>26</v>
      </c>
      <c r="D224" s="15" t="s">
        <v>27</v>
      </c>
      <c r="E224" s="15" t="s">
        <v>20</v>
      </c>
      <c r="F224" s="15" t="s">
        <v>13</v>
      </c>
      <c r="G224" s="15" t="s">
        <v>34</v>
      </c>
      <c r="H224" s="16">
        <v>16640.29</v>
      </c>
      <c r="I224" s="15">
        <v>3</v>
      </c>
      <c r="J224" s="17">
        <v>1393.49</v>
      </c>
      <c r="K224" s="20" t="str">
        <f>IF(Table4[[#This Row],[Sales]]&gt;=40000,"BEST SALE","POOR SALE")</f>
        <v>POOR SALE</v>
      </c>
      <c r="L224" s="30" t="str" cm="1">
        <f t="array" ref="L224">_xlfn.IFS(Table4[[#This Row],[Sales]]&gt;=40000,"Best Sale", Table4[[#This Row],[Sales]]&gt;=20000,"Average Sale",Table4[[#This Row],[Sales]]&gt;0,"Poor Sale")</f>
        <v>Poor Sale</v>
      </c>
      <c r="M224" s="32" t="str" cm="1">
        <f t="array" ref="M224">_xlfn.IFS(Table4[[#This Row],[Sales]]&gt;=40000,"Best", Table4[[#This Row],[Sales]]&gt;=35000,"Average",Table4[[#This Row],[Sales]]&gt;0,"Poor")</f>
        <v>Poor</v>
      </c>
    </row>
    <row r="225" spans="1:13" x14ac:dyDescent="0.3">
      <c r="A225" s="18">
        <v>224</v>
      </c>
      <c r="B225" s="19">
        <v>44939</v>
      </c>
      <c r="C225" s="20" t="s">
        <v>10</v>
      </c>
      <c r="D225" s="20" t="s">
        <v>11</v>
      </c>
      <c r="E225" s="20" t="s">
        <v>12</v>
      </c>
      <c r="F225" s="20" t="s">
        <v>24</v>
      </c>
      <c r="G225" s="20" t="s">
        <v>28</v>
      </c>
      <c r="H225" s="21">
        <v>21947.32</v>
      </c>
      <c r="I225" s="20">
        <v>3</v>
      </c>
      <c r="J225" s="22">
        <v>6382.79</v>
      </c>
      <c r="K225" s="20" t="str">
        <f>IF(Table4[[#This Row],[Sales]]&gt;=40000,"BEST SALE","POOR SALE")</f>
        <v>POOR SALE</v>
      </c>
      <c r="L225" s="30" t="str" cm="1">
        <f t="array" ref="L225">_xlfn.IFS(Table4[[#This Row],[Sales]]&gt;=40000,"Best Sale", Table4[[#This Row],[Sales]]&gt;=20000,"Average Sale",Table4[[#This Row],[Sales]]&gt;0,"Poor Sale")</f>
        <v>Average Sale</v>
      </c>
      <c r="M225" s="32" t="str" cm="1">
        <f t="array" ref="M225">_xlfn.IFS(Table4[[#This Row],[Sales]]&gt;=40000,"Best", Table4[[#This Row],[Sales]]&gt;=35000,"Average",Table4[[#This Row],[Sales]]&gt;0,"Poor")</f>
        <v>Poor</v>
      </c>
    </row>
    <row r="226" spans="1:13" x14ac:dyDescent="0.3">
      <c r="A226" s="13">
        <v>225</v>
      </c>
      <c r="B226" s="14">
        <v>44957</v>
      </c>
      <c r="C226" s="15" t="s">
        <v>10</v>
      </c>
      <c r="D226" s="15" t="s">
        <v>11</v>
      </c>
      <c r="E226" s="15" t="s">
        <v>17</v>
      </c>
      <c r="F226" s="15" t="s">
        <v>31</v>
      </c>
      <c r="G226" s="15" t="s">
        <v>39</v>
      </c>
      <c r="H226" s="16">
        <v>24075.200000000001</v>
      </c>
      <c r="I226" s="15">
        <v>10</v>
      </c>
      <c r="J226" s="17">
        <v>5340.35</v>
      </c>
      <c r="K226" s="20" t="str">
        <f>IF(Table4[[#This Row],[Sales]]&gt;=40000,"BEST SALE","POOR SALE")</f>
        <v>POOR SALE</v>
      </c>
      <c r="L226" s="30" t="str" cm="1">
        <f t="array" ref="L226">_xlfn.IFS(Table4[[#This Row],[Sales]]&gt;=40000,"Best Sale", Table4[[#This Row],[Sales]]&gt;=20000,"Average Sale",Table4[[#This Row],[Sales]]&gt;0,"Poor Sale")</f>
        <v>Average Sale</v>
      </c>
      <c r="M226" s="32" t="str" cm="1">
        <f t="array" ref="M226">_xlfn.IFS(Table4[[#This Row],[Sales]]&gt;=40000,"Best", Table4[[#This Row],[Sales]]&gt;=35000,"Average",Table4[[#This Row],[Sales]]&gt;0,"Poor")</f>
        <v>Poor</v>
      </c>
    </row>
    <row r="227" spans="1:13" x14ac:dyDescent="0.3">
      <c r="A227" s="18">
        <v>226</v>
      </c>
      <c r="B227" s="19">
        <v>44969</v>
      </c>
      <c r="C227" s="20" t="s">
        <v>26</v>
      </c>
      <c r="D227" s="20" t="s">
        <v>27</v>
      </c>
      <c r="E227" s="20" t="s">
        <v>12</v>
      </c>
      <c r="F227" s="20" t="s">
        <v>24</v>
      </c>
      <c r="G227" s="20" t="s">
        <v>25</v>
      </c>
      <c r="H227" s="21">
        <v>44542.65</v>
      </c>
      <c r="I227" s="20">
        <v>6</v>
      </c>
      <c r="J227" s="22">
        <v>12094.77</v>
      </c>
      <c r="K227" s="20" t="str">
        <f>IF(Table4[[#This Row],[Sales]]&gt;=40000,"BEST SALE","POOR SALE")</f>
        <v>BEST SALE</v>
      </c>
      <c r="L227" s="30" t="str" cm="1">
        <f t="array" ref="L227">_xlfn.IFS(Table4[[#This Row],[Sales]]&gt;=40000,"Best Sale", Table4[[#This Row],[Sales]]&gt;=20000,"Average Sale",Table4[[#This Row],[Sales]]&gt;0,"Poor Sale")</f>
        <v>Best Sale</v>
      </c>
      <c r="M227" s="32" t="str" cm="1">
        <f t="array" ref="M227">_xlfn.IFS(Table4[[#This Row],[Sales]]&gt;=40000,"Best", Table4[[#This Row],[Sales]]&gt;=35000,"Average",Table4[[#This Row],[Sales]]&gt;0,"Poor")</f>
        <v>Best</v>
      </c>
    </row>
    <row r="228" spans="1:13" x14ac:dyDescent="0.3">
      <c r="A228" s="13">
        <v>227</v>
      </c>
      <c r="B228" s="14">
        <v>44927</v>
      </c>
      <c r="C228" s="15" t="s">
        <v>35</v>
      </c>
      <c r="D228" s="15" t="s">
        <v>36</v>
      </c>
      <c r="E228" s="15" t="s">
        <v>17</v>
      </c>
      <c r="F228" s="15" t="s">
        <v>31</v>
      </c>
      <c r="G228" s="15" t="s">
        <v>39</v>
      </c>
      <c r="H228" s="16">
        <v>42137.27</v>
      </c>
      <c r="I228" s="15">
        <v>5</v>
      </c>
      <c r="J228" s="17">
        <v>5097.54</v>
      </c>
      <c r="K228" s="20" t="str">
        <f>IF(Table4[[#This Row],[Sales]]&gt;=40000,"BEST SALE","POOR SALE")</f>
        <v>BEST SALE</v>
      </c>
      <c r="L228" s="30" t="str" cm="1">
        <f t="array" ref="L228">_xlfn.IFS(Table4[[#This Row],[Sales]]&gt;=40000,"Best Sale", Table4[[#This Row],[Sales]]&gt;=20000,"Average Sale",Table4[[#This Row],[Sales]]&gt;0,"Poor Sale")</f>
        <v>Best Sale</v>
      </c>
      <c r="M228" s="32" t="str" cm="1">
        <f t="array" ref="M228">_xlfn.IFS(Table4[[#This Row],[Sales]]&gt;=40000,"Best", Table4[[#This Row],[Sales]]&gt;=35000,"Average",Table4[[#This Row],[Sales]]&gt;0,"Poor")</f>
        <v>Best</v>
      </c>
    </row>
    <row r="229" spans="1:13" x14ac:dyDescent="0.3">
      <c r="A229" s="18">
        <v>228</v>
      </c>
      <c r="B229" s="19">
        <v>45121</v>
      </c>
      <c r="C229" s="20" t="s">
        <v>30</v>
      </c>
      <c r="D229" s="20" t="s">
        <v>16</v>
      </c>
      <c r="E229" s="20" t="s">
        <v>20</v>
      </c>
      <c r="F229" s="20" t="s">
        <v>31</v>
      </c>
      <c r="G229" s="20" t="s">
        <v>33</v>
      </c>
      <c r="H229" s="21">
        <v>33630.86</v>
      </c>
      <c r="I229" s="20">
        <v>5</v>
      </c>
      <c r="J229" s="22">
        <v>2900.81</v>
      </c>
      <c r="K229" s="20" t="str">
        <f>IF(Table4[[#This Row],[Sales]]&gt;=40000,"BEST SALE","POOR SALE")</f>
        <v>POOR SALE</v>
      </c>
      <c r="L229" s="30" t="str" cm="1">
        <f t="array" ref="L229">_xlfn.IFS(Table4[[#This Row],[Sales]]&gt;=40000,"Best Sale", Table4[[#This Row],[Sales]]&gt;=20000,"Average Sale",Table4[[#This Row],[Sales]]&gt;0,"Poor Sale")</f>
        <v>Average Sale</v>
      </c>
      <c r="M229" s="32" t="str" cm="1">
        <f t="array" ref="M229">_xlfn.IFS(Table4[[#This Row],[Sales]]&gt;=40000,"Best", Table4[[#This Row],[Sales]]&gt;=35000,"Average",Table4[[#This Row],[Sales]]&gt;0,"Poor")</f>
        <v>Poor</v>
      </c>
    </row>
    <row r="230" spans="1:13" x14ac:dyDescent="0.3">
      <c r="A230" s="13">
        <v>229</v>
      </c>
      <c r="B230" s="14">
        <v>45263</v>
      </c>
      <c r="C230" s="15" t="s">
        <v>35</v>
      </c>
      <c r="D230" s="15" t="s">
        <v>36</v>
      </c>
      <c r="E230" s="15" t="s">
        <v>20</v>
      </c>
      <c r="F230" s="15" t="s">
        <v>24</v>
      </c>
      <c r="G230" s="15" t="s">
        <v>28</v>
      </c>
      <c r="H230" s="16">
        <v>1156.72</v>
      </c>
      <c r="I230" s="15">
        <v>2</v>
      </c>
      <c r="J230" s="17">
        <v>281.39</v>
      </c>
      <c r="K230" s="20" t="str">
        <f>IF(Table4[[#This Row],[Sales]]&gt;=40000,"BEST SALE","POOR SALE")</f>
        <v>POOR SALE</v>
      </c>
      <c r="L230" s="30" t="str" cm="1">
        <f t="array" ref="L230">_xlfn.IFS(Table4[[#This Row],[Sales]]&gt;=40000,"Best Sale", Table4[[#This Row],[Sales]]&gt;=20000,"Average Sale",Table4[[#This Row],[Sales]]&gt;0,"Poor Sale")</f>
        <v>Poor Sale</v>
      </c>
      <c r="M230" s="32" t="str" cm="1">
        <f t="array" ref="M230">_xlfn.IFS(Table4[[#This Row],[Sales]]&gt;=40000,"Best", Table4[[#This Row],[Sales]]&gt;=35000,"Average",Table4[[#This Row],[Sales]]&gt;0,"Poor")</f>
        <v>Poor</v>
      </c>
    </row>
    <row r="231" spans="1:13" x14ac:dyDescent="0.3">
      <c r="A231" s="18">
        <v>230</v>
      </c>
      <c r="B231" s="19">
        <v>45163</v>
      </c>
      <c r="C231" s="20" t="s">
        <v>26</v>
      </c>
      <c r="D231" s="20" t="s">
        <v>27</v>
      </c>
      <c r="E231" s="20" t="s">
        <v>12</v>
      </c>
      <c r="F231" s="20" t="s">
        <v>13</v>
      </c>
      <c r="G231" s="20" t="s">
        <v>21</v>
      </c>
      <c r="H231" s="21">
        <v>28988.87</v>
      </c>
      <c r="I231" s="20">
        <v>4</v>
      </c>
      <c r="J231" s="22">
        <v>8348.4500000000007</v>
      </c>
      <c r="K231" s="20" t="str">
        <f>IF(Table4[[#This Row],[Sales]]&gt;=40000,"BEST SALE","POOR SALE")</f>
        <v>POOR SALE</v>
      </c>
      <c r="L231" s="30" t="str" cm="1">
        <f t="array" ref="L231">_xlfn.IFS(Table4[[#This Row],[Sales]]&gt;=40000,"Best Sale", Table4[[#This Row],[Sales]]&gt;=20000,"Average Sale",Table4[[#This Row],[Sales]]&gt;0,"Poor Sale")</f>
        <v>Average Sale</v>
      </c>
      <c r="M231" s="32" t="str" cm="1">
        <f t="array" ref="M231">_xlfn.IFS(Table4[[#This Row],[Sales]]&gt;=40000,"Best", Table4[[#This Row],[Sales]]&gt;=35000,"Average",Table4[[#This Row],[Sales]]&gt;0,"Poor")</f>
        <v>Poor</v>
      </c>
    </row>
    <row r="232" spans="1:13" x14ac:dyDescent="0.3">
      <c r="A232" s="13">
        <v>231</v>
      </c>
      <c r="B232" s="14">
        <v>45227</v>
      </c>
      <c r="C232" s="15" t="s">
        <v>10</v>
      </c>
      <c r="D232" s="15" t="s">
        <v>11</v>
      </c>
      <c r="E232" s="15" t="s">
        <v>17</v>
      </c>
      <c r="F232" s="15" t="s">
        <v>24</v>
      </c>
      <c r="G232" s="15" t="s">
        <v>28</v>
      </c>
      <c r="H232" s="16">
        <v>40961.07</v>
      </c>
      <c r="I232" s="15">
        <v>7</v>
      </c>
      <c r="J232" s="17">
        <v>11511.53</v>
      </c>
      <c r="K232" s="20" t="str">
        <f>IF(Table4[[#This Row],[Sales]]&gt;=40000,"BEST SALE","POOR SALE")</f>
        <v>BEST SALE</v>
      </c>
      <c r="L232" s="30" t="str" cm="1">
        <f t="array" ref="L232">_xlfn.IFS(Table4[[#This Row],[Sales]]&gt;=40000,"Best Sale", Table4[[#This Row],[Sales]]&gt;=20000,"Average Sale",Table4[[#This Row],[Sales]]&gt;0,"Poor Sale")</f>
        <v>Best Sale</v>
      </c>
      <c r="M232" s="32" t="str" cm="1">
        <f t="array" ref="M232">_xlfn.IFS(Table4[[#This Row],[Sales]]&gt;=40000,"Best", Table4[[#This Row],[Sales]]&gt;=35000,"Average",Table4[[#This Row],[Sales]]&gt;0,"Poor")</f>
        <v>Best</v>
      </c>
    </row>
    <row r="233" spans="1:13" x14ac:dyDescent="0.3">
      <c r="A233" s="18">
        <v>232</v>
      </c>
      <c r="B233" s="19">
        <v>45215</v>
      </c>
      <c r="C233" s="20" t="s">
        <v>10</v>
      </c>
      <c r="D233" s="20" t="s">
        <v>11</v>
      </c>
      <c r="E233" s="20" t="s">
        <v>12</v>
      </c>
      <c r="F233" s="20" t="s">
        <v>31</v>
      </c>
      <c r="G233" s="20" t="s">
        <v>32</v>
      </c>
      <c r="H233" s="21">
        <v>44103.15</v>
      </c>
      <c r="I233" s="20">
        <v>8</v>
      </c>
      <c r="J233" s="22">
        <v>7622.06</v>
      </c>
      <c r="K233" s="20" t="str">
        <f>IF(Table4[[#This Row],[Sales]]&gt;=40000,"BEST SALE","POOR SALE")</f>
        <v>BEST SALE</v>
      </c>
      <c r="L233" s="30" t="str" cm="1">
        <f t="array" ref="L233">_xlfn.IFS(Table4[[#This Row],[Sales]]&gt;=40000,"Best Sale", Table4[[#This Row],[Sales]]&gt;=20000,"Average Sale",Table4[[#This Row],[Sales]]&gt;0,"Poor Sale")</f>
        <v>Best Sale</v>
      </c>
      <c r="M233" s="32" t="str" cm="1">
        <f t="array" ref="M233">_xlfn.IFS(Table4[[#This Row],[Sales]]&gt;=40000,"Best", Table4[[#This Row],[Sales]]&gt;=35000,"Average",Table4[[#This Row],[Sales]]&gt;0,"Poor")</f>
        <v>Best</v>
      </c>
    </row>
    <row r="234" spans="1:13" x14ac:dyDescent="0.3">
      <c r="A234" s="13">
        <v>233</v>
      </c>
      <c r="B234" s="14">
        <v>45205</v>
      </c>
      <c r="C234" s="15" t="s">
        <v>30</v>
      </c>
      <c r="D234" s="15" t="s">
        <v>16</v>
      </c>
      <c r="E234" s="15" t="s">
        <v>17</v>
      </c>
      <c r="F234" s="15" t="s">
        <v>24</v>
      </c>
      <c r="G234" s="15" t="s">
        <v>28</v>
      </c>
      <c r="H234" s="16">
        <v>40991.879999999997</v>
      </c>
      <c r="I234" s="15">
        <v>3</v>
      </c>
      <c r="J234" s="17">
        <v>10571.44</v>
      </c>
      <c r="K234" s="20" t="str">
        <f>IF(Table4[[#This Row],[Sales]]&gt;=40000,"BEST SALE","POOR SALE")</f>
        <v>BEST SALE</v>
      </c>
      <c r="L234" s="30" t="str" cm="1">
        <f t="array" ref="L234">_xlfn.IFS(Table4[[#This Row],[Sales]]&gt;=40000,"Best Sale", Table4[[#This Row],[Sales]]&gt;=20000,"Average Sale",Table4[[#This Row],[Sales]]&gt;0,"Poor Sale")</f>
        <v>Best Sale</v>
      </c>
      <c r="M234" s="32" t="str" cm="1">
        <f t="array" ref="M234">_xlfn.IFS(Table4[[#This Row],[Sales]]&gt;=40000,"Best", Table4[[#This Row],[Sales]]&gt;=35000,"Average",Table4[[#This Row],[Sales]]&gt;0,"Poor")</f>
        <v>Best</v>
      </c>
    </row>
    <row r="235" spans="1:13" x14ac:dyDescent="0.3">
      <c r="A235" s="18">
        <v>234</v>
      </c>
      <c r="B235" s="19">
        <v>45094</v>
      </c>
      <c r="C235" s="20" t="s">
        <v>37</v>
      </c>
      <c r="D235" s="20" t="s">
        <v>27</v>
      </c>
      <c r="E235" s="20" t="s">
        <v>20</v>
      </c>
      <c r="F235" s="20" t="s">
        <v>31</v>
      </c>
      <c r="G235" s="20" t="s">
        <v>32</v>
      </c>
      <c r="H235" s="21">
        <v>22770.06</v>
      </c>
      <c r="I235" s="20">
        <v>9</v>
      </c>
      <c r="J235" s="22">
        <v>3327.09</v>
      </c>
      <c r="K235" s="20" t="str">
        <f>IF(Table4[[#This Row],[Sales]]&gt;=40000,"BEST SALE","POOR SALE")</f>
        <v>POOR SALE</v>
      </c>
      <c r="L235" s="30" t="str" cm="1">
        <f t="array" ref="L235">_xlfn.IFS(Table4[[#This Row],[Sales]]&gt;=40000,"Best Sale", Table4[[#This Row],[Sales]]&gt;=20000,"Average Sale",Table4[[#This Row],[Sales]]&gt;0,"Poor Sale")</f>
        <v>Average Sale</v>
      </c>
      <c r="M235" s="32" t="str" cm="1">
        <f t="array" ref="M235">_xlfn.IFS(Table4[[#This Row],[Sales]]&gt;=40000,"Best", Table4[[#This Row],[Sales]]&gt;=35000,"Average",Table4[[#This Row],[Sales]]&gt;0,"Poor")</f>
        <v>Poor</v>
      </c>
    </row>
    <row r="236" spans="1:13" x14ac:dyDescent="0.3">
      <c r="A236" s="13">
        <v>235</v>
      </c>
      <c r="B236" s="14">
        <v>45133</v>
      </c>
      <c r="C236" s="15" t="s">
        <v>26</v>
      </c>
      <c r="D236" s="15" t="s">
        <v>27</v>
      </c>
      <c r="E236" s="15" t="s">
        <v>20</v>
      </c>
      <c r="F236" s="15" t="s">
        <v>31</v>
      </c>
      <c r="G236" s="15" t="s">
        <v>33</v>
      </c>
      <c r="H236" s="16">
        <v>32866.050000000003</v>
      </c>
      <c r="I236" s="15">
        <v>5</v>
      </c>
      <c r="J236" s="17">
        <v>7169.07</v>
      </c>
      <c r="K236" s="20" t="str">
        <f>IF(Table4[[#This Row],[Sales]]&gt;=40000,"BEST SALE","POOR SALE")</f>
        <v>POOR SALE</v>
      </c>
      <c r="L236" s="30" t="str" cm="1">
        <f t="array" ref="L236">_xlfn.IFS(Table4[[#This Row],[Sales]]&gt;=40000,"Best Sale", Table4[[#This Row],[Sales]]&gt;=20000,"Average Sale",Table4[[#This Row],[Sales]]&gt;0,"Poor Sale")</f>
        <v>Average Sale</v>
      </c>
      <c r="M236" s="32" t="str" cm="1">
        <f t="array" ref="M236">_xlfn.IFS(Table4[[#This Row],[Sales]]&gt;=40000,"Best", Table4[[#This Row],[Sales]]&gt;=35000,"Average",Table4[[#This Row],[Sales]]&gt;0,"Poor")</f>
        <v>Poor</v>
      </c>
    </row>
    <row r="237" spans="1:13" x14ac:dyDescent="0.3">
      <c r="A237" s="18">
        <v>236</v>
      </c>
      <c r="B237" s="19">
        <v>45158</v>
      </c>
      <c r="C237" s="20" t="s">
        <v>37</v>
      </c>
      <c r="D237" s="20" t="s">
        <v>27</v>
      </c>
      <c r="E237" s="20" t="s">
        <v>12</v>
      </c>
      <c r="F237" s="20" t="s">
        <v>31</v>
      </c>
      <c r="G237" s="20" t="s">
        <v>32</v>
      </c>
      <c r="H237" s="21">
        <v>10663.17</v>
      </c>
      <c r="I237" s="20">
        <v>2</v>
      </c>
      <c r="J237" s="22">
        <v>2411.1799999999998</v>
      </c>
      <c r="K237" s="20" t="str">
        <f>IF(Table4[[#This Row],[Sales]]&gt;=40000,"BEST SALE","POOR SALE")</f>
        <v>POOR SALE</v>
      </c>
      <c r="L237" s="30" t="str" cm="1">
        <f t="array" ref="L237">_xlfn.IFS(Table4[[#This Row],[Sales]]&gt;=40000,"Best Sale", Table4[[#This Row],[Sales]]&gt;=20000,"Average Sale",Table4[[#This Row],[Sales]]&gt;0,"Poor Sale")</f>
        <v>Poor Sale</v>
      </c>
      <c r="M237" s="32" t="str" cm="1">
        <f t="array" ref="M237">_xlfn.IFS(Table4[[#This Row],[Sales]]&gt;=40000,"Best", Table4[[#This Row],[Sales]]&gt;=35000,"Average",Table4[[#This Row],[Sales]]&gt;0,"Poor")</f>
        <v>Poor</v>
      </c>
    </row>
    <row r="238" spans="1:13" x14ac:dyDescent="0.3">
      <c r="A238" s="13">
        <v>237</v>
      </c>
      <c r="B238" s="14">
        <v>45067</v>
      </c>
      <c r="C238" s="15" t="s">
        <v>35</v>
      </c>
      <c r="D238" s="15" t="s">
        <v>36</v>
      </c>
      <c r="E238" s="15" t="s">
        <v>17</v>
      </c>
      <c r="F238" s="15" t="s">
        <v>31</v>
      </c>
      <c r="G238" s="15" t="s">
        <v>39</v>
      </c>
      <c r="H238" s="16">
        <v>25820.27</v>
      </c>
      <c r="I238" s="15">
        <v>6</v>
      </c>
      <c r="J238" s="17">
        <v>1912.88</v>
      </c>
      <c r="K238" s="20" t="str">
        <f>IF(Table4[[#This Row],[Sales]]&gt;=40000,"BEST SALE","POOR SALE")</f>
        <v>POOR SALE</v>
      </c>
      <c r="L238" s="30" t="str" cm="1">
        <f t="array" ref="L238">_xlfn.IFS(Table4[[#This Row],[Sales]]&gt;=40000,"Best Sale", Table4[[#This Row],[Sales]]&gt;=20000,"Average Sale",Table4[[#This Row],[Sales]]&gt;0,"Poor Sale")</f>
        <v>Average Sale</v>
      </c>
      <c r="M238" s="32" t="str" cm="1">
        <f t="array" ref="M238">_xlfn.IFS(Table4[[#This Row],[Sales]]&gt;=40000,"Best", Table4[[#This Row],[Sales]]&gt;=35000,"Average",Table4[[#This Row],[Sales]]&gt;0,"Poor")</f>
        <v>Poor</v>
      </c>
    </row>
    <row r="239" spans="1:13" x14ac:dyDescent="0.3">
      <c r="A239" s="18">
        <v>238</v>
      </c>
      <c r="B239" s="19">
        <v>44941</v>
      </c>
      <c r="C239" s="20" t="s">
        <v>15</v>
      </c>
      <c r="D239" s="20" t="s">
        <v>16</v>
      </c>
      <c r="E239" s="20" t="s">
        <v>12</v>
      </c>
      <c r="F239" s="20" t="s">
        <v>31</v>
      </c>
      <c r="G239" s="20" t="s">
        <v>32</v>
      </c>
      <c r="H239" s="21">
        <v>18390.77</v>
      </c>
      <c r="I239" s="20">
        <v>10</v>
      </c>
      <c r="J239" s="22">
        <v>2737.63</v>
      </c>
      <c r="K239" s="20" t="str">
        <f>IF(Table4[[#This Row],[Sales]]&gt;=40000,"BEST SALE","POOR SALE")</f>
        <v>POOR SALE</v>
      </c>
      <c r="L239" s="30" t="str" cm="1">
        <f t="array" ref="L239">_xlfn.IFS(Table4[[#This Row],[Sales]]&gt;=40000,"Best Sale", Table4[[#This Row],[Sales]]&gt;=20000,"Average Sale",Table4[[#This Row],[Sales]]&gt;0,"Poor Sale")</f>
        <v>Poor Sale</v>
      </c>
      <c r="M239" s="32" t="str" cm="1">
        <f t="array" ref="M239">_xlfn.IFS(Table4[[#This Row],[Sales]]&gt;=40000,"Best", Table4[[#This Row],[Sales]]&gt;=35000,"Average",Table4[[#This Row],[Sales]]&gt;0,"Poor")</f>
        <v>Poor</v>
      </c>
    </row>
    <row r="240" spans="1:13" x14ac:dyDescent="0.3">
      <c r="A240" s="13">
        <v>239</v>
      </c>
      <c r="B240" s="14">
        <v>44947</v>
      </c>
      <c r="C240" s="15" t="s">
        <v>37</v>
      </c>
      <c r="D240" s="15" t="s">
        <v>27</v>
      </c>
      <c r="E240" s="15" t="s">
        <v>17</v>
      </c>
      <c r="F240" s="15" t="s">
        <v>24</v>
      </c>
      <c r="G240" s="15" t="s">
        <v>25</v>
      </c>
      <c r="H240" s="16">
        <v>9511</v>
      </c>
      <c r="I240" s="15">
        <v>2</v>
      </c>
      <c r="J240" s="17">
        <v>1162.99</v>
      </c>
      <c r="K240" s="20" t="str">
        <f>IF(Table4[[#This Row],[Sales]]&gt;=40000,"BEST SALE","POOR SALE")</f>
        <v>POOR SALE</v>
      </c>
      <c r="L240" s="30" t="str" cm="1">
        <f t="array" ref="L240">_xlfn.IFS(Table4[[#This Row],[Sales]]&gt;=40000,"Best Sale", Table4[[#This Row],[Sales]]&gt;=20000,"Average Sale",Table4[[#This Row],[Sales]]&gt;0,"Poor Sale")</f>
        <v>Poor Sale</v>
      </c>
      <c r="M240" s="32" t="str" cm="1">
        <f t="array" ref="M240">_xlfn.IFS(Table4[[#This Row],[Sales]]&gt;=40000,"Best", Table4[[#This Row],[Sales]]&gt;=35000,"Average",Table4[[#This Row],[Sales]]&gt;0,"Poor")</f>
        <v>Poor</v>
      </c>
    </row>
    <row r="241" spans="1:13" x14ac:dyDescent="0.3">
      <c r="A241" s="18">
        <v>240</v>
      </c>
      <c r="B241" s="19">
        <v>45001</v>
      </c>
      <c r="C241" s="20" t="s">
        <v>10</v>
      </c>
      <c r="D241" s="20" t="s">
        <v>11</v>
      </c>
      <c r="E241" s="20" t="s">
        <v>20</v>
      </c>
      <c r="F241" s="20" t="s">
        <v>13</v>
      </c>
      <c r="G241" s="20" t="s">
        <v>21</v>
      </c>
      <c r="H241" s="21">
        <v>36211.370000000003</v>
      </c>
      <c r="I241" s="20">
        <v>6</v>
      </c>
      <c r="J241" s="22">
        <v>7076.58</v>
      </c>
      <c r="K241" s="20" t="str">
        <f>IF(Table4[[#This Row],[Sales]]&gt;=40000,"BEST SALE","POOR SALE")</f>
        <v>POOR SALE</v>
      </c>
      <c r="L241" s="30" t="str" cm="1">
        <f t="array" ref="L241">_xlfn.IFS(Table4[[#This Row],[Sales]]&gt;=40000,"Best Sale", Table4[[#This Row],[Sales]]&gt;=20000,"Average Sale",Table4[[#This Row],[Sales]]&gt;0,"Poor Sale")</f>
        <v>Average Sale</v>
      </c>
      <c r="M241" s="32" t="str" cm="1">
        <f t="array" ref="M241">_xlfn.IFS(Table4[[#This Row],[Sales]]&gt;=40000,"Best", Table4[[#This Row],[Sales]]&gt;=35000,"Average",Table4[[#This Row],[Sales]]&gt;0,"Poor")</f>
        <v>Average</v>
      </c>
    </row>
    <row r="242" spans="1:13" x14ac:dyDescent="0.3">
      <c r="A242" s="13">
        <v>241</v>
      </c>
      <c r="B242" s="14">
        <v>45034</v>
      </c>
      <c r="C242" s="15" t="s">
        <v>15</v>
      </c>
      <c r="D242" s="15" t="s">
        <v>16</v>
      </c>
      <c r="E242" s="15" t="s">
        <v>20</v>
      </c>
      <c r="F242" s="15" t="s">
        <v>13</v>
      </c>
      <c r="G242" s="15" t="s">
        <v>21</v>
      </c>
      <c r="H242" s="16">
        <v>38204.660000000003</v>
      </c>
      <c r="I242" s="15">
        <v>1</v>
      </c>
      <c r="J242" s="17">
        <v>10074.93</v>
      </c>
      <c r="K242" s="20" t="str">
        <f>IF(Table4[[#This Row],[Sales]]&gt;=40000,"BEST SALE","POOR SALE")</f>
        <v>POOR SALE</v>
      </c>
      <c r="L242" s="30" t="str" cm="1">
        <f t="array" ref="L242">_xlfn.IFS(Table4[[#This Row],[Sales]]&gt;=40000,"Best Sale", Table4[[#This Row],[Sales]]&gt;=20000,"Average Sale",Table4[[#This Row],[Sales]]&gt;0,"Poor Sale")</f>
        <v>Average Sale</v>
      </c>
      <c r="M242" s="32" t="str" cm="1">
        <f t="array" ref="M242">_xlfn.IFS(Table4[[#This Row],[Sales]]&gt;=40000,"Best", Table4[[#This Row],[Sales]]&gt;=35000,"Average",Table4[[#This Row],[Sales]]&gt;0,"Poor")</f>
        <v>Average</v>
      </c>
    </row>
    <row r="243" spans="1:13" x14ac:dyDescent="0.3">
      <c r="A243" s="18">
        <v>242</v>
      </c>
      <c r="B243" s="19">
        <v>44930</v>
      </c>
      <c r="C243" s="20" t="s">
        <v>38</v>
      </c>
      <c r="D243" s="20" t="s">
        <v>27</v>
      </c>
      <c r="E243" s="20" t="s">
        <v>12</v>
      </c>
      <c r="F243" s="20" t="s">
        <v>24</v>
      </c>
      <c r="G243" s="20" t="s">
        <v>25</v>
      </c>
      <c r="H243" s="21">
        <v>40939.94</v>
      </c>
      <c r="I243" s="20">
        <v>7</v>
      </c>
      <c r="J243" s="22">
        <v>7280.08</v>
      </c>
      <c r="K243" s="20" t="str">
        <f>IF(Table4[[#This Row],[Sales]]&gt;=40000,"BEST SALE","POOR SALE")</f>
        <v>BEST SALE</v>
      </c>
      <c r="L243" s="30" t="str" cm="1">
        <f t="array" ref="L243">_xlfn.IFS(Table4[[#This Row],[Sales]]&gt;=40000,"Best Sale", Table4[[#This Row],[Sales]]&gt;=20000,"Average Sale",Table4[[#This Row],[Sales]]&gt;0,"Poor Sale")</f>
        <v>Best Sale</v>
      </c>
      <c r="M243" s="32" t="str" cm="1">
        <f t="array" ref="M243">_xlfn.IFS(Table4[[#This Row],[Sales]]&gt;=40000,"Best", Table4[[#This Row],[Sales]]&gt;=35000,"Average",Table4[[#This Row],[Sales]]&gt;0,"Poor")</f>
        <v>Best</v>
      </c>
    </row>
    <row r="244" spans="1:13" x14ac:dyDescent="0.3">
      <c r="A244" s="13">
        <v>243</v>
      </c>
      <c r="B244" s="14">
        <v>45019</v>
      </c>
      <c r="C244" s="15" t="s">
        <v>22</v>
      </c>
      <c r="D244" s="15" t="s">
        <v>22</v>
      </c>
      <c r="E244" s="15" t="s">
        <v>17</v>
      </c>
      <c r="F244" s="15" t="s">
        <v>24</v>
      </c>
      <c r="G244" s="15" t="s">
        <v>29</v>
      </c>
      <c r="H244" s="16">
        <v>26046.11</v>
      </c>
      <c r="I244" s="15">
        <v>2</v>
      </c>
      <c r="J244" s="17">
        <v>3289.52</v>
      </c>
      <c r="K244" s="20" t="str">
        <f>IF(Table4[[#This Row],[Sales]]&gt;=40000,"BEST SALE","POOR SALE")</f>
        <v>POOR SALE</v>
      </c>
      <c r="L244" s="30" t="str" cm="1">
        <f t="array" ref="L244">_xlfn.IFS(Table4[[#This Row],[Sales]]&gt;=40000,"Best Sale", Table4[[#This Row],[Sales]]&gt;=20000,"Average Sale",Table4[[#This Row],[Sales]]&gt;0,"Poor Sale")</f>
        <v>Average Sale</v>
      </c>
      <c r="M244" s="32" t="str" cm="1">
        <f t="array" ref="M244">_xlfn.IFS(Table4[[#This Row],[Sales]]&gt;=40000,"Best", Table4[[#This Row],[Sales]]&gt;=35000,"Average",Table4[[#This Row],[Sales]]&gt;0,"Poor")</f>
        <v>Poor</v>
      </c>
    </row>
    <row r="245" spans="1:13" x14ac:dyDescent="0.3">
      <c r="A245" s="18">
        <v>244</v>
      </c>
      <c r="B245" s="19">
        <v>45000</v>
      </c>
      <c r="C245" s="20" t="s">
        <v>26</v>
      </c>
      <c r="D245" s="20" t="s">
        <v>27</v>
      </c>
      <c r="E245" s="20" t="s">
        <v>12</v>
      </c>
      <c r="F245" s="20" t="s">
        <v>31</v>
      </c>
      <c r="G245" s="20" t="s">
        <v>33</v>
      </c>
      <c r="H245" s="21">
        <v>40691.96</v>
      </c>
      <c r="I245" s="20">
        <v>4</v>
      </c>
      <c r="J245" s="22">
        <v>2624.84</v>
      </c>
      <c r="K245" s="20" t="str">
        <f>IF(Table4[[#This Row],[Sales]]&gt;=40000,"BEST SALE","POOR SALE")</f>
        <v>BEST SALE</v>
      </c>
      <c r="L245" s="30" t="str" cm="1">
        <f t="array" ref="L245">_xlfn.IFS(Table4[[#This Row],[Sales]]&gt;=40000,"Best Sale", Table4[[#This Row],[Sales]]&gt;=20000,"Average Sale",Table4[[#This Row],[Sales]]&gt;0,"Poor Sale")</f>
        <v>Best Sale</v>
      </c>
      <c r="M245" s="32" t="str" cm="1">
        <f t="array" ref="M245">_xlfn.IFS(Table4[[#This Row],[Sales]]&gt;=40000,"Best", Table4[[#This Row],[Sales]]&gt;=35000,"Average",Table4[[#This Row],[Sales]]&gt;0,"Poor")</f>
        <v>Best</v>
      </c>
    </row>
    <row r="246" spans="1:13" x14ac:dyDescent="0.3">
      <c r="A246" s="13">
        <v>245</v>
      </c>
      <c r="B246" s="14">
        <v>45053</v>
      </c>
      <c r="C246" s="15" t="s">
        <v>22</v>
      </c>
      <c r="D246" s="15" t="s">
        <v>22</v>
      </c>
      <c r="E246" s="15" t="s">
        <v>17</v>
      </c>
      <c r="F246" s="15" t="s">
        <v>24</v>
      </c>
      <c r="G246" s="15" t="s">
        <v>29</v>
      </c>
      <c r="H246" s="16">
        <v>49598.16</v>
      </c>
      <c r="I246" s="15">
        <v>2</v>
      </c>
      <c r="J246" s="17">
        <v>8746.65</v>
      </c>
      <c r="K246" s="20" t="str">
        <f>IF(Table4[[#This Row],[Sales]]&gt;=40000,"BEST SALE","POOR SALE")</f>
        <v>BEST SALE</v>
      </c>
      <c r="L246" s="30" t="str" cm="1">
        <f t="array" ref="L246">_xlfn.IFS(Table4[[#This Row],[Sales]]&gt;=40000,"Best Sale", Table4[[#This Row],[Sales]]&gt;=20000,"Average Sale",Table4[[#This Row],[Sales]]&gt;0,"Poor Sale")</f>
        <v>Best Sale</v>
      </c>
      <c r="M246" s="32" t="str" cm="1">
        <f t="array" ref="M246">_xlfn.IFS(Table4[[#This Row],[Sales]]&gt;=40000,"Best", Table4[[#This Row],[Sales]]&gt;=35000,"Average",Table4[[#This Row],[Sales]]&gt;0,"Poor")</f>
        <v>Best</v>
      </c>
    </row>
    <row r="247" spans="1:13" x14ac:dyDescent="0.3">
      <c r="A247" s="18">
        <v>246</v>
      </c>
      <c r="B247" s="19">
        <v>45088</v>
      </c>
      <c r="C247" s="20" t="s">
        <v>26</v>
      </c>
      <c r="D247" s="20" t="s">
        <v>27</v>
      </c>
      <c r="E247" s="20" t="s">
        <v>20</v>
      </c>
      <c r="F247" s="20" t="s">
        <v>24</v>
      </c>
      <c r="G247" s="20" t="s">
        <v>25</v>
      </c>
      <c r="H247" s="21">
        <v>13177.69</v>
      </c>
      <c r="I247" s="20">
        <v>2</v>
      </c>
      <c r="J247" s="22">
        <v>1536.55</v>
      </c>
      <c r="K247" s="20" t="str">
        <f>IF(Table4[[#This Row],[Sales]]&gt;=40000,"BEST SALE","POOR SALE")</f>
        <v>POOR SALE</v>
      </c>
      <c r="L247" s="30" t="str" cm="1">
        <f t="array" ref="L247">_xlfn.IFS(Table4[[#This Row],[Sales]]&gt;=40000,"Best Sale", Table4[[#This Row],[Sales]]&gt;=20000,"Average Sale",Table4[[#This Row],[Sales]]&gt;0,"Poor Sale")</f>
        <v>Poor Sale</v>
      </c>
      <c r="M247" s="32" t="str" cm="1">
        <f t="array" ref="M247">_xlfn.IFS(Table4[[#This Row],[Sales]]&gt;=40000,"Best", Table4[[#This Row],[Sales]]&gt;=35000,"Average",Table4[[#This Row],[Sales]]&gt;0,"Poor")</f>
        <v>Poor</v>
      </c>
    </row>
    <row r="248" spans="1:13" x14ac:dyDescent="0.3">
      <c r="A248" s="13">
        <v>247</v>
      </c>
      <c r="B248" s="14">
        <v>45204</v>
      </c>
      <c r="C248" s="15" t="s">
        <v>38</v>
      </c>
      <c r="D248" s="15" t="s">
        <v>27</v>
      </c>
      <c r="E248" s="15" t="s">
        <v>20</v>
      </c>
      <c r="F248" s="15" t="s">
        <v>13</v>
      </c>
      <c r="G248" s="15" t="s">
        <v>21</v>
      </c>
      <c r="H248" s="16">
        <v>25816.6</v>
      </c>
      <c r="I248" s="15">
        <v>1</v>
      </c>
      <c r="J248" s="17">
        <v>6376.67</v>
      </c>
      <c r="K248" s="20" t="str">
        <f>IF(Table4[[#This Row],[Sales]]&gt;=40000,"BEST SALE","POOR SALE")</f>
        <v>POOR SALE</v>
      </c>
      <c r="L248" s="30" t="str" cm="1">
        <f t="array" ref="L248">_xlfn.IFS(Table4[[#This Row],[Sales]]&gt;=40000,"Best Sale", Table4[[#This Row],[Sales]]&gt;=20000,"Average Sale",Table4[[#This Row],[Sales]]&gt;0,"Poor Sale")</f>
        <v>Average Sale</v>
      </c>
      <c r="M248" s="32" t="str" cm="1">
        <f t="array" ref="M248">_xlfn.IFS(Table4[[#This Row],[Sales]]&gt;=40000,"Best", Table4[[#This Row],[Sales]]&gt;=35000,"Average",Table4[[#This Row],[Sales]]&gt;0,"Poor")</f>
        <v>Poor</v>
      </c>
    </row>
    <row r="249" spans="1:13" x14ac:dyDescent="0.3">
      <c r="A249" s="18">
        <v>248</v>
      </c>
      <c r="B249" s="19">
        <v>44981</v>
      </c>
      <c r="C249" s="20" t="s">
        <v>26</v>
      </c>
      <c r="D249" s="20" t="s">
        <v>27</v>
      </c>
      <c r="E249" s="20" t="s">
        <v>12</v>
      </c>
      <c r="F249" s="20" t="s">
        <v>13</v>
      </c>
      <c r="G249" s="20" t="s">
        <v>34</v>
      </c>
      <c r="H249" s="21">
        <v>4142.42</v>
      </c>
      <c r="I249" s="20">
        <v>7</v>
      </c>
      <c r="J249" s="22">
        <v>987.96</v>
      </c>
      <c r="K249" s="20" t="str">
        <f>IF(Table4[[#This Row],[Sales]]&gt;=40000,"BEST SALE","POOR SALE")</f>
        <v>POOR SALE</v>
      </c>
      <c r="L249" s="30" t="str" cm="1">
        <f t="array" ref="L249">_xlfn.IFS(Table4[[#This Row],[Sales]]&gt;=40000,"Best Sale", Table4[[#This Row],[Sales]]&gt;=20000,"Average Sale",Table4[[#This Row],[Sales]]&gt;0,"Poor Sale")</f>
        <v>Poor Sale</v>
      </c>
      <c r="M249" s="32" t="str" cm="1">
        <f t="array" ref="M249">_xlfn.IFS(Table4[[#This Row],[Sales]]&gt;=40000,"Best", Table4[[#This Row],[Sales]]&gt;=35000,"Average",Table4[[#This Row],[Sales]]&gt;0,"Poor")</f>
        <v>Poor</v>
      </c>
    </row>
    <row r="250" spans="1:13" x14ac:dyDescent="0.3">
      <c r="A250" s="13">
        <v>249</v>
      </c>
      <c r="B250" s="14">
        <v>45149</v>
      </c>
      <c r="C250" s="15" t="s">
        <v>26</v>
      </c>
      <c r="D250" s="15" t="s">
        <v>27</v>
      </c>
      <c r="E250" s="15" t="s">
        <v>17</v>
      </c>
      <c r="F250" s="15" t="s">
        <v>13</v>
      </c>
      <c r="G250" s="15" t="s">
        <v>34</v>
      </c>
      <c r="H250" s="16">
        <v>48741.85</v>
      </c>
      <c r="I250" s="15">
        <v>2</v>
      </c>
      <c r="J250" s="17">
        <v>6991.38</v>
      </c>
      <c r="K250" s="20" t="str">
        <f>IF(Table4[[#This Row],[Sales]]&gt;=40000,"BEST SALE","POOR SALE")</f>
        <v>BEST SALE</v>
      </c>
      <c r="L250" s="30" t="str" cm="1">
        <f t="array" ref="L250">_xlfn.IFS(Table4[[#This Row],[Sales]]&gt;=40000,"Best Sale", Table4[[#This Row],[Sales]]&gt;=20000,"Average Sale",Table4[[#This Row],[Sales]]&gt;0,"Poor Sale")</f>
        <v>Best Sale</v>
      </c>
      <c r="M250" s="32" t="str" cm="1">
        <f t="array" ref="M250">_xlfn.IFS(Table4[[#This Row],[Sales]]&gt;=40000,"Best", Table4[[#This Row],[Sales]]&gt;=35000,"Average",Table4[[#This Row],[Sales]]&gt;0,"Poor")</f>
        <v>Best</v>
      </c>
    </row>
    <row r="251" spans="1:13" x14ac:dyDescent="0.3">
      <c r="A251" s="18">
        <v>250</v>
      </c>
      <c r="B251" s="19">
        <v>45268</v>
      </c>
      <c r="C251" s="20" t="s">
        <v>30</v>
      </c>
      <c r="D251" s="20" t="s">
        <v>16</v>
      </c>
      <c r="E251" s="20" t="s">
        <v>12</v>
      </c>
      <c r="F251" s="20" t="s">
        <v>13</v>
      </c>
      <c r="G251" s="20" t="s">
        <v>34</v>
      </c>
      <c r="H251" s="21">
        <v>22157.78</v>
      </c>
      <c r="I251" s="20">
        <v>2</v>
      </c>
      <c r="J251" s="22">
        <v>4517.67</v>
      </c>
      <c r="K251" s="20" t="str">
        <f>IF(Table4[[#This Row],[Sales]]&gt;=40000,"BEST SALE","POOR SALE")</f>
        <v>POOR SALE</v>
      </c>
      <c r="L251" s="30" t="str" cm="1">
        <f t="array" ref="L251">_xlfn.IFS(Table4[[#This Row],[Sales]]&gt;=40000,"Best Sale", Table4[[#This Row],[Sales]]&gt;=20000,"Average Sale",Table4[[#This Row],[Sales]]&gt;0,"Poor Sale")</f>
        <v>Average Sale</v>
      </c>
      <c r="M251" s="32" t="str" cm="1">
        <f t="array" ref="M251">_xlfn.IFS(Table4[[#This Row],[Sales]]&gt;=40000,"Best", Table4[[#This Row],[Sales]]&gt;=35000,"Average",Table4[[#This Row],[Sales]]&gt;0,"Poor")</f>
        <v>Poor</v>
      </c>
    </row>
    <row r="252" spans="1:13" x14ac:dyDescent="0.3">
      <c r="A252" s="13">
        <v>251</v>
      </c>
      <c r="B252" s="14">
        <v>45094</v>
      </c>
      <c r="C252" s="15" t="s">
        <v>15</v>
      </c>
      <c r="D252" s="15" t="s">
        <v>16</v>
      </c>
      <c r="E252" s="15" t="s">
        <v>17</v>
      </c>
      <c r="F252" s="15" t="s">
        <v>24</v>
      </c>
      <c r="G252" s="15" t="s">
        <v>25</v>
      </c>
      <c r="H252" s="16">
        <v>17751.919999999998</v>
      </c>
      <c r="I252" s="15">
        <v>7</v>
      </c>
      <c r="J252" s="17">
        <v>4931.21</v>
      </c>
      <c r="K252" s="20" t="str">
        <f>IF(Table4[[#This Row],[Sales]]&gt;=40000,"BEST SALE","POOR SALE")</f>
        <v>POOR SALE</v>
      </c>
      <c r="L252" s="30" t="str" cm="1">
        <f t="array" ref="L252">_xlfn.IFS(Table4[[#This Row],[Sales]]&gt;=40000,"Best Sale", Table4[[#This Row],[Sales]]&gt;=20000,"Average Sale",Table4[[#This Row],[Sales]]&gt;0,"Poor Sale")</f>
        <v>Poor Sale</v>
      </c>
      <c r="M252" s="32" t="str" cm="1">
        <f t="array" ref="M252">_xlfn.IFS(Table4[[#This Row],[Sales]]&gt;=40000,"Best", Table4[[#This Row],[Sales]]&gt;=35000,"Average",Table4[[#This Row],[Sales]]&gt;0,"Poor")</f>
        <v>Poor</v>
      </c>
    </row>
    <row r="253" spans="1:13" x14ac:dyDescent="0.3">
      <c r="A253" s="18">
        <v>252</v>
      </c>
      <c r="B253" s="19">
        <v>45011</v>
      </c>
      <c r="C253" s="20" t="s">
        <v>38</v>
      </c>
      <c r="D253" s="20" t="s">
        <v>27</v>
      </c>
      <c r="E253" s="20" t="s">
        <v>20</v>
      </c>
      <c r="F253" s="20" t="s">
        <v>31</v>
      </c>
      <c r="G253" s="20" t="s">
        <v>39</v>
      </c>
      <c r="H253" s="21">
        <v>11067.21</v>
      </c>
      <c r="I253" s="20">
        <v>3</v>
      </c>
      <c r="J253" s="22">
        <v>2057.92</v>
      </c>
      <c r="K253" s="20" t="str">
        <f>IF(Table4[[#This Row],[Sales]]&gt;=40000,"BEST SALE","POOR SALE")</f>
        <v>POOR SALE</v>
      </c>
      <c r="L253" s="30" t="str" cm="1">
        <f t="array" ref="L253">_xlfn.IFS(Table4[[#This Row],[Sales]]&gt;=40000,"Best Sale", Table4[[#This Row],[Sales]]&gt;=20000,"Average Sale",Table4[[#This Row],[Sales]]&gt;0,"Poor Sale")</f>
        <v>Poor Sale</v>
      </c>
      <c r="M253" s="32" t="str" cm="1">
        <f t="array" ref="M253">_xlfn.IFS(Table4[[#This Row],[Sales]]&gt;=40000,"Best", Table4[[#This Row],[Sales]]&gt;=35000,"Average",Table4[[#This Row],[Sales]]&gt;0,"Poor")</f>
        <v>Poor</v>
      </c>
    </row>
    <row r="254" spans="1:13" x14ac:dyDescent="0.3">
      <c r="A254" s="13">
        <v>253</v>
      </c>
      <c r="B254" s="14">
        <v>45131</v>
      </c>
      <c r="C254" s="15" t="s">
        <v>38</v>
      </c>
      <c r="D254" s="15" t="s">
        <v>27</v>
      </c>
      <c r="E254" s="15" t="s">
        <v>20</v>
      </c>
      <c r="F254" s="15" t="s">
        <v>24</v>
      </c>
      <c r="G254" s="15" t="s">
        <v>29</v>
      </c>
      <c r="H254" s="16">
        <v>13954.05</v>
      </c>
      <c r="I254" s="15">
        <v>10</v>
      </c>
      <c r="J254" s="17">
        <v>3139.56</v>
      </c>
      <c r="K254" s="20" t="str">
        <f>IF(Table4[[#This Row],[Sales]]&gt;=40000,"BEST SALE","POOR SALE")</f>
        <v>POOR SALE</v>
      </c>
      <c r="L254" s="30" t="str" cm="1">
        <f t="array" ref="L254">_xlfn.IFS(Table4[[#This Row],[Sales]]&gt;=40000,"Best Sale", Table4[[#This Row],[Sales]]&gt;=20000,"Average Sale",Table4[[#This Row],[Sales]]&gt;0,"Poor Sale")</f>
        <v>Poor Sale</v>
      </c>
      <c r="M254" s="32" t="str" cm="1">
        <f t="array" ref="M254">_xlfn.IFS(Table4[[#This Row],[Sales]]&gt;=40000,"Best", Table4[[#This Row],[Sales]]&gt;=35000,"Average",Table4[[#This Row],[Sales]]&gt;0,"Poor")</f>
        <v>Poor</v>
      </c>
    </row>
    <row r="255" spans="1:13" x14ac:dyDescent="0.3">
      <c r="A255" s="18">
        <v>254</v>
      </c>
      <c r="B255" s="19">
        <v>44976</v>
      </c>
      <c r="C255" s="20" t="s">
        <v>22</v>
      </c>
      <c r="D255" s="20" t="s">
        <v>22</v>
      </c>
      <c r="E255" s="20" t="s">
        <v>12</v>
      </c>
      <c r="F255" s="20" t="s">
        <v>24</v>
      </c>
      <c r="G255" s="20" t="s">
        <v>25</v>
      </c>
      <c r="H255" s="21">
        <v>10782.97</v>
      </c>
      <c r="I255" s="20">
        <v>7</v>
      </c>
      <c r="J255" s="22">
        <v>772.84</v>
      </c>
      <c r="K255" s="20" t="str">
        <f>IF(Table4[[#This Row],[Sales]]&gt;=40000,"BEST SALE","POOR SALE")</f>
        <v>POOR SALE</v>
      </c>
      <c r="L255" s="30" t="str" cm="1">
        <f t="array" ref="L255">_xlfn.IFS(Table4[[#This Row],[Sales]]&gt;=40000,"Best Sale", Table4[[#This Row],[Sales]]&gt;=20000,"Average Sale",Table4[[#This Row],[Sales]]&gt;0,"Poor Sale")</f>
        <v>Poor Sale</v>
      </c>
      <c r="M255" s="32" t="str" cm="1">
        <f t="array" ref="M255">_xlfn.IFS(Table4[[#This Row],[Sales]]&gt;=40000,"Best", Table4[[#This Row],[Sales]]&gt;=35000,"Average",Table4[[#This Row],[Sales]]&gt;0,"Poor")</f>
        <v>Poor</v>
      </c>
    </row>
    <row r="256" spans="1:13" x14ac:dyDescent="0.3">
      <c r="A256" s="13">
        <v>255</v>
      </c>
      <c r="B256" s="14">
        <v>45247</v>
      </c>
      <c r="C256" s="15" t="s">
        <v>35</v>
      </c>
      <c r="D256" s="15" t="s">
        <v>36</v>
      </c>
      <c r="E256" s="15" t="s">
        <v>17</v>
      </c>
      <c r="F256" s="15" t="s">
        <v>31</v>
      </c>
      <c r="G256" s="15" t="s">
        <v>32</v>
      </c>
      <c r="H256" s="16">
        <v>49437.25</v>
      </c>
      <c r="I256" s="15">
        <v>8</v>
      </c>
      <c r="J256" s="17">
        <v>14199.96</v>
      </c>
      <c r="K256" s="20" t="str">
        <f>IF(Table4[[#This Row],[Sales]]&gt;=40000,"BEST SALE","POOR SALE")</f>
        <v>BEST SALE</v>
      </c>
      <c r="L256" s="30" t="str" cm="1">
        <f t="array" ref="L256">_xlfn.IFS(Table4[[#This Row],[Sales]]&gt;=40000,"Best Sale", Table4[[#This Row],[Sales]]&gt;=20000,"Average Sale",Table4[[#This Row],[Sales]]&gt;0,"Poor Sale")</f>
        <v>Best Sale</v>
      </c>
      <c r="M256" s="32" t="str" cm="1">
        <f t="array" ref="M256">_xlfn.IFS(Table4[[#This Row],[Sales]]&gt;=40000,"Best", Table4[[#This Row],[Sales]]&gt;=35000,"Average",Table4[[#This Row],[Sales]]&gt;0,"Poor")</f>
        <v>Best</v>
      </c>
    </row>
    <row r="257" spans="1:13" x14ac:dyDescent="0.3">
      <c r="A257" s="18">
        <v>256</v>
      </c>
      <c r="B257" s="19">
        <v>45195</v>
      </c>
      <c r="C257" s="20" t="s">
        <v>35</v>
      </c>
      <c r="D257" s="20" t="s">
        <v>36</v>
      </c>
      <c r="E257" s="20" t="s">
        <v>12</v>
      </c>
      <c r="F257" s="20" t="s">
        <v>13</v>
      </c>
      <c r="G257" s="20" t="s">
        <v>21</v>
      </c>
      <c r="H257" s="21">
        <v>31032.49</v>
      </c>
      <c r="I257" s="20">
        <v>9</v>
      </c>
      <c r="J257" s="22">
        <v>7395</v>
      </c>
      <c r="K257" s="20" t="str">
        <f>IF(Table4[[#This Row],[Sales]]&gt;=40000,"BEST SALE","POOR SALE")</f>
        <v>POOR SALE</v>
      </c>
      <c r="L257" s="30" t="str" cm="1">
        <f t="array" ref="L257">_xlfn.IFS(Table4[[#This Row],[Sales]]&gt;=40000,"Best Sale", Table4[[#This Row],[Sales]]&gt;=20000,"Average Sale",Table4[[#This Row],[Sales]]&gt;0,"Poor Sale")</f>
        <v>Average Sale</v>
      </c>
      <c r="M257" s="32" t="str" cm="1">
        <f t="array" ref="M257">_xlfn.IFS(Table4[[#This Row],[Sales]]&gt;=40000,"Best", Table4[[#This Row],[Sales]]&gt;=35000,"Average",Table4[[#This Row],[Sales]]&gt;0,"Poor")</f>
        <v>Poor</v>
      </c>
    </row>
    <row r="258" spans="1:13" x14ac:dyDescent="0.3">
      <c r="A258" s="13">
        <v>257</v>
      </c>
      <c r="B258" s="14">
        <v>45158</v>
      </c>
      <c r="C258" s="15" t="s">
        <v>30</v>
      </c>
      <c r="D258" s="15" t="s">
        <v>16</v>
      </c>
      <c r="E258" s="15" t="s">
        <v>17</v>
      </c>
      <c r="F258" s="15" t="s">
        <v>24</v>
      </c>
      <c r="G258" s="15" t="s">
        <v>25</v>
      </c>
      <c r="H258" s="16">
        <v>27868.7</v>
      </c>
      <c r="I258" s="15">
        <v>2</v>
      </c>
      <c r="J258" s="17">
        <v>6973.6</v>
      </c>
      <c r="K258" s="20" t="str">
        <f>IF(Table4[[#This Row],[Sales]]&gt;=40000,"BEST SALE","POOR SALE")</f>
        <v>POOR SALE</v>
      </c>
      <c r="L258" s="30" t="str" cm="1">
        <f t="array" ref="L258">_xlfn.IFS(Table4[[#This Row],[Sales]]&gt;=40000,"Best Sale", Table4[[#This Row],[Sales]]&gt;=20000,"Average Sale",Table4[[#This Row],[Sales]]&gt;0,"Poor Sale")</f>
        <v>Average Sale</v>
      </c>
      <c r="M258" s="32" t="str" cm="1">
        <f t="array" ref="M258">_xlfn.IFS(Table4[[#This Row],[Sales]]&gt;=40000,"Best", Table4[[#This Row],[Sales]]&gt;=35000,"Average",Table4[[#This Row],[Sales]]&gt;0,"Poor")</f>
        <v>Poor</v>
      </c>
    </row>
    <row r="259" spans="1:13" x14ac:dyDescent="0.3">
      <c r="A259" s="18">
        <v>258</v>
      </c>
      <c r="B259" s="19">
        <v>45269</v>
      </c>
      <c r="C259" s="20" t="s">
        <v>10</v>
      </c>
      <c r="D259" s="20" t="s">
        <v>11</v>
      </c>
      <c r="E259" s="20" t="s">
        <v>20</v>
      </c>
      <c r="F259" s="20" t="s">
        <v>31</v>
      </c>
      <c r="G259" s="20" t="s">
        <v>39</v>
      </c>
      <c r="H259" s="21">
        <v>40634.300000000003</v>
      </c>
      <c r="I259" s="20">
        <v>10</v>
      </c>
      <c r="J259" s="22">
        <v>11614.53</v>
      </c>
      <c r="K259" s="20" t="str">
        <f>IF(Table4[[#This Row],[Sales]]&gt;=40000,"BEST SALE","POOR SALE")</f>
        <v>BEST SALE</v>
      </c>
      <c r="L259" s="30" t="str" cm="1">
        <f t="array" ref="L259">_xlfn.IFS(Table4[[#This Row],[Sales]]&gt;=40000,"Best Sale", Table4[[#This Row],[Sales]]&gt;=20000,"Average Sale",Table4[[#This Row],[Sales]]&gt;0,"Poor Sale")</f>
        <v>Best Sale</v>
      </c>
      <c r="M259" s="32" t="str" cm="1">
        <f t="array" ref="M259">_xlfn.IFS(Table4[[#This Row],[Sales]]&gt;=40000,"Best", Table4[[#This Row],[Sales]]&gt;=35000,"Average",Table4[[#This Row],[Sales]]&gt;0,"Poor")</f>
        <v>Best</v>
      </c>
    </row>
    <row r="260" spans="1:13" x14ac:dyDescent="0.3">
      <c r="A260" s="13">
        <v>259</v>
      </c>
      <c r="B260" s="14">
        <v>45164</v>
      </c>
      <c r="C260" s="15" t="s">
        <v>26</v>
      </c>
      <c r="D260" s="15" t="s">
        <v>27</v>
      </c>
      <c r="E260" s="15" t="s">
        <v>20</v>
      </c>
      <c r="F260" s="15" t="s">
        <v>31</v>
      </c>
      <c r="G260" s="15" t="s">
        <v>32</v>
      </c>
      <c r="H260" s="16">
        <v>2252.35</v>
      </c>
      <c r="I260" s="15">
        <v>2</v>
      </c>
      <c r="J260" s="17">
        <v>469.57</v>
      </c>
      <c r="K260" s="20" t="str">
        <f>IF(Table4[[#This Row],[Sales]]&gt;=40000,"BEST SALE","POOR SALE")</f>
        <v>POOR SALE</v>
      </c>
      <c r="L260" s="30" t="str" cm="1">
        <f t="array" ref="L260">_xlfn.IFS(Table4[[#This Row],[Sales]]&gt;=40000,"Best Sale", Table4[[#This Row],[Sales]]&gt;=20000,"Average Sale",Table4[[#This Row],[Sales]]&gt;0,"Poor Sale")</f>
        <v>Poor Sale</v>
      </c>
      <c r="M260" s="32" t="str" cm="1">
        <f t="array" ref="M260">_xlfn.IFS(Table4[[#This Row],[Sales]]&gt;=40000,"Best", Table4[[#This Row],[Sales]]&gt;=35000,"Average",Table4[[#This Row],[Sales]]&gt;0,"Poor")</f>
        <v>Poor</v>
      </c>
    </row>
    <row r="261" spans="1:13" x14ac:dyDescent="0.3">
      <c r="A261" s="18">
        <v>260</v>
      </c>
      <c r="B261" s="19">
        <v>45289</v>
      </c>
      <c r="C261" s="20" t="s">
        <v>15</v>
      </c>
      <c r="D261" s="20" t="s">
        <v>16</v>
      </c>
      <c r="E261" s="20" t="s">
        <v>12</v>
      </c>
      <c r="F261" s="20" t="s">
        <v>24</v>
      </c>
      <c r="G261" s="20" t="s">
        <v>29</v>
      </c>
      <c r="H261" s="21">
        <v>24406.17</v>
      </c>
      <c r="I261" s="20">
        <v>2</v>
      </c>
      <c r="J261" s="22">
        <v>1809.18</v>
      </c>
      <c r="K261" s="20" t="str">
        <f>IF(Table4[[#This Row],[Sales]]&gt;=40000,"BEST SALE","POOR SALE")</f>
        <v>POOR SALE</v>
      </c>
      <c r="L261" s="30" t="str" cm="1">
        <f t="array" ref="L261">_xlfn.IFS(Table4[[#This Row],[Sales]]&gt;=40000,"Best Sale", Table4[[#This Row],[Sales]]&gt;=20000,"Average Sale",Table4[[#This Row],[Sales]]&gt;0,"Poor Sale")</f>
        <v>Average Sale</v>
      </c>
      <c r="M261" s="32" t="str" cm="1">
        <f t="array" ref="M261">_xlfn.IFS(Table4[[#This Row],[Sales]]&gt;=40000,"Best", Table4[[#This Row],[Sales]]&gt;=35000,"Average",Table4[[#This Row],[Sales]]&gt;0,"Poor")</f>
        <v>Poor</v>
      </c>
    </row>
    <row r="262" spans="1:13" x14ac:dyDescent="0.3">
      <c r="A262" s="13">
        <v>261</v>
      </c>
      <c r="B262" s="14">
        <v>45238</v>
      </c>
      <c r="C262" s="15" t="s">
        <v>22</v>
      </c>
      <c r="D262" s="15" t="s">
        <v>22</v>
      </c>
      <c r="E262" s="15" t="s">
        <v>17</v>
      </c>
      <c r="F262" s="15" t="s">
        <v>13</v>
      </c>
      <c r="G262" s="15" t="s">
        <v>34</v>
      </c>
      <c r="H262" s="16">
        <v>14529.22</v>
      </c>
      <c r="I262" s="15">
        <v>8</v>
      </c>
      <c r="J262" s="17">
        <v>3777.18</v>
      </c>
      <c r="K262" s="20" t="str">
        <f>IF(Table4[[#This Row],[Sales]]&gt;=40000,"BEST SALE","POOR SALE")</f>
        <v>POOR SALE</v>
      </c>
      <c r="L262" s="30" t="str" cm="1">
        <f t="array" ref="L262">_xlfn.IFS(Table4[[#This Row],[Sales]]&gt;=40000,"Best Sale", Table4[[#This Row],[Sales]]&gt;=20000,"Average Sale",Table4[[#This Row],[Sales]]&gt;0,"Poor Sale")</f>
        <v>Poor Sale</v>
      </c>
      <c r="M262" s="32" t="str" cm="1">
        <f t="array" ref="M262">_xlfn.IFS(Table4[[#This Row],[Sales]]&gt;=40000,"Best", Table4[[#This Row],[Sales]]&gt;=35000,"Average",Table4[[#This Row],[Sales]]&gt;0,"Poor")</f>
        <v>Poor</v>
      </c>
    </row>
    <row r="263" spans="1:13" x14ac:dyDescent="0.3">
      <c r="A263" s="18">
        <v>262</v>
      </c>
      <c r="B263" s="19">
        <v>45013</v>
      </c>
      <c r="C263" s="20" t="s">
        <v>37</v>
      </c>
      <c r="D263" s="20" t="s">
        <v>27</v>
      </c>
      <c r="E263" s="20" t="s">
        <v>12</v>
      </c>
      <c r="F263" s="20" t="s">
        <v>13</v>
      </c>
      <c r="G263" s="20" t="s">
        <v>14</v>
      </c>
      <c r="H263" s="21">
        <v>19364.93</v>
      </c>
      <c r="I263" s="20">
        <v>3</v>
      </c>
      <c r="J263" s="22">
        <v>5725.87</v>
      </c>
      <c r="K263" s="20" t="str">
        <f>IF(Table4[[#This Row],[Sales]]&gt;=40000,"BEST SALE","POOR SALE")</f>
        <v>POOR SALE</v>
      </c>
      <c r="L263" s="30" t="str" cm="1">
        <f t="array" ref="L263">_xlfn.IFS(Table4[[#This Row],[Sales]]&gt;=40000,"Best Sale", Table4[[#This Row],[Sales]]&gt;=20000,"Average Sale",Table4[[#This Row],[Sales]]&gt;0,"Poor Sale")</f>
        <v>Poor Sale</v>
      </c>
      <c r="M263" s="32" t="str" cm="1">
        <f t="array" ref="M263">_xlfn.IFS(Table4[[#This Row],[Sales]]&gt;=40000,"Best", Table4[[#This Row],[Sales]]&gt;=35000,"Average",Table4[[#This Row],[Sales]]&gt;0,"Poor")</f>
        <v>Poor</v>
      </c>
    </row>
    <row r="264" spans="1:13" x14ac:dyDescent="0.3">
      <c r="A264" s="13">
        <v>263</v>
      </c>
      <c r="B264" s="14">
        <v>45214</v>
      </c>
      <c r="C264" s="15" t="s">
        <v>30</v>
      </c>
      <c r="D264" s="15" t="s">
        <v>16</v>
      </c>
      <c r="E264" s="15" t="s">
        <v>17</v>
      </c>
      <c r="F264" s="15" t="s">
        <v>31</v>
      </c>
      <c r="G264" s="15" t="s">
        <v>32</v>
      </c>
      <c r="H264" s="16">
        <v>39741.019999999997</v>
      </c>
      <c r="I264" s="15">
        <v>6</v>
      </c>
      <c r="J264" s="17">
        <v>11691.37</v>
      </c>
      <c r="K264" s="20" t="str">
        <f>IF(Table4[[#This Row],[Sales]]&gt;=40000,"BEST SALE","POOR SALE")</f>
        <v>POOR SALE</v>
      </c>
      <c r="L264" s="30" t="str" cm="1">
        <f t="array" ref="L264">_xlfn.IFS(Table4[[#This Row],[Sales]]&gt;=40000,"Best Sale", Table4[[#This Row],[Sales]]&gt;=20000,"Average Sale",Table4[[#This Row],[Sales]]&gt;0,"Poor Sale")</f>
        <v>Average Sale</v>
      </c>
      <c r="M264" s="32" t="str" cm="1">
        <f t="array" ref="M264">_xlfn.IFS(Table4[[#This Row],[Sales]]&gt;=40000,"Best", Table4[[#This Row],[Sales]]&gt;=35000,"Average",Table4[[#This Row],[Sales]]&gt;0,"Poor")</f>
        <v>Average</v>
      </c>
    </row>
    <row r="265" spans="1:13" x14ac:dyDescent="0.3">
      <c r="A265" s="18">
        <v>264</v>
      </c>
      <c r="B265" s="19">
        <v>45114</v>
      </c>
      <c r="C265" s="20" t="s">
        <v>22</v>
      </c>
      <c r="D265" s="20" t="s">
        <v>22</v>
      </c>
      <c r="E265" s="20" t="s">
        <v>20</v>
      </c>
      <c r="F265" s="20" t="s">
        <v>24</v>
      </c>
      <c r="G265" s="20" t="s">
        <v>29</v>
      </c>
      <c r="H265" s="21">
        <v>28526.5</v>
      </c>
      <c r="I265" s="20">
        <v>9</v>
      </c>
      <c r="J265" s="22">
        <v>2168.42</v>
      </c>
      <c r="K265" s="20" t="str">
        <f>IF(Table4[[#This Row],[Sales]]&gt;=40000,"BEST SALE","POOR SALE")</f>
        <v>POOR SALE</v>
      </c>
      <c r="L265" s="30" t="str" cm="1">
        <f t="array" ref="L265">_xlfn.IFS(Table4[[#This Row],[Sales]]&gt;=40000,"Best Sale", Table4[[#This Row],[Sales]]&gt;=20000,"Average Sale",Table4[[#This Row],[Sales]]&gt;0,"Poor Sale")</f>
        <v>Average Sale</v>
      </c>
      <c r="M265" s="32" t="str" cm="1">
        <f t="array" ref="M265">_xlfn.IFS(Table4[[#This Row],[Sales]]&gt;=40000,"Best", Table4[[#This Row],[Sales]]&gt;=35000,"Average",Table4[[#This Row],[Sales]]&gt;0,"Poor")</f>
        <v>Poor</v>
      </c>
    </row>
    <row r="266" spans="1:13" x14ac:dyDescent="0.3">
      <c r="A266" s="13">
        <v>265</v>
      </c>
      <c r="B266" s="14">
        <v>45156</v>
      </c>
      <c r="C266" s="15" t="s">
        <v>26</v>
      </c>
      <c r="D266" s="15" t="s">
        <v>27</v>
      </c>
      <c r="E266" s="15" t="s">
        <v>20</v>
      </c>
      <c r="F266" s="15" t="s">
        <v>24</v>
      </c>
      <c r="G266" s="15" t="s">
        <v>28</v>
      </c>
      <c r="H266" s="16">
        <v>23711.97</v>
      </c>
      <c r="I266" s="15">
        <v>10</v>
      </c>
      <c r="J266" s="17">
        <v>3673.28</v>
      </c>
      <c r="K266" s="20" t="str">
        <f>IF(Table4[[#This Row],[Sales]]&gt;=40000,"BEST SALE","POOR SALE")</f>
        <v>POOR SALE</v>
      </c>
      <c r="L266" s="30" t="str" cm="1">
        <f t="array" ref="L266">_xlfn.IFS(Table4[[#This Row],[Sales]]&gt;=40000,"Best Sale", Table4[[#This Row],[Sales]]&gt;=20000,"Average Sale",Table4[[#This Row],[Sales]]&gt;0,"Poor Sale")</f>
        <v>Average Sale</v>
      </c>
      <c r="M266" s="32" t="str" cm="1">
        <f t="array" ref="M266">_xlfn.IFS(Table4[[#This Row],[Sales]]&gt;=40000,"Best", Table4[[#This Row],[Sales]]&gt;=35000,"Average",Table4[[#This Row],[Sales]]&gt;0,"Poor")</f>
        <v>Poor</v>
      </c>
    </row>
    <row r="267" spans="1:13" x14ac:dyDescent="0.3">
      <c r="A267" s="18">
        <v>266</v>
      </c>
      <c r="B267" s="19">
        <v>45127</v>
      </c>
      <c r="C267" s="20" t="s">
        <v>26</v>
      </c>
      <c r="D267" s="20" t="s">
        <v>27</v>
      </c>
      <c r="E267" s="20" t="s">
        <v>12</v>
      </c>
      <c r="F267" s="20" t="s">
        <v>31</v>
      </c>
      <c r="G267" s="20" t="s">
        <v>39</v>
      </c>
      <c r="H267" s="21">
        <v>28029.09</v>
      </c>
      <c r="I267" s="20">
        <v>2</v>
      </c>
      <c r="J267" s="22">
        <v>5086.72</v>
      </c>
      <c r="K267" s="20" t="str">
        <f>IF(Table4[[#This Row],[Sales]]&gt;=40000,"BEST SALE","POOR SALE")</f>
        <v>POOR SALE</v>
      </c>
      <c r="L267" s="30" t="str" cm="1">
        <f t="array" ref="L267">_xlfn.IFS(Table4[[#This Row],[Sales]]&gt;=40000,"Best Sale", Table4[[#This Row],[Sales]]&gt;=20000,"Average Sale",Table4[[#This Row],[Sales]]&gt;0,"Poor Sale")</f>
        <v>Average Sale</v>
      </c>
      <c r="M267" s="32" t="str" cm="1">
        <f t="array" ref="M267">_xlfn.IFS(Table4[[#This Row],[Sales]]&gt;=40000,"Best", Table4[[#This Row],[Sales]]&gt;=35000,"Average",Table4[[#This Row],[Sales]]&gt;0,"Poor")</f>
        <v>Poor</v>
      </c>
    </row>
    <row r="268" spans="1:13" x14ac:dyDescent="0.3">
      <c r="A268" s="13">
        <v>267</v>
      </c>
      <c r="B268" s="14">
        <v>45268</v>
      </c>
      <c r="C268" s="15" t="s">
        <v>37</v>
      </c>
      <c r="D268" s="15" t="s">
        <v>27</v>
      </c>
      <c r="E268" s="15" t="s">
        <v>17</v>
      </c>
      <c r="F268" s="15" t="s">
        <v>31</v>
      </c>
      <c r="G268" s="15" t="s">
        <v>39</v>
      </c>
      <c r="H268" s="16">
        <v>5734.42</v>
      </c>
      <c r="I268" s="15">
        <v>4</v>
      </c>
      <c r="J268" s="17">
        <v>1489.22</v>
      </c>
      <c r="K268" s="20" t="str">
        <f>IF(Table4[[#This Row],[Sales]]&gt;=40000,"BEST SALE","POOR SALE")</f>
        <v>POOR SALE</v>
      </c>
      <c r="L268" s="30" t="str" cm="1">
        <f t="array" ref="L268">_xlfn.IFS(Table4[[#This Row],[Sales]]&gt;=40000,"Best Sale", Table4[[#This Row],[Sales]]&gt;=20000,"Average Sale",Table4[[#This Row],[Sales]]&gt;0,"Poor Sale")</f>
        <v>Poor Sale</v>
      </c>
      <c r="M268" s="32" t="str" cm="1">
        <f t="array" ref="M268">_xlfn.IFS(Table4[[#This Row],[Sales]]&gt;=40000,"Best", Table4[[#This Row],[Sales]]&gt;=35000,"Average",Table4[[#This Row],[Sales]]&gt;0,"Poor")</f>
        <v>Poor</v>
      </c>
    </row>
    <row r="269" spans="1:13" x14ac:dyDescent="0.3">
      <c r="A269" s="18">
        <v>268</v>
      </c>
      <c r="B269" s="19">
        <v>45136</v>
      </c>
      <c r="C269" s="20" t="s">
        <v>30</v>
      </c>
      <c r="D269" s="20" t="s">
        <v>16</v>
      </c>
      <c r="E269" s="20" t="s">
        <v>12</v>
      </c>
      <c r="F269" s="20" t="s">
        <v>31</v>
      </c>
      <c r="G269" s="20" t="s">
        <v>32</v>
      </c>
      <c r="H269" s="21">
        <v>39653.46</v>
      </c>
      <c r="I269" s="20">
        <v>5</v>
      </c>
      <c r="J269" s="22">
        <v>11436.72</v>
      </c>
      <c r="K269" s="20" t="str">
        <f>IF(Table4[[#This Row],[Sales]]&gt;=40000,"BEST SALE","POOR SALE")</f>
        <v>POOR SALE</v>
      </c>
      <c r="L269" s="30" t="str" cm="1">
        <f t="array" ref="L269">_xlfn.IFS(Table4[[#This Row],[Sales]]&gt;=40000,"Best Sale", Table4[[#This Row],[Sales]]&gt;=20000,"Average Sale",Table4[[#This Row],[Sales]]&gt;0,"Poor Sale")</f>
        <v>Average Sale</v>
      </c>
      <c r="M269" s="32" t="str" cm="1">
        <f t="array" ref="M269">_xlfn.IFS(Table4[[#This Row],[Sales]]&gt;=40000,"Best", Table4[[#This Row],[Sales]]&gt;=35000,"Average",Table4[[#This Row],[Sales]]&gt;0,"Poor")</f>
        <v>Average</v>
      </c>
    </row>
    <row r="270" spans="1:13" x14ac:dyDescent="0.3">
      <c r="A270" s="13">
        <v>269</v>
      </c>
      <c r="B270" s="14">
        <v>45100</v>
      </c>
      <c r="C270" s="15" t="s">
        <v>30</v>
      </c>
      <c r="D270" s="15" t="s">
        <v>16</v>
      </c>
      <c r="E270" s="15" t="s">
        <v>17</v>
      </c>
      <c r="F270" s="15" t="s">
        <v>24</v>
      </c>
      <c r="G270" s="15" t="s">
        <v>28</v>
      </c>
      <c r="H270" s="16">
        <v>31139.39</v>
      </c>
      <c r="I270" s="15">
        <v>5</v>
      </c>
      <c r="J270" s="17">
        <v>5027.6499999999996</v>
      </c>
      <c r="K270" s="20" t="str">
        <f>IF(Table4[[#This Row],[Sales]]&gt;=40000,"BEST SALE","POOR SALE")</f>
        <v>POOR SALE</v>
      </c>
      <c r="L270" s="30" t="str" cm="1">
        <f t="array" ref="L270">_xlfn.IFS(Table4[[#This Row],[Sales]]&gt;=40000,"Best Sale", Table4[[#This Row],[Sales]]&gt;=20000,"Average Sale",Table4[[#This Row],[Sales]]&gt;0,"Poor Sale")</f>
        <v>Average Sale</v>
      </c>
      <c r="M270" s="32" t="str" cm="1">
        <f t="array" ref="M270">_xlfn.IFS(Table4[[#This Row],[Sales]]&gt;=40000,"Best", Table4[[#This Row],[Sales]]&gt;=35000,"Average",Table4[[#This Row],[Sales]]&gt;0,"Poor")</f>
        <v>Poor</v>
      </c>
    </row>
    <row r="271" spans="1:13" x14ac:dyDescent="0.3">
      <c r="A271" s="18">
        <v>270</v>
      </c>
      <c r="B271" s="19">
        <v>44981</v>
      </c>
      <c r="C271" s="20" t="s">
        <v>30</v>
      </c>
      <c r="D271" s="20" t="s">
        <v>16</v>
      </c>
      <c r="E271" s="20" t="s">
        <v>20</v>
      </c>
      <c r="F271" s="20" t="s">
        <v>24</v>
      </c>
      <c r="G271" s="20" t="s">
        <v>28</v>
      </c>
      <c r="H271" s="21">
        <v>22141.33</v>
      </c>
      <c r="I271" s="20">
        <v>7</v>
      </c>
      <c r="J271" s="22">
        <v>4473.1400000000003</v>
      </c>
      <c r="K271" s="20" t="str">
        <f>IF(Table4[[#This Row],[Sales]]&gt;=40000,"BEST SALE","POOR SALE")</f>
        <v>POOR SALE</v>
      </c>
      <c r="L271" s="30" t="str" cm="1">
        <f t="array" ref="L271">_xlfn.IFS(Table4[[#This Row],[Sales]]&gt;=40000,"Best Sale", Table4[[#This Row],[Sales]]&gt;=20000,"Average Sale",Table4[[#This Row],[Sales]]&gt;0,"Poor Sale")</f>
        <v>Average Sale</v>
      </c>
      <c r="M271" s="32" t="str" cm="1">
        <f t="array" ref="M271">_xlfn.IFS(Table4[[#This Row],[Sales]]&gt;=40000,"Best", Table4[[#This Row],[Sales]]&gt;=35000,"Average",Table4[[#This Row],[Sales]]&gt;0,"Poor")</f>
        <v>Poor</v>
      </c>
    </row>
    <row r="272" spans="1:13" x14ac:dyDescent="0.3">
      <c r="A272" s="13">
        <v>271</v>
      </c>
      <c r="B272" s="14">
        <v>45238</v>
      </c>
      <c r="C272" s="15" t="s">
        <v>15</v>
      </c>
      <c r="D272" s="15" t="s">
        <v>16</v>
      </c>
      <c r="E272" s="15" t="s">
        <v>20</v>
      </c>
      <c r="F272" s="15" t="s">
        <v>13</v>
      </c>
      <c r="G272" s="15" t="s">
        <v>34</v>
      </c>
      <c r="H272" s="16">
        <v>44279.01</v>
      </c>
      <c r="I272" s="15">
        <v>7</v>
      </c>
      <c r="J272" s="17">
        <v>6441.93</v>
      </c>
      <c r="K272" s="20" t="str">
        <f>IF(Table4[[#This Row],[Sales]]&gt;=40000,"BEST SALE","POOR SALE")</f>
        <v>BEST SALE</v>
      </c>
      <c r="L272" s="30" t="str" cm="1">
        <f t="array" ref="L272">_xlfn.IFS(Table4[[#This Row],[Sales]]&gt;=40000,"Best Sale", Table4[[#This Row],[Sales]]&gt;=20000,"Average Sale",Table4[[#This Row],[Sales]]&gt;0,"Poor Sale")</f>
        <v>Best Sale</v>
      </c>
      <c r="M272" s="32" t="str" cm="1">
        <f t="array" ref="M272">_xlfn.IFS(Table4[[#This Row],[Sales]]&gt;=40000,"Best", Table4[[#This Row],[Sales]]&gt;=35000,"Average",Table4[[#This Row],[Sales]]&gt;0,"Poor")</f>
        <v>Best</v>
      </c>
    </row>
    <row r="273" spans="1:13" x14ac:dyDescent="0.3">
      <c r="A273" s="18">
        <v>272</v>
      </c>
      <c r="B273" s="19">
        <v>44927</v>
      </c>
      <c r="C273" s="20" t="s">
        <v>35</v>
      </c>
      <c r="D273" s="20" t="s">
        <v>36</v>
      </c>
      <c r="E273" s="20" t="s">
        <v>12</v>
      </c>
      <c r="F273" s="20" t="s">
        <v>24</v>
      </c>
      <c r="G273" s="20" t="s">
        <v>25</v>
      </c>
      <c r="H273" s="21">
        <v>34850.58</v>
      </c>
      <c r="I273" s="20">
        <v>6</v>
      </c>
      <c r="J273" s="22">
        <v>7187.87</v>
      </c>
      <c r="K273" s="20" t="str">
        <f>IF(Table4[[#This Row],[Sales]]&gt;=40000,"BEST SALE","POOR SALE")</f>
        <v>POOR SALE</v>
      </c>
      <c r="L273" s="30" t="str" cm="1">
        <f t="array" ref="L273">_xlfn.IFS(Table4[[#This Row],[Sales]]&gt;=40000,"Best Sale", Table4[[#This Row],[Sales]]&gt;=20000,"Average Sale",Table4[[#This Row],[Sales]]&gt;0,"Poor Sale")</f>
        <v>Average Sale</v>
      </c>
      <c r="M273" s="32" t="str" cm="1">
        <f t="array" ref="M273">_xlfn.IFS(Table4[[#This Row],[Sales]]&gt;=40000,"Best", Table4[[#This Row],[Sales]]&gt;=35000,"Average",Table4[[#This Row],[Sales]]&gt;0,"Poor")</f>
        <v>Poor</v>
      </c>
    </row>
    <row r="274" spans="1:13" x14ac:dyDescent="0.3">
      <c r="A274" s="13">
        <v>273</v>
      </c>
      <c r="B274" s="14">
        <v>45155</v>
      </c>
      <c r="C274" s="15" t="s">
        <v>22</v>
      </c>
      <c r="D274" s="15" t="s">
        <v>22</v>
      </c>
      <c r="E274" s="15" t="s">
        <v>17</v>
      </c>
      <c r="F274" s="15" t="s">
        <v>31</v>
      </c>
      <c r="G274" s="15" t="s">
        <v>33</v>
      </c>
      <c r="H274" s="16">
        <v>5858.59</v>
      </c>
      <c r="I274" s="15">
        <v>3</v>
      </c>
      <c r="J274" s="17">
        <v>796.7</v>
      </c>
      <c r="K274" s="20" t="str">
        <f>IF(Table4[[#This Row],[Sales]]&gt;=40000,"BEST SALE","POOR SALE")</f>
        <v>POOR SALE</v>
      </c>
      <c r="L274" s="30" t="str" cm="1">
        <f t="array" ref="L274">_xlfn.IFS(Table4[[#This Row],[Sales]]&gt;=40000,"Best Sale", Table4[[#This Row],[Sales]]&gt;=20000,"Average Sale",Table4[[#This Row],[Sales]]&gt;0,"Poor Sale")</f>
        <v>Poor Sale</v>
      </c>
      <c r="M274" s="32" t="str" cm="1">
        <f t="array" ref="M274">_xlfn.IFS(Table4[[#This Row],[Sales]]&gt;=40000,"Best", Table4[[#This Row],[Sales]]&gt;=35000,"Average",Table4[[#This Row],[Sales]]&gt;0,"Poor")</f>
        <v>Poor</v>
      </c>
    </row>
    <row r="275" spans="1:13" x14ac:dyDescent="0.3">
      <c r="A275" s="18">
        <v>274</v>
      </c>
      <c r="B275" s="19">
        <v>45162</v>
      </c>
      <c r="C275" s="20" t="s">
        <v>38</v>
      </c>
      <c r="D275" s="20" t="s">
        <v>27</v>
      </c>
      <c r="E275" s="20" t="s">
        <v>12</v>
      </c>
      <c r="F275" s="20" t="s">
        <v>31</v>
      </c>
      <c r="G275" s="20" t="s">
        <v>39</v>
      </c>
      <c r="H275" s="21">
        <v>48376.78</v>
      </c>
      <c r="I275" s="20">
        <v>2</v>
      </c>
      <c r="J275" s="22">
        <v>6380.96</v>
      </c>
      <c r="K275" s="20" t="str">
        <f>IF(Table4[[#This Row],[Sales]]&gt;=40000,"BEST SALE","POOR SALE")</f>
        <v>BEST SALE</v>
      </c>
      <c r="L275" s="30" t="str" cm="1">
        <f t="array" ref="L275">_xlfn.IFS(Table4[[#This Row],[Sales]]&gt;=40000,"Best Sale", Table4[[#This Row],[Sales]]&gt;=20000,"Average Sale",Table4[[#This Row],[Sales]]&gt;0,"Poor Sale")</f>
        <v>Best Sale</v>
      </c>
      <c r="M275" s="32" t="str" cm="1">
        <f t="array" ref="M275">_xlfn.IFS(Table4[[#This Row],[Sales]]&gt;=40000,"Best", Table4[[#This Row],[Sales]]&gt;=35000,"Average",Table4[[#This Row],[Sales]]&gt;0,"Poor")</f>
        <v>Best</v>
      </c>
    </row>
    <row r="276" spans="1:13" x14ac:dyDescent="0.3">
      <c r="A276" s="13">
        <v>275</v>
      </c>
      <c r="B276" s="14">
        <v>45003</v>
      </c>
      <c r="C276" s="15" t="s">
        <v>37</v>
      </c>
      <c r="D276" s="15" t="s">
        <v>27</v>
      </c>
      <c r="E276" s="15" t="s">
        <v>17</v>
      </c>
      <c r="F276" s="15" t="s">
        <v>31</v>
      </c>
      <c r="G276" s="15" t="s">
        <v>39</v>
      </c>
      <c r="H276" s="16">
        <v>45474.51</v>
      </c>
      <c r="I276" s="15">
        <v>5</v>
      </c>
      <c r="J276" s="17">
        <v>10209.879999999999</v>
      </c>
      <c r="K276" s="20" t="str">
        <f>IF(Table4[[#This Row],[Sales]]&gt;=40000,"BEST SALE","POOR SALE")</f>
        <v>BEST SALE</v>
      </c>
      <c r="L276" s="30" t="str" cm="1">
        <f t="array" ref="L276">_xlfn.IFS(Table4[[#This Row],[Sales]]&gt;=40000,"Best Sale", Table4[[#This Row],[Sales]]&gt;=20000,"Average Sale",Table4[[#This Row],[Sales]]&gt;0,"Poor Sale")</f>
        <v>Best Sale</v>
      </c>
      <c r="M276" s="32" t="str" cm="1">
        <f t="array" ref="M276">_xlfn.IFS(Table4[[#This Row],[Sales]]&gt;=40000,"Best", Table4[[#This Row],[Sales]]&gt;=35000,"Average",Table4[[#This Row],[Sales]]&gt;0,"Poor")</f>
        <v>Best</v>
      </c>
    </row>
    <row r="277" spans="1:13" x14ac:dyDescent="0.3">
      <c r="A277" s="18">
        <v>276</v>
      </c>
      <c r="B277" s="19">
        <v>45184</v>
      </c>
      <c r="C277" s="20" t="s">
        <v>38</v>
      </c>
      <c r="D277" s="20" t="s">
        <v>27</v>
      </c>
      <c r="E277" s="20" t="s">
        <v>20</v>
      </c>
      <c r="F277" s="20" t="s">
        <v>31</v>
      </c>
      <c r="G277" s="20" t="s">
        <v>32</v>
      </c>
      <c r="H277" s="21">
        <v>38210.57</v>
      </c>
      <c r="I277" s="20">
        <v>1</v>
      </c>
      <c r="J277" s="22">
        <v>8172.28</v>
      </c>
      <c r="K277" s="20" t="str">
        <f>IF(Table4[[#This Row],[Sales]]&gt;=40000,"BEST SALE","POOR SALE")</f>
        <v>POOR SALE</v>
      </c>
      <c r="L277" s="30" t="str" cm="1">
        <f t="array" ref="L277">_xlfn.IFS(Table4[[#This Row],[Sales]]&gt;=40000,"Best Sale", Table4[[#This Row],[Sales]]&gt;=20000,"Average Sale",Table4[[#This Row],[Sales]]&gt;0,"Poor Sale")</f>
        <v>Average Sale</v>
      </c>
      <c r="M277" s="32" t="str" cm="1">
        <f t="array" ref="M277">_xlfn.IFS(Table4[[#This Row],[Sales]]&gt;=40000,"Best", Table4[[#This Row],[Sales]]&gt;=35000,"Average",Table4[[#This Row],[Sales]]&gt;0,"Poor")</f>
        <v>Average</v>
      </c>
    </row>
    <row r="278" spans="1:13" x14ac:dyDescent="0.3">
      <c r="A278" s="13">
        <v>277</v>
      </c>
      <c r="B278" s="14">
        <v>45064</v>
      </c>
      <c r="C278" s="15" t="s">
        <v>35</v>
      </c>
      <c r="D278" s="15" t="s">
        <v>36</v>
      </c>
      <c r="E278" s="15" t="s">
        <v>20</v>
      </c>
      <c r="F278" s="15" t="s">
        <v>24</v>
      </c>
      <c r="G278" s="15" t="s">
        <v>28</v>
      </c>
      <c r="H278" s="16">
        <v>2743.4</v>
      </c>
      <c r="I278" s="15">
        <v>2</v>
      </c>
      <c r="J278" s="17">
        <v>324.44</v>
      </c>
      <c r="K278" s="20" t="str">
        <f>IF(Table4[[#This Row],[Sales]]&gt;=40000,"BEST SALE","POOR SALE")</f>
        <v>POOR SALE</v>
      </c>
      <c r="L278" s="30" t="str" cm="1">
        <f t="array" ref="L278">_xlfn.IFS(Table4[[#This Row],[Sales]]&gt;=40000,"Best Sale", Table4[[#This Row],[Sales]]&gt;=20000,"Average Sale",Table4[[#This Row],[Sales]]&gt;0,"Poor Sale")</f>
        <v>Poor Sale</v>
      </c>
      <c r="M278" s="32" t="str" cm="1">
        <f t="array" ref="M278">_xlfn.IFS(Table4[[#This Row],[Sales]]&gt;=40000,"Best", Table4[[#This Row],[Sales]]&gt;=35000,"Average",Table4[[#This Row],[Sales]]&gt;0,"Poor")</f>
        <v>Poor</v>
      </c>
    </row>
    <row r="279" spans="1:13" x14ac:dyDescent="0.3">
      <c r="A279" s="18">
        <v>278</v>
      </c>
      <c r="B279" s="19">
        <v>45010</v>
      </c>
      <c r="C279" s="20" t="s">
        <v>15</v>
      </c>
      <c r="D279" s="20" t="s">
        <v>16</v>
      </c>
      <c r="E279" s="20" t="s">
        <v>12</v>
      </c>
      <c r="F279" s="20" t="s">
        <v>31</v>
      </c>
      <c r="G279" s="20" t="s">
        <v>32</v>
      </c>
      <c r="H279" s="21">
        <v>17723.98</v>
      </c>
      <c r="I279" s="20">
        <v>3</v>
      </c>
      <c r="J279" s="22">
        <v>3188.41</v>
      </c>
      <c r="K279" s="20" t="str">
        <f>IF(Table4[[#This Row],[Sales]]&gt;=40000,"BEST SALE","POOR SALE")</f>
        <v>POOR SALE</v>
      </c>
      <c r="L279" s="30" t="str" cm="1">
        <f t="array" ref="L279">_xlfn.IFS(Table4[[#This Row],[Sales]]&gt;=40000,"Best Sale", Table4[[#This Row],[Sales]]&gt;=20000,"Average Sale",Table4[[#This Row],[Sales]]&gt;0,"Poor Sale")</f>
        <v>Poor Sale</v>
      </c>
      <c r="M279" s="32" t="str" cm="1">
        <f t="array" ref="M279">_xlfn.IFS(Table4[[#This Row],[Sales]]&gt;=40000,"Best", Table4[[#This Row],[Sales]]&gt;=35000,"Average",Table4[[#This Row],[Sales]]&gt;0,"Poor")</f>
        <v>Poor</v>
      </c>
    </row>
    <row r="280" spans="1:13" x14ac:dyDescent="0.3">
      <c r="A280" s="13">
        <v>279</v>
      </c>
      <c r="B280" s="14">
        <v>44973</v>
      </c>
      <c r="C280" s="15" t="s">
        <v>15</v>
      </c>
      <c r="D280" s="15" t="s">
        <v>16</v>
      </c>
      <c r="E280" s="15" t="s">
        <v>17</v>
      </c>
      <c r="F280" s="15" t="s">
        <v>13</v>
      </c>
      <c r="G280" s="15" t="s">
        <v>21</v>
      </c>
      <c r="H280" s="16">
        <v>37126.15</v>
      </c>
      <c r="I280" s="15">
        <v>7</v>
      </c>
      <c r="J280" s="17">
        <v>7778.08</v>
      </c>
      <c r="K280" s="20" t="str">
        <f>IF(Table4[[#This Row],[Sales]]&gt;=40000,"BEST SALE","POOR SALE")</f>
        <v>POOR SALE</v>
      </c>
      <c r="L280" s="30" t="str" cm="1">
        <f t="array" ref="L280">_xlfn.IFS(Table4[[#This Row],[Sales]]&gt;=40000,"Best Sale", Table4[[#This Row],[Sales]]&gt;=20000,"Average Sale",Table4[[#This Row],[Sales]]&gt;0,"Poor Sale")</f>
        <v>Average Sale</v>
      </c>
      <c r="M280" s="32" t="str" cm="1">
        <f t="array" ref="M280">_xlfn.IFS(Table4[[#This Row],[Sales]]&gt;=40000,"Best", Table4[[#This Row],[Sales]]&gt;=35000,"Average",Table4[[#This Row],[Sales]]&gt;0,"Poor")</f>
        <v>Average</v>
      </c>
    </row>
    <row r="281" spans="1:13" x14ac:dyDescent="0.3">
      <c r="A281" s="18">
        <v>280</v>
      </c>
      <c r="B281" s="19">
        <v>45043</v>
      </c>
      <c r="C281" s="20" t="s">
        <v>10</v>
      </c>
      <c r="D281" s="20" t="s">
        <v>11</v>
      </c>
      <c r="E281" s="20" t="s">
        <v>12</v>
      </c>
      <c r="F281" s="20" t="s">
        <v>13</v>
      </c>
      <c r="G281" s="20" t="s">
        <v>14</v>
      </c>
      <c r="H281" s="21">
        <v>33645.160000000003</v>
      </c>
      <c r="I281" s="20">
        <v>9</v>
      </c>
      <c r="J281" s="22">
        <v>3910.56</v>
      </c>
      <c r="K281" s="20" t="str">
        <f>IF(Table4[[#This Row],[Sales]]&gt;=40000,"BEST SALE","POOR SALE")</f>
        <v>POOR SALE</v>
      </c>
      <c r="L281" s="30" t="str" cm="1">
        <f t="array" ref="L281">_xlfn.IFS(Table4[[#This Row],[Sales]]&gt;=40000,"Best Sale", Table4[[#This Row],[Sales]]&gt;=20000,"Average Sale",Table4[[#This Row],[Sales]]&gt;0,"Poor Sale")</f>
        <v>Average Sale</v>
      </c>
      <c r="M281" s="32" t="str" cm="1">
        <f t="array" ref="M281">_xlfn.IFS(Table4[[#This Row],[Sales]]&gt;=40000,"Best", Table4[[#This Row],[Sales]]&gt;=35000,"Average",Table4[[#This Row],[Sales]]&gt;0,"Poor")</f>
        <v>Poor</v>
      </c>
    </row>
    <row r="282" spans="1:13" x14ac:dyDescent="0.3">
      <c r="A282" s="13">
        <v>281</v>
      </c>
      <c r="B282" s="14">
        <v>44956</v>
      </c>
      <c r="C282" s="15" t="s">
        <v>35</v>
      </c>
      <c r="D282" s="15" t="s">
        <v>36</v>
      </c>
      <c r="E282" s="15" t="s">
        <v>17</v>
      </c>
      <c r="F282" s="15" t="s">
        <v>24</v>
      </c>
      <c r="G282" s="15" t="s">
        <v>25</v>
      </c>
      <c r="H282" s="16">
        <v>16719.09</v>
      </c>
      <c r="I282" s="15">
        <v>4</v>
      </c>
      <c r="J282" s="17">
        <v>1211.3699999999999</v>
      </c>
      <c r="K282" s="20" t="str">
        <f>IF(Table4[[#This Row],[Sales]]&gt;=40000,"BEST SALE","POOR SALE")</f>
        <v>POOR SALE</v>
      </c>
      <c r="L282" s="30" t="str" cm="1">
        <f t="array" ref="L282">_xlfn.IFS(Table4[[#This Row],[Sales]]&gt;=40000,"Best Sale", Table4[[#This Row],[Sales]]&gt;=20000,"Average Sale",Table4[[#This Row],[Sales]]&gt;0,"Poor Sale")</f>
        <v>Poor Sale</v>
      </c>
      <c r="M282" s="32" t="str" cm="1">
        <f t="array" ref="M282">_xlfn.IFS(Table4[[#This Row],[Sales]]&gt;=40000,"Best", Table4[[#This Row],[Sales]]&gt;=35000,"Average",Table4[[#This Row],[Sales]]&gt;0,"Poor")</f>
        <v>Poor</v>
      </c>
    </row>
    <row r="283" spans="1:13" x14ac:dyDescent="0.3">
      <c r="A283" s="18">
        <v>282</v>
      </c>
      <c r="B283" s="19">
        <v>45046</v>
      </c>
      <c r="C283" s="20" t="s">
        <v>10</v>
      </c>
      <c r="D283" s="20" t="s">
        <v>11</v>
      </c>
      <c r="E283" s="20" t="s">
        <v>20</v>
      </c>
      <c r="F283" s="20" t="s">
        <v>31</v>
      </c>
      <c r="G283" s="20" t="s">
        <v>32</v>
      </c>
      <c r="H283" s="21">
        <v>25813.7</v>
      </c>
      <c r="I283" s="20">
        <v>4</v>
      </c>
      <c r="J283" s="22">
        <v>5481.41</v>
      </c>
      <c r="K283" s="20" t="str">
        <f>IF(Table4[[#This Row],[Sales]]&gt;=40000,"BEST SALE","POOR SALE")</f>
        <v>POOR SALE</v>
      </c>
      <c r="L283" s="30" t="str" cm="1">
        <f t="array" ref="L283">_xlfn.IFS(Table4[[#This Row],[Sales]]&gt;=40000,"Best Sale", Table4[[#This Row],[Sales]]&gt;=20000,"Average Sale",Table4[[#This Row],[Sales]]&gt;0,"Poor Sale")</f>
        <v>Average Sale</v>
      </c>
      <c r="M283" s="32" t="str" cm="1">
        <f t="array" ref="M283">_xlfn.IFS(Table4[[#This Row],[Sales]]&gt;=40000,"Best", Table4[[#This Row],[Sales]]&gt;=35000,"Average",Table4[[#This Row],[Sales]]&gt;0,"Poor")</f>
        <v>Poor</v>
      </c>
    </row>
    <row r="284" spans="1:13" x14ac:dyDescent="0.3">
      <c r="A284" s="13">
        <v>283</v>
      </c>
      <c r="B284" s="14">
        <v>45087</v>
      </c>
      <c r="C284" s="15" t="s">
        <v>37</v>
      </c>
      <c r="D284" s="15" t="s">
        <v>27</v>
      </c>
      <c r="E284" s="15" t="s">
        <v>20</v>
      </c>
      <c r="F284" s="15" t="s">
        <v>13</v>
      </c>
      <c r="G284" s="15" t="s">
        <v>21</v>
      </c>
      <c r="H284" s="16">
        <v>4086.81</v>
      </c>
      <c r="I284" s="15">
        <v>4</v>
      </c>
      <c r="J284" s="17">
        <v>760.68</v>
      </c>
      <c r="K284" s="20" t="str">
        <f>IF(Table4[[#This Row],[Sales]]&gt;=40000,"BEST SALE","POOR SALE")</f>
        <v>POOR SALE</v>
      </c>
      <c r="L284" s="30" t="str" cm="1">
        <f t="array" ref="L284">_xlfn.IFS(Table4[[#This Row],[Sales]]&gt;=40000,"Best Sale", Table4[[#This Row],[Sales]]&gt;=20000,"Average Sale",Table4[[#This Row],[Sales]]&gt;0,"Poor Sale")</f>
        <v>Poor Sale</v>
      </c>
      <c r="M284" s="32" t="str" cm="1">
        <f t="array" ref="M284">_xlfn.IFS(Table4[[#This Row],[Sales]]&gt;=40000,"Best", Table4[[#This Row],[Sales]]&gt;=35000,"Average",Table4[[#This Row],[Sales]]&gt;0,"Poor")</f>
        <v>Poor</v>
      </c>
    </row>
    <row r="285" spans="1:13" x14ac:dyDescent="0.3">
      <c r="A285" s="18">
        <v>284</v>
      </c>
      <c r="B285" s="19">
        <v>45145</v>
      </c>
      <c r="C285" s="20" t="s">
        <v>38</v>
      </c>
      <c r="D285" s="20" t="s">
        <v>27</v>
      </c>
      <c r="E285" s="20" t="s">
        <v>12</v>
      </c>
      <c r="F285" s="20" t="s">
        <v>13</v>
      </c>
      <c r="G285" s="20" t="s">
        <v>21</v>
      </c>
      <c r="H285" s="21">
        <v>18521.38</v>
      </c>
      <c r="I285" s="20">
        <v>1</v>
      </c>
      <c r="J285" s="22">
        <v>1946.16</v>
      </c>
      <c r="K285" s="20" t="str">
        <f>IF(Table4[[#This Row],[Sales]]&gt;=40000,"BEST SALE","POOR SALE")</f>
        <v>POOR SALE</v>
      </c>
      <c r="L285" s="30" t="str" cm="1">
        <f t="array" ref="L285">_xlfn.IFS(Table4[[#This Row],[Sales]]&gt;=40000,"Best Sale", Table4[[#This Row],[Sales]]&gt;=20000,"Average Sale",Table4[[#This Row],[Sales]]&gt;0,"Poor Sale")</f>
        <v>Poor Sale</v>
      </c>
      <c r="M285" s="32" t="str" cm="1">
        <f t="array" ref="M285">_xlfn.IFS(Table4[[#This Row],[Sales]]&gt;=40000,"Best", Table4[[#This Row],[Sales]]&gt;=35000,"Average",Table4[[#This Row],[Sales]]&gt;0,"Poor")</f>
        <v>Poor</v>
      </c>
    </row>
    <row r="286" spans="1:13" x14ac:dyDescent="0.3">
      <c r="A286" s="13">
        <v>285</v>
      </c>
      <c r="B286" s="14">
        <v>45165</v>
      </c>
      <c r="C286" s="15" t="s">
        <v>37</v>
      </c>
      <c r="D286" s="15" t="s">
        <v>27</v>
      </c>
      <c r="E286" s="15" t="s">
        <v>17</v>
      </c>
      <c r="F286" s="15" t="s">
        <v>24</v>
      </c>
      <c r="G286" s="15" t="s">
        <v>29</v>
      </c>
      <c r="H286" s="16">
        <v>35464.68</v>
      </c>
      <c r="I286" s="15">
        <v>3</v>
      </c>
      <c r="J286" s="17">
        <v>4946.6099999999997</v>
      </c>
      <c r="K286" s="20" t="str">
        <f>IF(Table4[[#This Row],[Sales]]&gt;=40000,"BEST SALE","POOR SALE")</f>
        <v>POOR SALE</v>
      </c>
      <c r="L286" s="30" t="str" cm="1">
        <f t="array" ref="L286">_xlfn.IFS(Table4[[#This Row],[Sales]]&gt;=40000,"Best Sale", Table4[[#This Row],[Sales]]&gt;=20000,"Average Sale",Table4[[#This Row],[Sales]]&gt;0,"Poor Sale")</f>
        <v>Average Sale</v>
      </c>
      <c r="M286" s="32" t="str" cm="1">
        <f t="array" ref="M286">_xlfn.IFS(Table4[[#This Row],[Sales]]&gt;=40000,"Best", Table4[[#This Row],[Sales]]&gt;=35000,"Average",Table4[[#This Row],[Sales]]&gt;0,"Poor")</f>
        <v>Average</v>
      </c>
    </row>
    <row r="287" spans="1:13" x14ac:dyDescent="0.3">
      <c r="A287" s="18">
        <v>286</v>
      </c>
      <c r="B287" s="19">
        <v>45228</v>
      </c>
      <c r="C287" s="20" t="s">
        <v>35</v>
      </c>
      <c r="D287" s="20" t="s">
        <v>36</v>
      </c>
      <c r="E287" s="20" t="s">
        <v>12</v>
      </c>
      <c r="F287" s="20" t="s">
        <v>13</v>
      </c>
      <c r="G287" s="20" t="s">
        <v>34</v>
      </c>
      <c r="H287" s="21">
        <v>49796.639999999999</v>
      </c>
      <c r="I287" s="20">
        <v>9</v>
      </c>
      <c r="J287" s="22">
        <v>11826.36</v>
      </c>
      <c r="K287" s="20" t="str">
        <f>IF(Table4[[#This Row],[Sales]]&gt;=40000,"BEST SALE","POOR SALE")</f>
        <v>BEST SALE</v>
      </c>
      <c r="L287" s="30" t="str" cm="1">
        <f t="array" ref="L287">_xlfn.IFS(Table4[[#This Row],[Sales]]&gt;=40000,"Best Sale", Table4[[#This Row],[Sales]]&gt;=20000,"Average Sale",Table4[[#This Row],[Sales]]&gt;0,"Poor Sale")</f>
        <v>Best Sale</v>
      </c>
      <c r="M287" s="32" t="str" cm="1">
        <f t="array" ref="M287">_xlfn.IFS(Table4[[#This Row],[Sales]]&gt;=40000,"Best", Table4[[#This Row],[Sales]]&gt;=35000,"Average",Table4[[#This Row],[Sales]]&gt;0,"Poor")</f>
        <v>Best</v>
      </c>
    </row>
    <row r="288" spans="1:13" x14ac:dyDescent="0.3">
      <c r="A288" s="13">
        <v>287</v>
      </c>
      <c r="B288" s="14">
        <v>45075</v>
      </c>
      <c r="C288" s="15" t="s">
        <v>26</v>
      </c>
      <c r="D288" s="15" t="s">
        <v>27</v>
      </c>
      <c r="E288" s="15" t="s">
        <v>17</v>
      </c>
      <c r="F288" s="15" t="s">
        <v>24</v>
      </c>
      <c r="G288" s="15" t="s">
        <v>25</v>
      </c>
      <c r="H288" s="16">
        <v>6484.96</v>
      </c>
      <c r="I288" s="15">
        <v>3</v>
      </c>
      <c r="J288" s="17">
        <v>1208.78</v>
      </c>
      <c r="K288" s="20" t="str">
        <f>IF(Table4[[#This Row],[Sales]]&gt;=40000,"BEST SALE","POOR SALE")</f>
        <v>POOR SALE</v>
      </c>
      <c r="L288" s="30" t="str" cm="1">
        <f t="array" ref="L288">_xlfn.IFS(Table4[[#This Row],[Sales]]&gt;=40000,"Best Sale", Table4[[#This Row],[Sales]]&gt;=20000,"Average Sale",Table4[[#This Row],[Sales]]&gt;0,"Poor Sale")</f>
        <v>Poor Sale</v>
      </c>
      <c r="M288" s="32" t="str" cm="1">
        <f t="array" ref="M288">_xlfn.IFS(Table4[[#This Row],[Sales]]&gt;=40000,"Best", Table4[[#This Row],[Sales]]&gt;=35000,"Average",Table4[[#This Row],[Sales]]&gt;0,"Poor")</f>
        <v>Poor</v>
      </c>
    </row>
    <row r="289" spans="1:13" x14ac:dyDescent="0.3">
      <c r="A289" s="18">
        <v>288</v>
      </c>
      <c r="B289" s="19">
        <v>45197</v>
      </c>
      <c r="C289" s="20" t="s">
        <v>35</v>
      </c>
      <c r="D289" s="20" t="s">
        <v>36</v>
      </c>
      <c r="E289" s="20" t="s">
        <v>20</v>
      </c>
      <c r="F289" s="20" t="s">
        <v>13</v>
      </c>
      <c r="G289" s="20" t="s">
        <v>21</v>
      </c>
      <c r="H289" s="21">
        <v>33163.33</v>
      </c>
      <c r="I289" s="20">
        <v>10</v>
      </c>
      <c r="J289" s="22">
        <v>7488.7</v>
      </c>
      <c r="K289" s="20" t="str">
        <f>IF(Table4[[#This Row],[Sales]]&gt;=40000,"BEST SALE","POOR SALE")</f>
        <v>POOR SALE</v>
      </c>
      <c r="L289" s="30" t="str" cm="1">
        <f t="array" ref="L289">_xlfn.IFS(Table4[[#This Row],[Sales]]&gt;=40000,"Best Sale", Table4[[#This Row],[Sales]]&gt;=20000,"Average Sale",Table4[[#This Row],[Sales]]&gt;0,"Poor Sale")</f>
        <v>Average Sale</v>
      </c>
      <c r="M289" s="32" t="str" cm="1">
        <f t="array" ref="M289">_xlfn.IFS(Table4[[#This Row],[Sales]]&gt;=40000,"Best", Table4[[#This Row],[Sales]]&gt;=35000,"Average",Table4[[#This Row],[Sales]]&gt;0,"Poor")</f>
        <v>Poor</v>
      </c>
    </row>
    <row r="290" spans="1:13" x14ac:dyDescent="0.3">
      <c r="A290" s="13">
        <v>289</v>
      </c>
      <c r="B290" s="14">
        <v>44994</v>
      </c>
      <c r="C290" s="15" t="s">
        <v>10</v>
      </c>
      <c r="D290" s="15" t="s">
        <v>11</v>
      </c>
      <c r="E290" s="15" t="s">
        <v>20</v>
      </c>
      <c r="F290" s="15" t="s">
        <v>31</v>
      </c>
      <c r="G290" s="15" t="s">
        <v>39</v>
      </c>
      <c r="H290" s="16">
        <v>13149.05</v>
      </c>
      <c r="I290" s="15">
        <v>7</v>
      </c>
      <c r="J290" s="17">
        <v>3576.49</v>
      </c>
      <c r="K290" s="20" t="str">
        <f>IF(Table4[[#This Row],[Sales]]&gt;=40000,"BEST SALE","POOR SALE")</f>
        <v>POOR SALE</v>
      </c>
      <c r="L290" s="30" t="str" cm="1">
        <f t="array" ref="L290">_xlfn.IFS(Table4[[#This Row],[Sales]]&gt;=40000,"Best Sale", Table4[[#This Row],[Sales]]&gt;=20000,"Average Sale",Table4[[#This Row],[Sales]]&gt;0,"Poor Sale")</f>
        <v>Poor Sale</v>
      </c>
      <c r="M290" s="32" t="str" cm="1">
        <f t="array" ref="M290">_xlfn.IFS(Table4[[#This Row],[Sales]]&gt;=40000,"Best", Table4[[#This Row],[Sales]]&gt;=35000,"Average",Table4[[#This Row],[Sales]]&gt;0,"Poor")</f>
        <v>Poor</v>
      </c>
    </row>
    <row r="291" spans="1:13" x14ac:dyDescent="0.3">
      <c r="A291" s="18">
        <v>290</v>
      </c>
      <c r="B291" s="19">
        <v>44958</v>
      </c>
      <c r="C291" s="20" t="s">
        <v>22</v>
      </c>
      <c r="D291" s="20" t="s">
        <v>22</v>
      </c>
      <c r="E291" s="20" t="s">
        <v>12</v>
      </c>
      <c r="F291" s="20" t="s">
        <v>31</v>
      </c>
      <c r="G291" s="20" t="s">
        <v>32</v>
      </c>
      <c r="H291" s="21">
        <v>34621.160000000003</v>
      </c>
      <c r="I291" s="20">
        <v>3</v>
      </c>
      <c r="J291" s="22">
        <v>7130.72</v>
      </c>
      <c r="K291" s="20" t="str">
        <f>IF(Table4[[#This Row],[Sales]]&gt;=40000,"BEST SALE","POOR SALE")</f>
        <v>POOR SALE</v>
      </c>
      <c r="L291" s="30" t="str" cm="1">
        <f t="array" ref="L291">_xlfn.IFS(Table4[[#This Row],[Sales]]&gt;=40000,"Best Sale", Table4[[#This Row],[Sales]]&gt;=20000,"Average Sale",Table4[[#This Row],[Sales]]&gt;0,"Poor Sale")</f>
        <v>Average Sale</v>
      </c>
      <c r="M291" s="32" t="str" cm="1">
        <f t="array" ref="M291">_xlfn.IFS(Table4[[#This Row],[Sales]]&gt;=40000,"Best", Table4[[#This Row],[Sales]]&gt;=35000,"Average",Table4[[#This Row],[Sales]]&gt;0,"Poor")</f>
        <v>Poor</v>
      </c>
    </row>
    <row r="292" spans="1:13" x14ac:dyDescent="0.3">
      <c r="A292" s="13">
        <v>291</v>
      </c>
      <c r="B292" s="14">
        <v>45221</v>
      </c>
      <c r="C292" s="15" t="s">
        <v>10</v>
      </c>
      <c r="D292" s="15" t="s">
        <v>11</v>
      </c>
      <c r="E292" s="15" t="s">
        <v>17</v>
      </c>
      <c r="F292" s="15" t="s">
        <v>24</v>
      </c>
      <c r="G292" s="15" t="s">
        <v>29</v>
      </c>
      <c r="H292" s="16">
        <v>11966.24</v>
      </c>
      <c r="I292" s="15">
        <v>5</v>
      </c>
      <c r="J292" s="17">
        <v>2420.86</v>
      </c>
      <c r="K292" s="20" t="str">
        <f>IF(Table4[[#This Row],[Sales]]&gt;=40000,"BEST SALE","POOR SALE")</f>
        <v>POOR SALE</v>
      </c>
      <c r="L292" s="30" t="str" cm="1">
        <f t="array" ref="L292">_xlfn.IFS(Table4[[#This Row],[Sales]]&gt;=40000,"Best Sale", Table4[[#This Row],[Sales]]&gt;=20000,"Average Sale",Table4[[#This Row],[Sales]]&gt;0,"Poor Sale")</f>
        <v>Poor Sale</v>
      </c>
      <c r="M292" s="32" t="str" cm="1">
        <f t="array" ref="M292">_xlfn.IFS(Table4[[#This Row],[Sales]]&gt;=40000,"Best", Table4[[#This Row],[Sales]]&gt;=35000,"Average",Table4[[#This Row],[Sales]]&gt;0,"Poor")</f>
        <v>Poor</v>
      </c>
    </row>
    <row r="293" spans="1:13" x14ac:dyDescent="0.3">
      <c r="A293" s="18">
        <v>292</v>
      </c>
      <c r="B293" s="19">
        <v>44960</v>
      </c>
      <c r="C293" s="20" t="s">
        <v>37</v>
      </c>
      <c r="D293" s="20" t="s">
        <v>27</v>
      </c>
      <c r="E293" s="20" t="s">
        <v>12</v>
      </c>
      <c r="F293" s="20" t="s">
        <v>13</v>
      </c>
      <c r="G293" s="20" t="s">
        <v>34</v>
      </c>
      <c r="H293" s="21">
        <v>20790.45</v>
      </c>
      <c r="I293" s="20">
        <v>10</v>
      </c>
      <c r="J293" s="22">
        <v>2754</v>
      </c>
      <c r="K293" s="20" t="str">
        <f>IF(Table4[[#This Row],[Sales]]&gt;=40000,"BEST SALE","POOR SALE")</f>
        <v>POOR SALE</v>
      </c>
      <c r="L293" s="30" t="str" cm="1">
        <f t="array" ref="L293">_xlfn.IFS(Table4[[#This Row],[Sales]]&gt;=40000,"Best Sale", Table4[[#This Row],[Sales]]&gt;=20000,"Average Sale",Table4[[#This Row],[Sales]]&gt;0,"Poor Sale")</f>
        <v>Average Sale</v>
      </c>
      <c r="M293" s="32" t="str" cm="1">
        <f t="array" ref="M293">_xlfn.IFS(Table4[[#This Row],[Sales]]&gt;=40000,"Best", Table4[[#This Row],[Sales]]&gt;=35000,"Average",Table4[[#This Row],[Sales]]&gt;0,"Poor")</f>
        <v>Poor</v>
      </c>
    </row>
    <row r="294" spans="1:13" x14ac:dyDescent="0.3">
      <c r="A294" s="13">
        <v>293</v>
      </c>
      <c r="B294" s="14">
        <v>44982</v>
      </c>
      <c r="C294" s="15" t="s">
        <v>22</v>
      </c>
      <c r="D294" s="15" t="s">
        <v>22</v>
      </c>
      <c r="E294" s="15" t="s">
        <v>17</v>
      </c>
      <c r="F294" s="15" t="s">
        <v>13</v>
      </c>
      <c r="G294" s="15" t="s">
        <v>34</v>
      </c>
      <c r="H294" s="16">
        <v>20312.77</v>
      </c>
      <c r="I294" s="15">
        <v>5</v>
      </c>
      <c r="J294" s="17">
        <v>5618.1</v>
      </c>
      <c r="K294" s="20" t="str">
        <f>IF(Table4[[#This Row],[Sales]]&gt;=40000,"BEST SALE","POOR SALE")</f>
        <v>POOR SALE</v>
      </c>
      <c r="L294" s="30" t="str" cm="1">
        <f t="array" ref="L294">_xlfn.IFS(Table4[[#This Row],[Sales]]&gt;=40000,"Best Sale", Table4[[#This Row],[Sales]]&gt;=20000,"Average Sale",Table4[[#This Row],[Sales]]&gt;0,"Poor Sale")</f>
        <v>Average Sale</v>
      </c>
      <c r="M294" s="32" t="str" cm="1">
        <f t="array" ref="M294">_xlfn.IFS(Table4[[#This Row],[Sales]]&gt;=40000,"Best", Table4[[#This Row],[Sales]]&gt;=35000,"Average",Table4[[#This Row],[Sales]]&gt;0,"Poor")</f>
        <v>Poor</v>
      </c>
    </row>
    <row r="295" spans="1:13" x14ac:dyDescent="0.3">
      <c r="A295" s="18">
        <v>294</v>
      </c>
      <c r="B295" s="19">
        <v>44982</v>
      </c>
      <c r="C295" s="20" t="s">
        <v>15</v>
      </c>
      <c r="D295" s="20" t="s">
        <v>16</v>
      </c>
      <c r="E295" s="20" t="s">
        <v>20</v>
      </c>
      <c r="F295" s="20" t="s">
        <v>24</v>
      </c>
      <c r="G295" s="20" t="s">
        <v>25</v>
      </c>
      <c r="H295" s="21">
        <v>39381.9</v>
      </c>
      <c r="I295" s="20">
        <v>10</v>
      </c>
      <c r="J295" s="22">
        <v>7457.7</v>
      </c>
      <c r="K295" s="20" t="str">
        <f>IF(Table4[[#This Row],[Sales]]&gt;=40000,"BEST SALE","POOR SALE")</f>
        <v>POOR SALE</v>
      </c>
      <c r="L295" s="30" t="str" cm="1">
        <f t="array" ref="L295">_xlfn.IFS(Table4[[#This Row],[Sales]]&gt;=40000,"Best Sale", Table4[[#This Row],[Sales]]&gt;=20000,"Average Sale",Table4[[#This Row],[Sales]]&gt;0,"Poor Sale")</f>
        <v>Average Sale</v>
      </c>
      <c r="M295" s="32" t="str" cm="1">
        <f t="array" ref="M295">_xlfn.IFS(Table4[[#This Row],[Sales]]&gt;=40000,"Best", Table4[[#This Row],[Sales]]&gt;=35000,"Average",Table4[[#This Row],[Sales]]&gt;0,"Poor")</f>
        <v>Average</v>
      </c>
    </row>
    <row r="296" spans="1:13" x14ac:dyDescent="0.3">
      <c r="A296" s="13">
        <v>295</v>
      </c>
      <c r="B296" s="14">
        <v>45286</v>
      </c>
      <c r="C296" s="15" t="s">
        <v>15</v>
      </c>
      <c r="D296" s="15" t="s">
        <v>16</v>
      </c>
      <c r="E296" s="15" t="s">
        <v>20</v>
      </c>
      <c r="F296" s="15" t="s">
        <v>24</v>
      </c>
      <c r="G296" s="15" t="s">
        <v>25</v>
      </c>
      <c r="H296" s="16">
        <v>32040.32</v>
      </c>
      <c r="I296" s="15">
        <v>10</v>
      </c>
      <c r="J296" s="17">
        <v>7617.08</v>
      </c>
      <c r="K296" s="20" t="str">
        <f>IF(Table4[[#This Row],[Sales]]&gt;=40000,"BEST SALE","POOR SALE")</f>
        <v>POOR SALE</v>
      </c>
      <c r="L296" s="30" t="str" cm="1">
        <f t="array" ref="L296">_xlfn.IFS(Table4[[#This Row],[Sales]]&gt;=40000,"Best Sale", Table4[[#This Row],[Sales]]&gt;=20000,"Average Sale",Table4[[#This Row],[Sales]]&gt;0,"Poor Sale")</f>
        <v>Average Sale</v>
      </c>
      <c r="M296" s="32" t="str" cm="1">
        <f t="array" ref="M296">_xlfn.IFS(Table4[[#This Row],[Sales]]&gt;=40000,"Best", Table4[[#This Row],[Sales]]&gt;=35000,"Average",Table4[[#This Row],[Sales]]&gt;0,"Poor")</f>
        <v>Poor</v>
      </c>
    </row>
    <row r="297" spans="1:13" x14ac:dyDescent="0.3">
      <c r="A297" s="18">
        <v>296</v>
      </c>
      <c r="B297" s="19">
        <v>45200</v>
      </c>
      <c r="C297" s="20" t="s">
        <v>30</v>
      </c>
      <c r="D297" s="20" t="s">
        <v>16</v>
      </c>
      <c r="E297" s="20" t="s">
        <v>12</v>
      </c>
      <c r="F297" s="20" t="s">
        <v>24</v>
      </c>
      <c r="G297" s="20" t="s">
        <v>25</v>
      </c>
      <c r="H297" s="21">
        <v>9943.7099999999991</v>
      </c>
      <c r="I297" s="20">
        <v>2</v>
      </c>
      <c r="J297" s="22">
        <v>1663.61</v>
      </c>
      <c r="K297" s="20" t="str">
        <f>IF(Table4[[#This Row],[Sales]]&gt;=40000,"BEST SALE","POOR SALE")</f>
        <v>POOR SALE</v>
      </c>
      <c r="L297" s="30" t="str" cm="1">
        <f t="array" ref="L297">_xlfn.IFS(Table4[[#This Row],[Sales]]&gt;=40000,"Best Sale", Table4[[#This Row],[Sales]]&gt;=20000,"Average Sale",Table4[[#This Row],[Sales]]&gt;0,"Poor Sale")</f>
        <v>Poor Sale</v>
      </c>
      <c r="M297" s="32" t="str" cm="1">
        <f t="array" ref="M297">_xlfn.IFS(Table4[[#This Row],[Sales]]&gt;=40000,"Best", Table4[[#This Row],[Sales]]&gt;=35000,"Average",Table4[[#This Row],[Sales]]&gt;0,"Poor")</f>
        <v>Poor</v>
      </c>
    </row>
    <row r="298" spans="1:13" x14ac:dyDescent="0.3">
      <c r="A298" s="13">
        <v>297</v>
      </c>
      <c r="B298" s="14">
        <v>45141</v>
      </c>
      <c r="C298" s="15" t="s">
        <v>35</v>
      </c>
      <c r="D298" s="15" t="s">
        <v>36</v>
      </c>
      <c r="E298" s="15" t="s">
        <v>17</v>
      </c>
      <c r="F298" s="15" t="s">
        <v>24</v>
      </c>
      <c r="G298" s="15" t="s">
        <v>28</v>
      </c>
      <c r="H298" s="16">
        <v>44799.3</v>
      </c>
      <c r="I298" s="15">
        <v>10</v>
      </c>
      <c r="J298" s="17">
        <v>5560.78</v>
      </c>
      <c r="K298" s="20" t="str">
        <f>IF(Table4[[#This Row],[Sales]]&gt;=40000,"BEST SALE","POOR SALE")</f>
        <v>BEST SALE</v>
      </c>
      <c r="L298" s="30" t="str" cm="1">
        <f t="array" ref="L298">_xlfn.IFS(Table4[[#This Row],[Sales]]&gt;=40000,"Best Sale", Table4[[#This Row],[Sales]]&gt;=20000,"Average Sale",Table4[[#This Row],[Sales]]&gt;0,"Poor Sale")</f>
        <v>Best Sale</v>
      </c>
      <c r="M298" s="32" t="str" cm="1">
        <f t="array" ref="M298">_xlfn.IFS(Table4[[#This Row],[Sales]]&gt;=40000,"Best", Table4[[#This Row],[Sales]]&gt;=35000,"Average",Table4[[#This Row],[Sales]]&gt;0,"Poor")</f>
        <v>Best</v>
      </c>
    </row>
    <row r="299" spans="1:13" x14ac:dyDescent="0.3">
      <c r="A299" s="18">
        <v>298</v>
      </c>
      <c r="B299" s="19">
        <v>45109</v>
      </c>
      <c r="C299" s="20" t="s">
        <v>26</v>
      </c>
      <c r="D299" s="20" t="s">
        <v>27</v>
      </c>
      <c r="E299" s="20" t="s">
        <v>12</v>
      </c>
      <c r="F299" s="20" t="s">
        <v>24</v>
      </c>
      <c r="G299" s="20" t="s">
        <v>28</v>
      </c>
      <c r="H299" s="21">
        <v>30482.42</v>
      </c>
      <c r="I299" s="20">
        <v>8</v>
      </c>
      <c r="J299" s="22">
        <v>4421.99</v>
      </c>
      <c r="K299" s="20" t="str">
        <f>IF(Table4[[#This Row],[Sales]]&gt;=40000,"BEST SALE","POOR SALE")</f>
        <v>POOR SALE</v>
      </c>
      <c r="L299" s="30" t="str" cm="1">
        <f t="array" ref="L299">_xlfn.IFS(Table4[[#This Row],[Sales]]&gt;=40000,"Best Sale", Table4[[#This Row],[Sales]]&gt;=20000,"Average Sale",Table4[[#This Row],[Sales]]&gt;0,"Poor Sale")</f>
        <v>Average Sale</v>
      </c>
      <c r="M299" s="32" t="str" cm="1">
        <f t="array" ref="M299">_xlfn.IFS(Table4[[#This Row],[Sales]]&gt;=40000,"Best", Table4[[#This Row],[Sales]]&gt;=35000,"Average",Table4[[#This Row],[Sales]]&gt;0,"Poor")</f>
        <v>Poor</v>
      </c>
    </row>
    <row r="300" spans="1:13" x14ac:dyDescent="0.3">
      <c r="A300" s="13">
        <v>299</v>
      </c>
      <c r="B300" s="14">
        <v>45065</v>
      </c>
      <c r="C300" s="15" t="s">
        <v>37</v>
      </c>
      <c r="D300" s="15" t="s">
        <v>27</v>
      </c>
      <c r="E300" s="15" t="s">
        <v>17</v>
      </c>
      <c r="F300" s="15" t="s">
        <v>31</v>
      </c>
      <c r="G300" s="15" t="s">
        <v>39</v>
      </c>
      <c r="H300" s="16">
        <v>46018.66</v>
      </c>
      <c r="I300" s="15">
        <v>4</v>
      </c>
      <c r="J300" s="17">
        <v>11286.35</v>
      </c>
      <c r="K300" s="20" t="str">
        <f>IF(Table4[[#This Row],[Sales]]&gt;=40000,"BEST SALE","POOR SALE")</f>
        <v>BEST SALE</v>
      </c>
      <c r="L300" s="30" t="str" cm="1">
        <f t="array" ref="L300">_xlfn.IFS(Table4[[#This Row],[Sales]]&gt;=40000,"Best Sale", Table4[[#This Row],[Sales]]&gt;=20000,"Average Sale",Table4[[#This Row],[Sales]]&gt;0,"Poor Sale")</f>
        <v>Best Sale</v>
      </c>
      <c r="M300" s="32" t="str" cm="1">
        <f t="array" ref="M300">_xlfn.IFS(Table4[[#This Row],[Sales]]&gt;=40000,"Best", Table4[[#This Row],[Sales]]&gt;=35000,"Average",Table4[[#This Row],[Sales]]&gt;0,"Poor")</f>
        <v>Best</v>
      </c>
    </row>
    <row r="301" spans="1:13" x14ac:dyDescent="0.3">
      <c r="A301" s="18">
        <v>300</v>
      </c>
      <c r="B301" s="19">
        <v>44947</v>
      </c>
      <c r="C301" s="20" t="s">
        <v>30</v>
      </c>
      <c r="D301" s="20" t="s">
        <v>16</v>
      </c>
      <c r="E301" s="20" t="s">
        <v>20</v>
      </c>
      <c r="F301" s="20" t="s">
        <v>13</v>
      </c>
      <c r="G301" s="20" t="s">
        <v>21</v>
      </c>
      <c r="H301" s="21">
        <v>45604.85</v>
      </c>
      <c r="I301" s="20">
        <v>4</v>
      </c>
      <c r="J301" s="22">
        <v>10780.42</v>
      </c>
      <c r="K301" s="20" t="str">
        <f>IF(Table4[[#This Row],[Sales]]&gt;=40000,"BEST SALE","POOR SALE")</f>
        <v>BEST SALE</v>
      </c>
      <c r="L301" s="30" t="str" cm="1">
        <f t="array" ref="L301">_xlfn.IFS(Table4[[#This Row],[Sales]]&gt;=40000,"Best Sale", Table4[[#This Row],[Sales]]&gt;=20000,"Average Sale",Table4[[#This Row],[Sales]]&gt;0,"Poor Sale")</f>
        <v>Best Sale</v>
      </c>
      <c r="M301" s="32" t="str" cm="1">
        <f t="array" ref="M301">_xlfn.IFS(Table4[[#This Row],[Sales]]&gt;=40000,"Best", Table4[[#This Row],[Sales]]&gt;=35000,"Average",Table4[[#This Row],[Sales]]&gt;0,"Poor")</f>
        <v>Best</v>
      </c>
    </row>
    <row r="302" spans="1:13" x14ac:dyDescent="0.3">
      <c r="A302" s="13">
        <v>301</v>
      </c>
      <c r="B302" s="14">
        <v>45205</v>
      </c>
      <c r="C302" s="15" t="s">
        <v>10</v>
      </c>
      <c r="D302" s="15" t="s">
        <v>11</v>
      </c>
      <c r="E302" s="15" t="s">
        <v>20</v>
      </c>
      <c r="F302" s="15" t="s">
        <v>24</v>
      </c>
      <c r="G302" s="15" t="s">
        <v>29</v>
      </c>
      <c r="H302" s="16">
        <v>10568</v>
      </c>
      <c r="I302" s="15">
        <v>9</v>
      </c>
      <c r="J302" s="17">
        <v>1896.29</v>
      </c>
      <c r="K302" s="20" t="str">
        <f>IF(Table4[[#This Row],[Sales]]&gt;=40000,"BEST SALE","POOR SALE")</f>
        <v>POOR SALE</v>
      </c>
      <c r="L302" s="30" t="str" cm="1">
        <f t="array" ref="L302">_xlfn.IFS(Table4[[#This Row],[Sales]]&gt;=40000,"Best Sale", Table4[[#This Row],[Sales]]&gt;=20000,"Average Sale",Table4[[#This Row],[Sales]]&gt;0,"Poor Sale")</f>
        <v>Poor Sale</v>
      </c>
      <c r="M302" s="32" t="str" cm="1">
        <f t="array" ref="M302">_xlfn.IFS(Table4[[#This Row],[Sales]]&gt;=40000,"Best", Table4[[#This Row],[Sales]]&gt;=35000,"Average",Table4[[#This Row],[Sales]]&gt;0,"Poor")</f>
        <v>Poor</v>
      </c>
    </row>
    <row r="303" spans="1:13" x14ac:dyDescent="0.3">
      <c r="A303" s="18">
        <v>302</v>
      </c>
      <c r="B303" s="19">
        <v>45020</v>
      </c>
      <c r="C303" s="20" t="s">
        <v>30</v>
      </c>
      <c r="D303" s="20" t="s">
        <v>16</v>
      </c>
      <c r="E303" s="20" t="s">
        <v>12</v>
      </c>
      <c r="F303" s="20" t="s">
        <v>24</v>
      </c>
      <c r="G303" s="20" t="s">
        <v>29</v>
      </c>
      <c r="H303" s="21">
        <v>36013.07</v>
      </c>
      <c r="I303" s="20">
        <v>7</v>
      </c>
      <c r="J303" s="22">
        <v>2887.26</v>
      </c>
      <c r="K303" s="20" t="str">
        <f>IF(Table4[[#This Row],[Sales]]&gt;=40000,"BEST SALE","POOR SALE")</f>
        <v>POOR SALE</v>
      </c>
      <c r="L303" s="30" t="str" cm="1">
        <f t="array" ref="L303">_xlfn.IFS(Table4[[#This Row],[Sales]]&gt;=40000,"Best Sale", Table4[[#This Row],[Sales]]&gt;=20000,"Average Sale",Table4[[#This Row],[Sales]]&gt;0,"Poor Sale")</f>
        <v>Average Sale</v>
      </c>
      <c r="M303" s="32" t="str" cm="1">
        <f t="array" ref="M303">_xlfn.IFS(Table4[[#This Row],[Sales]]&gt;=40000,"Best", Table4[[#This Row],[Sales]]&gt;=35000,"Average",Table4[[#This Row],[Sales]]&gt;0,"Poor")</f>
        <v>Average</v>
      </c>
    </row>
    <row r="304" spans="1:13" x14ac:dyDescent="0.3">
      <c r="A304" s="13">
        <v>303</v>
      </c>
      <c r="B304" s="14">
        <v>44950</v>
      </c>
      <c r="C304" s="15" t="s">
        <v>22</v>
      </c>
      <c r="D304" s="15" t="s">
        <v>22</v>
      </c>
      <c r="E304" s="15" t="s">
        <v>17</v>
      </c>
      <c r="F304" s="15" t="s">
        <v>24</v>
      </c>
      <c r="G304" s="15" t="s">
        <v>28</v>
      </c>
      <c r="H304" s="16">
        <v>8545.89</v>
      </c>
      <c r="I304" s="15">
        <v>8</v>
      </c>
      <c r="J304" s="17">
        <v>998.97</v>
      </c>
      <c r="K304" s="20" t="str">
        <f>IF(Table4[[#This Row],[Sales]]&gt;=40000,"BEST SALE","POOR SALE")</f>
        <v>POOR SALE</v>
      </c>
      <c r="L304" s="30" t="str" cm="1">
        <f t="array" ref="L304">_xlfn.IFS(Table4[[#This Row],[Sales]]&gt;=40000,"Best Sale", Table4[[#This Row],[Sales]]&gt;=20000,"Average Sale",Table4[[#This Row],[Sales]]&gt;0,"Poor Sale")</f>
        <v>Poor Sale</v>
      </c>
      <c r="M304" s="32" t="str" cm="1">
        <f t="array" ref="M304">_xlfn.IFS(Table4[[#This Row],[Sales]]&gt;=40000,"Best", Table4[[#This Row],[Sales]]&gt;=35000,"Average",Table4[[#This Row],[Sales]]&gt;0,"Poor")</f>
        <v>Poor</v>
      </c>
    </row>
    <row r="305" spans="1:13" x14ac:dyDescent="0.3">
      <c r="A305" s="18">
        <v>304</v>
      </c>
      <c r="B305" s="19">
        <v>44976</v>
      </c>
      <c r="C305" s="20" t="s">
        <v>22</v>
      </c>
      <c r="D305" s="20" t="s">
        <v>22</v>
      </c>
      <c r="E305" s="20" t="s">
        <v>12</v>
      </c>
      <c r="F305" s="20" t="s">
        <v>24</v>
      </c>
      <c r="G305" s="20" t="s">
        <v>29</v>
      </c>
      <c r="H305" s="21">
        <v>46736.67</v>
      </c>
      <c r="I305" s="20">
        <v>5</v>
      </c>
      <c r="J305" s="22">
        <v>4010.98</v>
      </c>
      <c r="K305" s="20" t="str">
        <f>IF(Table4[[#This Row],[Sales]]&gt;=40000,"BEST SALE","POOR SALE")</f>
        <v>BEST SALE</v>
      </c>
      <c r="L305" s="30" t="str" cm="1">
        <f t="array" ref="L305">_xlfn.IFS(Table4[[#This Row],[Sales]]&gt;=40000,"Best Sale", Table4[[#This Row],[Sales]]&gt;=20000,"Average Sale",Table4[[#This Row],[Sales]]&gt;0,"Poor Sale")</f>
        <v>Best Sale</v>
      </c>
      <c r="M305" s="32" t="str" cm="1">
        <f t="array" ref="M305">_xlfn.IFS(Table4[[#This Row],[Sales]]&gt;=40000,"Best", Table4[[#This Row],[Sales]]&gt;=35000,"Average",Table4[[#This Row],[Sales]]&gt;0,"Poor")</f>
        <v>Best</v>
      </c>
    </row>
    <row r="306" spans="1:13" x14ac:dyDescent="0.3">
      <c r="A306" s="13">
        <v>305</v>
      </c>
      <c r="B306" s="14">
        <v>45221</v>
      </c>
      <c r="C306" s="15" t="s">
        <v>38</v>
      </c>
      <c r="D306" s="15" t="s">
        <v>27</v>
      </c>
      <c r="E306" s="15" t="s">
        <v>17</v>
      </c>
      <c r="F306" s="15" t="s">
        <v>31</v>
      </c>
      <c r="G306" s="15" t="s">
        <v>39</v>
      </c>
      <c r="H306" s="16">
        <v>42026.12</v>
      </c>
      <c r="I306" s="15">
        <v>5</v>
      </c>
      <c r="J306" s="17">
        <v>7474.37</v>
      </c>
      <c r="K306" s="20" t="str">
        <f>IF(Table4[[#This Row],[Sales]]&gt;=40000,"BEST SALE","POOR SALE")</f>
        <v>BEST SALE</v>
      </c>
      <c r="L306" s="30" t="str" cm="1">
        <f t="array" ref="L306">_xlfn.IFS(Table4[[#This Row],[Sales]]&gt;=40000,"Best Sale", Table4[[#This Row],[Sales]]&gt;=20000,"Average Sale",Table4[[#This Row],[Sales]]&gt;0,"Poor Sale")</f>
        <v>Best Sale</v>
      </c>
      <c r="M306" s="32" t="str" cm="1">
        <f t="array" ref="M306">_xlfn.IFS(Table4[[#This Row],[Sales]]&gt;=40000,"Best", Table4[[#This Row],[Sales]]&gt;=35000,"Average",Table4[[#This Row],[Sales]]&gt;0,"Poor")</f>
        <v>Best</v>
      </c>
    </row>
    <row r="307" spans="1:13" x14ac:dyDescent="0.3">
      <c r="A307" s="18">
        <v>306</v>
      </c>
      <c r="B307" s="19">
        <v>45115</v>
      </c>
      <c r="C307" s="20" t="s">
        <v>26</v>
      </c>
      <c r="D307" s="20" t="s">
        <v>27</v>
      </c>
      <c r="E307" s="20" t="s">
        <v>20</v>
      </c>
      <c r="F307" s="20" t="s">
        <v>31</v>
      </c>
      <c r="G307" s="20" t="s">
        <v>32</v>
      </c>
      <c r="H307" s="21">
        <v>31540.15</v>
      </c>
      <c r="I307" s="20">
        <v>8</v>
      </c>
      <c r="J307" s="22">
        <v>4128.9799999999996</v>
      </c>
      <c r="K307" s="20" t="str">
        <f>IF(Table4[[#This Row],[Sales]]&gt;=40000,"BEST SALE","POOR SALE")</f>
        <v>POOR SALE</v>
      </c>
      <c r="L307" s="30" t="str" cm="1">
        <f t="array" ref="L307">_xlfn.IFS(Table4[[#This Row],[Sales]]&gt;=40000,"Best Sale", Table4[[#This Row],[Sales]]&gt;=20000,"Average Sale",Table4[[#This Row],[Sales]]&gt;0,"Poor Sale")</f>
        <v>Average Sale</v>
      </c>
      <c r="M307" s="32" t="str" cm="1">
        <f t="array" ref="M307">_xlfn.IFS(Table4[[#This Row],[Sales]]&gt;=40000,"Best", Table4[[#This Row],[Sales]]&gt;=35000,"Average",Table4[[#This Row],[Sales]]&gt;0,"Poor")</f>
        <v>Poor</v>
      </c>
    </row>
    <row r="308" spans="1:13" x14ac:dyDescent="0.3">
      <c r="A308" s="13">
        <v>307</v>
      </c>
      <c r="B308" s="14">
        <v>45135</v>
      </c>
      <c r="C308" s="15" t="s">
        <v>18</v>
      </c>
      <c r="D308" s="15" t="s">
        <v>19</v>
      </c>
      <c r="E308" s="15" t="s">
        <v>20</v>
      </c>
      <c r="F308" s="15" t="s">
        <v>24</v>
      </c>
      <c r="G308" s="15" t="s">
        <v>25</v>
      </c>
      <c r="H308" s="16">
        <v>29281.72</v>
      </c>
      <c r="I308" s="15">
        <v>10</v>
      </c>
      <c r="J308" s="17">
        <v>2759</v>
      </c>
      <c r="K308" s="20" t="str">
        <f>IF(Table4[[#This Row],[Sales]]&gt;=40000,"BEST SALE","POOR SALE")</f>
        <v>POOR SALE</v>
      </c>
      <c r="L308" s="30" t="str" cm="1">
        <f t="array" ref="L308">_xlfn.IFS(Table4[[#This Row],[Sales]]&gt;=40000,"Best Sale", Table4[[#This Row],[Sales]]&gt;=20000,"Average Sale",Table4[[#This Row],[Sales]]&gt;0,"Poor Sale")</f>
        <v>Average Sale</v>
      </c>
      <c r="M308" s="32" t="str" cm="1">
        <f t="array" ref="M308">_xlfn.IFS(Table4[[#This Row],[Sales]]&gt;=40000,"Best", Table4[[#This Row],[Sales]]&gt;=35000,"Average",Table4[[#This Row],[Sales]]&gt;0,"Poor")</f>
        <v>Poor</v>
      </c>
    </row>
    <row r="309" spans="1:13" x14ac:dyDescent="0.3">
      <c r="A309" s="18">
        <v>308</v>
      </c>
      <c r="B309" s="19">
        <v>44974</v>
      </c>
      <c r="C309" s="20" t="s">
        <v>38</v>
      </c>
      <c r="D309" s="20" t="s">
        <v>27</v>
      </c>
      <c r="E309" s="20" t="s">
        <v>12</v>
      </c>
      <c r="F309" s="20" t="s">
        <v>31</v>
      </c>
      <c r="G309" s="20" t="s">
        <v>33</v>
      </c>
      <c r="H309" s="21">
        <v>23981.49</v>
      </c>
      <c r="I309" s="20">
        <v>2</v>
      </c>
      <c r="J309" s="22">
        <v>5193.12</v>
      </c>
      <c r="K309" s="20" t="str">
        <f>IF(Table4[[#This Row],[Sales]]&gt;=40000,"BEST SALE","POOR SALE")</f>
        <v>POOR SALE</v>
      </c>
      <c r="L309" s="30" t="str" cm="1">
        <f t="array" ref="L309">_xlfn.IFS(Table4[[#This Row],[Sales]]&gt;=40000,"Best Sale", Table4[[#This Row],[Sales]]&gt;=20000,"Average Sale",Table4[[#This Row],[Sales]]&gt;0,"Poor Sale")</f>
        <v>Average Sale</v>
      </c>
      <c r="M309" s="32" t="str" cm="1">
        <f t="array" ref="M309">_xlfn.IFS(Table4[[#This Row],[Sales]]&gt;=40000,"Best", Table4[[#This Row],[Sales]]&gt;=35000,"Average",Table4[[#This Row],[Sales]]&gt;0,"Poor")</f>
        <v>Poor</v>
      </c>
    </row>
    <row r="310" spans="1:13" x14ac:dyDescent="0.3">
      <c r="A310" s="13">
        <v>309</v>
      </c>
      <c r="B310" s="14">
        <v>45086</v>
      </c>
      <c r="C310" s="15" t="s">
        <v>37</v>
      </c>
      <c r="D310" s="15" t="s">
        <v>27</v>
      </c>
      <c r="E310" s="15" t="s">
        <v>17</v>
      </c>
      <c r="F310" s="15" t="s">
        <v>24</v>
      </c>
      <c r="G310" s="15" t="s">
        <v>25</v>
      </c>
      <c r="H310" s="16">
        <v>11039.74</v>
      </c>
      <c r="I310" s="15">
        <v>6</v>
      </c>
      <c r="J310" s="17">
        <v>642.16999999999996</v>
      </c>
      <c r="K310" s="20" t="str">
        <f>IF(Table4[[#This Row],[Sales]]&gt;=40000,"BEST SALE","POOR SALE")</f>
        <v>POOR SALE</v>
      </c>
      <c r="L310" s="30" t="str" cm="1">
        <f t="array" ref="L310">_xlfn.IFS(Table4[[#This Row],[Sales]]&gt;=40000,"Best Sale", Table4[[#This Row],[Sales]]&gt;=20000,"Average Sale",Table4[[#This Row],[Sales]]&gt;0,"Poor Sale")</f>
        <v>Poor Sale</v>
      </c>
      <c r="M310" s="32" t="str" cm="1">
        <f t="array" ref="M310">_xlfn.IFS(Table4[[#This Row],[Sales]]&gt;=40000,"Best", Table4[[#This Row],[Sales]]&gt;=35000,"Average",Table4[[#This Row],[Sales]]&gt;0,"Poor")</f>
        <v>Poor</v>
      </c>
    </row>
    <row r="311" spans="1:13" x14ac:dyDescent="0.3">
      <c r="A311" s="18">
        <v>310</v>
      </c>
      <c r="B311" s="19">
        <v>44967</v>
      </c>
      <c r="C311" s="20" t="s">
        <v>35</v>
      </c>
      <c r="D311" s="20" t="s">
        <v>36</v>
      </c>
      <c r="E311" s="20" t="s">
        <v>12</v>
      </c>
      <c r="F311" s="20" t="s">
        <v>13</v>
      </c>
      <c r="G311" s="20" t="s">
        <v>21</v>
      </c>
      <c r="H311" s="21">
        <v>24072.58</v>
      </c>
      <c r="I311" s="20">
        <v>2</v>
      </c>
      <c r="J311" s="22">
        <v>4237.45</v>
      </c>
      <c r="K311" s="20" t="str">
        <f>IF(Table4[[#This Row],[Sales]]&gt;=40000,"BEST SALE","POOR SALE")</f>
        <v>POOR SALE</v>
      </c>
      <c r="L311" s="30" t="str" cm="1">
        <f t="array" ref="L311">_xlfn.IFS(Table4[[#This Row],[Sales]]&gt;=40000,"Best Sale", Table4[[#This Row],[Sales]]&gt;=20000,"Average Sale",Table4[[#This Row],[Sales]]&gt;0,"Poor Sale")</f>
        <v>Average Sale</v>
      </c>
      <c r="M311" s="32" t="str" cm="1">
        <f t="array" ref="M311">_xlfn.IFS(Table4[[#This Row],[Sales]]&gt;=40000,"Best", Table4[[#This Row],[Sales]]&gt;=35000,"Average",Table4[[#This Row],[Sales]]&gt;0,"Poor")</f>
        <v>Poor</v>
      </c>
    </row>
    <row r="312" spans="1:13" x14ac:dyDescent="0.3">
      <c r="A312" s="13">
        <v>311</v>
      </c>
      <c r="B312" s="14">
        <v>44969</v>
      </c>
      <c r="C312" s="15" t="s">
        <v>15</v>
      </c>
      <c r="D312" s="15" t="s">
        <v>16</v>
      </c>
      <c r="E312" s="15" t="s">
        <v>17</v>
      </c>
      <c r="F312" s="15" t="s">
        <v>31</v>
      </c>
      <c r="G312" s="15" t="s">
        <v>39</v>
      </c>
      <c r="H312" s="16">
        <v>48043.43</v>
      </c>
      <c r="I312" s="15">
        <v>6</v>
      </c>
      <c r="J312" s="17">
        <v>6191.26</v>
      </c>
      <c r="K312" s="20" t="str">
        <f>IF(Table4[[#This Row],[Sales]]&gt;=40000,"BEST SALE","POOR SALE")</f>
        <v>BEST SALE</v>
      </c>
      <c r="L312" s="30" t="str" cm="1">
        <f t="array" ref="L312">_xlfn.IFS(Table4[[#This Row],[Sales]]&gt;=40000,"Best Sale", Table4[[#This Row],[Sales]]&gt;=20000,"Average Sale",Table4[[#This Row],[Sales]]&gt;0,"Poor Sale")</f>
        <v>Best Sale</v>
      </c>
      <c r="M312" s="32" t="str" cm="1">
        <f t="array" ref="M312">_xlfn.IFS(Table4[[#This Row],[Sales]]&gt;=40000,"Best", Table4[[#This Row],[Sales]]&gt;=35000,"Average",Table4[[#This Row],[Sales]]&gt;0,"Poor")</f>
        <v>Best</v>
      </c>
    </row>
    <row r="313" spans="1:13" x14ac:dyDescent="0.3">
      <c r="A313" s="18">
        <v>312</v>
      </c>
      <c r="B313" s="19">
        <v>44999</v>
      </c>
      <c r="C313" s="20" t="s">
        <v>38</v>
      </c>
      <c r="D313" s="20" t="s">
        <v>27</v>
      </c>
      <c r="E313" s="20" t="s">
        <v>20</v>
      </c>
      <c r="F313" s="20" t="s">
        <v>24</v>
      </c>
      <c r="G313" s="20" t="s">
        <v>25</v>
      </c>
      <c r="H313" s="21">
        <v>45172.53</v>
      </c>
      <c r="I313" s="20">
        <v>6</v>
      </c>
      <c r="J313" s="22">
        <v>3057.46</v>
      </c>
      <c r="K313" s="20" t="str">
        <f>IF(Table4[[#This Row],[Sales]]&gt;=40000,"BEST SALE","POOR SALE")</f>
        <v>BEST SALE</v>
      </c>
      <c r="L313" s="30" t="str" cm="1">
        <f t="array" ref="L313">_xlfn.IFS(Table4[[#This Row],[Sales]]&gt;=40000,"Best Sale", Table4[[#This Row],[Sales]]&gt;=20000,"Average Sale",Table4[[#This Row],[Sales]]&gt;0,"Poor Sale")</f>
        <v>Best Sale</v>
      </c>
      <c r="M313" s="32" t="str" cm="1">
        <f t="array" ref="M313">_xlfn.IFS(Table4[[#This Row],[Sales]]&gt;=40000,"Best", Table4[[#This Row],[Sales]]&gt;=35000,"Average",Table4[[#This Row],[Sales]]&gt;0,"Poor")</f>
        <v>Best</v>
      </c>
    </row>
    <row r="314" spans="1:13" x14ac:dyDescent="0.3">
      <c r="A314" s="13">
        <v>313</v>
      </c>
      <c r="B314" s="14">
        <v>45150</v>
      </c>
      <c r="C314" s="15" t="s">
        <v>26</v>
      </c>
      <c r="D314" s="15" t="s">
        <v>27</v>
      </c>
      <c r="E314" s="15" t="s">
        <v>20</v>
      </c>
      <c r="F314" s="15" t="s">
        <v>31</v>
      </c>
      <c r="G314" s="15" t="s">
        <v>33</v>
      </c>
      <c r="H314" s="16">
        <v>36425.279999999999</v>
      </c>
      <c r="I314" s="15">
        <v>2</v>
      </c>
      <c r="J314" s="17">
        <v>2652.3</v>
      </c>
      <c r="K314" s="20" t="str">
        <f>IF(Table4[[#This Row],[Sales]]&gt;=40000,"BEST SALE","POOR SALE")</f>
        <v>POOR SALE</v>
      </c>
      <c r="L314" s="30" t="str" cm="1">
        <f t="array" ref="L314">_xlfn.IFS(Table4[[#This Row],[Sales]]&gt;=40000,"Best Sale", Table4[[#This Row],[Sales]]&gt;=20000,"Average Sale",Table4[[#This Row],[Sales]]&gt;0,"Poor Sale")</f>
        <v>Average Sale</v>
      </c>
      <c r="M314" s="32" t="str" cm="1">
        <f t="array" ref="M314">_xlfn.IFS(Table4[[#This Row],[Sales]]&gt;=40000,"Best", Table4[[#This Row],[Sales]]&gt;=35000,"Average",Table4[[#This Row],[Sales]]&gt;0,"Poor")</f>
        <v>Average</v>
      </c>
    </row>
    <row r="315" spans="1:13" x14ac:dyDescent="0.3">
      <c r="A315" s="18">
        <v>314</v>
      </c>
      <c r="B315" s="19">
        <v>45204</v>
      </c>
      <c r="C315" s="20" t="s">
        <v>38</v>
      </c>
      <c r="D315" s="20" t="s">
        <v>27</v>
      </c>
      <c r="E315" s="20" t="s">
        <v>12</v>
      </c>
      <c r="F315" s="20" t="s">
        <v>24</v>
      </c>
      <c r="G315" s="20" t="s">
        <v>29</v>
      </c>
      <c r="H315" s="21">
        <v>34225.440000000002</v>
      </c>
      <c r="I315" s="20">
        <v>5</v>
      </c>
      <c r="J315" s="22">
        <v>7171.55</v>
      </c>
      <c r="K315" s="20" t="str">
        <f>IF(Table4[[#This Row],[Sales]]&gt;=40000,"BEST SALE","POOR SALE")</f>
        <v>POOR SALE</v>
      </c>
      <c r="L315" s="30" t="str" cm="1">
        <f t="array" ref="L315">_xlfn.IFS(Table4[[#This Row],[Sales]]&gt;=40000,"Best Sale", Table4[[#This Row],[Sales]]&gt;=20000,"Average Sale",Table4[[#This Row],[Sales]]&gt;0,"Poor Sale")</f>
        <v>Average Sale</v>
      </c>
      <c r="M315" s="32" t="str" cm="1">
        <f t="array" ref="M315">_xlfn.IFS(Table4[[#This Row],[Sales]]&gt;=40000,"Best", Table4[[#This Row],[Sales]]&gt;=35000,"Average",Table4[[#This Row],[Sales]]&gt;0,"Poor")</f>
        <v>Poor</v>
      </c>
    </row>
    <row r="316" spans="1:13" x14ac:dyDescent="0.3">
      <c r="A316" s="13">
        <v>315</v>
      </c>
      <c r="B316" s="14">
        <v>45240</v>
      </c>
      <c r="C316" s="15" t="s">
        <v>37</v>
      </c>
      <c r="D316" s="15" t="s">
        <v>27</v>
      </c>
      <c r="E316" s="15" t="s">
        <v>17</v>
      </c>
      <c r="F316" s="15" t="s">
        <v>13</v>
      </c>
      <c r="G316" s="15" t="s">
        <v>14</v>
      </c>
      <c r="H316" s="16">
        <v>47580.01</v>
      </c>
      <c r="I316" s="15">
        <v>1</v>
      </c>
      <c r="J316" s="17">
        <v>13586.56</v>
      </c>
      <c r="K316" s="20" t="str">
        <f>IF(Table4[[#This Row],[Sales]]&gt;=40000,"BEST SALE","POOR SALE")</f>
        <v>BEST SALE</v>
      </c>
      <c r="L316" s="30" t="str" cm="1">
        <f t="array" ref="L316">_xlfn.IFS(Table4[[#This Row],[Sales]]&gt;=40000,"Best Sale", Table4[[#This Row],[Sales]]&gt;=20000,"Average Sale",Table4[[#This Row],[Sales]]&gt;0,"Poor Sale")</f>
        <v>Best Sale</v>
      </c>
      <c r="M316" s="32" t="str" cm="1">
        <f t="array" ref="M316">_xlfn.IFS(Table4[[#This Row],[Sales]]&gt;=40000,"Best", Table4[[#This Row],[Sales]]&gt;=35000,"Average",Table4[[#This Row],[Sales]]&gt;0,"Poor")</f>
        <v>Best</v>
      </c>
    </row>
    <row r="317" spans="1:13" x14ac:dyDescent="0.3">
      <c r="A317" s="18">
        <v>316</v>
      </c>
      <c r="B317" s="19">
        <v>44975</v>
      </c>
      <c r="C317" s="20" t="s">
        <v>38</v>
      </c>
      <c r="D317" s="20" t="s">
        <v>27</v>
      </c>
      <c r="E317" s="20" t="s">
        <v>12</v>
      </c>
      <c r="F317" s="20" t="s">
        <v>13</v>
      </c>
      <c r="G317" s="20" t="s">
        <v>14</v>
      </c>
      <c r="H317" s="21">
        <v>17212.37</v>
      </c>
      <c r="I317" s="20">
        <v>6</v>
      </c>
      <c r="J317" s="22">
        <v>4577.87</v>
      </c>
      <c r="K317" s="20" t="str">
        <f>IF(Table4[[#This Row],[Sales]]&gt;=40000,"BEST SALE","POOR SALE")</f>
        <v>POOR SALE</v>
      </c>
      <c r="L317" s="30" t="str" cm="1">
        <f t="array" ref="L317">_xlfn.IFS(Table4[[#This Row],[Sales]]&gt;=40000,"Best Sale", Table4[[#This Row],[Sales]]&gt;=20000,"Average Sale",Table4[[#This Row],[Sales]]&gt;0,"Poor Sale")</f>
        <v>Poor Sale</v>
      </c>
      <c r="M317" s="32" t="str" cm="1">
        <f t="array" ref="M317">_xlfn.IFS(Table4[[#This Row],[Sales]]&gt;=40000,"Best", Table4[[#This Row],[Sales]]&gt;=35000,"Average",Table4[[#This Row],[Sales]]&gt;0,"Poor")</f>
        <v>Poor</v>
      </c>
    </row>
    <row r="318" spans="1:13" x14ac:dyDescent="0.3">
      <c r="A318" s="13">
        <v>317</v>
      </c>
      <c r="B318" s="14">
        <v>44949</v>
      </c>
      <c r="C318" s="15" t="s">
        <v>18</v>
      </c>
      <c r="D318" s="15" t="s">
        <v>19</v>
      </c>
      <c r="E318" s="15" t="s">
        <v>17</v>
      </c>
      <c r="F318" s="15" t="s">
        <v>13</v>
      </c>
      <c r="G318" s="15" t="s">
        <v>21</v>
      </c>
      <c r="H318" s="16">
        <v>48075.95</v>
      </c>
      <c r="I318" s="15">
        <v>7</v>
      </c>
      <c r="J318" s="17">
        <v>4672.51</v>
      </c>
      <c r="K318" s="20" t="str">
        <f>IF(Table4[[#This Row],[Sales]]&gt;=40000,"BEST SALE","POOR SALE")</f>
        <v>BEST SALE</v>
      </c>
      <c r="L318" s="30" t="str" cm="1">
        <f t="array" ref="L318">_xlfn.IFS(Table4[[#This Row],[Sales]]&gt;=40000,"Best Sale", Table4[[#This Row],[Sales]]&gt;=20000,"Average Sale",Table4[[#This Row],[Sales]]&gt;0,"Poor Sale")</f>
        <v>Best Sale</v>
      </c>
      <c r="M318" s="32" t="str" cm="1">
        <f t="array" ref="M318">_xlfn.IFS(Table4[[#This Row],[Sales]]&gt;=40000,"Best", Table4[[#This Row],[Sales]]&gt;=35000,"Average",Table4[[#This Row],[Sales]]&gt;0,"Poor")</f>
        <v>Best</v>
      </c>
    </row>
    <row r="319" spans="1:13" x14ac:dyDescent="0.3">
      <c r="A319" s="18">
        <v>318</v>
      </c>
      <c r="B319" s="19">
        <v>45003</v>
      </c>
      <c r="C319" s="20" t="s">
        <v>30</v>
      </c>
      <c r="D319" s="20" t="s">
        <v>16</v>
      </c>
      <c r="E319" s="20" t="s">
        <v>20</v>
      </c>
      <c r="F319" s="20" t="s">
        <v>24</v>
      </c>
      <c r="G319" s="20" t="s">
        <v>28</v>
      </c>
      <c r="H319" s="21">
        <v>9681.73</v>
      </c>
      <c r="I319" s="20">
        <v>10</v>
      </c>
      <c r="J319" s="22">
        <v>628.19000000000005</v>
      </c>
      <c r="K319" s="20" t="str">
        <f>IF(Table4[[#This Row],[Sales]]&gt;=40000,"BEST SALE","POOR SALE")</f>
        <v>POOR SALE</v>
      </c>
      <c r="L319" s="30" t="str" cm="1">
        <f t="array" ref="L319">_xlfn.IFS(Table4[[#This Row],[Sales]]&gt;=40000,"Best Sale", Table4[[#This Row],[Sales]]&gt;=20000,"Average Sale",Table4[[#This Row],[Sales]]&gt;0,"Poor Sale")</f>
        <v>Poor Sale</v>
      </c>
      <c r="M319" s="32" t="str" cm="1">
        <f t="array" ref="M319">_xlfn.IFS(Table4[[#This Row],[Sales]]&gt;=40000,"Best", Table4[[#This Row],[Sales]]&gt;=35000,"Average",Table4[[#This Row],[Sales]]&gt;0,"Poor")</f>
        <v>Poor</v>
      </c>
    </row>
    <row r="320" spans="1:13" x14ac:dyDescent="0.3">
      <c r="A320" s="13">
        <v>319</v>
      </c>
      <c r="B320" s="14">
        <v>45245</v>
      </c>
      <c r="C320" s="15" t="s">
        <v>30</v>
      </c>
      <c r="D320" s="15" t="s">
        <v>16</v>
      </c>
      <c r="E320" s="15" t="s">
        <v>20</v>
      </c>
      <c r="F320" s="15" t="s">
        <v>31</v>
      </c>
      <c r="G320" s="15" t="s">
        <v>32</v>
      </c>
      <c r="H320" s="16">
        <v>31708.44</v>
      </c>
      <c r="I320" s="15">
        <v>4</v>
      </c>
      <c r="J320" s="17">
        <v>1986.92</v>
      </c>
      <c r="K320" s="20" t="str">
        <f>IF(Table4[[#This Row],[Sales]]&gt;=40000,"BEST SALE","POOR SALE")</f>
        <v>POOR SALE</v>
      </c>
      <c r="L320" s="30" t="str" cm="1">
        <f t="array" ref="L320">_xlfn.IFS(Table4[[#This Row],[Sales]]&gt;=40000,"Best Sale", Table4[[#This Row],[Sales]]&gt;=20000,"Average Sale",Table4[[#This Row],[Sales]]&gt;0,"Poor Sale")</f>
        <v>Average Sale</v>
      </c>
      <c r="M320" s="32" t="str" cm="1">
        <f t="array" ref="M320">_xlfn.IFS(Table4[[#This Row],[Sales]]&gt;=40000,"Best", Table4[[#This Row],[Sales]]&gt;=35000,"Average",Table4[[#This Row],[Sales]]&gt;0,"Poor")</f>
        <v>Poor</v>
      </c>
    </row>
    <row r="321" spans="1:13" x14ac:dyDescent="0.3">
      <c r="A321" s="18">
        <v>320</v>
      </c>
      <c r="B321" s="19">
        <v>45008</v>
      </c>
      <c r="C321" s="20" t="s">
        <v>30</v>
      </c>
      <c r="D321" s="20" t="s">
        <v>16</v>
      </c>
      <c r="E321" s="20" t="s">
        <v>12</v>
      </c>
      <c r="F321" s="20" t="s">
        <v>24</v>
      </c>
      <c r="G321" s="20" t="s">
        <v>29</v>
      </c>
      <c r="H321" s="21">
        <v>23576.81</v>
      </c>
      <c r="I321" s="20">
        <v>5</v>
      </c>
      <c r="J321" s="22">
        <v>5469.68</v>
      </c>
      <c r="K321" s="20" t="str">
        <f>IF(Table4[[#This Row],[Sales]]&gt;=40000,"BEST SALE","POOR SALE")</f>
        <v>POOR SALE</v>
      </c>
      <c r="L321" s="30" t="str" cm="1">
        <f t="array" ref="L321">_xlfn.IFS(Table4[[#This Row],[Sales]]&gt;=40000,"Best Sale", Table4[[#This Row],[Sales]]&gt;=20000,"Average Sale",Table4[[#This Row],[Sales]]&gt;0,"Poor Sale")</f>
        <v>Average Sale</v>
      </c>
      <c r="M321" s="32" t="str" cm="1">
        <f t="array" ref="M321">_xlfn.IFS(Table4[[#This Row],[Sales]]&gt;=40000,"Best", Table4[[#This Row],[Sales]]&gt;=35000,"Average",Table4[[#This Row],[Sales]]&gt;0,"Poor")</f>
        <v>Poor</v>
      </c>
    </row>
    <row r="322" spans="1:13" x14ac:dyDescent="0.3">
      <c r="A322" s="13">
        <v>321</v>
      </c>
      <c r="B322" s="14">
        <v>45048</v>
      </c>
      <c r="C322" s="15" t="s">
        <v>35</v>
      </c>
      <c r="D322" s="15" t="s">
        <v>36</v>
      </c>
      <c r="E322" s="15" t="s">
        <v>17</v>
      </c>
      <c r="F322" s="15" t="s">
        <v>31</v>
      </c>
      <c r="G322" s="15" t="s">
        <v>39</v>
      </c>
      <c r="H322" s="16">
        <v>46941.22</v>
      </c>
      <c r="I322" s="15">
        <v>3</v>
      </c>
      <c r="J322" s="17">
        <v>11351.59</v>
      </c>
      <c r="K322" s="20" t="str">
        <f>IF(Table4[[#This Row],[Sales]]&gt;=40000,"BEST SALE","POOR SALE")</f>
        <v>BEST SALE</v>
      </c>
      <c r="L322" s="30" t="str" cm="1">
        <f t="array" ref="L322">_xlfn.IFS(Table4[[#This Row],[Sales]]&gt;=40000,"Best Sale", Table4[[#This Row],[Sales]]&gt;=20000,"Average Sale",Table4[[#This Row],[Sales]]&gt;0,"Poor Sale")</f>
        <v>Best Sale</v>
      </c>
      <c r="M322" s="32" t="str" cm="1">
        <f t="array" ref="M322">_xlfn.IFS(Table4[[#This Row],[Sales]]&gt;=40000,"Best", Table4[[#This Row],[Sales]]&gt;=35000,"Average",Table4[[#This Row],[Sales]]&gt;0,"Poor")</f>
        <v>Best</v>
      </c>
    </row>
    <row r="323" spans="1:13" x14ac:dyDescent="0.3">
      <c r="A323" s="18">
        <v>322</v>
      </c>
      <c r="B323" s="19">
        <v>45021</v>
      </c>
      <c r="C323" s="20" t="s">
        <v>30</v>
      </c>
      <c r="D323" s="20" t="s">
        <v>16</v>
      </c>
      <c r="E323" s="20" t="s">
        <v>12</v>
      </c>
      <c r="F323" s="20" t="s">
        <v>31</v>
      </c>
      <c r="G323" s="20" t="s">
        <v>33</v>
      </c>
      <c r="H323" s="21">
        <v>30511.77</v>
      </c>
      <c r="I323" s="20">
        <v>4</v>
      </c>
      <c r="J323" s="22">
        <v>2577.4699999999998</v>
      </c>
      <c r="K323" s="20" t="str">
        <f>IF(Table4[[#This Row],[Sales]]&gt;=40000,"BEST SALE","POOR SALE")</f>
        <v>POOR SALE</v>
      </c>
      <c r="L323" s="30" t="str" cm="1">
        <f t="array" ref="L323">_xlfn.IFS(Table4[[#This Row],[Sales]]&gt;=40000,"Best Sale", Table4[[#This Row],[Sales]]&gt;=20000,"Average Sale",Table4[[#This Row],[Sales]]&gt;0,"Poor Sale")</f>
        <v>Average Sale</v>
      </c>
      <c r="M323" s="32" t="str" cm="1">
        <f t="array" ref="M323">_xlfn.IFS(Table4[[#This Row],[Sales]]&gt;=40000,"Best", Table4[[#This Row],[Sales]]&gt;=35000,"Average",Table4[[#This Row],[Sales]]&gt;0,"Poor")</f>
        <v>Poor</v>
      </c>
    </row>
    <row r="324" spans="1:13" x14ac:dyDescent="0.3">
      <c r="A324" s="13">
        <v>323</v>
      </c>
      <c r="B324" s="14">
        <v>45225</v>
      </c>
      <c r="C324" s="15" t="s">
        <v>38</v>
      </c>
      <c r="D324" s="15" t="s">
        <v>27</v>
      </c>
      <c r="E324" s="15" t="s">
        <v>17</v>
      </c>
      <c r="F324" s="15" t="s">
        <v>13</v>
      </c>
      <c r="G324" s="15" t="s">
        <v>21</v>
      </c>
      <c r="H324" s="16">
        <v>1705.27</v>
      </c>
      <c r="I324" s="15">
        <v>2</v>
      </c>
      <c r="J324" s="17">
        <v>258.72000000000003</v>
      </c>
      <c r="K324" s="20" t="str">
        <f>IF(Table4[[#This Row],[Sales]]&gt;=40000,"BEST SALE","POOR SALE")</f>
        <v>POOR SALE</v>
      </c>
      <c r="L324" s="30" t="str" cm="1">
        <f t="array" ref="L324">_xlfn.IFS(Table4[[#This Row],[Sales]]&gt;=40000,"Best Sale", Table4[[#This Row],[Sales]]&gt;=20000,"Average Sale",Table4[[#This Row],[Sales]]&gt;0,"Poor Sale")</f>
        <v>Poor Sale</v>
      </c>
      <c r="M324" s="32" t="str" cm="1">
        <f t="array" ref="M324">_xlfn.IFS(Table4[[#This Row],[Sales]]&gt;=40000,"Best", Table4[[#This Row],[Sales]]&gt;=35000,"Average",Table4[[#This Row],[Sales]]&gt;0,"Poor")</f>
        <v>Poor</v>
      </c>
    </row>
    <row r="325" spans="1:13" x14ac:dyDescent="0.3">
      <c r="A325" s="18">
        <v>324</v>
      </c>
      <c r="B325" s="19">
        <v>45196</v>
      </c>
      <c r="C325" s="20" t="s">
        <v>22</v>
      </c>
      <c r="D325" s="20" t="s">
        <v>22</v>
      </c>
      <c r="E325" s="20" t="s">
        <v>20</v>
      </c>
      <c r="F325" s="20" t="s">
        <v>13</v>
      </c>
      <c r="G325" s="20" t="s">
        <v>14</v>
      </c>
      <c r="H325" s="21">
        <v>40330.29</v>
      </c>
      <c r="I325" s="20">
        <v>9</v>
      </c>
      <c r="J325" s="22">
        <v>9484.9599999999991</v>
      </c>
      <c r="K325" s="20" t="str">
        <f>IF(Table4[[#This Row],[Sales]]&gt;=40000,"BEST SALE","POOR SALE")</f>
        <v>BEST SALE</v>
      </c>
      <c r="L325" s="30" t="str" cm="1">
        <f t="array" ref="L325">_xlfn.IFS(Table4[[#This Row],[Sales]]&gt;=40000,"Best Sale", Table4[[#This Row],[Sales]]&gt;=20000,"Average Sale",Table4[[#This Row],[Sales]]&gt;0,"Poor Sale")</f>
        <v>Best Sale</v>
      </c>
      <c r="M325" s="32" t="str" cm="1">
        <f t="array" ref="M325">_xlfn.IFS(Table4[[#This Row],[Sales]]&gt;=40000,"Best", Table4[[#This Row],[Sales]]&gt;=35000,"Average",Table4[[#This Row],[Sales]]&gt;0,"Poor")</f>
        <v>Best</v>
      </c>
    </row>
    <row r="326" spans="1:13" x14ac:dyDescent="0.3">
      <c r="A326" s="13">
        <v>325</v>
      </c>
      <c r="B326" s="14">
        <v>44947</v>
      </c>
      <c r="C326" s="15" t="s">
        <v>18</v>
      </c>
      <c r="D326" s="15" t="s">
        <v>19</v>
      </c>
      <c r="E326" s="15" t="s">
        <v>20</v>
      </c>
      <c r="F326" s="15" t="s">
        <v>24</v>
      </c>
      <c r="G326" s="15" t="s">
        <v>29</v>
      </c>
      <c r="H326" s="16">
        <v>22523.13</v>
      </c>
      <c r="I326" s="15">
        <v>3</v>
      </c>
      <c r="J326" s="17">
        <v>5559.51</v>
      </c>
      <c r="K326" s="20" t="str">
        <f>IF(Table4[[#This Row],[Sales]]&gt;=40000,"BEST SALE","POOR SALE")</f>
        <v>POOR SALE</v>
      </c>
      <c r="L326" s="30" t="str" cm="1">
        <f t="array" ref="L326">_xlfn.IFS(Table4[[#This Row],[Sales]]&gt;=40000,"Best Sale", Table4[[#This Row],[Sales]]&gt;=20000,"Average Sale",Table4[[#This Row],[Sales]]&gt;0,"Poor Sale")</f>
        <v>Average Sale</v>
      </c>
      <c r="M326" s="32" t="str" cm="1">
        <f t="array" ref="M326">_xlfn.IFS(Table4[[#This Row],[Sales]]&gt;=40000,"Best", Table4[[#This Row],[Sales]]&gt;=35000,"Average",Table4[[#This Row],[Sales]]&gt;0,"Poor")</f>
        <v>Poor</v>
      </c>
    </row>
    <row r="327" spans="1:13" x14ac:dyDescent="0.3">
      <c r="A327" s="18">
        <v>326</v>
      </c>
      <c r="B327" s="19">
        <v>45181</v>
      </c>
      <c r="C327" s="20" t="s">
        <v>30</v>
      </c>
      <c r="D327" s="20" t="s">
        <v>16</v>
      </c>
      <c r="E327" s="20" t="s">
        <v>12</v>
      </c>
      <c r="F327" s="20" t="s">
        <v>31</v>
      </c>
      <c r="G327" s="20" t="s">
        <v>32</v>
      </c>
      <c r="H327" s="21">
        <v>9721.76</v>
      </c>
      <c r="I327" s="20">
        <v>1</v>
      </c>
      <c r="J327" s="22">
        <v>2426.7199999999998</v>
      </c>
      <c r="K327" s="20" t="str">
        <f>IF(Table4[[#This Row],[Sales]]&gt;=40000,"BEST SALE","POOR SALE")</f>
        <v>POOR SALE</v>
      </c>
      <c r="L327" s="30" t="str" cm="1">
        <f t="array" ref="L327">_xlfn.IFS(Table4[[#This Row],[Sales]]&gt;=40000,"Best Sale", Table4[[#This Row],[Sales]]&gt;=20000,"Average Sale",Table4[[#This Row],[Sales]]&gt;0,"Poor Sale")</f>
        <v>Poor Sale</v>
      </c>
      <c r="M327" s="32" t="str" cm="1">
        <f t="array" ref="M327">_xlfn.IFS(Table4[[#This Row],[Sales]]&gt;=40000,"Best", Table4[[#This Row],[Sales]]&gt;=35000,"Average",Table4[[#This Row],[Sales]]&gt;0,"Poor")</f>
        <v>Poor</v>
      </c>
    </row>
    <row r="328" spans="1:13" x14ac:dyDescent="0.3">
      <c r="A328" s="13">
        <v>327</v>
      </c>
      <c r="B328" s="14">
        <v>45158</v>
      </c>
      <c r="C328" s="15" t="s">
        <v>37</v>
      </c>
      <c r="D328" s="15" t="s">
        <v>27</v>
      </c>
      <c r="E328" s="15" t="s">
        <v>17</v>
      </c>
      <c r="F328" s="15" t="s">
        <v>31</v>
      </c>
      <c r="G328" s="15" t="s">
        <v>39</v>
      </c>
      <c r="H328" s="16">
        <v>13433.44</v>
      </c>
      <c r="I328" s="15">
        <v>10</v>
      </c>
      <c r="J328" s="17">
        <v>3809.36</v>
      </c>
      <c r="K328" s="20" t="str">
        <f>IF(Table4[[#This Row],[Sales]]&gt;=40000,"BEST SALE","POOR SALE")</f>
        <v>POOR SALE</v>
      </c>
      <c r="L328" s="30" t="str" cm="1">
        <f t="array" ref="L328">_xlfn.IFS(Table4[[#This Row],[Sales]]&gt;=40000,"Best Sale", Table4[[#This Row],[Sales]]&gt;=20000,"Average Sale",Table4[[#This Row],[Sales]]&gt;0,"Poor Sale")</f>
        <v>Poor Sale</v>
      </c>
      <c r="M328" s="32" t="str" cm="1">
        <f t="array" ref="M328">_xlfn.IFS(Table4[[#This Row],[Sales]]&gt;=40000,"Best", Table4[[#This Row],[Sales]]&gt;=35000,"Average",Table4[[#This Row],[Sales]]&gt;0,"Poor")</f>
        <v>Poor</v>
      </c>
    </row>
    <row r="329" spans="1:13" x14ac:dyDescent="0.3">
      <c r="A329" s="18">
        <v>328</v>
      </c>
      <c r="B329" s="19">
        <v>44960</v>
      </c>
      <c r="C329" s="20" t="s">
        <v>15</v>
      </c>
      <c r="D329" s="20" t="s">
        <v>16</v>
      </c>
      <c r="E329" s="20" t="s">
        <v>12</v>
      </c>
      <c r="F329" s="20" t="s">
        <v>24</v>
      </c>
      <c r="G329" s="20" t="s">
        <v>28</v>
      </c>
      <c r="H329" s="21">
        <v>42800.72</v>
      </c>
      <c r="I329" s="20">
        <v>2</v>
      </c>
      <c r="J329" s="22">
        <v>3432.12</v>
      </c>
      <c r="K329" s="20" t="str">
        <f>IF(Table4[[#This Row],[Sales]]&gt;=40000,"BEST SALE","POOR SALE")</f>
        <v>BEST SALE</v>
      </c>
      <c r="L329" s="30" t="str" cm="1">
        <f t="array" ref="L329">_xlfn.IFS(Table4[[#This Row],[Sales]]&gt;=40000,"Best Sale", Table4[[#This Row],[Sales]]&gt;=20000,"Average Sale",Table4[[#This Row],[Sales]]&gt;0,"Poor Sale")</f>
        <v>Best Sale</v>
      </c>
      <c r="M329" s="32" t="str" cm="1">
        <f t="array" ref="M329">_xlfn.IFS(Table4[[#This Row],[Sales]]&gt;=40000,"Best", Table4[[#This Row],[Sales]]&gt;=35000,"Average",Table4[[#This Row],[Sales]]&gt;0,"Poor")</f>
        <v>Best</v>
      </c>
    </row>
    <row r="330" spans="1:13" x14ac:dyDescent="0.3">
      <c r="A330" s="13">
        <v>329</v>
      </c>
      <c r="B330" s="14">
        <v>45245</v>
      </c>
      <c r="C330" s="15" t="s">
        <v>37</v>
      </c>
      <c r="D330" s="15" t="s">
        <v>27</v>
      </c>
      <c r="E330" s="15" t="s">
        <v>17</v>
      </c>
      <c r="F330" s="15" t="s">
        <v>24</v>
      </c>
      <c r="G330" s="15" t="s">
        <v>25</v>
      </c>
      <c r="H330" s="16">
        <v>11997.4</v>
      </c>
      <c r="I330" s="15">
        <v>9</v>
      </c>
      <c r="J330" s="17">
        <v>2230.12</v>
      </c>
      <c r="K330" s="20" t="str">
        <f>IF(Table4[[#This Row],[Sales]]&gt;=40000,"BEST SALE","POOR SALE")</f>
        <v>POOR SALE</v>
      </c>
      <c r="L330" s="30" t="str" cm="1">
        <f t="array" ref="L330">_xlfn.IFS(Table4[[#This Row],[Sales]]&gt;=40000,"Best Sale", Table4[[#This Row],[Sales]]&gt;=20000,"Average Sale",Table4[[#This Row],[Sales]]&gt;0,"Poor Sale")</f>
        <v>Poor Sale</v>
      </c>
      <c r="M330" s="32" t="str" cm="1">
        <f t="array" ref="M330">_xlfn.IFS(Table4[[#This Row],[Sales]]&gt;=40000,"Best", Table4[[#This Row],[Sales]]&gt;=35000,"Average",Table4[[#This Row],[Sales]]&gt;0,"Poor")</f>
        <v>Poor</v>
      </c>
    </row>
    <row r="331" spans="1:13" x14ac:dyDescent="0.3">
      <c r="A331" s="18">
        <v>330</v>
      </c>
      <c r="B331" s="19">
        <v>45173</v>
      </c>
      <c r="C331" s="20" t="s">
        <v>15</v>
      </c>
      <c r="D331" s="20" t="s">
        <v>16</v>
      </c>
      <c r="E331" s="20" t="s">
        <v>20</v>
      </c>
      <c r="F331" s="20" t="s">
        <v>31</v>
      </c>
      <c r="G331" s="20" t="s">
        <v>33</v>
      </c>
      <c r="H331" s="21">
        <v>16524.43</v>
      </c>
      <c r="I331" s="20">
        <v>5</v>
      </c>
      <c r="J331" s="22">
        <v>3288.46</v>
      </c>
      <c r="K331" s="20" t="str">
        <f>IF(Table4[[#This Row],[Sales]]&gt;=40000,"BEST SALE","POOR SALE")</f>
        <v>POOR SALE</v>
      </c>
      <c r="L331" s="30" t="str" cm="1">
        <f t="array" ref="L331">_xlfn.IFS(Table4[[#This Row],[Sales]]&gt;=40000,"Best Sale", Table4[[#This Row],[Sales]]&gt;=20000,"Average Sale",Table4[[#This Row],[Sales]]&gt;0,"Poor Sale")</f>
        <v>Poor Sale</v>
      </c>
      <c r="M331" s="32" t="str" cm="1">
        <f t="array" ref="M331">_xlfn.IFS(Table4[[#This Row],[Sales]]&gt;=40000,"Best", Table4[[#This Row],[Sales]]&gt;=35000,"Average",Table4[[#This Row],[Sales]]&gt;0,"Poor")</f>
        <v>Poor</v>
      </c>
    </row>
    <row r="332" spans="1:13" x14ac:dyDescent="0.3">
      <c r="A332" s="13">
        <v>331</v>
      </c>
      <c r="B332" s="14">
        <v>45270</v>
      </c>
      <c r="C332" s="15" t="s">
        <v>15</v>
      </c>
      <c r="D332" s="15" t="s">
        <v>16</v>
      </c>
      <c r="E332" s="15" t="s">
        <v>20</v>
      </c>
      <c r="F332" s="15" t="s">
        <v>31</v>
      </c>
      <c r="G332" s="15" t="s">
        <v>39</v>
      </c>
      <c r="H332" s="16">
        <v>10353.51</v>
      </c>
      <c r="I332" s="15">
        <v>9</v>
      </c>
      <c r="J332" s="17">
        <v>1656.01</v>
      </c>
      <c r="K332" s="20" t="str">
        <f>IF(Table4[[#This Row],[Sales]]&gt;=40000,"BEST SALE","POOR SALE")</f>
        <v>POOR SALE</v>
      </c>
      <c r="L332" s="30" t="str" cm="1">
        <f t="array" ref="L332">_xlfn.IFS(Table4[[#This Row],[Sales]]&gt;=40000,"Best Sale", Table4[[#This Row],[Sales]]&gt;=20000,"Average Sale",Table4[[#This Row],[Sales]]&gt;0,"Poor Sale")</f>
        <v>Poor Sale</v>
      </c>
      <c r="M332" s="32" t="str" cm="1">
        <f t="array" ref="M332">_xlfn.IFS(Table4[[#This Row],[Sales]]&gt;=40000,"Best", Table4[[#This Row],[Sales]]&gt;=35000,"Average",Table4[[#This Row],[Sales]]&gt;0,"Poor")</f>
        <v>Poor</v>
      </c>
    </row>
    <row r="333" spans="1:13" x14ac:dyDescent="0.3">
      <c r="A333" s="18">
        <v>332</v>
      </c>
      <c r="B333" s="19">
        <v>45126</v>
      </c>
      <c r="C333" s="20" t="s">
        <v>10</v>
      </c>
      <c r="D333" s="20" t="s">
        <v>11</v>
      </c>
      <c r="E333" s="20" t="s">
        <v>12</v>
      </c>
      <c r="F333" s="20" t="s">
        <v>24</v>
      </c>
      <c r="G333" s="20" t="s">
        <v>29</v>
      </c>
      <c r="H333" s="21">
        <v>49849.49</v>
      </c>
      <c r="I333" s="20">
        <v>2</v>
      </c>
      <c r="J333" s="22">
        <v>14334.62</v>
      </c>
      <c r="K333" s="20" t="str">
        <f>IF(Table4[[#This Row],[Sales]]&gt;=40000,"BEST SALE","POOR SALE")</f>
        <v>BEST SALE</v>
      </c>
      <c r="L333" s="30" t="str" cm="1">
        <f t="array" ref="L333">_xlfn.IFS(Table4[[#This Row],[Sales]]&gt;=40000,"Best Sale", Table4[[#This Row],[Sales]]&gt;=20000,"Average Sale",Table4[[#This Row],[Sales]]&gt;0,"Poor Sale")</f>
        <v>Best Sale</v>
      </c>
      <c r="M333" s="32" t="str" cm="1">
        <f t="array" ref="M333">_xlfn.IFS(Table4[[#This Row],[Sales]]&gt;=40000,"Best", Table4[[#This Row],[Sales]]&gt;=35000,"Average",Table4[[#This Row],[Sales]]&gt;0,"Poor")</f>
        <v>Best</v>
      </c>
    </row>
    <row r="334" spans="1:13" x14ac:dyDescent="0.3">
      <c r="A334" s="13">
        <v>333</v>
      </c>
      <c r="B334" s="14">
        <v>45150</v>
      </c>
      <c r="C334" s="15" t="s">
        <v>26</v>
      </c>
      <c r="D334" s="15" t="s">
        <v>27</v>
      </c>
      <c r="E334" s="15" t="s">
        <v>17</v>
      </c>
      <c r="F334" s="15" t="s">
        <v>31</v>
      </c>
      <c r="G334" s="15" t="s">
        <v>33</v>
      </c>
      <c r="H334" s="16">
        <v>40482.129999999997</v>
      </c>
      <c r="I334" s="15">
        <v>4</v>
      </c>
      <c r="J334" s="17">
        <v>9904.9599999999991</v>
      </c>
      <c r="K334" s="20" t="str">
        <f>IF(Table4[[#This Row],[Sales]]&gt;=40000,"BEST SALE","POOR SALE")</f>
        <v>BEST SALE</v>
      </c>
      <c r="L334" s="30" t="str" cm="1">
        <f t="array" ref="L334">_xlfn.IFS(Table4[[#This Row],[Sales]]&gt;=40000,"Best Sale", Table4[[#This Row],[Sales]]&gt;=20000,"Average Sale",Table4[[#This Row],[Sales]]&gt;0,"Poor Sale")</f>
        <v>Best Sale</v>
      </c>
      <c r="M334" s="32" t="str" cm="1">
        <f t="array" ref="M334">_xlfn.IFS(Table4[[#This Row],[Sales]]&gt;=40000,"Best", Table4[[#This Row],[Sales]]&gt;=35000,"Average",Table4[[#This Row],[Sales]]&gt;0,"Poor")</f>
        <v>Best</v>
      </c>
    </row>
    <row r="335" spans="1:13" x14ac:dyDescent="0.3">
      <c r="A335" s="18">
        <v>334</v>
      </c>
      <c r="B335" s="19">
        <v>45062</v>
      </c>
      <c r="C335" s="20" t="s">
        <v>18</v>
      </c>
      <c r="D335" s="20" t="s">
        <v>19</v>
      </c>
      <c r="E335" s="20" t="s">
        <v>12</v>
      </c>
      <c r="F335" s="20" t="s">
        <v>24</v>
      </c>
      <c r="G335" s="20" t="s">
        <v>29</v>
      </c>
      <c r="H335" s="21">
        <v>24555.21</v>
      </c>
      <c r="I335" s="20">
        <v>7</v>
      </c>
      <c r="J335" s="22">
        <v>6048.99</v>
      </c>
      <c r="K335" s="20" t="str">
        <f>IF(Table4[[#This Row],[Sales]]&gt;=40000,"BEST SALE","POOR SALE")</f>
        <v>POOR SALE</v>
      </c>
      <c r="L335" s="30" t="str" cm="1">
        <f t="array" ref="L335">_xlfn.IFS(Table4[[#This Row],[Sales]]&gt;=40000,"Best Sale", Table4[[#This Row],[Sales]]&gt;=20000,"Average Sale",Table4[[#This Row],[Sales]]&gt;0,"Poor Sale")</f>
        <v>Average Sale</v>
      </c>
      <c r="M335" s="32" t="str" cm="1">
        <f t="array" ref="M335">_xlfn.IFS(Table4[[#This Row],[Sales]]&gt;=40000,"Best", Table4[[#This Row],[Sales]]&gt;=35000,"Average",Table4[[#This Row],[Sales]]&gt;0,"Poor")</f>
        <v>Poor</v>
      </c>
    </row>
    <row r="336" spans="1:13" x14ac:dyDescent="0.3">
      <c r="A336" s="13">
        <v>335</v>
      </c>
      <c r="B336" s="14">
        <v>45124</v>
      </c>
      <c r="C336" s="15" t="s">
        <v>26</v>
      </c>
      <c r="D336" s="15" t="s">
        <v>27</v>
      </c>
      <c r="E336" s="15" t="s">
        <v>17</v>
      </c>
      <c r="F336" s="15" t="s">
        <v>31</v>
      </c>
      <c r="G336" s="15" t="s">
        <v>39</v>
      </c>
      <c r="H336" s="16">
        <v>12319.01</v>
      </c>
      <c r="I336" s="15">
        <v>8</v>
      </c>
      <c r="J336" s="17">
        <v>2389.34</v>
      </c>
      <c r="K336" s="20" t="str">
        <f>IF(Table4[[#This Row],[Sales]]&gt;=40000,"BEST SALE","POOR SALE")</f>
        <v>POOR SALE</v>
      </c>
      <c r="L336" s="30" t="str" cm="1">
        <f t="array" ref="L336">_xlfn.IFS(Table4[[#This Row],[Sales]]&gt;=40000,"Best Sale", Table4[[#This Row],[Sales]]&gt;=20000,"Average Sale",Table4[[#This Row],[Sales]]&gt;0,"Poor Sale")</f>
        <v>Poor Sale</v>
      </c>
      <c r="M336" s="32" t="str" cm="1">
        <f t="array" ref="M336">_xlfn.IFS(Table4[[#This Row],[Sales]]&gt;=40000,"Best", Table4[[#This Row],[Sales]]&gt;=35000,"Average",Table4[[#This Row],[Sales]]&gt;0,"Poor")</f>
        <v>Poor</v>
      </c>
    </row>
    <row r="337" spans="1:13" x14ac:dyDescent="0.3">
      <c r="A337" s="18">
        <v>336</v>
      </c>
      <c r="B337" s="19">
        <v>44980</v>
      </c>
      <c r="C337" s="20" t="s">
        <v>26</v>
      </c>
      <c r="D337" s="20" t="s">
        <v>27</v>
      </c>
      <c r="E337" s="20" t="s">
        <v>20</v>
      </c>
      <c r="F337" s="20" t="s">
        <v>31</v>
      </c>
      <c r="G337" s="20" t="s">
        <v>33</v>
      </c>
      <c r="H337" s="21">
        <v>13647.29</v>
      </c>
      <c r="I337" s="20">
        <v>1</v>
      </c>
      <c r="J337" s="22">
        <v>1756.26</v>
      </c>
      <c r="K337" s="20" t="str">
        <f>IF(Table4[[#This Row],[Sales]]&gt;=40000,"BEST SALE","POOR SALE")</f>
        <v>POOR SALE</v>
      </c>
      <c r="L337" s="30" t="str" cm="1">
        <f t="array" ref="L337">_xlfn.IFS(Table4[[#This Row],[Sales]]&gt;=40000,"Best Sale", Table4[[#This Row],[Sales]]&gt;=20000,"Average Sale",Table4[[#This Row],[Sales]]&gt;0,"Poor Sale")</f>
        <v>Poor Sale</v>
      </c>
      <c r="M337" s="32" t="str" cm="1">
        <f t="array" ref="M337">_xlfn.IFS(Table4[[#This Row],[Sales]]&gt;=40000,"Best", Table4[[#This Row],[Sales]]&gt;=35000,"Average",Table4[[#This Row],[Sales]]&gt;0,"Poor")</f>
        <v>Poor</v>
      </c>
    </row>
    <row r="338" spans="1:13" x14ac:dyDescent="0.3">
      <c r="A338" s="13">
        <v>337</v>
      </c>
      <c r="B338" s="14">
        <v>44931</v>
      </c>
      <c r="C338" s="15" t="s">
        <v>26</v>
      </c>
      <c r="D338" s="15" t="s">
        <v>27</v>
      </c>
      <c r="E338" s="15" t="s">
        <v>20</v>
      </c>
      <c r="F338" s="15" t="s">
        <v>24</v>
      </c>
      <c r="G338" s="15" t="s">
        <v>29</v>
      </c>
      <c r="H338" s="16">
        <v>47809.440000000002</v>
      </c>
      <c r="I338" s="15">
        <v>8</v>
      </c>
      <c r="J338" s="17">
        <v>3486.63</v>
      </c>
      <c r="K338" s="20" t="str">
        <f>IF(Table4[[#This Row],[Sales]]&gt;=40000,"BEST SALE","POOR SALE")</f>
        <v>BEST SALE</v>
      </c>
      <c r="L338" s="30" t="str" cm="1">
        <f t="array" ref="L338">_xlfn.IFS(Table4[[#This Row],[Sales]]&gt;=40000,"Best Sale", Table4[[#This Row],[Sales]]&gt;=20000,"Average Sale",Table4[[#This Row],[Sales]]&gt;0,"Poor Sale")</f>
        <v>Best Sale</v>
      </c>
      <c r="M338" s="32" t="str" cm="1">
        <f t="array" ref="M338">_xlfn.IFS(Table4[[#This Row],[Sales]]&gt;=40000,"Best", Table4[[#This Row],[Sales]]&gt;=35000,"Average",Table4[[#This Row],[Sales]]&gt;0,"Poor")</f>
        <v>Best</v>
      </c>
    </row>
    <row r="339" spans="1:13" x14ac:dyDescent="0.3">
      <c r="A339" s="18">
        <v>338</v>
      </c>
      <c r="B339" s="19">
        <v>45139</v>
      </c>
      <c r="C339" s="20" t="s">
        <v>22</v>
      </c>
      <c r="D339" s="20" t="s">
        <v>22</v>
      </c>
      <c r="E339" s="20" t="s">
        <v>12</v>
      </c>
      <c r="F339" s="20" t="s">
        <v>13</v>
      </c>
      <c r="G339" s="20" t="s">
        <v>21</v>
      </c>
      <c r="H339" s="21">
        <v>13063.77</v>
      </c>
      <c r="I339" s="20">
        <v>7</v>
      </c>
      <c r="J339" s="22">
        <v>919.67</v>
      </c>
      <c r="K339" s="20" t="str">
        <f>IF(Table4[[#This Row],[Sales]]&gt;=40000,"BEST SALE","POOR SALE")</f>
        <v>POOR SALE</v>
      </c>
      <c r="L339" s="30" t="str" cm="1">
        <f t="array" ref="L339">_xlfn.IFS(Table4[[#This Row],[Sales]]&gt;=40000,"Best Sale", Table4[[#This Row],[Sales]]&gt;=20000,"Average Sale",Table4[[#This Row],[Sales]]&gt;0,"Poor Sale")</f>
        <v>Poor Sale</v>
      </c>
      <c r="M339" s="32" t="str" cm="1">
        <f t="array" ref="M339">_xlfn.IFS(Table4[[#This Row],[Sales]]&gt;=40000,"Best", Table4[[#This Row],[Sales]]&gt;=35000,"Average",Table4[[#This Row],[Sales]]&gt;0,"Poor")</f>
        <v>Poor</v>
      </c>
    </row>
    <row r="340" spans="1:13" x14ac:dyDescent="0.3">
      <c r="A340" s="13">
        <v>339</v>
      </c>
      <c r="B340" s="14">
        <v>45269</v>
      </c>
      <c r="C340" s="15" t="s">
        <v>37</v>
      </c>
      <c r="D340" s="15" t="s">
        <v>27</v>
      </c>
      <c r="E340" s="15" t="s">
        <v>17</v>
      </c>
      <c r="F340" s="15" t="s">
        <v>13</v>
      </c>
      <c r="G340" s="15" t="s">
        <v>34</v>
      </c>
      <c r="H340" s="16">
        <v>19511.96</v>
      </c>
      <c r="I340" s="15">
        <v>9</v>
      </c>
      <c r="J340" s="17">
        <v>3592.28</v>
      </c>
      <c r="K340" s="20" t="str">
        <f>IF(Table4[[#This Row],[Sales]]&gt;=40000,"BEST SALE","POOR SALE")</f>
        <v>POOR SALE</v>
      </c>
      <c r="L340" s="30" t="str" cm="1">
        <f t="array" ref="L340">_xlfn.IFS(Table4[[#This Row],[Sales]]&gt;=40000,"Best Sale", Table4[[#This Row],[Sales]]&gt;=20000,"Average Sale",Table4[[#This Row],[Sales]]&gt;0,"Poor Sale")</f>
        <v>Poor Sale</v>
      </c>
      <c r="M340" s="32" t="str" cm="1">
        <f t="array" ref="M340">_xlfn.IFS(Table4[[#This Row],[Sales]]&gt;=40000,"Best", Table4[[#This Row],[Sales]]&gt;=35000,"Average",Table4[[#This Row],[Sales]]&gt;0,"Poor")</f>
        <v>Poor</v>
      </c>
    </row>
    <row r="341" spans="1:13" x14ac:dyDescent="0.3">
      <c r="A341" s="18">
        <v>340</v>
      </c>
      <c r="B341" s="19">
        <v>45197</v>
      </c>
      <c r="C341" s="20" t="s">
        <v>26</v>
      </c>
      <c r="D341" s="20" t="s">
        <v>27</v>
      </c>
      <c r="E341" s="20" t="s">
        <v>12</v>
      </c>
      <c r="F341" s="20" t="s">
        <v>13</v>
      </c>
      <c r="G341" s="20" t="s">
        <v>34</v>
      </c>
      <c r="H341" s="21">
        <v>3861.56</v>
      </c>
      <c r="I341" s="20">
        <v>3</v>
      </c>
      <c r="J341" s="22">
        <v>788.54</v>
      </c>
      <c r="K341" s="20" t="str">
        <f>IF(Table4[[#This Row],[Sales]]&gt;=40000,"BEST SALE","POOR SALE")</f>
        <v>POOR SALE</v>
      </c>
      <c r="L341" s="30" t="str" cm="1">
        <f t="array" ref="L341">_xlfn.IFS(Table4[[#This Row],[Sales]]&gt;=40000,"Best Sale", Table4[[#This Row],[Sales]]&gt;=20000,"Average Sale",Table4[[#This Row],[Sales]]&gt;0,"Poor Sale")</f>
        <v>Poor Sale</v>
      </c>
      <c r="M341" s="32" t="str" cm="1">
        <f t="array" ref="M341">_xlfn.IFS(Table4[[#This Row],[Sales]]&gt;=40000,"Best", Table4[[#This Row],[Sales]]&gt;=35000,"Average",Table4[[#This Row],[Sales]]&gt;0,"Poor")</f>
        <v>Poor</v>
      </c>
    </row>
    <row r="342" spans="1:13" x14ac:dyDescent="0.3">
      <c r="A342" s="13">
        <v>341</v>
      </c>
      <c r="B342" s="14">
        <v>45107</v>
      </c>
      <c r="C342" s="15" t="s">
        <v>15</v>
      </c>
      <c r="D342" s="15" t="s">
        <v>16</v>
      </c>
      <c r="E342" s="15" t="s">
        <v>17</v>
      </c>
      <c r="F342" s="15" t="s">
        <v>31</v>
      </c>
      <c r="G342" s="15" t="s">
        <v>39</v>
      </c>
      <c r="H342" s="16">
        <v>5630.69</v>
      </c>
      <c r="I342" s="15">
        <v>7</v>
      </c>
      <c r="J342" s="17">
        <v>337.23</v>
      </c>
      <c r="K342" s="20" t="str">
        <f>IF(Table4[[#This Row],[Sales]]&gt;=40000,"BEST SALE","POOR SALE")</f>
        <v>POOR SALE</v>
      </c>
      <c r="L342" s="30" t="str" cm="1">
        <f t="array" ref="L342">_xlfn.IFS(Table4[[#This Row],[Sales]]&gt;=40000,"Best Sale", Table4[[#This Row],[Sales]]&gt;=20000,"Average Sale",Table4[[#This Row],[Sales]]&gt;0,"Poor Sale")</f>
        <v>Poor Sale</v>
      </c>
      <c r="M342" s="32" t="str" cm="1">
        <f t="array" ref="M342">_xlfn.IFS(Table4[[#This Row],[Sales]]&gt;=40000,"Best", Table4[[#This Row],[Sales]]&gt;=35000,"Average",Table4[[#This Row],[Sales]]&gt;0,"Poor")</f>
        <v>Poor</v>
      </c>
    </row>
    <row r="343" spans="1:13" x14ac:dyDescent="0.3">
      <c r="A343" s="18">
        <v>342</v>
      </c>
      <c r="B343" s="19">
        <v>45286</v>
      </c>
      <c r="C343" s="20" t="s">
        <v>26</v>
      </c>
      <c r="D343" s="20" t="s">
        <v>27</v>
      </c>
      <c r="E343" s="20" t="s">
        <v>20</v>
      </c>
      <c r="F343" s="20" t="s">
        <v>31</v>
      </c>
      <c r="G343" s="20" t="s">
        <v>39</v>
      </c>
      <c r="H343" s="21">
        <v>12929.68</v>
      </c>
      <c r="I343" s="20">
        <v>1</v>
      </c>
      <c r="J343" s="22">
        <v>3699.71</v>
      </c>
      <c r="K343" s="20" t="str">
        <f>IF(Table4[[#This Row],[Sales]]&gt;=40000,"BEST SALE","POOR SALE")</f>
        <v>POOR SALE</v>
      </c>
      <c r="L343" s="30" t="str" cm="1">
        <f t="array" ref="L343">_xlfn.IFS(Table4[[#This Row],[Sales]]&gt;=40000,"Best Sale", Table4[[#This Row],[Sales]]&gt;=20000,"Average Sale",Table4[[#This Row],[Sales]]&gt;0,"Poor Sale")</f>
        <v>Poor Sale</v>
      </c>
      <c r="M343" s="32" t="str" cm="1">
        <f t="array" ref="M343">_xlfn.IFS(Table4[[#This Row],[Sales]]&gt;=40000,"Best", Table4[[#This Row],[Sales]]&gt;=35000,"Average",Table4[[#This Row],[Sales]]&gt;0,"Poor")</f>
        <v>Poor</v>
      </c>
    </row>
    <row r="344" spans="1:13" x14ac:dyDescent="0.3">
      <c r="A344" s="13">
        <v>343</v>
      </c>
      <c r="B344" s="14">
        <v>45136</v>
      </c>
      <c r="C344" s="15" t="s">
        <v>22</v>
      </c>
      <c r="D344" s="15" t="s">
        <v>22</v>
      </c>
      <c r="E344" s="15" t="s">
        <v>20</v>
      </c>
      <c r="F344" s="15" t="s">
        <v>13</v>
      </c>
      <c r="G344" s="15" t="s">
        <v>21</v>
      </c>
      <c r="H344" s="16">
        <v>2770.4</v>
      </c>
      <c r="I344" s="15">
        <v>7</v>
      </c>
      <c r="J344" s="17">
        <v>401.13</v>
      </c>
      <c r="K344" s="20" t="str">
        <f>IF(Table4[[#This Row],[Sales]]&gt;=40000,"BEST SALE","POOR SALE")</f>
        <v>POOR SALE</v>
      </c>
      <c r="L344" s="30" t="str" cm="1">
        <f t="array" ref="L344">_xlfn.IFS(Table4[[#This Row],[Sales]]&gt;=40000,"Best Sale", Table4[[#This Row],[Sales]]&gt;=20000,"Average Sale",Table4[[#This Row],[Sales]]&gt;0,"Poor Sale")</f>
        <v>Poor Sale</v>
      </c>
      <c r="M344" s="32" t="str" cm="1">
        <f t="array" ref="M344">_xlfn.IFS(Table4[[#This Row],[Sales]]&gt;=40000,"Best", Table4[[#This Row],[Sales]]&gt;=35000,"Average",Table4[[#This Row],[Sales]]&gt;0,"Poor")</f>
        <v>Poor</v>
      </c>
    </row>
    <row r="345" spans="1:13" x14ac:dyDescent="0.3">
      <c r="A345" s="18">
        <v>344</v>
      </c>
      <c r="B345" s="19">
        <v>45076</v>
      </c>
      <c r="C345" s="20" t="s">
        <v>38</v>
      </c>
      <c r="D345" s="20" t="s">
        <v>27</v>
      </c>
      <c r="E345" s="20" t="s">
        <v>12</v>
      </c>
      <c r="F345" s="20" t="s">
        <v>31</v>
      </c>
      <c r="G345" s="20" t="s">
        <v>32</v>
      </c>
      <c r="H345" s="21">
        <v>44238.62</v>
      </c>
      <c r="I345" s="20">
        <v>7</v>
      </c>
      <c r="J345" s="22">
        <v>10311.209999999999</v>
      </c>
      <c r="K345" s="20" t="str">
        <f>IF(Table4[[#This Row],[Sales]]&gt;=40000,"BEST SALE","POOR SALE")</f>
        <v>BEST SALE</v>
      </c>
      <c r="L345" s="30" t="str" cm="1">
        <f t="array" ref="L345">_xlfn.IFS(Table4[[#This Row],[Sales]]&gt;=40000,"Best Sale", Table4[[#This Row],[Sales]]&gt;=20000,"Average Sale",Table4[[#This Row],[Sales]]&gt;0,"Poor Sale")</f>
        <v>Best Sale</v>
      </c>
      <c r="M345" s="32" t="str" cm="1">
        <f t="array" ref="M345">_xlfn.IFS(Table4[[#This Row],[Sales]]&gt;=40000,"Best", Table4[[#This Row],[Sales]]&gt;=35000,"Average",Table4[[#This Row],[Sales]]&gt;0,"Poor")</f>
        <v>Best</v>
      </c>
    </row>
    <row r="346" spans="1:13" x14ac:dyDescent="0.3">
      <c r="A346" s="13">
        <v>345</v>
      </c>
      <c r="B346" s="14">
        <v>45024</v>
      </c>
      <c r="C346" s="15" t="s">
        <v>18</v>
      </c>
      <c r="D346" s="15" t="s">
        <v>19</v>
      </c>
      <c r="E346" s="15" t="s">
        <v>17</v>
      </c>
      <c r="F346" s="15" t="s">
        <v>13</v>
      </c>
      <c r="G346" s="15" t="s">
        <v>34</v>
      </c>
      <c r="H346" s="16">
        <v>34979.96</v>
      </c>
      <c r="I346" s="15">
        <v>3</v>
      </c>
      <c r="J346" s="17">
        <v>6888.91</v>
      </c>
      <c r="K346" s="20" t="str">
        <f>IF(Table4[[#This Row],[Sales]]&gt;=40000,"BEST SALE","POOR SALE")</f>
        <v>POOR SALE</v>
      </c>
      <c r="L346" s="30" t="str" cm="1">
        <f t="array" ref="L346">_xlfn.IFS(Table4[[#This Row],[Sales]]&gt;=40000,"Best Sale", Table4[[#This Row],[Sales]]&gt;=20000,"Average Sale",Table4[[#This Row],[Sales]]&gt;0,"Poor Sale")</f>
        <v>Average Sale</v>
      </c>
      <c r="M346" s="32" t="str" cm="1">
        <f t="array" ref="M346">_xlfn.IFS(Table4[[#This Row],[Sales]]&gt;=40000,"Best", Table4[[#This Row],[Sales]]&gt;=35000,"Average",Table4[[#This Row],[Sales]]&gt;0,"Poor")</f>
        <v>Poor</v>
      </c>
    </row>
    <row r="347" spans="1:13" x14ac:dyDescent="0.3">
      <c r="A347" s="18">
        <v>346</v>
      </c>
      <c r="B347" s="19">
        <v>45085</v>
      </c>
      <c r="C347" s="20" t="s">
        <v>22</v>
      </c>
      <c r="D347" s="20" t="s">
        <v>22</v>
      </c>
      <c r="E347" s="20" t="s">
        <v>12</v>
      </c>
      <c r="F347" s="20" t="s">
        <v>31</v>
      </c>
      <c r="G347" s="20" t="s">
        <v>32</v>
      </c>
      <c r="H347" s="21">
        <v>48862.53</v>
      </c>
      <c r="I347" s="20">
        <v>4</v>
      </c>
      <c r="J347" s="22">
        <v>12427.15</v>
      </c>
      <c r="K347" s="20" t="str">
        <f>IF(Table4[[#This Row],[Sales]]&gt;=40000,"BEST SALE","POOR SALE")</f>
        <v>BEST SALE</v>
      </c>
      <c r="L347" s="30" t="str" cm="1">
        <f t="array" ref="L347">_xlfn.IFS(Table4[[#This Row],[Sales]]&gt;=40000,"Best Sale", Table4[[#This Row],[Sales]]&gt;=20000,"Average Sale",Table4[[#This Row],[Sales]]&gt;0,"Poor Sale")</f>
        <v>Best Sale</v>
      </c>
      <c r="M347" s="32" t="str" cm="1">
        <f t="array" ref="M347">_xlfn.IFS(Table4[[#This Row],[Sales]]&gt;=40000,"Best", Table4[[#This Row],[Sales]]&gt;=35000,"Average",Table4[[#This Row],[Sales]]&gt;0,"Poor")</f>
        <v>Best</v>
      </c>
    </row>
    <row r="348" spans="1:13" x14ac:dyDescent="0.3">
      <c r="A348" s="13">
        <v>347</v>
      </c>
      <c r="B348" s="14">
        <v>45207</v>
      </c>
      <c r="C348" s="15" t="s">
        <v>37</v>
      </c>
      <c r="D348" s="15" t="s">
        <v>27</v>
      </c>
      <c r="E348" s="15" t="s">
        <v>17</v>
      </c>
      <c r="F348" s="15" t="s">
        <v>13</v>
      </c>
      <c r="G348" s="15" t="s">
        <v>21</v>
      </c>
      <c r="H348" s="16">
        <v>8542.52</v>
      </c>
      <c r="I348" s="15">
        <v>9</v>
      </c>
      <c r="J348" s="17">
        <v>1149.1300000000001</v>
      </c>
      <c r="K348" s="20" t="str">
        <f>IF(Table4[[#This Row],[Sales]]&gt;=40000,"BEST SALE","POOR SALE")</f>
        <v>POOR SALE</v>
      </c>
      <c r="L348" s="30" t="str" cm="1">
        <f t="array" ref="L348">_xlfn.IFS(Table4[[#This Row],[Sales]]&gt;=40000,"Best Sale", Table4[[#This Row],[Sales]]&gt;=20000,"Average Sale",Table4[[#This Row],[Sales]]&gt;0,"Poor Sale")</f>
        <v>Poor Sale</v>
      </c>
      <c r="M348" s="32" t="str" cm="1">
        <f t="array" ref="M348">_xlfn.IFS(Table4[[#This Row],[Sales]]&gt;=40000,"Best", Table4[[#This Row],[Sales]]&gt;=35000,"Average",Table4[[#This Row],[Sales]]&gt;0,"Poor")</f>
        <v>Poor</v>
      </c>
    </row>
    <row r="349" spans="1:13" x14ac:dyDescent="0.3">
      <c r="A349" s="18">
        <v>348</v>
      </c>
      <c r="B349" s="19">
        <v>45256</v>
      </c>
      <c r="C349" s="20" t="s">
        <v>10</v>
      </c>
      <c r="D349" s="20" t="s">
        <v>11</v>
      </c>
      <c r="E349" s="20" t="s">
        <v>20</v>
      </c>
      <c r="F349" s="20" t="s">
        <v>13</v>
      </c>
      <c r="G349" s="20" t="s">
        <v>14</v>
      </c>
      <c r="H349" s="21">
        <v>27306.13</v>
      </c>
      <c r="I349" s="20">
        <v>6</v>
      </c>
      <c r="J349" s="22">
        <v>6925.83</v>
      </c>
      <c r="K349" s="20" t="str">
        <f>IF(Table4[[#This Row],[Sales]]&gt;=40000,"BEST SALE","POOR SALE")</f>
        <v>POOR SALE</v>
      </c>
      <c r="L349" s="30" t="str" cm="1">
        <f t="array" ref="L349">_xlfn.IFS(Table4[[#This Row],[Sales]]&gt;=40000,"Best Sale", Table4[[#This Row],[Sales]]&gt;=20000,"Average Sale",Table4[[#This Row],[Sales]]&gt;0,"Poor Sale")</f>
        <v>Average Sale</v>
      </c>
      <c r="M349" s="32" t="str" cm="1">
        <f t="array" ref="M349">_xlfn.IFS(Table4[[#This Row],[Sales]]&gt;=40000,"Best", Table4[[#This Row],[Sales]]&gt;=35000,"Average",Table4[[#This Row],[Sales]]&gt;0,"Poor")</f>
        <v>Poor</v>
      </c>
    </row>
    <row r="350" spans="1:13" x14ac:dyDescent="0.3">
      <c r="A350" s="13">
        <v>349</v>
      </c>
      <c r="B350" s="14">
        <v>45192</v>
      </c>
      <c r="C350" s="15" t="s">
        <v>26</v>
      </c>
      <c r="D350" s="15" t="s">
        <v>27</v>
      </c>
      <c r="E350" s="15" t="s">
        <v>20</v>
      </c>
      <c r="F350" s="15" t="s">
        <v>13</v>
      </c>
      <c r="G350" s="15" t="s">
        <v>14</v>
      </c>
      <c r="H350" s="16">
        <v>6233.07</v>
      </c>
      <c r="I350" s="15">
        <v>2</v>
      </c>
      <c r="J350" s="17">
        <v>1160.33</v>
      </c>
      <c r="K350" s="20" t="str">
        <f>IF(Table4[[#This Row],[Sales]]&gt;=40000,"BEST SALE","POOR SALE")</f>
        <v>POOR SALE</v>
      </c>
      <c r="L350" s="30" t="str" cm="1">
        <f t="array" ref="L350">_xlfn.IFS(Table4[[#This Row],[Sales]]&gt;=40000,"Best Sale", Table4[[#This Row],[Sales]]&gt;=20000,"Average Sale",Table4[[#This Row],[Sales]]&gt;0,"Poor Sale")</f>
        <v>Poor Sale</v>
      </c>
      <c r="M350" s="32" t="str" cm="1">
        <f t="array" ref="M350">_xlfn.IFS(Table4[[#This Row],[Sales]]&gt;=40000,"Best", Table4[[#This Row],[Sales]]&gt;=35000,"Average",Table4[[#This Row],[Sales]]&gt;0,"Poor")</f>
        <v>Poor</v>
      </c>
    </row>
    <row r="351" spans="1:13" x14ac:dyDescent="0.3">
      <c r="A351" s="18">
        <v>350</v>
      </c>
      <c r="B351" s="19">
        <v>44946</v>
      </c>
      <c r="C351" s="20" t="s">
        <v>37</v>
      </c>
      <c r="D351" s="20" t="s">
        <v>27</v>
      </c>
      <c r="E351" s="20" t="s">
        <v>12</v>
      </c>
      <c r="F351" s="20" t="s">
        <v>24</v>
      </c>
      <c r="G351" s="20" t="s">
        <v>28</v>
      </c>
      <c r="H351" s="21">
        <v>16041.6</v>
      </c>
      <c r="I351" s="20">
        <v>4</v>
      </c>
      <c r="J351" s="22">
        <v>3108.36</v>
      </c>
      <c r="K351" s="20" t="str">
        <f>IF(Table4[[#This Row],[Sales]]&gt;=40000,"BEST SALE","POOR SALE")</f>
        <v>POOR SALE</v>
      </c>
      <c r="L351" s="30" t="str" cm="1">
        <f t="array" ref="L351">_xlfn.IFS(Table4[[#This Row],[Sales]]&gt;=40000,"Best Sale", Table4[[#This Row],[Sales]]&gt;=20000,"Average Sale",Table4[[#This Row],[Sales]]&gt;0,"Poor Sale")</f>
        <v>Poor Sale</v>
      </c>
      <c r="M351" s="32" t="str" cm="1">
        <f t="array" ref="M351">_xlfn.IFS(Table4[[#This Row],[Sales]]&gt;=40000,"Best", Table4[[#This Row],[Sales]]&gt;=35000,"Average",Table4[[#This Row],[Sales]]&gt;0,"Poor")</f>
        <v>Poor</v>
      </c>
    </row>
    <row r="352" spans="1:13" x14ac:dyDescent="0.3">
      <c r="A352" s="13">
        <v>351</v>
      </c>
      <c r="B352" s="14">
        <v>44960</v>
      </c>
      <c r="C352" s="15" t="s">
        <v>37</v>
      </c>
      <c r="D352" s="15" t="s">
        <v>27</v>
      </c>
      <c r="E352" s="15" t="s">
        <v>17</v>
      </c>
      <c r="F352" s="15" t="s">
        <v>13</v>
      </c>
      <c r="G352" s="15" t="s">
        <v>14</v>
      </c>
      <c r="H352" s="16">
        <v>32906.46</v>
      </c>
      <c r="I352" s="15">
        <v>10</v>
      </c>
      <c r="J352" s="17">
        <v>2385.66</v>
      </c>
      <c r="K352" s="20" t="str">
        <f>IF(Table4[[#This Row],[Sales]]&gt;=40000,"BEST SALE","POOR SALE")</f>
        <v>POOR SALE</v>
      </c>
      <c r="L352" s="30" t="str" cm="1">
        <f t="array" ref="L352">_xlfn.IFS(Table4[[#This Row],[Sales]]&gt;=40000,"Best Sale", Table4[[#This Row],[Sales]]&gt;=20000,"Average Sale",Table4[[#This Row],[Sales]]&gt;0,"Poor Sale")</f>
        <v>Average Sale</v>
      </c>
      <c r="M352" s="32" t="str" cm="1">
        <f t="array" ref="M352">_xlfn.IFS(Table4[[#This Row],[Sales]]&gt;=40000,"Best", Table4[[#This Row],[Sales]]&gt;=35000,"Average",Table4[[#This Row],[Sales]]&gt;0,"Poor")</f>
        <v>Poor</v>
      </c>
    </row>
    <row r="353" spans="1:13" x14ac:dyDescent="0.3">
      <c r="A353" s="18">
        <v>352</v>
      </c>
      <c r="B353" s="19">
        <v>44988</v>
      </c>
      <c r="C353" s="20" t="s">
        <v>22</v>
      </c>
      <c r="D353" s="20" t="s">
        <v>22</v>
      </c>
      <c r="E353" s="20" t="s">
        <v>12</v>
      </c>
      <c r="F353" s="20" t="s">
        <v>31</v>
      </c>
      <c r="G353" s="20" t="s">
        <v>39</v>
      </c>
      <c r="H353" s="21">
        <v>37239.54</v>
      </c>
      <c r="I353" s="20">
        <v>7</v>
      </c>
      <c r="J353" s="22">
        <v>2504.85</v>
      </c>
      <c r="K353" s="20" t="str">
        <f>IF(Table4[[#This Row],[Sales]]&gt;=40000,"BEST SALE","POOR SALE")</f>
        <v>POOR SALE</v>
      </c>
      <c r="L353" s="30" t="str" cm="1">
        <f t="array" ref="L353">_xlfn.IFS(Table4[[#This Row],[Sales]]&gt;=40000,"Best Sale", Table4[[#This Row],[Sales]]&gt;=20000,"Average Sale",Table4[[#This Row],[Sales]]&gt;0,"Poor Sale")</f>
        <v>Average Sale</v>
      </c>
      <c r="M353" s="32" t="str" cm="1">
        <f t="array" ref="M353">_xlfn.IFS(Table4[[#This Row],[Sales]]&gt;=40000,"Best", Table4[[#This Row],[Sales]]&gt;=35000,"Average",Table4[[#This Row],[Sales]]&gt;0,"Poor")</f>
        <v>Average</v>
      </c>
    </row>
    <row r="354" spans="1:13" x14ac:dyDescent="0.3">
      <c r="A354" s="13">
        <v>353</v>
      </c>
      <c r="B354" s="14">
        <v>45202</v>
      </c>
      <c r="C354" s="15" t="s">
        <v>22</v>
      </c>
      <c r="D354" s="15" t="s">
        <v>22</v>
      </c>
      <c r="E354" s="15" t="s">
        <v>17</v>
      </c>
      <c r="F354" s="15" t="s">
        <v>31</v>
      </c>
      <c r="G354" s="15" t="s">
        <v>39</v>
      </c>
      <c r="H354" s="16">
        <v>4483.34</v>
      </c>
      <c r="I354" s="15">
        <v>9</v>
      </c>
      <c r="J354" s="17">
        <v>1083.8</v>
      </c>
      <c r="K354" s="20" t="str">
        <f>IF(Table4[[#This Row],[Sales]]&gt;=40000,"BEST SALE","POOR SALE")</f>
        <v>POOR SALE</v>
      </c>
      <c r="L354" s="30" t="str" cm="1">
        <f t="array" ref="L354">_xlfn.IFS(Table4[[#This Row],[Sales]]&gt;=40000,"Best Sale", Table4[[#This Row],[Sales]]&gt;=20000,"Average Sale",Table4[[#This Row],[Sales]]&gt;0,"Poor Sale")</f>
        <v>Poor Sale</v>
      </c>
      <c r="M354" s="32" t="str" cm="1">
        <f t="array" ref="M354">_xlfn.IFS(Table4[[#This Row],[Sales]]&gt;=40000,"Best", Table4[[#This Row],[Sales]]&gt;=35000,"Average",Table4[[#This Row],[Sales]]&gt;0,"Poor")</f>
        <v>Poor</v>
      </c>
    </row>
    <row r="355" spans="1:13" x14ac:dyDescent="0.3">
      <c r="A355" s="18">
        <v>354</v>
      </c>
      <c r="B355" s="19">
        <v>44965</v>
      </c>
      <c r="C355" s="20" t="s">
        <v>37</v>
      </c>
      <c r="D355" s="20" t="s">
        <v>27</v>
      </c>
      <c r="E355" s="20" t="s">
        <v>20</v>
      </c>
      <c r="F355" s="20" t="s">
        <v>31</v>
      </c>
      <c r="G355" s="20" t="s">
        <v>32</v>
      </c>
      <c r="H355" s="21">
        <v>48213.14</v>
      </c>
      <c r="I355" s="20">
        <v>6</v>
      </c>
      <c r="J355" s="22">
        <v>10326.15</v>
      </c>
      <c r="K355" s="20" t="str">
        <f>IF(Table4[[#This Row],[Sales]]&gt;=40000,"BEST SALE","POOR SALE")</f>
        <v>BEST SALE</v>
      </c>
      <c r="L355" s="30" t="str" cm="1">
        <f t="array" ref="L355">_xlfn.IFS(Table4[[#This Row],[Sales]]&gt;=40000,"Best Sale", Table4[[#This Row],[Sales]]&gt;=20000,"Average Sale",Table4[[#This Row],[Sales]]&gt;0,"Poor Sale")</f>
        <v>Best Sale</v>
      </c>
      <c r="M355" s="32" t="str" cm="1">
        <f t="array" ref="M355">_xlfn.IFS(Table4[[#This Row],[Sales]]&gt;=40000,"Best", Table4[[#This Row],[Sales]]&gt;=35000,"Average",Table4[[#This Row],[Sales]]&gt;0,"Poor")</f>
        <v>Best</v>
      </c>
    </row>
    <row r="356" spans="1:13" x14ac:dyDescent="0.3">
      <c r="A356" s="13">
        <v>355</v>
      </c>
      <c r="B356" s="14">
        <v>45087</v>
      </c>
      <c r="C356" s="15" t="s">
        <v>22</v>
      </c>
      <c r="D356" s="15" t="s">
        <v>22</v>
      </c>
      <c r="E356" s="15" t="s">
        <v>20</v>
      </c>
      <c r="F356" s="15" t="s">
        <v>24</v>
      </c>
      <c r="G356" s="15" t="s">
        <v>29</v>
      </c>
      <c r="H356" s="16">
        <v>42851.99</v>
      </c>
      <c r="I356" s="15">
        <v>5</v>
      </c>
      <c r="J356" s="17">
        <v>9496.2099999999991</v>
      </c>
      <c r="K356" s="20" t="str">
        <f>IF(Table4[[#This Row],[Sales]]&gt;=40000,"BEST SALE","POOR SALE")</f>
        <v>BEST SALE</v>
      </c>
      <c r="L356" s="30" t="str" cm="1">
        <f t="array" ref="L356">_xlfn.IFS(Table4[[#This Row],[Sales]]&gt;=40000,"Best Sale", Table4[[#This Row],[Sales]]&gt;=20000,"Average Sale",Table4[[#This Row],[Sales]]&gt;0,"Poor Sale")</f>
        <v>Best Sale</v>
      </c>
      <c r="M356" s="32" t="str" cm="1">
        <f t="array" ref="M356">_xlfn.IFS(Table4[[#This Row],[Sales]]&gt;=40000,"Best", Table4[[#This Row],[Sales]]&gt;=35000,"Average",Table4[[#This Row],[Sales]]&gt;0,"Poor")</f>
        <v>Best</v>
      </c>
    </row>
    <row r="357" spans="1:13" x14ac:dyDescent="0.3">
      <c r="A357" s="18">
        <v>356</v>
      </c>
      <c r="B357" s="19">
        <v>44987</v>
      </c>
      <c r="C357" s="20" t="s">
        <v>18</v>
      </c>
      <c r="D357" s="20" t="s">
        <v>19</v>
      </c>
      <c r="E357" s="20" t="s">
        <v>12</v>
      </c>
      <c r="F357" s="20" t="s">
        <v>24</v>
      </c>
      <c r="G357" s="20" t="s">
        <v>28</v>
      </c>
      <c r="H357" s="21">
        <v>1320.69</v>
      </c>
      <c r="I357" s="20">
        <v>2</v>
      </c>
      <c r="J357" s="22">
        <v>152.43</v>
      </c>
      <c r="K357" s="20" t="str">
        <f>IF(Table4[[#This Row],[Sales]]&gt;=40000,"BEST SALE","POOR SALE")</f>
        <v>POOR SALE</v>
      </c>
      <c r="L357" s="30" t="str" cm="1">
        <f t="array" ref="L357">_xlfn.IFS(Table4[[#This Row],[Sales]]&gt;=40000,"Best Sale", Table4[[#This Row],[Sales]]&gt;=20000,"Average Sale",Table4[[#This Row],[Sales]]&gt;0,"Poor Sale")</f>
        <v>Poor Sale</v>
      </c>
      <c r="M357" s="32" t="str" cm="1">
        <f t="array" ref="M357">_xlfn.IFS(Table4[[#This Row],[Sales]]&gt;=40000,"Best", Table4[[#This Row],[Sales]]&gt;=35000,"Average",Table4[[#This Row],[Sales]]&gt;0,"Poor")</f>
        <v>Poor</v>
      </c>
    </row>
    <row r="358" spans="1:13" x14ac:dyDescent="0.3">
      <c r="A358" s="13">
        <v>357</v>
      </c>
      <c r="B358" s="14">
        <v>45093</v>
      </c>
      <c r="C358" s="15" t="s">
        <v>38</v>
      </c>
      <c r="D358" s="15" t="s">
        <v>27</v>
      </c>
      <c r="E358" s="15" t="s">
        <v>17</v>
      </c>
      <c r="F358" s="15" t="s">
        <v>31</v>
      </c>
      <c r="G358" s="15" t="s">
        <v>33</v>
      </c>
      <c r="H358" s="16">
        <v>27600.51</v>
      </c>
      <c r="I358" s="15">
        <v>4</v>
      </c>
      <c r="J358" s="17">
        <v>6255.76</v>
      </c>
      <c r="K358" s="20" t="str">
        <f>IF(Table4[[#This Row],[Sales]]&gt;=40000,"BEST SALE","POOR SALE")</f>
        <v>POOR SALE</v>
      </c>
      <c r="L358" s="30" t="str" cm="1">
        <f t="array" ref="L358">_xlfn.IFS(Table4[[#This Row],[Sales]]&gt;=40000,"Best Sale", Table4[[#This Row],[Sales]]&gt;=20000,"Average Sale",Table4[[#This Row],[Sales]]&gt;0,"Poor Sale")</f>
        <v>Average Sale</v>
      </c>
      <c r="M358" s="32" t="str" cm="1">
        <f t="array" ref="M358">_xlfn.IFS(Table4[[#This Row],[Sales]]&gt;=40000,"Best", Table4[[#This Row],[Sales]]&gt;=35000,"Average",Table4[[#This Row],[Sales]]&gt;0,"Poor")</f>
        <v>Poor</v>
      </c>
    </row>
    <row r="359" spans="1:13" x14ac:dyDescent="0.3">
      <c r="A359" s="18">
        <v>358</v>
      </c>
      <c r="B359" s="19">
        <v>44942</v>
      </c>
      <c r="C359" s="20" t="s">
        <v>15</v>
      </c>
      <c r="D359" s="20" t="s">
        <v>16</v>
      </c>
      <c r="E359" s="20" t="s">
        <v>12</v>
      </c>
      <c r="F359" s="20" t="s">
        <v>13</v>
      </c>
      <c r="G359" s="20" t="s">
        <v>21</v>
      </c>
      <c r="H359" s="21">
        <v>36776.78</v>
      </c>
      <c r="I359" s="20">
        <v>10</v>
      </c>
      <c r="J359" s="22">
        <v>9228.1200000000008</v>
      </c>
      <c r="K359" s="20" t="str">
        <f>IF(Table4[[#This Row],[Sales]]&gt;=40000,"BEST SALE","POOR SALE")</f>
        <v>POOR SALE</v>
      </c>
      <c r="L359" s="30" t="str" cm="1">
        <f t="array" ref="L359">_xlfn.IFS(Table4[[#This Row],[Sales]]&gt;=40000,"Best Sale", Table4[[#This Row],[Sales]]&gt;=20000,"Average Sale",Table4[[#This Row],[Sales]]&gt;0,"Poor Sale")</f>
        <v>Average Sale</v>
      </c>
      <c r="M359" s="32" t="str" cm="1">
        <f t="array" ref="M359">_xlfn.IFS(Table4[[#This Row],[Sales]]&gt;=40000,"Best", Table4[[#This Row],[Sales]]&gt;=35000,"Average",Table4[[#This Row],[Sales]]&gt;0,"Poor")</f>
        <v>Average</v>
      </c>
    </row>
    <row r="360" spans="1:13" x14ac:dyDescent="0.3">
      <c r="A360" s="13">
        <v>359</v>
      </c>
      <c r="B360" s="14">
        <v>45214</v>
      </c>
      <c r="C360" s="15" t="s">
        <v>30</v>
      </c>
      <c r="D360" s="15" t="s">
        <v>16</v>
      </c>
      <c r="E360" s="15" t="s">
        <v>17</v>
      </c>
      <c r="F360" s="15" t="s">
        <v>31</v>
      </c>
      <c r="G360" s="15" t="s">
        <v>33</v>
      </c>
      <c r="H360" s="16">
        <v>23572.9</v>
      </c>
      <c r="I360" s="15">
        <v>9</v>
      </c>
      <c r="J360" s="17">
        <v>2990.66</v>
      </c>
      <c r="K360" s="20" t="str">
        <f>IF(Table4[[#This Row],[Sales]]&gt;=40000,"BEST SALE","POOR SALE")</f>
        <v>POOR SALE</v>
      </c>
      <c r="L360" s="30" t="str" cm="1">
        <f t="array" ref="L360">_xlfn.IFS(Table4[[#This Row],[Sales]]&gt;=40000,"Best Sale", Table4[[#This Row],[Sales]]&gt;=20000,"Average Sale",Table4[[#This Row],[Sales]]&gt;0,"Poor Sale")</f>
        <v>Average Sale</v>
      </c>
      <c r="M360" s="32" t="str" cm="1">
        <f t="array" ref="M360">_xlfn.IFS(Table4[[#This Row],[Sales]]&gt;=40000,"Best", Table4[[#This Row],[Sales]]&gt;=35000,"Average",Table4[[#This Row],[Sales]]&gt;0,"Poor")</f>
        <v>Poor</v>
      </c>
    </row>
    <row r="361" spans="1:13" x14ac:dyDescent="0.3">
      <c r="A361" s="18">
        <v>360</v>
      </c>
      <c r="B361" s="19">
        <v>45259</v>
      </c>
      <c r="C361" s="20" t="s">
        <v>30</v>
      </c>
      <c r="D361" s="20" t="s">
        <v>16</v>
      </c>
      <c r="E361" s="20" t="s">
        <v>20</v>
      </c>
      <c r="F361" s="20" t="s">
        <v>13</v>
      </c>
      <c r="G361" s="20" t="s">
        <v>21</v>
      </c>
      <c r="H361" s="21">
        <v>47935.1</v>
      </c>
      <c r="I361" s="20">
        <v>5</v>
      </c>
      <c r="J361" s="22">
        <v>13700.82</v>
      </c>
      <c r="K361" s="20" t="str">
        <f>IF(Table4[[#This Row],[Sales]]&gt;=40000,"BEST SALE","POOR SALE")</f>
        <v>BEST SALE</v>
      </c>
      <c r="L361" s="30" t="str" cm="1">
        <f t="array" ref="L361">_xlfn.IFS(Table4[[#This Row],[Sales]]&gt;=40000,"Best Sale", Table4[[#This Row],[Sales]]&gt;=20000,"Average Sale",Table4[[#This Row],[Sales]]&gt;0,"Poor Sale")</f>
        <v>Best Sale</v>
      </c>
      <c r="M361" s="32" t="str" cm="1">
        <f t="array" ref="M361">_xlfn.IFS(Table4[[#This Row],[Sales]]&gt;=40000,"Best", Table4[[#This Row],[Sales]]&gt;=35000,"Average",Table4[[#This Row],[Sales]]&gt;0,"Poor")</f>
        <v>Best</v>
      </c>
    </row>
    <row r="362" spans="1:13" x14ac:dyDescent="0.3">
      <c r="A362" s="13">
        <v>361</v>
      </c>
      <c r="B362" s="14">
        <v>45227</v>
      </c>
      <c r="C362" s="15" t="s">
        <v>35</v>
      </c>
      <c r="D362" s="15" t="s">
        <v>36</v>
      </c>
      <c r="E362" s="15" t="s">
        <v>20</v>
      </c>
      <c r="F362" s="15" t="s">
        <v>24</v>
      </c>
      <c r="G362" s="15" t="s">
        <v>25</v>
      </c>
      <c r="H362" s="16">
        <v>48787.24</v>
      </c>
      <c r="I362" s="15">
        <v>5</v>
      </c>
      <c r="J362" s="17">
        <v>4438.05</v>
      </c>
      <c r="K362" s="20" t="str">
        <f>IF(Table4[[#This Row],[Sales]]&gt;=40000,"BEST SALE","POOR SALE")</f>
        <v>BEST SALE</v>
      </c>
      <c r="L362" s="30" t="str" cm="1">
        <f t="array" ref="L362">_xlfn.IFS(Table4[[#This Row],[Sales]]&gt;=40000,"Best Sale", Table4[[#This Row],[Sales]]&gt;=20000,"Average Sale",Table4[[#This Row],[Sales]]&gt;0,"Poor Sale")</f>
        <v>Best Sale</v>
      </c>
      <c r="M362" s="32" t="str" cm="1">
        <f t="array" ref="M362">_xlfn.IFS(Table4[[#This Row],[Sales]]&gt;=40000,"Best", Table4[[#This Row],[Sales]]&gt;=35000,"Average",Table4[[#This Row],[Sales]]&gt;0,"Poor")</f>
        <v>Best</v>
      </c>
    </row>
    <row r="363" spans="1:13" x14ac:dyDescent="0.3">
      <c r="A363" s="18">
        <v>362</v>
      </c>
      <c r="B363" s="19">
        <v>45215</v>
      </c>
      <c r="C363" s="20" t="s">
        <v>38</v>
      </c>
      <c r="D363" s="20" t="s">
        <v>27</v>
      </c>
      <c r="E363" s="20" t="s">
        <v>12</v>
      </c>
      <c r="F363" s="20" t="s">
        <v>24</v>
      </c>
      <c r="G363" s="20" t="s">
        <v>29</v>
      </c>
      <c r="H363" s="21">
        <v>40509.99</v>
      </c>
      <c r="I363" s="20">
        <v>10</v>
      </c>
      <c r="J363" s="22">
        <v>9829.24</v>
      </c>
      <c r="K363" s="20" t="str">
        <f>IF(Table4[[#This Row],[Sales]]&gt;=40000,"BEST SALE","POOR SALE")</f>
        <v>BEST SALE</v>
      </c>
      <c r="L363" s="30" t="str" cm="1">
        <f t="array" ref="L363">_xlfn.IFS(Table4[[#This Row],[Sales]]&gt;=40000,"Best Sale", Table4[[#This Row],[Sales]]&gt;=20000,"Average Sale",Table4[[#This Row],[Sales]]&gt;0,"Poor Sale")</f>
        <v>Best Sale</v>
      </c>
      <c r="M363" s="32" t="str" cm="1">
        <f t="array" ref="M363">_xlfn.IFS(Table4[[#This Row],[Sales]]&gt;=40000,"Best", Table4[[#This Row],[Sales]]&gt;=35000,"Average",Table4[[#This Row],[Sales]]&gt;0,"Poor")</f>
        <v>Best</v>
      </c>
    </row>
    <row r="364" spans="1:13" x14ac:dyDescent="0.3">
      <c r="A364" s="13">
        <v>363</v>
      </c>
      <c r="B364" s="14">
        <v>45006</v>
      </c>
      <c r="C364" s="15" t="s">
        <v>22</v>
      </c>
      <c r="D364" s="15" t="s">
        <v>22</v>
      </c>
      <c r="E364" s="15" t="s">
        <v>17</v>
      </c>
      <c r="F364" s="15" t="s">
        <v>13</v>
      </c>
      <c r="G364" s="15" t="s">
        <v>34</v>
      </c>
      <c r="H364" s="16">
        <v>48237.08</v>
      </c>
      <c r="I364" s="15">
        <v>4</v>
      </c>
      <c r="J364" s="17">
        <v>9886.32</v>
      </c>
      <c r="K364" s="20" t="str">
        <f>IF(Table4[[#This Row],[Sales]]&gt;=40000,"BEST SALE","POOR SALE")</f>
        <v>BEST SALE</v>
      </c>
      <c r="L364" s="30" t="str" cm="1">
        <f t="array" ref="L364">_xlfn.IFS(Table4[[#This Row],[Sales]]&gt;=40000,"Best Sale", Table4[[#This Row],[Sales]]&gt;=20000,"Average Sale",Table4[[#This Row],[Sales]]&gt;0,"Poor Sale")</f>
        <v>Best Sale</v>
      </c>
      <c r="M364" s="32" t="str" cm="1">
        <f t="array" ref="M364">_xlfn.IFS(Table4[[#This Row],[Sales]]&gt;=40000,"Best", Table4[[#This Row],[Sales]]&gt;=35000,"Average",Table4[[#This Row],[Sales]]&gt;0,"Poor")</f>
        <v>Best</v>
      </c>
    </row>
    <row r="365" spans="1:13" x14ac:dyDescent="0.3">
      <c r="A365" s="18">
        <v>364</v>
      </c>
      <c r="B365" s="19">
        <v>45208</v>
      </c>
      <c r="C365" s="20" t="s">
        <v>38</v>
      </c>
      <c r="D365" s="20" t="s">
        <v>27</v>
      </c>
      <c r="E365" s="20" t="s">
        <v>12</v>
      </c>
      <c r="F365" s="20" t="s">
        <v>31</v>
      </c>
      <c r="G365" s="20" t="s">
        <v>33</v>
      </c>
      <c r="H365" s="21">
        <v>8457.08</v>
      </c>
      <c r="I365" s="20">
        <v>3</v>
      </c>
      <c r="J365" s="22">
        <v>618.28</v>
      </c>
      <c r="K365" s="20" t="str">
        <f>IF(Table4[[#This Row],[Sales]]&gt;=40000,"BEST SALE","POOR SALE")</f>
        <v>POOR SALE</v>
      </c>
      <c r="L365" s="30" t="str" cm="1">
        <f t="array" ref="L365">_xlfn.IFS(Table4[[#This Row],[Sales]]&gt;=40000,"Best Sale", Table4[[#This Row],[Sales]]&gt;=20000,"Average Sale",Table4[[#This Row],[Sales]]&gt;0,"Poor Sale")</f>
        <v>Poor Sale</v>
      </c>
      <c r="M365" s="32" t="str" cm="1">
        <f t="array" ref="M365">_xlfn.IFS(Table4[[#This Row],[Sales]]&gt;=40000,"Best", Table4[[#This Row],[Sales]]&gt;=35000,"Average",Table4[[#This Row],[Sales]]&gt;0,"Poor")</f>
        <v>Poor</v>
      </c>
    </row>
    <row r="366" spans="1:13" x14ac:dyDescent="0.3">
      <c r="A366" s="13">
        <v>365</v>
      </c>
      <c r="B366" s="14">
        <v>45110</v>
      </c>
      <c r="C366" s="15" t="s">
        <v>30</v>
      </c>
      <c r="D366" s="15" t="s">
        <v>16</v>
      </c>
      <c r="E366" s="15" t="s">
        <v>17</v>
      </c>
      <c r="F366" s="15" t="s">
        <v>31</v>
      </c>
      <c r="G366" s="15" t="s">
        <v>33</v>
      </c>
      <c r="H366" s="16">
        <v>38741.599999999999</v>
      </c>
      <c r="I366" s="15">
        <v>2</v>
      </c>
      <c r="J366" s="17">
        <v>3876.42</v>
      </c>
      <c r="K366" s="20" t="str">
        <f>IF(Table4[[#This Row],[Sales]]&gt;=40000,"BEST SALE","POOR SALE")</f>
        <v>POOR SALE</v>
      </c>
      <c r="L366" s="30" t="str" cm="1">
        <f t="array" ref="L366">_xlfn.IFS(Table4[[#This Row],[Sales]]&gt;=40000,"Best Sale", Table4[[#This Row],[Sales]]&gt;=20000,"Average Sale",Table4[[#This Row],[Sales]]&gt;0,"Poor Sale")</f>
        <v>Average Sale</v>
      </c>
      <c r="M366" s="32" t="str" cm="1">
        <f t="array" ref="M366">_xlfn.IFS(Table4[[#This Row],[Sales]]&gt;=40000,"Best", Table4[[#This Row],[Sales]]&gt;=35000,"Average",Table4[[#This Row],[Sales]]&gt;0,"Poor")</f>
        <v>Average</v>
      </c>
    </row>
    <row r="367" spans="1:13" x14ac:dyDescent="0.3">
      <c r="A367" s="18">
        <v>366</v>
      </c>
      <c r="B367" s="19">
        <v>45185</v>
      </c>
      <c r="C367" s="20" t="s">
        <v>26</v>
      </c>
      <c r="D367" s="20" t="s">
        <v>27</v>
      </c>
      <c r="E367" s="20" t="s">
        <v>20</v>
      </c>
      <c r="F367" s="20" t="s">
        <v>13</v>
      </c>
      <c r="G367" s="20" t="s">
        <v>34</v>
      </c>
      <c r="H367" s="21">
        <v>2389.33</v>
      </c>
      <c r="I367" s="20">
        <v>2</v>
      </c>
      <c r="J367" s="22">
        <v>314.41000000000003</v>
      </c>
      <c r="K367" s="20" t="str">
        <f>IF(Table4[[#This Row],[Sales]]&gt;=40000,"BEST SALE","POOR SALE")</f>
        <v>POOR SALE</v>
      </c>
      <c r="L367" s="30" t="str" cm="1">
        <f t="array" ref="L367">_xlfn.IFS(Table4[[#This Row],[Sales]]&gt;=40000,"Best Sale", Table4[[#This Row],[Sales]]&gt;=20000,"Average Sale",Table4[[#This Row],[Sales]]&gt;0,"Poor Sale")</f>
        <v>Poor Sale</v>
      </c>
      <c r="M367" s="32" t="str" cm="1">
        <f t="array" ref="M367">_xlfn.IFS(Table4[[#This Row],[Sales]]&gt;=40000,"Best", Table4[[#This Row],[Sales]]&gt;=35000,"Average",Table4[[#This Row],[Sales]]&gt;0,"Poor")</f>
        <v>Poor</v>
      </c>
    </row>
    <row r="368" spans="1:13" x14ac:dyDescent="0.3">
      <c r="A368" s="13">
        <v>367</v>
      </c>
      <c r="B368" s="14">
        <v>45271</v>
      </c>
      <c r="C368" s="15" t="s">
        <v>18</v>
      </c>
      <c r="D368" s="15" t="s">
        <v>19</v>
      </c>
      <c r="E368" s="15" t="s">
        <v>20</v>
      </c>
      <c r="F368" s="15" t="s">
        <v>13</v>
      </c>
      <c r="G368" s="15" t="s">
        <v>21</v>
      </c>
      <c r="H368" s="16">
        <v>49373.38</v>
      </c>
      <c r="I368" s="15">
        <v>5</v>
      </c>
      <c r="J368" s="17">
        <v>3614.64</v>
      </c>
      <c r="K368" s="20" t="str">
        <f>IF(Table4[[#This Row],[Sales]]&gt;=40000,"BEST SALE","POOR SALE")</f>
        <v>BEST SALE</v>
      </c>
      <c r="L368" s="30" t="str" cm="1">
        <f t="array" ref="L368">_xlfn.IFS(Table4[[#This Row],[Sales]]&gt;=40000,"Best Sale", Table4[[#This Row],[Sales]]&gt;=20000,"Average Sale",Table4[[#This Row],[Sales]]&gt;0,"Poor Sale")</f>
        <v>Best Sale</v>
      </c>
      <c r="M368" s="32" t="str" cm="1">
        <f t="array" ref="M368">_xlfn.IFS(Table4[[#This Row],[Sales]]&gt;=40000,"Best", Table4[[#This Row],[Sales]]&gt;=35000,"Average",Table4[[#This Row],[Sales]]&gt;0,"Poor")</f>
        <v>Best</v>
      </c>
    </row>
    <row r="369" spans="1:13" x14ac:dyDescent="0.3">
      <c r="A369" s="18">
        <v>368</v>
      </c>
      <c r="B369" s="19">
        <v>45039</v>
      </c>
      <c r="C369" s="20" t="s">
        <v>37</v>
      </c>
      <c r="D369" s="20" t="s">
        <v>27</v>
      </c>
      <c r="E369" s="20" t="s">
        <v>12</v>
      </c>
      <c r="F369" s="20" t="s">
        <v>24</v>
      </c>
      <c r="G369" s="20" t="s">
        <v>28</v>
      </c>
      <c r="H369" s="21">
        <v>8784.44</v>
      </c>
      <c r="I369" s="20">
        <v>3</v>
      </c>
      <c r="J369" s="22">
        <v>2460.11</v>
      </c>
      <c r="K369" s="20" t="str">
        <f>IF(Table4[[#This Row],[Sales]]&gt;=40000,"BEST SALE","POOR SALE")</f>
        <v>POOR SALE</v>
      </c>
      <c r="L369" s="30" t="str" cm="1">
        <f t="array" ref="L369">_xlfn.IFS(Table4[[#This Row],[Sales]]&gt;=40000,"Best Sale", Table4[[#This Row],[Sales]]&gt;=20000,"Average Sale",Table4[[#This Row],[Sales]]&gt;0,"Poor Sale")</f>
        <v>Poor Sale</v>
      </c>
      <c r="M369" s="32" t="str" cm="1">
        <f t="array" ref="M369">_xlfn.IFS(Table4[[#This Row],[Sales]]&gt;=40000,"Best", Table4[[#This Row],[Sales]]&gt;=35000,"Average",Table4[[#This Row],[Sales]]&gt;0,"Poor")</f>
        <v>Poor</v>
      </c>
    </row>
    <row r="370" spans="1:13" x14ac:dyDescent="0.3">
      <c r="A370" s="13">
        <v>369</v>
      </c>
      <c r="B370" s="14">
        <v>45104</v>
      </c>
      <c r="C370" s="15" t="s">
        <v>22</v>
      </c>
      <c r="D370" s="15" t="s">
        <v>22</v>
      </c>
      <c r="E370" s="15" t="s">
        <v>17</v>
      </c>
      <c r="F370" s="15" t="s">
        <v>24</v>
      </c>
      <c r="G370" s="15" t="s">
        <v>25</v>
      </c>
      <c r="H370" s="16">
        <v>23978.25</v>
      </c>
      <c r="I370" s="15">
        <v>2</v>
      </c>
      <c r="J370" s="17">
        <v>4700.3500000000004</v>
      </c>
      <c r="K370" s="20" t="str">
        <f>IF(Table4[[#This Row],[Sales]]&gt;=40000,"BEST SALE","POOR SALE")</f>
        <v>POOR SALE</v>
      </c>
      <c r="L370" s="30" t="str" cm="1">
        <f t="array" ref="L370">_xlfn.IFS(Table4[[#This Row],[Sales]]&gt;=40000,"Best Sale", Table4[[#This Row],[Sales]]&gt;=20000,"Average Sale",Table4[[#This Row],[Sales]]&gt;0,"Poor Sale")</f>
        <v>Average Sale</v>
      </c>
      <c r="M370" s="32" t="str" cm="1">
        <f t="array" ref="M370">_xlfn.IFS(Table4[[#This Row],[Sales]]&gt;=40000,"Best", Table4[[#This Row],[Sales]]&gt;=35000,"Average",Table4[[#This Row],[Sales]]&gt;0,"Poor")</f>
        <v>Poor</v>
      </c>
    </row>
    <row r="371" spans="1:13" x14ac:dyDescent="0.3">
      <c r="A371" s="18">
        <v>370</v>
      </c>
      <c r="B371" s="19">
        <v>45221</v>
      </c>
      <c r="C371" s="20" t="s">
        <v>10</v>
      </c>
      <c r="D371" s="20" t="s">
        <v>11</v>
      </c>
      <c r="E371" s="20" t="s">
        <v>12</v>
      </c>
      <c r="F371" s="20" t="s">
        <v>31</v>
      </c>
      <c r="G371" s="20" t="s">
        <v>39</v>
      </c>
      <c r="H371" s="21">
        <v>45270.46</v>
      </c>
      <c r="I371" s="20">
        <v>3</v>
      </c>
      <c r="J371" s="22">
        <v>8514.58</v>
      </c>
      <c r="K371" s="20" t="str">
        <f>IF(Table4[[#This Row],[Sales]]&gt;=40000,"BEST SALE","POOR SALE")</f>
        <v>BEST SALE</v>
      </c>
      <c r="L371" s="30" t="str" cm="1">
        <f t="array" ref="L371">_xlfn.IFS(Table4[[#This Row],[Sales]]&gt;=40000,"Best Sale", Table4[[#This Row],[Sales]]&gt;=20000,"Average Sale",Table4[[#This Row],[Sales]]&gt;0,"Poor Sale")</f>
        <v>Best Sale</v>
      </c>
      <c r="M371" s="32" t="str" cm="1">
        <f t="array" ref="M371">_xlfn.IFS(Table4[[#This Row],[Sales]]&gt;=40000,"Best", Table4[[#This Row],[Sales]]&gt;=35000,"Average",Table4[[#This Row],[Sales]]&gt;0,"Poor")</f>
        <v>Best</v>
      </c>
    </row>
    <row r="372" spans="1:13" x14ac:dyDescent="0.3">
      <c r="A372" s="13">
        <v>371</v>
      </c>
      <c r="B372" s="14">
        <v>45023</v>
      </c>
      <c r="C372" s="15" t="s">
        <v>35</v>
      </c>
      <c r="D372" s="15" t="s">
        <v>36</v>
      </c>
      <c r="E372" s="15" t="s">
        <v>17</v>
      </c>
      <c r="F372" s="15" t="s">
        <v>13</v>
      </c>
      <c r="G372" s="15" t="s">
        <v>21</v>
      </c>
      <c r="H372" s="16">
        <v>45850.91</v>
      </c>
      <c r="I372" s="15">
        <v>2</v>
      </c>
      <c r="J372" s="17">
        <v>6963.28</v>
      </c>
      <c r="K372" s="20" t="str">
        <f>IF(Table4[[#This Row],[Sales]]&gt;=40000,"BEST SALE","POOR SALE")</f>
        <v>BEST SALE</v>
      </c>
      <c r="L372" s="30" t="str" cm="1">
        <f t="array" ref="L372">_xlfn.IFS(Table4[[#This Row],[Sales]]&gt;=40000,"Best Sale", Table4[[#This Row],[Sales]]&gt;=20000,"Average Sale",Table4[[#This Row],[Sales]]&gt;0,"Poor Sale")</f>
        <v>Best Sale</v>
      </c>
      <c r="M372" s="32" t="str" cm="1">
        <f t="array" ref="M372">_xlfn.IFS(Table4[[#This Row],[Sales]]&gt;=40000,"Best", Table4[[#This Row],[Sales]]&gt;=35000,"Average",Table4[[#This Row],[Sales]]&gt;0,"Poor")</f>
        <v>Best</v>
      </c>
    </row>
    <row r="373" spans="1:13" x14ac:dyDescent="0.3">
      <c r="A373" s="18">
        <v>372</v>
      </c>
      <c r="B373" s="19">
        <v>44927</v>
      </c>
      <c r="C373" s="20" t="s">
        <v>22</v>
      </c>
      <c r="D373" s="20" t="s">
        <v>22</v>
      </c>
      <c r="E373" s="20" t="s">
        <v>20</v>
      </c>
      <c r="F373" s="20" t="s">
        <v>13</v>
      </c>
      <c r="G373" s="20" t="s">
        <v>34</v>
      </c>
      <c r="H373" s="21">
        <v>49704.45</v>
      </c>
      <c r="I373" s="20">
        <v>1</v>
      </c>
      <c r="J373" s="22">
        <v>6338.36</v>
      </c>
      <c r="K373" s="20" t="str">
        <f>IF(Table4[[#This Row],[Sales]]&gt;=40000,"BEST SALE","POOR SALE")</f>
        <v>BEST SALE</v>
      </c>
      <c r="L373" s="30" t="str" cm="1">
        <f t="array" ref="L373">_xlfn.IFS(Table4[[#This Row],[Sales]]&gt;=40000,"Best Sale", Table4[[#This Row],[Sales]]&gt;=20000,"Average Sale",Table4[[#This Row],[Sales]]&gt;0,"Poor Sale")</f>
        <v>Best Sale</v>
      </c>
      <c r="M373" s="32" t="str" cm="1">
        <f t="array" ref="M373">_xlfn.IFS(Table4[[#This Row],[Sales]]&gt;=40000,"Best", Table4[[#This Row],[Sales]]&gt;=35000,"Average",Table4[[#This Row],[Sales]]&gt;0,"Poor")</f>
        <v>Best</v>
      </c>
    </row>
    <row r="374" spans="1:13" x14ac:dyDescent="0.3">
      <c r="A374" s="13">
        <v>373</v>
      </c>
      <c r="B374" s="14">
        <v>45100</v>
      </c>
      <c r="C374" s="15" t="s">
        <v>10</v>
      </c>
      <c r="D374" s="15" t="s">
        <v>11</v>
      </c>
      <c r="E374" s="15" t="s">
        <v>20</v>
      </c>
      <c r="F374" s="15" t="s">
        <v>24</v>
      </c>
      <c r="G374" s="15" t="s">
        <v>29</v>
      </c>
      <c r="H374" s="16">
        <v>7689.17</v>
      </c>
      <c r="I374" s="15">
        <v>2</v>
      </c>
      <c r="J374" s="17">
        <v>2073.4699999999998</v>
      </c>
      <c r="K374" s="20" t="str">
        <f>IF(Table4[[#This Row],[Sales]]&gt;=40000,"BEST SALE","POOR SALE")</f>
        <v>POOR SALE</v>
      </c>
      <c r="L374" s="30" t="str" cm="1">
        <f t="array" ref="L374">_xlfn.IFS(Table4[[#This Row],[Sales]]&gt;=40000,"Best Sale", Table4[[#This Row],[Sales]]&gt;=20000,"Average Sale",Table4[[#This Row],[Sales]]&gt;0,"Poor Sale")</f>
        <v>Poor Sale</v>
      </c>
      <c r="M374" s="32" t="str" cm="1">
        <f t="array" ref="M374">_xlfn.IFS(Table4[[#This Row],[Sales]]&gt;=40000,"Best", Table4[[#This Row],[Sales]]&gt;=35000,"Average",Table4[[#This Row],[Sales]]&gt;0,"Poor")</f>
        <v>Poor</v>
      </c>
    </row>
    <row r="375" spans="1:13" x14ac:dyDescent="0.3">
      <c r="A375" s="18">
        <v>374</v>
      </c>
      <c r="B375" s="19">
        <v>45020</v>
      </c>
      <c r="C375" s="20" t="s">
        <v>37</v>
      </c>
      <c r="D375" s="20" t="s">
        <v>27</v>
      </c>
      <c r="E375" s="20" t="s">
        <v>12</v>
      </c>
      <c r="F375" s="20" t="s">
        <v>13</v>
      </c>
      <c r="G375" s="20" t="s">
        <v>21</v>
      </c>
      <c r="H375" s="21">
        <v>11067.26</v>
      </c>
      <c r="I375" s="20">
        <v>3</v>
      </c>
      <c r="J375" s="22">
        <v>2295.61</v>
      </c>
      <c r="K375" s="20" t="str">
        <f>IF(Table4[[#This Row],[Sales]]&gt;=40000,"BEST SALE","POOR SALE")</f>
        <v>POOR SALE</v>
      </c>
      <c r="L375" s="30" t="str" cm="1">
        <f t="array" ref="L375">_xlfn.IFS(Table4[[#This Row],[Sales]]&gt;=40000,"Best Sale", Table4[[#This Row],[Sales]]&gt;=20000,"Average Sale",Table4[[#This Row],[Sales]]&gt;0,"Poor Sale")</f>
        <v>Poor Sale</v>
      </c>
      <c r="M375" s="32" t="str" cm="1">
        <f t="array" ref="M375">_xlfn.IFS(Table4[[#This Row],[Sales]]&gt;=40000,"Best", Table4[[#This Row],[Sales]]&gt;=35000,"Average",Table4[[#This Row],[Sales]]&gt;0,"Poor")</f>
        <v>Poor</v>
      </c>
    </row>
    <row r="376" spans="1:13" x14ac:dyDescent="0.3">
      <c r="A376" s="13">
        <v>375</v>
      </c>
      <c r="B376" s="14">
        <v>45220</v>
      </c>
      <c r="C376" s="15" t="s">
        <v>18</v>
      </c>
      <c r="D376" s="15" t="s">
        <v>19</v>
      </c>
      <c r="E376" s="15" t="s">
        <v>17</v>
      </c>
      <c r="F376" s="15" t="s">
        <v>13</v>
      </c>
      <c r="G376" s="15" t="s">
        <v>21</v>
      </c>
      <c r="H376" s="16">
        <v>4039.27</v>
      </c>
      <c r="I376" s="15">
        <v>4</v>
      </c>
      <c r="J376" s="17">
        <v>706.06</v>
      </c>
      <c r="K376" s="20" t="str">
        <f>IF(Table4[[#This Row],[Sales]]&gt;=40000,"BEST SALE","POOR SALE")</f>
        <v>POOR SALE</v>
      </c>
      <c r="L376" s="30" t="str" cm="1">
        <f t="array" ref="L376">_xlfn.IFS(Table4[[#This Row],[Sales]]&gt;=40000,"Best Sale", Table4[[#This Row],[Sales]]&gt;=20000,"Average Sale",Table4[[#This Row],[Sales]]&gt;0,"Poor Sale")</f>
        <v>Poor Sale</v>
      </c>
      <c r="M376" s="32" t="str" cm="1">
        <f t="array" ref="M376">_xlfn.IFS(Table4[[#This Row],[Sales]]&gt;=40000,"Best", Table4[[#This Row],[Sales]]&gt;=35000,"Average",Table4[[#This Row],[Sales]]&gt;0,"Poor")</f>
        <v>Poor</v>
      </c>
    </row>
    <row r="377" spans="1:13" x14ac:dyDescent="0.3">
      <c r="A377" s="18">
        <v>376</v>
      </c>
      <c r="B377" s="19">
        <v>45084</v>
      </c>
      <c r="C377" s="20" t="s">
        <v>22</v>
      </c>
      <c r="D377" s="20" t="s">
        <v>22</v>
      </c>
      <c r="E377" s="20" t="s">
        <v>12</v>
      </c>
      <c r="F377" s="20" t="s">
        <v>13</v>
      </c>
      <c r="G377" s="20" t="s">
        <v>34</v>
      </c>
      <c r="H377" s="21">
        <v>21927.99</v>
      </c>
      <c r="I377" s="20">
        <v>1</v>
      </c>
      <c r="J377" s="22">
        <v>3544.98</v>
      </c>
      <c r="K377" s="20" t="str">
        <f>IF(Table4[[#This Row],[Sales]]&gt;=40000,"BEST SALE","POOR SALE")</f>
        <v>POOR SALE</v>
      </c>
      <c r="L377" s="30" t="str" cm="1">
        <f t="array" ref="L377">_xlfn.IFS(Table4[[#This Row],[Sales]]&gt;=40000,"Best Sale", Table4[[#This Row],[Sales]]&gt;=20000,"Average Sale",Table4[[#This Row],[Sales]]&gt;0,"Poor Sale")</f>
        <v>Average Sale</v>
      </c>
      <c r="M377" s="32" t="str" cm="1">
        <f t="array" ref="M377">_xlfn.IFS(Table4[[#This Row],[Sales]]&gt;=40000,"Best", Table4[[#This Row],[Sales]]&gt;=35000,"Average",Table4[[#This Row],[Sales]]&gt;0,"Poor")</f>
        <v>Poor</v>
      </c>
    </row>
    <row r="378" spans="1:13" x14ac:dyDescent="0.3">
      <c r="A378" s="13">
        <v>377</v>
      </c>
      <c r="B378" s="14">
        <v>45057</v>
      </c>
      <c r="C378" s="15" t="s">
        <v>30</v>
      </c>
      <c r="D378" s="15" t="s">
        <v>16</v>
      </c>
      <c r="E378" s="15" t="s">
        <v>17</v>
      </c>
      <c r="F378" s="15" t="s">
        <v>31</v>
      </c>
      <c r="G378" s="15" t="s">
        <v>32</v>
      </c>
      <c r="H378" s="16">
        <v>5975.75</v>
      </c>
      <c r="I378" s="15">
        <v>2</v>
      </c>
      <c r="J378" s="17">
        <v>329.14</v>
      </c>
      <c r="K378" s="20" t="str">
        <f>IF(Table4[[#This Row],[Sales]]&gt;=40000,"BEST SALE","POOR SALE")</f>
        <v>POOR SALE</v>
      </c>
      <c r="L378" s="30" t="str" cm="1">
        <f t="array" ref="L378">_xlfn.IFS(Table4[[#This Row],[Sales]]&gt;=40000,"Best Sale", Table4[[#This Row],[Sales]]&gt;=20000,"Average Sale",Table4[[#This Row],[Sales]]&gt;0,"Poor Sale")</f>
        <v>Poor Sale</v>
      </c>
      <c r="M378" s="32" t="str" cm="1">
        <f t="array" ref="M378">_xlfn.IFS(Table4[[#This Row],[Sales]]&gt;=40000,"Best", Table4[[#This Row],[Sales]]&gt;=35000,"Average",Table4[[#This Row],[Sales]]&gt;0,"Poor")</f>
        <v>Poor</v>
      </c>
    </row>
    <row r="379" spans="1:13" x14ac:dyDescent="0.3">
      <c r="A379" s="18">
        <v>378</v>
      </c>
      <c r="B379" s="19">
        <v>45191</v>
      </c>
      <c r="C379" s="20" t="s">
        <v>10</v>
      </c>
      <c r="D379" s="20" t="s">
        <v>11</v>
      </c>
      <c r="E379" s="20" t="s">
        <v>20</v>
      </c>
      <c r="F379" s="20" t="s">
        <v>31</v>
      </c>
      <c r="G379" s="20" t="s">
        <v>33</v>
      </c>
      <c r="H379" s="21">
        <v>20190.7</v>
      </c>
      <c r="I379" s="20">
        <v>3</v>
      </c>
      <c r="J379" s="22">
        <v>2927.7</v>
      </c>
      <c r="K379" s="20" t="str">
        <f>IF(Table4[[#This Row],[Sales]]&gt;=40000,"BEST SALE","POOR SALE")</f>
        <v>POOR SALE</v>
      </c>
      <c r="L379" s="30" t="str" cm="1">
        <f t="array" ref="L379">_xlfn.IFS(Table4[[#This Row],[Sales]]&gt;=40000,"Best Sale", Table4[[#This Row],[Sales]]&gt;=20000,"Average Sale",Table4[[#This Row],[Sales]]&gt;0,"Poor Sale")</f>
        <v>Average Sale</v>
      </c>
      <c r="M379" s="32" t="str" cm="1">
        <f t="array" ref="M379">_xlfn.IFS(Table4[[#This Row],[Sales]]&gt;=40000,"Best", Table4[[#This Row],[Sales]]&gt;=35000,"Average",Table4[[#This Row],[Sales]]&gt;0,"Poor")</f>
        <v>Poor</v>
      </c>
    </row>
    <row r="380" spans="1:13" x14ac:dyDescent="0.3">
      <c r="A380" s="13">
        <v>379</v>
      </c>
      <c r="B380" s="14">
        <v>44967</v>
      </c>
      <c r="C380" s="15" t="s">
        <v>22</v>
      </c>
      <c r="D380" s="15" t="s">
        <v>22</v>
      </c>
      <c r="E380" s="15" t="s">
        <v>20</v>
      </c>
      <c r="F380" s="15" t="s">
        <v>31</v>
      </c>
      <c r="G380" s="15" t="s">
        <v>33</v>
      </c>
      <c r="H380" s="16">
        <v>13485.54</v>
      </c>
      <c r="I380" s="15">
        <v>7</v>
      </c>
      <c r="J380" s="17">
        <v>3010.14</v>
      </c>
      <c r="K380" s="20" t="str">
        <f>IF(Table4[[#This Row],[Sales]]&gt;=40000,"BEST SALE","POOR SALE")</f>
        <v>POOR SALE</v>
      </c>
      <c r="L380" s="30" t="str" cm="1">
        <f t="array" ref="L380">_xlfn.IFS(Table4[[#This Row],[Sales]]&gt;=40000,"Best Sale", Table4[[#This Row],[Sales]]&gt;=20000,"Average Sale",Table4[[#This Row],[Sales]]&gt;0,"Poor Sale")</f>
        <v>Poor Sale</v>
      </c>
      <c r="M380" s="32" t="str" cm="1">
        <f t="array" ref="M380">_xlfn.IFS(Table4[[#This Row],[Sales]]&gt;=40000,"Best", Table4[[#This Row],[Sales]]&gt;=35000,"Average",Table4[[#This Row],[Sales]]&gt;0,"Poor")</f>
        <v>Poor</v>
      </c>
    </row>
    <row r="381" spans="1:13" x14ac:dyDescent="0.3">
      <c r="A381" s="18">
        <v>380</v>
      </c>
      <c r="B381" s="19">
        <v>45087</v>
      </c>
      <c r="C381" s="20" t="s">
        <v>15</v>
      </c>
      <c r="D381" s="20" t="s">
        <v>16</v>
      </c>
      <c r="E381" s="20" t="s">
        <v>12</v>
      </c>
      <c r="F381" s="20" t="s">
        <v>13</v>
      </c>
      <c r="G381" s="20" t="s">
        <v>34</v>
      </c>
      <c r="H381" s="21">
        <v>21403.96</v>
      </c>
      <c r="I381" s="20">
        <v>2</v>
      </c>
      <c r="J381" s="22">
        <v>5457.97</v>
      </c>
      <c r="K381" s="20" t="str">
        <f>IF(Table4[[#This Row],[Sales]]&gt;=40000,"BEST SALE","POOR SALE")</f>
        <v>POOR SALE</v>
      </c>
      <c r="L381" s="30" t="str" cm="1">
        <f t="array" ref="L381">_xlfn.IFS(Table4[[#This Row],[Sales]]&gt;=40000,"Best Sale", Table4[[#This Row],[Sales]]&gt;=20000,"Average Sale",Table4[[#This Row],[Sales]]&gt;0,"Poor Sale")</f>
        <v>Average Sale</v>
      </c>
      <c r="M381" s="32" t="str" cm="1">
        <f t="array" ref="M381">_xlfn.IFS(Table4[[#This Row],[Sales]]&gt;=40000,"Best", Table4[[#This Row],[Sales]]&gt;=35000,"Average",Table4[[#This Row],[Sales]]&gt;0,"Poor")</f>
        <v>Poor</v>
      </c>
    </row>
    <row r="382" spans="1:13" x14ac:dyDescent="0.3">
      <c r="A382" s="13">
        <v>381</v>
      </c>
      <c r="B382" s="14">
        <v>45216</v>
      </c>
      <c r="C382" s="15" t="s">
        <v>22</v>
      </c>
      <c r="D382" s="15" t="s">
        <v>22</v>
      </c>
      <c r="E382" s="15" t="s">
        <v>17</v>
      </c>
      <c r="F382" s="15" t="s">
        <v>13</v>
      </c>
      <c r="G382" s="15" t="s">
        <v>14</v>
      </c>
      <c r="H382" s="16">
        <v>28745.93</v>
      </c>
      <c r="I382" s="15">
        <v>8</v>
      </c>
      <c r="J382" s="17">
        <v>6468.31</v>
      </c>
      <c r="K382" s="20" t="str">
        <f>IF(Table4[[#This Row],[Sales]]&gt;=40000,"BEST SALE","POOR SALE")</f>
        <v>POOR SALE</v>
      </c>
      <c r="L382" s="30" t="str" cm="1">
        <f t="array" ref="L382">_xlfn.IFS(Table4[[#This Row],[Sales]]&gt;=40000,"Best Sale", Table4[[#This Row],[Sales]]&gt;=20000,"Average Sale",Table4[[#This Row],[Sales]]&gt;0,"Poor Sale")</f>
        <v>Average Sale</v>
      </c>
      <c r="M382" s="32" t="str" cm="1">
        <f t="array" ref="M382">_xlfn.IFS(Table4[[#This Row],[Sales]]&gt;=40000,"Best", Table4[[#This Row],[Sales]]&gt;=35000,"Average",Table4[[#This Row],[Sales]]&gt;0,"Poor")</f>
        <v>Poor</v>
      </c>
    </row>
    <row r="383" spans="1:13" x14ac:dyDescent="0.3">
      <c r="A383" s="18">
        <v>382</v>
      </c>
      <c r="B383" s="19">
        <v>45116</v>
      </c>
      <c r="C383" s="20" t="s">
        <v>30</v>
      </c>
      <c r="D383" s="20" t="s">
        <v>16</v>
      </c>
      <c r="E383" s="20" t="s">
        <v>12</v>
      </c>
      <c r="F383" s="20" t="s">
        <v>24</v>
      </c>
      <c r="G383" s="20" t="s">
        <v>29</v>
      </c>
      <c r="H383" s="21">
        <v>7482.71</v>
      </c>
      <c r="I383" s="20">
        <v>5</v>
      </c>
      <c r="J383" s="22">
        <v>437.89</v>
      </c>
      <c r="K383" s="20" t="str">
        <f>IF(Table4[[#This Row],[Sales]]&gt;=40000,"BEST SALE","POOR SALE")</f>
        <v>POOR SALE</v>
      </c>
      <c r="L383" s="30" t="str" cm="1">
        <f t="array" ref="L383">_xlfn.IFS(Table4[[#This Row],[Sales]]&gt;=40000,"Best Sale", Table4[[#This Row],[Sales]]&gt;=20000,"Average Sale",Table4[[#This Row],[Sales]]&gt;0,"Poor Sale")</f>
        <v>Poor Sale</v>
      </c>
      <c r="M383" s="32" t="str" cm="1">
        <f t="array" ref="M383">_xlfn.IFS(Table4[[#This Row],[Sales]]&gt;=40000,"Best", Table4[[#This Row],[Sales]]&gt;=35000,"Average",Table4[[#This Row],[Sales]]&gt;0,"Poor")</f>
        <v>Poor</v>
      </c>
    </row>
    <row r="384" spans="1:13" x14ac:dyDescent="0.3">
      <c r="A384" s="13">
        <v>383</v>
      </c>
      <c r="B384" s="14">
        <v>45266</v>
      </c>
      <c r="C384" s="15" t="s">
        <v>37</v>
      </c>
      <c r="D384" s="15" t="s">
        <v>27</v>
      </c>
      <c r="E384" s="15" t="s">
        <v>17</v>
      </c>
      <c r="F384" s="15" t="s">
        <v>24</v>
      </c>
      <c r="G384" s="15" t="s">
        <v>25</v>
      </c>
      <c r="H384" s="16">
        <v>46251.07</v>
      </c>
      <c r="I384" s="15">
        <v>7</v>
      </c>
      <c r="J384" s="17">
        <v>2777.42</v>
      </c>
      <c r="K384" s="20" t="str">
        <f>IF(Table4[[#This Row],[Sales]]&gt;=40000,"BEST SALE","POOR SALE")</f>
        <v>BEST SALE</v>
      </c>
      <c r="L384" s="30" t="str" cm="1">
        <f t="array" ref="L384">_xlfn.IFS(Table4[[#This Row],[Sales]]&gt;=40000,"Best Sale", Table4[[#This Row],[Sales]]&gt;=20000,"Average Sale",Table4[[#This Row],[Sales]]&gt;0,"Poor Sale")</f>
        <v>Best Sale</v>
      </c>
      <c r="M384" s="32" t="str" cm="1">
        <f t="array" ref="M384">_xlfn.IFS(Table4[[#This Row],[Sales]]&gt;=40000,"Best", Table4[[#This Row],[Sales]]&gt;=35000,"Average",Table4[[#This Row],[Sales]]&gt;0,"Poor")</f>
        <v>Best</v>
      </c>
    </row>
    <row r="385" spans="1:13" x14ac:dyDescent="0.3">
      <c r="A385" s="18">
        <v>384</v>
      </c>
      <c r="B385" s="19">
        <v>45207</v>
      </c>
      <c r="C385" s="20" t="s">
        <v>22</v>
      </c>
      <c r="D385" s="20" t="s">
        <v>22</v>
      </c>
      <c r="E385" s="20" t="s">
        <v>20</v>
      </c>
      <c r="F385" s="20" t="s">
        <v>24</v>
      </c>
      <c r="G385" s="20" t="s">
        <v>28</v>
      </c>
      <c r="H385" s="21">
        <v>19948.55</v>
      </c>
      <c r="I385" s="20">
        <v>4</v>
      </c>
      <c r="J385" s="22">
        <v>1195.3</v>
      </c>
      <c r="K385" s="20" t="str">
        <f>IF(Table4[[#This Row],[Sales]]&gt;=40000,"BEST SALE","POOR SALE")</f>
        <v>POOR SALE</v>
      </c>
      <c r="L385" s="30" t="str" cm="1">
        <f t="array" ref="L385">_xlfn.IFS(Table4[[#This Row],[Sales]]&gt;=40000,"Best Sale", Table4[[#This Row],[Sales]]&gt;=20000,"Average Sale",Table4[[#This Row],[Sales]]&gt;0,"Poor Sale")</f>
        <v>Poor Sale</v>
      </c>
      <c r="M385" s="32" t="str" cm="1">
        <f t="array" ref="M385">_xlfn.IFS(Table4[[#This Row],[Sales]]&gt;=40000,"Best", Table4[[#This Row],[Sales]]&gt;=35000,"Average",Table4[[#This Row],[Sales]]&gt;0,"Poor")</f>
        <v>Poor</v>
      </c>
    </row>
    <row r="386" spans="1:13" x14ac:dyDescent="0.3">
      <c r="A386" s="13">
        <v>385</v>
      </c>
      <c r="B386" s="14">
        <v>45085</v>
      </c>
      <c r="C386" s="15" t="s">
        <v>15</v>
      </c>
      <c r="D386" s="15" t="s">
        <v>16</v>
      </c>
      <c r="E386" s="15" t="s">
        <v>20</v>
      </c>
      <c r="F386" s="15" t="s">
        <v>24</v>
      </c>
      <c r="G386" s="15" t="s">
        <v>29</v>
      </c>
      <c r="H386" s="16">
        <v>5721.76</v>
      </c>
      <c r="I386" s="15">
        <v>7</v>
      </c>
      <c r="J386" s="17">
        <v>1413.25</v>
      </c>
      <c r="K386" s="20" t="str">
        <f>IF(Table4[[#This Row],[Sales]]&gt;=40000,"BEST SALE","POOR SALE")</f>
        <v>POOR SALE</v>
      </c>
      <c r="L386" s="30" t="str" cm="1">
        <f t="array" ref="L386">_xlfn.IFS(Table4[[#This Row],[Sales]]&gt;=40000,"Best Sale", Table4[[#This Row],[Sales]]&gt;=20000,"Average Sale",Table4[[#This Row],[Sales]]&gt;0,"Poor Sale")</f>
        <v>Poor Sale</v>
      </c>
      <c r="M386" s="32" t="str" cm="1">
        <f t="array" ref="M386">_xlfn.IFS(Table4[[#This Row],[Sales]]&gt;=40000,"Best", Table4[[#This Row],[Sales]]&gt;=35000,"Average",Table4[[#This Row],[Sales]]&gt;0,"Poor")</f>
        <v>Poor</v>
      </c>
    </row>
    <row r="387" spans="1:13" x14ac:dyDescent="0.3">
      <c r="A387" s="18">
        <v>386</v>
      </c>
      <c r="B387" s="19">
        <v>45204</v>
      </c>
      <c r="C387" s="20" t="s">
        <v>30</v>
      </c>
      <c r="D387" s="20" t="s">
        <v>16</v>
      </c>
      <c r="E387" s="20" t="s">
        <v>12</v>
      </c>
      <c r="F387" s="20" t="s">
        <v>24</v>
      </c>
      <c r="G387" s="20" t="s">
        <v>29</v>
      </c>
      <c r="H387" s="21">
        <v>20443.47</v>
      </c>
      <c r="I387" s="20">
        <v>4</v>
      </c>
      <c r="J387" s="22">
        <v>3275.27</v>
      </c>
      <c r="K387" s="20" t="str">
        <f>IF(Table4[[#This Row],[Sales]]&gt;=40000,"BEST SALE","POOR SALE")</f>
        <v>POOR SALE</v>
      </c>
      <c r="L387" s="30" t="str" cm="1">
        <f t="array" ref="L387">_xlfn.IFS(Table4[[#This Row],[Sales]]&gt;=40000,"Best Sale", Table4[[#This Row],[Sales]]&gt;=20000,"Average Sale",Table4[[#This Row],[Sales]]&gt;0,"Poor Sale")</f>
        <v>Average Sale</v>
      </c>
      <c r="M387" s="32" t="str" cm="1">
        <f t="array" ref="M387">_xlfn.IFS(Table4[[#This Row],[Sales]]&gt;=40000,"Best", Table4[[#This Row],[Sales]]&gt;=35000,"Average",Table4[[#This Row],[Sales]]&gt;0,"Poor")</f>
        <v>Poor</v>
      </c>
    </row>
    <row r="388" spans="1:13" x14ac:dyDescent="0.3">
      <c r="A388" s="13">
        <v>387</v>
      </c>
      <c r="B388" s="14">
        <v>45088</v>
      </c>
      <c r="C388" s="15" t="s">
        <v>18</v>
      </c>
      <c r="D388" s="15" t="s">
        <v>19</v>
      </c>
      <c r="E388" s="15" t="s">
        <v>17</v>
      </c>
      <c r="F388" s="15" t="s">
        <v>31</v>
      </c>
      <c r="G388" s="15" t="s">
        <v>39</v>
      </c>
      <c r="H388" s="16">
        <v>33096.26</v>
      </c>
      <c r="I388" s="15">
        <v>6</v>
      </c>
      <c r="J388" s="17">
        <v>3046.86</v>
      </c>
      <c r="K388" s="20" t="str">
        <f>IF(Table4[[#This Row],[Sales]]&gt;=40000,"BEST SALE","POOR SALE")</f>
        <v>POOR SALE</v>
      </c>
      <c r="L388" s="30" t="str" cm="1">
        <f t="array" ref="L388">_xlfn.IFS(Table4[[#This Row],[Sales]]&gt;=40000,"Best Sale", Table4[[#This Row],[Sales]]&gt;=20000,"Average Sale",Table4[[#This Row],[Sales]]&gt;0,"Poor Sale")</f>
        <v>Average Sale</v>
      </c>
      <c r="M388" s="32" t="str" cm="1">
        <f t="array" ref="M388">_xlfn.IFS(Table4[[#This Row],[Sales]]&gt;=40000,"Best", Table4[[#This Row],[Sales]]&gt;=35000,"Average",Table4[[#This Row],[Sales]]&gt;0,"Poor")</f>
        <v>Poor</v>
      </c>
    </row>
    <row r="389" spans="1:13" x14ac:dyDescent="0.3">
      <c r="A389" s="18">
        <v>388</v>
      </c>
      <c r="B389" s="19">
        <v>45146</v>
      </c>
      <c r="C389" s="20" t="s">
        <v>26</v>
      </c>
      <c r="D389" s="20" t="s">
        <v>27</v>
      </c>
      <c r="E389" s="20" t="s">
        <v>12</v>
      </c>
      <c r="F389" s="20" t="s">
        <v>24</v>
      </c>
      <c r="G389" s="20" t="s">
        <v>25</v>
      </c>
      <c r="H389" s="21">
        <v>48615.63</v>
      </c>
      <c r="I389" s="20">
        <v>4</v>
      </c>
      <c r="J389" s="22">
        <v>12402.67</v>
      </c>
      <c r="K389" s="20" t="str">
        <f>IF(Table4[[#This Row],[Sales]]&gt;=40000,"BEST SALE","POOR SALE")</f>
        <v>BEST SALE</v>
      </c>
      <c r="L389" s="30" t="str" cm="1">
        <f t="array" ref="L389">_xlfn.IFS(Table4[[#This Row],[Sales]]&gt;=40000,"Best Sale", Table4[[#This Row],[Sales]]&gt;=20000,"Average Sale",Table4[[#This Row],[Sales]]&gt;0,"Poor Sale")</f>
        <v>Best Sale</v>
      </c>
      <c r="M389" s="32" t="str" cm="1">
        <f t="array" ref="M389">_xlfn.IFS(Table4[[#This Row],[Sales]]&gt;=40000,"Best", Table4[[#This Row],[Sales]]&gt;=35000,"Average",Table4[[#This Row],[Sales]]&gt;0,"Poor")</f>
        <v>Best</v>
      </c>
    </row>
    <row r="390" spans="1:13" x14ac:dyDescent="0.3">
      <c r="A390" s="13">
        <v>389</v>
      </c>
      <c r="B390" s="14">
        <v>44976</v>
      </c>
      <c r="C390" s="15" t="s">
        <v>22</v>
      </c>
      <c r="D390" s="15" t="s">
        <v>22</v>
      </c>
      <c r="E390" s="15" t="s">
        <v>17</v>
      </c>
      <c r="F390" s="15" t="s">
        <v>13</v>
      </c>
      <c r="G390" s="15" t="s">
        <v>14</v>
      </c>
      <c r="H390" s="16">
        <v>41877.24</v>
      </c>
      <c r="I390" s="15">
        <v>6</v>
      </c>
      <c r="J390" s="17">
        <v>12432.71</v>
      </c>
      <c r="K390" s="20" t="str">
        <f>IF(Table4[[#This Row],[Sales]]&gt;=40000,"BEST SALE","POOR SALE")</f>
        <v>BEST SALE</v>
      </c>
      <c r="L390" s="30" t="str" cm="1">
        <f t="array" ref="L390">_xlfn.IFS(Table4[[#This Row],[Sales]]&gt;=40000,"Best Sale", Table4[[#This Row],[Sales]]&gt;=20000,"Average Sale",Table4[[#This Row],[Sales]]&gt;0,"Poor Sale")</f>
        <v>Best Sale</v>
      </c>
      <c r="M390" s="32" t="str" cm="1">
        <f t="array" ref="M390">_xlfn.IFS(Table4[[#This Row],[Sales]]&gt;=40000,"Best", Table4[[#This Row],[Sales]]&gt;=35000,"Average",Table4[[#This Row],[Sales]]&gt;0,"Poor")</f>
        <v>Best</v>
      </c>
    </row>
    <row r="391" spans="1:13" x14ac:dyDescent="0.3">
      <c r="A391" s="18">
        <v>390</v>
      </c>
      <c r="B391" s="19">
        <v>45129</v>
      </c>
      <c r="C391" s="20" t="s">
        <v>22</v>
      </c>
      <c r="D391" s="20" t="s">
        <v>22</v>
      </c>
      <c r="E391" s="20" t="s">
        <v>20</v>
      </c>
      <c r="F391" s="20" t="s">
        <v>31</v>
      </c>
      <c r="G391" s="20" t="s">
        <v>33</v>
      </c>
      <c r="H391" s="21">
        <v>21423.18</v>
      </c>
      <c r="I391" s="20">
        <v>6</v>
      </c>
      <c r="J391" s="22">
        <v>2642.67</v>
      </c>
      <c r="K391" s="20" t="str">
        <f>IF(Table4[[#This Row],[Sales]]&gt;=40000,"BEST SALE","POOR SALE")</f>
        <v>POOR SALE</v>
      </c>
      <c r="L391" s="30" t="str" cm="1">
        <f t="array" ref="L391">_xlfn.IFS(Table4[[#This Row],[Sales]]&gt;=40000,"Best Sale", Table4[[#This Row],[Sales]]&gt;=20000,"Average Sale",Table4[[#This Row],[Sales]]&gt;0,"Poor Sale")</f>
        <v>Average Sale</v>
      </c>
      <c r="M391" s="32" t="str" cm="1">
        <f t="array" ref="M391">_xlfn.IFS(Table4[[#This Row],[Sales]]&gt;=40000,"Best", Table4[[#This Row],[Sales]]&gt;=35000,"Average",Table4[[#This Row],[Sales]]&gt;0,"Poor")</f>
        <v>Poor</v>
      </c>
    </row>
    <row r="392" spans="1:13" x14ac:dyDescent="0.3">
      <c r="A392" s="13">
        <v>391</v>
      </c>
      <c r="B392" s="14">
        <v>44942</v>
      </c>
      <c r="C392" s="15" t="s">
        <v>30</v>
      </c>
      <c r="D392" s="15" t="s">
        <v>16</v>
      </c>
      <c r="E392" s="15" t="s">
        <v>20</v>
      </c>
      <c r="F392" s="15" t="s">
        <v>13</v>
      </c>
      <c r="G392" s="15" t="s">
        <v>14</v>
      </c>
      <c r="H392" s="16">
        <v>12449.38</v>
      </c>
      <c r="I392" s="15">
        <v>7</v>
      </c>
      <c r="J392" s="17">
        <v>786.53</v>
      </c>
      <c r="K392" s="20" t="str">
        <f>IF(Table4[[#This Row],[Sales]]&gt;=40000,"BEST SALE","POOR SALE")</f>
        <v>POOR SALE</v>
      </c>
      <c r="L392" s="30" t="str" cm="1">
        <f t="array" ref="L392">_xlfn.IFS(Table4[[#This Row],[Sales]]&gt;=40000,"Best Sale", Table4[[#This Row],[Sales]]&gt;=20000,"Average Sale",Table4[[#This Row],[Sales]]&gt;0,"Poor Sale")</f>
        <v>Poor Sale</v>
      </c>
      <c r="M392" s="32" t="str" cm="1">
        <f t="array" ref="M392">_xlfn.IFS(Table4[[#This Row],[Sales]]&gt;=40000,"Best", Table4[[#This Row],[Sales]]&gt;=35000,"Average",Table4[[#This Row],[Sales]]&gt;0,"Poor")</f>
        <v>Poor</v>
      </c>
    </row>
    <row r="393" spans="1:13" x14ac:dyDescent="0.3">
      <c r="A393" s="18">
        <v>392</v>
      </c>
      <c r="B393" s="19">
        <v>45211</v>
      </c>
      <c r="C393" s="20" t="s">
        <v>15</v>
      </c>
      <c r="D393" s="20" t="s">
        <v>16</v>
      </c>
      <c r="E393" s="20" t="s">
        <v>12</v>
      </c>
      <c r="F393" s="20" t="s">
        <v>24</v>
      </c>
      <c r="G393" s="20" t="s">
        <v>25</v>
      </c>
      <c r="H393" s="21">
        <v>12941.19</v>
      </c>
      <c r="I393" s="20">
        <v>4</v>
      </c>
      <c r="J393" s="22">
        <v>1257.8900000000001</v>
      </c>
      <c r="K393" s="20" t="str">
        <f>IF(Table4[[#This Row],[Sales]]&gt;=40000,"BEST SALE","POOR SALE")</f>
        <v>POOR SALE</v>
      </c>
      <c r="L393" s="30" t="str" cm="1">
        <f t="array" ref="L393">_xlfn.IFS(Table4[[#This Row],[Sales]]&gt;=40000,"Best Sale", Table4[[#This Row],[Sales]]&gt;=20000,"Average Sale",Table4[[#This Row],[Sales]]&gt;0,"Poor Sale")</f>
        <v>Poor Sale</v>
      </c>
      <c r="M393" s="32" t="str" cm="1">
        <f t="array" ref="M393">_xlfn.IFS(Table4[[#This Row],[Sales]]&gt;=40000,"Best", Table4[[#This Row],[Sales]]&gt;=35000,"Average",Table4[[#This Row],[Sales]]&gt;0,"Poor")</f>
        <v>Poor</v>
      </c>
    </row>
    <row r="394" spans="1:13" x14ac:dyDescent="0.3">
      <c r="A394" s="13">
        <v>393</v>
      </c>
      <c r="B394" s="14">
        <v>45166</v>
      </c>
      <c r="C394" s="15" t="s">
        <v>30</v>
      </c>
      <c r="D394" s="15" t="s">
        <v>16</v>
      </c>
      <c r="E394" s="15" t="s">
        <v>17</v>
      </c>
      <c r="F394" s="15" t="s">
        <v>24</v>
      </c>
      <c r="G394" s="15" t="s">
        <v>28</v>
      </c>
      <c r="H394" s="16">
        <v>22201.1</v>
      </c>
      <c r="I394" s="15">
        <v>6</v>
      </c>
      <c r="J394" s="17">
        <v>4513.6000000000004</v>
      </c>
      <c r="K394" s="20" t="str">
        <f>IF(Table4[[#This Row],[Sales]]&gt;=40000,"BEST SALE","POOR SALE")</f>
        <v>POOR SALE</v>
      </c>
      <c r="L394" s="30" t="str" cm="1">
        <f t="array" ref="L394">_xlfn.IFS(Table4[[#This Row],[Sales]]&gt;=40000,"Best Sale", Table4[[#This Row],[Sales]]&gt;=20000,"Average Sale",Table4[[#This Row],[Sales]]&gt;0,"Poor Sale")</f>
        <v>Average Sale</v>
      </c>
      <c r="M394" s="32" t="str" cm="1">
        <f t="array" ref="M394">_xlfn.IFS(Table4[[#This Row],[Sales]]&gt;=40000,"Best", Table4[[#This Row],[Sales]]&gt;=35000,"Average",Table4[[#This Row],[Sales]]&gt;0,"Poor")</f>
        <v>Poor</v>
      </c>
    </row>
    <row r="395" spans="1:13" x14ac:dyDescent="0.3">
      <c r="A395" s="18">
        <v>394</v>
      </c>
      <c r="B395" s="19">
        <v>45112</v>
      </c>
      <c r="C395" s="20" t="s">
        <v>37</v>
      </c>
      <c r="D395" s="20" t="s">
        <v>27</v>
      </c>
      <c r="E395" s="20" t="s">
        <v>12</v>
      </c>
      <c r="F395" s="20" t="s">
        <v>13</v>
      </c>
      <c r="G395" s="20" t="s">
        <v>14</v>
      </c>
      <c r="H395" s="21">
        <v>32017.52</v>
      </c>
      <c r="I395" s="20">
        <v>9</v>
      </c>
      <c r="J395" s="22">
        <v>6657.95</v>
      </c>
      <c r="K395" s="20" t="str">
        <f>IF(Table4[[#This Row],[Sales]]&gt;=40000,"BEST SALE","POOR SALE")</f>
        <v>POOR SALE</v>
      </c>
      <c r="L395" s="30" t="str" cm="1">
        <f t="array" ref="L395">_xlfn.IFS(Table4[[#This Row],[Sales]]&gt;=40000,"Best Sale", Table4[[#This Row],[Sales]]&gt;=20000,"Average Sale",Table4[[#This Row],[Sales]]&gt;0,"Poor Sale")</f>
        <v>Average Sale</v>
      </c>
      <c r="M395" s="32" t="str" cm="1">
        <f t="array" ref="M395">_xlfn.IFS(Table4[[#This Row],[Sales]]&gt;=40000,"Best", Table4[[#This Row],[Sales]]&gt;=35000,"Average",Table4[[#This Row],[Sales]]&gt;0,"Poor")</f>
        <v>Poor</v>
      </c>
    </row>
    <row r="396" spans="1:13" x14ac:dyDescent="0.3">
      <c r="A396" s="13">
        <v>395</v>
      </c>
      <c r="B396" s="14">
        <v>45042</v>
      </c>
      <c r="C396" s="15" t="s">
        <v>30</v>
      </c>
      <c r="D396" s="15" t="s">
        <v>16</v>
      </c>
      <c r="E396" s="15" t="s">
        <v>17</v>
      </c>
      <c r="F396" s="15" t="s">
        <v>13</v>
      </c>
      <c r="G396" s="15" t="s">
        <v>34</v>
      </c>
      <c r="H396" s="16">
        <v>9140.99</v>
      </c>
      <c r="I396" s="15">
        <v>9</v>
      </c>
      <c r="J396" s="17">
        <v>1852.84</v>
      </c>
      <c r="K396" s="20" t="str">
        <f>IF(Table4[[#This Row],[Sales]]&gt;=40000,"BEST SALE","POOR SALE")</f>
        <v>POOR SALE</v>
      </c>
      <c r="L396" s="30" t="str" cm="1">
        <f t="array" ref="L396">_xlfn.IFS(Table4[[#This Row],[Sales]]&gt;=40000,"Best Sale", Table4[[#This Row],[Sales]]&gt;=20000,"Average Sale",Table4[[#This Row],[Sales]]&gt;0,"Poor Sale")</f>
        <v>Poor Sale</v>
      </c>
      <c r="M396" s="32" t="str" cm="1">
        <f t="array" ref="M396">_xlfn.IFS(Table4[[#This Row],[Sales]]&gt;=40000,"Best", Table4[[#This Row],[Sales]]&gt;=35000,"Average",Table4[[#This Row],[Sales]]&gt;0,"Poor")</f>
        <v>Poor</v>
      </c>
    </row>
    <row r="397" spans="1:13" x14ac:dyDescent="0.3">
      <c r="A397" s="18">
        <v>396</v>
      </c>
      <c r="B397" s="19">
        <v>44996</v>
      </c>
      <c r="C397" s="20" t="s">
        <v>10</v>
      </c>
      <c r="D397" s="20" t="s">
        <v>11</v>
      </c>
      <c r="E397" s="20" t="s">
        <v>20</v>
      </c>
      <c r="F397" s="20" t="s">
        <v>24</v>
      </c>
      <c r="G397" s="20" t="s">
        <v>28</v>
      </c>
      <c r="H397" s="21">
        <v>31801.74</v>
      </c>
      <c r="I397" s="20">
        <v>5</v>
      </c>
      <c r="J397" s="22">
        <v>4975.09</v>
      </c>
      <c r="K397" s="20" t="str">
        <f>IF(Table4[[#This Row],[Sales]]&gt;=40000,"BEST SALE","POOR SALE")</f>
        <v>POOR SALE</v>
      </c>
      <c r="L397" s="30" t="str" cm="1">
        <f t="array" ref="L397">_xlfn.IFS(Table4[[#This Row],[Sales]]&gt;=40000,"Best Sale", Table4[[#This Row],[Sales]]&gt;=20000,"Average Sale",Table4[[#This Row],[Sales]]&gt;0,"Poor Sale")</f>
        <v>Average Sale</v>
      </c>
      <c r="M397" s="32" t="str" cm="1">
        <f t="array" ref="M397">_xlfn.IFS(Table4[[#This Row],[Sales]]&gt;=40000,"Best", Table4[[#This Row],[Sales]]&gt;=35000,"Average",Table4[[#This Row],[Sales]]&gt;0,"Poor")</f>
        <v>Poor</v>
      </c>
    </row>
    <row r="398" spans="1:13" x14ac:dyDescent="0.3">
      <c r="A398" s="13">
        <v>397</v>
      </c>
      <c r="B398" s="14">
        <v>45180</v>
      </c>
      <c r="C398" s="15" t="s">
        <v>22</v>
      </c>
      <c r="D398" s="15" t="s">
        <v>22</v>
      </c>
      <c r="E398" s="15" t="s">
        <v>20</v>
      </c>
      <c r="F398" s="15" t="s">
        <v>13</v>
      </c>
      <c r="G398" s="15" t="s">
        <v>34</v>
      </c>
      <c r="H398" s="16">
        <v>18034.93</v>
      </c>
      <c r="I398" s="15">
        <v>1</v>
      </c>
      <c r="J398" s="17">
        <v>2248.6999999999998</v>
      </c>
      <c r="K398" s="20" t="str">
        <f>IF(Table4[[#This Row],[Sales]]&gt;=40000,"BEST SALE","POOR SALE")</f>
        <v>POOR SALE</v>
      </c>
      <c r="L398" s="30" t="str" cm="1">
        <f t="array" ref="L398">_xlfn.IFS(Table4[[#This Row],[Sales]]&gt;=40000,"Best Sale", Table4[[#This Row],[Sales]]&gt;=20000,"Average Sale",Table4[[#This Row],[Sales]]&gt;0,"Poor Sale")</f>
        <v>Poor Sale</v>
      </c>
      <c r="M398" s="32" t="str" cm="1">
        <f t="array" ref="M398">_xlfn.IFS(Table4[[#This Row],[Sales]]&gt;=40000,"Best", Table4[[#This Row],[Sales]]&gt;=35000,"Average",Table4[[#This Row],[Sales]]&gt;0,"Poor")</f>
        <v>Poor</v>
      </c>
    </row>
    <row r="399" spans="1:13" x14ac:dyDescent="0.3">
      <c r="A399" s="18">
        <v>398</v>
      </c>
      <c r="B399" s="19">
        <v>44941</v>
      </c>
      <c r="C399" s="20" t="s">
        <v>37</v>
      </c>
      <c r="D399" s="20" t="s">
        <v>27</v>
      </c>
      <c r="E399" s="20" t="s">
        <v>12</v>
      </c>
      <c r="F399" s="20" t="s">
        <v>13</v>
      </c>
      <c r="G399" s="20" t="s">
        <v>21</v>
      </c>
      <c r="H399" s="21">
        <v>29008.89</v>
      </c>
      <c r="I399" s="20">
        <v>3</v>
      </c>
      <c r="J399" s="22">
        <v>6564.12</v>
      </c>
      <c r="K399" s="20" t="str">
        <f>IF(Table4[[#This Row],[Sales]]&gt;=40000,"BEST SALE","POOR SALE")</f>
        <v>POOR SALE</v>
      </c>
      <c r="L399" s="30" t="str" cm="1">
        <f t="array" ref="L399">_xlfn.IFS(Table4[[#This Row],[Sales]]&gt;=40000,"Best Sale", Table4[[#This Row],[Sales]]&gt;=20000,"Average Sale",Table4[[#This Row],[Sales]]&gt;0,"Poor Sale")</f>
        <v>Average Sale</v>
      </c>
      <c r="M399" s="32" t="str" cm="1">
        <f t="array" ref="M399">_xlfn.IFS(Table4[[#This Row],[Sales]]&gt;=40000,"Best", Table4[[#This Row],[Sales]]&gt;=35000,"Average",Table4[[#This Row],[Sales]]&gt;0,"Poor")</f>
        <v>Poor</v>
      </c>
    </row>
    <row r="400" spans="1:13" x14ac:dyDescent="0.3">
      <c r="A400" s="13">
        <v>399</v>
      </c>
      <c r="B400" s="14">
        <v>45171</v>
      </c>
      <c r="C400" s="15" t="s">
        <v>22</v>
      </c>
      <c r="D400" s="15" t="s">
        <v>22</v>
      </c>
      <c r="E400" s="15" t="s">
        <v>17</v>
      </c>
      <c r="F400" s="15" t="s">
        <v>13</v>
      </c>
      <c r="G400" s="15" t="s">
        <v>34</v>
      </c>
      <c r="H400" s="16">
        <v>23170.27</v>
      </c>
      <c r="I400" s="15">
        <v>7</v>
      </c>
      <c r="J400" s="17">
        <v>3487.51</v>
      </c>
      <c r="K400" s="20" t="str">
        <f>IF(Table4[[#This Row],[Sales]]&gt;=40000,"BEST SALE","POOR SALE")</f>
        <v>POOR SALE</v>
      </c>
      <c r="L400" s="30" t="str" cm="1">
        <f t="array" ref="L400">_xlfn.IFS(Table4[[#This Row],[Sales]]&gt;=40000,"Best Sale", Table4[[#This Row],[Sales]]&gt;=20000,"Average Sale",Table4[[#This Row],[Sales]]&gt;0,"Poor Sale")</f>
        <v>Average Sale</v>
      </c>
      <c r="M400" s="32" t="str" cm="1">
        <f t="array" ref="M400">_xlfn.IFS(Table4[[#This Row],[Sales]]&gt;=40000,"Best", Table4[[#This Row],[Sales]]&gt;=35000,"Average",Table4[[#This Row],[Sales]]&gt;0,"Poor")</f>
        <v>Poor</v>
      </c>
    </row>
    <row r="401" spans="1:13" x14ac:dyDescent="0.3">
      <c r="A401" s="18">
        <v>400</v>
      </c>
      <c r="B401" s="19">
        <v>45225</v>
      </c>
      <c r="C401" s="20" t="s">
        <v>22</v>
      </c>
      <c r="D401" s="20" t="s">
        <v>22</v>
      </c>
      <c r="E401" s="20" t="s">
        <v>12</v>
      </c>
      <c r="F401" s="20" t="s">
        <v>13</v>
      </c>
      <c r="G401" s="20" t="s">
        <v>14</v>
      </c>
      <c r="H401" s="21">
        <v>17142.79</v>
      </c>
      <c r="I401" s="20">
        <v>5</v>
      </c>
      <c r="J401" s="22">
        <v>4739.3999999999996</v>
      </c>
      <c r="K401" s="20" t="str">
        <f>IF(Table4[[#This Row],[Sales]]&gt;=40000,"BEST SALE","POOR SALE")</f>
        <v>POOR SALE</v>
      </c>
      <c r="L401" s="30" t="str" cm="1">
        <f t="array" ref="L401">_xlfn.IFS(Table4[[#This Row],[Sales]]&gt;=40000,"Best Sale", Table4[[#This Row],[Sales]]&gt;=20000,"Average Sale",Table4[[#This Row],[Sales]]&gt;0,"Poor Sale")</f>
        <v>Poor Sale</v>
      </c>
      <c r="M401" s="32" t="str" cm="1">
        <f t="array" ref="M401">_xlfn.IFS(Table4[[#This Row],[Sales]]&gt;=40000,"Best", Table4[[#This Row],[Sales]]&gt;=35000,"Average",Table4[[#This Row],[Sales]]&gt;0,"Poor")</f>
        <v>Poor</v>
      </c>
    </row>
    <row r="402" spans="1:13" x14ac:dyDescent="0.3">
      <c r="A402" s="13">
        <v>401</v>
      </c>
      <c r="B402" s="14">
        <v>45188</v>
      </c>
      <c r="C402" s="15" t="s">
        <v>22</v>
      </c>
      <c r="D402" s="15" t="s">
        <v>22</v>
      </c>
      <c r="E402" s="15" t="s">
        <v>17</v>
      </c>
      <c r="F402" s="15" t="s">
        <v>13</v>
      </c>
      <c r="G402" s="15" t="s">
        <v>34</v>
      </c>
      <c r="H402" s="16">
        <v>2524.96</v>
      </c>
      <c r="I402" s="15">
        <v>4</v>
      </c>
      <c r="J402" s="17">
        <v>350.09</v>
      </c>
      <c r="K402" s="20" t="str">
        <f>IF(Table4[[#This Row],[Sales]]&gt;=40000,"BEST SALE","POOR SALE")</f>
        <v>POOR SALE</v>
      </c>
      <c r="L402" s="30" t="str" cm="1">
        <f t="array" ref="L402">_xlfn.IFS(Table4[[#This Row],[Sales]]&gt;=40000,"Best Sale", Table4[[#This Row],[Sales]]&gt;=20000,"Average Sale",Table4[[#This Row],[Sales]]&gt;0,"Poor Sale")</f>
        <v>Poor Sale</v>
      </c>
      <c r="M402" s="32" t="str" cm="1">
        <f t="array" ref="M402">_xlfn.IFS(Table4[[#This Row],[Sales]]&gt;=40000,"Best", Table4[[#This Row],[Sales]]&gt;=35000,"Average",Table4[[#This Row],[Sales]]&gt;0,"Poor")</f>
        <v>Poor</v>
      </c>
    </row>
    <row r="403" spans="1:13" x14ac:dyDescent="0.3">
      <c r="A403" s="18">
        <v>402</v>
      </c>
      <c r="B403" s="19">
        <v>45155</v>
      </c>
      <c r="C403" s="20" t="s">
        <v>18</v>
      </c>
      <c r="D403" s="20" t="s">
        <v>19</v>
      </c>
      <c r="E403" s="20" t="s">
        <v>20</v>
      </c>
      <c r="F403" s="20" t="s">
        <v>24</v>
      </c>
      <c r="G403" s="20" t="s">
        <v>28</v>
      </c>
      <c r="H403" s="21">
        <v>42834.37</v>
      </c>
      <c r="I403" s="20">
        <v>4</v>
      </c>
      <c r="J403" s="22">
        <v>4416.7700000000004</v>
      </c>
      <c r="K403" s="20" t="str">
        <f>IF(Table4[[#This Row],[Sales]]&gt;=40000,"BEST SALE","POOR SALE")</f>
        <v>BEST SALE</v>
      </c>
      <c r="L403" s="30" t="str" cm="1">
        <f t="array" ref="L403">_xlfn.IFS(Table4[[#This Row],[Sales]]&gt;=40000,"Best Sale", Table4[[#This Row],[Sales]]&gt;=20000,"Average Sale",Table4[[#This Row],[Sales]]&gt;0,"Poor Sale")</f>
        <v>Best Sale</v>
      </c>
      <c r="M403" s="32" t="str" cm="1">
        <f t="array" ref="M403">_xlfn.IFS(Table4[[#This Row],[Sales]]&gt;=40000,"Best", Table4[[#This Row],[Sales]]&gt;=35000,"Average",Table4[[#This Row],[Sales]]&gt;0,"Poor")</f>
        <v>Best</v>
      </c>
    </row>
    <row r="404" spans="1:13" x14ac:dyDescent="0.3">
      <c r="A404" s="13">
        <v>403</v>
      </c>
      <c r="B404" s="14">
        <v>44974</v>
      </c>
      <c r="C404" s="15" t="s">
        <v>37</v>
      </c>
      <c r="D404" s="15" t="s">
        <v>27</v>
      </c>
      <c r="E404" s="15" t="s">
        <v>20</v>
      </c>
      <c r="F404" s="15" t="s">
        <v>24</v>
      </c>
      <c r="G404" s="15" t="s">
        <v>29</v>
      </c>
      <c r="H404" s="16">
        <v>42841.86</v>
      </c>
      <c r="I404" s="15">
        <v>5</v>
      </c>
      <c r="J404" s="17">
        <v>9517.9500000000007</v>
      </c>
      <c r="K404" s="20" t="str">
        <f>IF(Table4[[#This Row],[Sales]]&gt;=40000,"BEST SALE","POOR SALE")</f>
        <v>BEST SALE</v>
      </c>
      <c r="L404" s="30" t="str" cm="1">
        <f t="array" ref="L404">_xlfn.IFS(Table4[[#This Row],[Sales]]&gt;=40000,"Best Sale", Table4[[#This Row],[Sales]]&gt;=20000,"Average Sale",Table4[[#This Row],[Sales]]&gt;0,"Poor Sale")</f>
        <v>Best Sale</v>
      </c>
      <c r="M404" s="32" t="str" cm="1">
        <f t="array" ref="M404">_xlfn.IFS(Table4[[#This Row],[Sales]]&gt;=40000,"Best", Table4[[#This Row],[Sales]]&gt;=35000,"Average",Table4[[#This Row],[Sales]]&gt;0,"Poor")</f>
        <v>Best</v>
      </c>
    </row>
    <row r="405" spans="1:13" x14ac:dyDescent="0.3">
      <c r="A405" s="18">
        <v>404</v>
      </c>
      <c r="B405" s="19">
        <v>45135</v>
      </c>
      <c r="C405" s="20" t="s">
        <v>37</v>
      </c>
      <c r="D405" s="20" t="s">
        <v>27</v>
      </c>
      <c r="E405" s="20" t="s">
        <v>12</v>
      </c>
      <c r="F405" s="20" t="s">
        <v>13</v>
      </c>
      <c r="G405" s="20" t="s">
        <v>34</v>
      </c>
      <c r="H405" s="21">
        <v>11685.69</v>
      </c>
      <c r="I405" s="20">
        <v>7</v>
      </c>
      <c r="J405" s="22">
        <v>1915.68</v>
      </c>
      <c r="K405" s="20" t="str">
        <f>IF(Table4[[#This Row],[Sales]]&gt;=40000,"BEST SALE","POOR SALE")</f>
        <v>POOR SALE</v>
      </c>
      <c r="L405" s="30" t="str" cm="1">
        <f t="array" ref="L405">_xlfn.IFS(Table4[[#This Row],[Sales]]&gt;=40000,"Best Sale", Table4[[#This Row],[Sales]]&gt;=20000,"Average Sale",Table4[[#This Row],[Sales]]&gt;0,"Poor Sale")</f>
        <v>Poor Sale</v>
      </c>
      <c r="M405" s="32" t="str" cm="1">
        <f t="array" ref="M405">_xlfn.IFS(Table4[[#This Row],[Sales]]&gt;=40000,"Best", Table4[[#This Row],[Sales]]&gt;=35000,"Average",Table4[[#This Row],[Sales]]&gt;0,"Poor")</f>
        <v>Poor</v>
      </c>
    </row>
    <row r="406" spans="1:13" x14ac:dyDescent="0.3">
      <c r="A406" s="13">
        <v>405</v>
      </c>
      <c r="B406" s="14">
        <v>45181</v>
      </c>
      <c r="C406" s="15" t="s">
        <v>18</v>
      </c>
      <c r="D406" s="15" t="s">
        <v>19</v>
      </c>
      <c r="E406" s="15" t="s">
        <v>17</v>
      </c>
      <c r="F406" s="15" t="s">
        <v>24</v>
      </c>
      <c r="G406" s="15" t="s">
        <v>25</v>
      </c>
      <c r="H406" s="16">
        <v>19564.080000000002</v>
      </c>
      <c r="I406" s="15">
        <v>4</v>
      </c>
      <c r="J406" s="17">
        <v>5174.68</v>
      </c>
      <c r="K406" s="20" t="str">
        <f>IF(Table4[[#This Row],[Sales]]&gt;=40000,"BEST SALE","POOR SALE")</f>
        <v>POOR SALE</v>
      </c>
      <c r="L406" s="30" t="str" cm="1">
        <f t="array" ref="L406">_xlfn.IFS(Table4[[#This Row],[Sales]]&gt;=40000,"Best Sale", Table4[[#This Row],[Sales]]&gt;=20000,"Average Sale",Table4[[#This Row],[Sales]]&gt;0,"Poor Sale")</f>
        <v>Poor Sale</v>
      </c>
      <c r="M406" s="32" t="str" cm="1">
        <f t="array" ref="M406">_xlfn.IFS(Table4[[#This Row],[Sales]]&gt;=40000,"Best", Table4[[#This Row],[Sales]]&gt;=35000,"Average",Table4[[#This Row],[Sales]]&gt;0,"Poor")</f>
        <v>Poor</v>
      </c>
    </row>
    <row r="407" spans="1:13" x14ac:dyDescent="0.3">
      <c r="A407" s="18">
        <v>406</v>
      </c>
      <c r="B407" s="19">
        <v>45190</v>
      </c>
      <c r="C407" s="20" t="s">
        <v>30</v>
      </c>
      <c r="D407" s="20" t="s">
        <v>16</v>
      </c>
      <c r="E407" s="20" t="s">
        <v>12</v>
      </c>
      <c r="F407" s="20" t="s">
        <v>13</v>
      </c>
      <c r="G407" s="20" t="s">
        <v>34</v>
      </c>
      <c r="H407" s="21">
        <v>19188.95</v>
      </c>
      <c r="I407" s="20">
        <v>8</v>
      </c>
      <c r="J407" s="22">
        <v>4252.95</v>
      </c>
      <c r="K407" s="20" t="str">
        <f>IF(Table4[[#This Row],[Sales]]&gt;=40000,"BEST SALE","POOR SALE")</f>
        <v>POOR SALE</v>
      </c>
      <c r="L407" s="30" t="str" cm="1">
        <f t="array" ref="L407">_xlfn.IFS(Table4[[#This Row],[Sales]]&gt;=40000,"Best Sale", Table4[[#This Row],[Sales]]&gt;=20000,"Average Sale",Table4[[#This Row],[Sales]]&gt;0,"Poor Sale")</f>
        <v>Poor Sale</v>
      </c>
      <c r="M407" s="32" t="str" cm="1">
        <f t="array" ref="M407">_xlfn.IFS(Table4[[#This Row],[Sales]]&gt;=40000,"Best", Table4[[#This Row],[Sales]]&gt;=35000,"Average",Table4[[#This Row],[Sales]]&gt;0,"Poor")</f>
        <v>Poor</v>
      </c>
    </row>
    <row r="408" spans="1:13" x14ac:dyDescent="0.3">
      <c r="A408" s="13">
        <v>407</v>
      </c>
      <c r="B408" s="14">
        <v>45030</v>
      </c>
      <c r="C408" s="15" t="s">
        <v>35</v>
      </c>
      <c r="D408" s="15" t="s">
        <v>36</v>
      </c>
      <c r="E408" s="15" t="s">
        <v>17</v>
      </c>
      <c r="F408" s="15" t="s">
        <v>13</v>
      </c>
      <c r="G408" s="15" t="s">
        <v>14</v>
      </c>
      <c r="H408" s="16">
        <v>48474.84</v>
      </c>
      <c r="I408" s="15">
        <v>10</v>
      </c>
      <c r="J408" s="17">
        <v>4164.55</v>
      </c>
      <c r="K408" s="20" t="str">
        <f>IF(Table4[[#This Row],[Sales]]&gt;=40000,"BEST SALE","POOR SALE")</f>
        <v>BEST SALE</v>
      </c>
      <c r="L408" s="30" t="str" cm="1">
        <f t="array" ref="L408">_xlfn.IFS(Table4[[#This Row],[Sales]]&gt;=40000,"Best Sale", Table4[[#This Row],[Sales]]&gt;=20000,"Average Sale",Table4[[#This Row],[Sales]]&gt;0,"Poor Sale")</f>
        <v>Best Sale</v>
      </c>
      <c r="M408" s="32" t="str" cm="1">
        <f t="array" ref="M408">_xlfn.IFS(Table4[[#This Row],[Sales]]&gt;=40000,"Best", Table4[[#This Row],[Sales]]&gt;=35000,"Average",Table4[[#This Row],[Sales]]&gt;0,"Poor")</f>
        <v>Best</v>
      </c>
    </row>
    <row r="409" spans="1:13" x14ac:dyDescent="0.3">
      <c r="A409" s="18">
        <v>408</v>
      </c>
      <c r="B409" s="19">
        <v>44933</v>
      </c>
      <c r="C409" s="20" t="s">
        <v>35</v>
      </c>
      <c r="D409" s="20" t="s">
        <v>36</v>
      </c>
      <c r="E409" s="20" t="s">
        <v>20</v>
      </c>
      <c r="F409" s="20" t="s">
        <v>13</v>
      </c>
      <c r="G409" s="20" t="s">
        <v>21</v>
      </c>
      <c r="H409" s="21">
        <v>36147.51</v>
      </c>
      <c r="I409" s="20">
        <v>8</v>
      </c>
      <c r="J409" s="22">
        <v>7327.76</v>
      </c>
      <c r="K409" s="20" t="str">
        <f>IF(Table4[[#This Row],[Sales]]&gt;=40000,"BEST SALE","POOR SALE")</f>
        <v>POOR SALE</v>
      </c>
      <c r="L409" s="30" t="str" cm="1">
        <f t="array" ref="L409">_xlfn.IFS(Table4[[#This Row],[Sales]]&gt;=40000,"Best Sale", Table4[[#This Row],[Sales]]&gt;=20000,"Average Sale",Table4[[#This Row],[Sales]]&gt;0,"Poor Sale")</f>
        <v>Average Sale</v>
      </c>
      <c r="M409" s="32" t="str" cm="1">
        <f t="array" ref="M409">_xlfn.IFS(Table4[[#This Row],[Sales]]&gt;=40000,"Best", Table4[[#This Row],[Sales]]&gt;=35000,"Average",Table4[[#This Row],[Sales]]&gt;0,"Poor")</f>
        <v>Average</v>
      </c>
    </row>
    <row r="410" spans="1:13" x14ac:dyDescent="0.3">
      <c r="A410" s="13">
        <v>409</v>
      </c>
      <c r="B410" s="14">
        <v>45154</v>
      </c>
      <c r="C410" s="15" t="s">
        <v>15</v>
      </c>
      <c r="D410" s="15" t="s">
        <v>16</v>
      </c>
      <c r="E410" s="15" t="s">
        <v>20</v>
      </c>
      <c r="F410" s="15" t="s">
        <v>13</v>
      </c>
      <c r="G410" s="15" t="s">
        <v>21</v>
      </c>
      <c r="H410" s="16">
        <v>15852.65</v>
      </c>
      <c r="I410" s="15">
        <v>5</v>
      </c>
      <c r="J410" s="17">
        <v>1225.72</v>
      </c>
      <c r="K410" s="20" t="str">
        <f>IF(Table4[[#This Row],[Sales]]&gt;=40000,"BEST SALE","POOR SALE")</f>
        <v>POOR SALE</v>
      </c>
      <c r="L410" s="30" t="str" cm="1">
        <f t="array" ref="L410">_xlfn.IFS(Table4[[#This Row],[Sales]]&gt;=40000,"Best Sale", Table4[[#This Row],[Sales]]&gt;=20000,"Average Sale",Table4[[#This Row],[Sales]]&gt;0,"Poor Sale")</f>
        <v>Poor Sale</v>
      </c>
      <c r="M410" s="32" t="str" cm="1">
        <f t="array" ref="M410">_xlfn.IFS(Table4[[#This Row],[Sales]]&gt;=40000,"Best", Table4[[#This Row],[Sales]]&gt;=35000,"Average",Table4[[#This Row],[Sales]]&gt;0,"Poor")</f>
        <v>Poor</v>
      </c>
    </row>
    <row r="411" spans="1:13" x14ac:dyDescent="0.3">
      <c r="A411" s="18">
        <v>410</v>
      </c>
      <c r="B411" s="19">
        <v>45231</v>
      </c>
      <c r="C411" s="20" t="s">
        <v>26</v>
      </c>
      <c r="D411" s="20" t="s">
        <v>27</v>
      </c>
      <c r="E411" s="20" t="s">
        <v>12</v>
      </c>
      <c r="F411" s="20" t="s">
        <v>31</v>
      </c>
      <c r="G411" s="20" t="s">
        <v>32</v>
      </c>
      <c r="H411" s="21">
        <v>39386.74</v>
      </c>
      <c r="I411" s="20">
        <v>8</v>
      </c>
      <c r="J411" s="22">
        <v>5212.04</v>
      </c>
      <c r="K411" s="20" t="str">
        <f>IF(Table4[[#This Row],[Sales]]&gt;=40000,"BEST SALE","POOR SALE")</f>
        <v>POOR SALE</v>
      </c>
      <c r="L411" s="30" t="str" cm="1">
        <f t="array" ref="L411">_xlfn.IFS(Table4[[#This Row],[Sales]]&gt;=40000,"Best Sale", Table4[[#This Row],[Sales]]&gt;=20000,"Average Sale",Table4[[#This Row],[Sales]]&gt;0,"Poor Sale")</f>
        <v>Average Sale</v>
      </c>
      <c r="M411" s="32" t="str" cm="1">
        <f t="array" ref="M411">_xlfn.IFS(Table4[[#This Row],[Sales]]&gt;=40000,"Best", Table4[[#This Row],[Sales]]&gt;=35000,"Average",Table4[[#This Row],[Sales]]&gt;0,"Poor")</f>
        <v>Average</v>
      </c>
    </row>
    <row r="412" spans="1:13" x14ac:dyDescent="0.3">
      <c r="A412" s="13">
        <v>411</v>
      </c>
      <c r="B412" s="14">
        <v>45234</v>
      </c>
      <c r="C412" s="15" t="s">
        <v>35</v>
      </c>
      <c r="D412" s="15" t="s">
        <v>36</v>
      </c>
      <c r="E412" s="15" t="s">
        <v>17</v>
      </c>
      <c r="F412" s="15" t="s">
        <v>31</v>
      </c>
      <c r="G412" s="15" t="s">
        <v>33</v>
      </c>
      <c r="H412" s="16">
        <v>1072.04</v>
      </c>
      <c r="I412" s="15">
        <v>1</v>
      </c>
      <c r="J412" s="17">
        <v>258.16000000000003</v>
      </c>
      <c r="K412" s="20" t="str">
        <f>IF(Table4[[#This Row],[Sales]]&gt;=40000,"BEST SALE","POOR SALE")</f>
        <v>POOR SALE</v>
      </c>
      <c r="L412" s="30" t="str" cm="1">
        <f t="array" ref="L412">_xlfn.IFS(Table4[[#This Row],[Sales]]&gt;=40000,"Best Sale", Table4[[#This Row],[Sales]]&gt;=20000,"Average Sale",Table4[[#This Row],[Sales]]&gt;0,"Poor Sale")</f>
        <v>Poor Sale</v>
      </c>
      <c r="M412" s="32" t="str" cm="1">
        <f t="array" ref="M412">_xlfn.IFS(Table4[[#This Row],[Sales]]&gt;=40000,"Best", Table4[[#This Row],[Sales]]&gt;=35000,"Average",Table4[[#This Row],[Sales]]&gt;0,"Poor")</f>
        <v>Poor</v>
      </c>
    </row>
    <row r="413" spans="1:13" x14ac:dyDescent="0.3">
      <c r="A413" s="18">
        <v>412</v>
      </c>
      <c r="B413" s="19">
        <v>45107</v>
      </c>
      <c r="C413" s="20" t="s">
        <v>30</v>
      </c>
      <c r="D413" s="20" t="s">
        <v>16</v>
      </c>
      <c r="E413" s="20" t="s">
        <v>12</v>
      </c>
      <c r="F413" s="20" t="s">
        <v>13</v>
      </c>
      <c r="G413" s="20" t="s">
        <v>21</v>
      </c>
      <c r="H413" s="21">
        <v>34096.050000000003</v>
      </c>
      <c r="I413" s="20">
        <v>5</v>
      </c>
      <c r="J413" s="22">
        <v>8352.9</v>
      </c>
      <c r="K413" s="20" t="str">
        <f>IF(Table4[[#This Row],[Sales]]&gt;=40000,"BEST SALE","POOR SALE")</f>
        <v>POOR SALE</v>
      </c>
      <c r="L413" s="30" t="str" cm="1">
        <f t="array" ref="L413">_xlfn.IFS(Table4[[#This Row],[Sales]]&gt;=40000,"Best Sale", Table4[[#This Row],[Sales]]&gt;=20000,"Average Sale",Table4[[#This Row],[Sales]]&gt;0,"Poor Sale")</f>
        <v>Average Sale</v>
      </c>
      <c r="M413" s="32" t="str" cm="1">
        <f t="array" ref="M413">_xlfn.IFS(Table4[[#This Row],[Sales]]&gt;=40000,"Best", Table4[[#This Row],[Sales]]&gt;=35000,"Average",Table4[[#This Row],[Sales]]&gt;0,"Poor")</f>
        <v>Poor</v>
      </c>
    </row>
    <row r="414" spans="1:13" x14ac:dyDescent="0.3">
      <c r="A414" s="13">
        <v>413</v>
      </c>
      <c r="B414" s="14">
        <v>44985</v>
      </c>
      <c r="C414" s="15" t="s">
        <v>38</v>
      </c>
      <c r="D414" s="15" t="s">
        <v>27</v>
      </c>
      <c r="E414" s="15" t="s">
        <v>17</v>
      </c>
      <c r="F414" s="15" t="s">
        <v>24</v>
      </c>
      <c r="G414" s="15" t="s">
        <v>29</v>
      </c>
      <c r="H414" s="16">
        <v>21431.4</v>
      </c>
      <c r="I414" s="15">
        <v>6</v>
      </c>
      <c r="J414" s="17">
        <v>3110.02</v>
      </c>
      <c r="K414" s="20" t="str">
        <f>IF(Table4[[#This Row],[Sales]]&gt;=40000,"BEST SALE","POOR SALE")</f>
        <v>POOR SALE</v>
      </c>
      <c r="L414" s="30" t="str" cm="1">
        <f t="array" ref="L414">_xlfn.IFS(Table4[[#This Row],[Sales]]&gt;=40000,"Best Sale", Table4[[#This Row],[Sales]]&gt;=20000,"Average Sale",Table4[[#This Row],[Sales]]&gt;0,"Poor Sale")</f>
        <v>Average Sale</v>
      </c>
      <c r="M414" s="32" t="str" cm="1">
        <f t="array" ref="M414">_xlfn.IFS(Table4[[#This Row],[Sales]]&gt;=40000,"Best", Table4[[#This Row],[Sales]]&gt;=35000,"Average",Table4[[#This Row],[Sales]]&gt;0,"Poor")</f>
        <v>Poor</v>
      </c>
    </row>
    <row r="415" spans="1:13" x14ac:dyDescent="0.3">
      <c r="A415" s="18">
        <v>414</v>
      </c>
      <c r="B415" s="19">
        <v>45197</v>
      </c>
      <c r="C415" s="20" t="s">
        <v>22</v>
      </c>
      <c r="D415" s="20" t="s">
        <v>22</v>
      </c>
      <c r="E415" s="20" t="s">
        <v>20</v>
      </c>
      <c r="F415" s="20" t="s">
        <v>31</v>
      </c>
      <c r="G415" s="20" t="s">
        <v>33</v>
      </c>
      <c r="H415" s="21">
        <v>49809.53</v>
      </c>
      <c r="I415" s="20">
        <v>10</v>
      </c>
      <c r="J415" s="22">
        <v>12615.9</v>
      </c>
      <c r="K415" s="20" t="str">
        <f>IF(Table4[[#This Row],[Sales]]&gt;=40000,"BEST SALE","POOR SALE")</f>
        <v>BEST SALE</v>
      </c>
      <c r="L415" s="30" t="str" cm="1">
        <f t="array" ref="L415">_xlfn.IFS(Table4[[#This Row],[Sales]]&gt;=40000,"Best Sale", Table4[[#This Row],[Sales]]&gt;=20000,"Average Sale",Table4[[#This Row],[Sales]]&gt;0,"Poor Sale")</f>
        <v>Best Sale</v>
      </c>
      <c r="M415" s="32" t="str" cm="1">
        <f t="array" ref="M415">_xlfn.IFS(Table4[[#This Row],[Sales]]&gt;=40000,"Best", Table4[[#This Row],[Sales]]&gt;=35000,"Average",Table4[[#This Row],[Sales]]&gt;0,"Poor")</f>
        <v>Best</v>
      </c>
    </row>
    <row r="416" spans="1:13" x14ac:dyDescent="0.3">
      <c r="A416" s="13">
        <v>415</v>
      </c>
      <c r="B416" s="14">
        <v>45168</v>
      </c>
      <c r="C416" s="15" t="s">
        <v>10</v>
      </c>
      <c r="D416" s="15" t="s">
        <v>11</v>
      </c>
      <c r="E416" s="15" t="s">
        <v>20</v>
      </c>
      <c r="F416" s="15" t="s">
        <v>13</v>
      </c>
      <c r="G416" s="15" t="s">
        <v>21</v>
      </c>
      <c r="H416" s="16">
        <v>37457.269999999997</v>
      </c>
      <c r="I416" s="15">
        <v>2</v>
      </c>
      <c r="J416" s="17">
        <v>2038.02</v>
      </c>
      <c r="K416" s="20" t="str">
        <f>IF(Table4[[#This Row],[Sales]]&gt;=40000,"BEST SALE","POOR SALE")</f>
        <v>POOR SALE</v>
      </c>
      <c r="L416" s="30" t="str" cm="1">
        <f t="array" ref="L416">_xlfn.IFS(Table4[[#This Row],[Sales]]&gt;=40000,"Best Sale", Table4[[#This Row],[Sales]]&gt;=20000,"Average Sale",Table4[[#This Row],[Sales]]&gt;0,"Poor Sale")</f>
        <v>Average Sale</v>
      </c>
      <c r="M416" s="32" t="str" cm="1">
        <f t="array" ref="M416">_xlfn.IFS(Table4[[#This Row],[Sales]]&gt;=40000,"Best", Table4[[#This Row],[Sales]]&gt;=35000,"Average",Table4[[#This Row],[Sales]]&gt;0,"Poor")</f>
        <v>Average</v>
      </c>
    </row>
    <row r="417" spans="1:13" x14ac:dyDescent="0.3">
      <c r="A417" s="18">
        <v>416</v>
      </c>
      <c r="B417" s="19">
        <v>45265</v>
      </c>
      <c r="C417" s="20" t="s">
        <v>18</v>
      </c>
      <c r="D417" s="20" t="s">
        <v>19</v>
      </c>
      <c r="E417" s="20" t="s">
        <v>12</v>
      </c>
      <c r="F417" s="20" t="s">
        <v>24</v>
      </c>
      <c r="G417" s="20" t="s">
        <v>25</v>
      </c>
      <c r="H417" s="21">
        <v>9482.2900000000009</v>
      </c>
      <c r="I417" s="20">
        <v>8</v>
      </c>
      <c r="J417" s="22">
        <v>1193.25</v>
      </c>
      <c r="K417" s="20" t="str">
        <f>IF(Table4[[#This Row],[Sales]]&gt;=40000,"BEST SALE","POOR SALE")</f>
        <v>POOR SALE</v>
      </c>
      <c r="L417" s="30" t="str" cm="1">
        <f t="array" ref="L417">_xlfn.IFS(Table4[[#This Row],[Sales]]&gt;=40000,"Best Sale", Table4[[#This Row],[Sales]]&gt;=20000,"Average Sale",Table4[[#This Row],[Sales]]&gt;0,"Poor Sale")</f>
        <v>Poor Sale</v>
      </c>
      <c r="M417" s="32" t="str" cm="1">
        <f t="array" ref="M417">_xlfn.IFS(Table4[[#This Row],[Sales]]&gt;=40000,"Best", Table4[[#This Row],[Sales]]&gt;=35000,"Average",Table4[[#This Row],[Sales]]&gt;0,"Poor")</f>
        <v>Poor</v>
      </c>
    </row>
    <row r="418" spans="1:13" x14ac:dyDescent="0.3">
      <c r="A418" s="13">
        <v>417</v>
      </c>
      <c r="B418" s="14">
        <v>45099</v>
      </c>
      <c r="C418" s="15" t="s">
        <v>26</v>
      </c>
      <c r="D418" s="15" t="s">
        <v>27</v>
      </c>
      <c r="E418" s="15" t="s">
        <v>17</v>
      </c>
      <c r="F418" s="15" t="s">
        <v>24</v>
      </c>
      <c r="G418" s="15" t="s">
        <v>28</v>
      </c>
      <c r="H418" s="16">
        <v>35623</v>
      </c>
      <c r="I418" s="15">
        <v>7</v>
      </c>
      <c r="J418" s="17">
        <v>6475.03</v>
      </c>
      <c r="K418" s="20" t="str">
        <f>IF(Table4[[#This Row],[Sales]]&gt;=40000,"BEST SALE","POOR SALE")</f>
        <v>POOR SALE</v>
      </c>
      <c r="L418" s="30" t="str" cm="1">
        <f t="array" ref="L418">_xlfn.IFS(Table4[[#This Row],[Sales]]&gt;=40000,"Best Sale", Table4[[#This Row],[Sales]]&gt;=20000,"Average Sale",Table4[[#This Row],[Sales]]&gt;0,"Poor Sale")</f>
        <v>Average Sale</v>
      </c>
      <c r="M418" s="32" t="str" cm="1">
        <f t="array" ref="M418">_xlfn.IFS(Table4[[#This Row],[Sales]]&gt;=40000,"Best", Table4[[#This Row],[Sales]]&gt;=35000,"Average",Table4[[#This Row],[Sales]]&gt;0,"Poor")</f>
        <v>Average</v>
      </c>
    </row>
    <row r="419" spans="1:13" x14ac:dyDescent="0.3">
      <c r="A419" s="18">
        <v>418</v>
      </c>
      <c r="B419" s="19">
        <v>44953</v>
      </c>
      <c r="C419" s="20" t="s">
        <v>22</v>
      </c>
      <c r="D419" s="20" t="s">
        <v>22</v>
      </c>
      <c r="E419" s="20" t="s">
        <v>12</v>
      </c>
      <c r="F419" s="20" t="s">
        <v>31</v>
      </c>
      <c r="G419" s="20" t="s">
        <v>39</v>
      </c>
      <c r="H419" s="21">
        <v>46161.55</v>
      </c>
      <c r="I419" s="20">
        <v>8</v>
      </c>
      <c r="J419" s="22">
        <v>11578.56</v>
      </c>
      <c r="K419" s="20" t="str">
        <f>IF(Table4[[#This Row],[Sales]]&gt;=40000,"BEST SALE","POOR SALE")</f>
        <v>BEST SALE</v>
      </c>
      <c r="L419" s="30" t="str" cm="1">
        <f t="array" ref="L419">_xlfn.IFS(Table4[[#This Row],[Sales]]&gt;=40000,"Best Sale", Table4[[#This Row],[Sales]]&gt;=20000,"Average Sale",Table4[[#This Row],[Sales]]&gt;0,"Poor Sale")</f>
        <v>Best Sale</v>
      </c>
      <c r="M419" s="32" t="str" cm="1">
        <f t="array" ref="M419">_xlfn.IFS(Table4[[#This Row],[Sales]]&gt;=40000,"Best", Table4[[#This Row],[Sales]]&gt;=35000,"Average",Table4[[#This Row],[Sales]]&gt;0,"Poor")</f>
        <v>Best</v>
      </c>
    </row>
    <row r="420" spans="1:13" x14ac:dyDescent="0.3">
      <c r="A420" s="13">
        <v>419</v>
      </c>
      <c r="B420" s="14">
        <v>45039</v>
      </c>
      <c r="C420" s="15" t="s">
        <v>15</v>
      </c>
      <c r="D420" s="15" t="s">
        <v>16</v>
      </c>
      <c r="E420" s="15" t="s">
        <v>17</v>
      </c>
      <c r="F420" s="15" t="s">
        <v>24</v>
      </c>
      <c r="G420" s="15" t="s">
        <v>25</v>
      </c>
      <c r="H420" s="16">
        <v>14247.34</v>
      </c>
      <c r="I420" s="15">
        <v>8</v>
      </c>
      <c r="J420" s="17">
        <v>837.69</v>
      </c>
      <c r="K420" s="20" t="str">
        <f>IF(Table4[[#This Row],[Sales]]&gt;=40000,"BEST SALE","POOR SALE")</f>
        <v>POOR SALE</v>
      </c>
      <c r="L420" s="30" t="str" cm="1">
        <f t="array" ref="L420">_xlfn.IFS(Table4[[#This Row],[Sales]]&gt;=40000,"Best Sale", Table4[[#This Row],[Sales]]&gt;=20000,"Average Sale",Table4[[#This Row],[Sales]]&gt;0,"Poor Sale")</f>
        <v>Poor Sale</v>
      </c>
      <c r="M420" s="32" t="str" cm="1">
        <f t="array" ref="M420">_xlfn.IFS(Table4[[#This Row],[Sales]]&gt;=40000,"Best", Table4[[#This Row],[Sales]]&gt;=35000,"Average",Table4[[#This Row],[Sales]]&gt;0,"Poor")</f>
        <v>Poor</v>
      </c>
    </row>
    <row r="421" spans="1:13" x14ac:dyDescent="0.3">
      <c r="A421" s="18">
        <v>420</v>
      </c>
      <c r="B421" s="19">
        <v>45292</v>
      </c>
      <c r="C421" s="20" t="s">
        <v>22</v>
      </c>
      <c r="D421" s="20" t="s">
        <v>22</v>
      </c>
      <c r="E421" s="20" t="s">
        <v>20</v>
      </c>
      <c r="F421" s="20" t="s">
        <v>31</v>
      </c>
      <c r="G421" s="20" t="s">
        <v>33</v>
      </c>
      <c r="H421" s="21">
        <v>2003.36</v>
      </c>
      <c r="I421" s="20">
        <v>5</v>
      </c>
      <c r="J421" s="22">
        <v>300.98</v>
      </c>
      <c r="K421" s="20" t="str">
        <f>IF(Table4[[#This Row],[Sales]]&gt;=40000,"BEST SALE","POOR SALE")</f>
        <v>POOR SALE</v>
      </c>
      <c r="L421" s="30" t="str" cm="1">
        <f t="array" ref="L421">_xlfn.IFS(Table4[[#This Row],[Sales]]&gt;=40000,"Best Sale", Table4[[#This Row],[Sales]]&gt;=20000,"Average Sale",Table4[[#This Row],[Sales]]&gt;0,"Poor Sale")</f>
        <v>Poor Sale</v>
      </c>
      <c r="M421" s="32" t="str" cm="1">
        <f t="array" ref="M421">_xlfn.IFS(Table4[[#This Row],[Sales]]&gt;=40000,"Best", Table4[[#This Row],[Sales]]&gt;=35000,"Average",Table4[[#This Row],[Sales]]&gt;0,"Poor")</f>
        <v>Poor</v>
      </c>
    </row>
    <row r="422" spans="1:13" x14ac:dyDescent="0.3">
      <c r="A422" s="13">
        <v>421</v>
      </c>
      <c r="B422" s="14">
        <v>45029</v>
      </c>
      <c r="C422" s="15" t="s">
        <v>35</v>
      </c>
      <c r="D422" s="15" t="s">
        <v>36</v>
      </c>
      <c r="E422" s="15" t="s">
        <v>20</v>
      </c>
      <c r="F422" s="15" t="s">
        <v>13</v>
      </c>
      <c r="G422" s="15" t="s">
        <v>14</v>
      </c>
      <c r="H422" s="16">
        <v>25271.97</v>
      </c>
      <c r="I422" s="15">
        <v>5</v>
      </c>
      <c r="J422" s="17">
        <v>7144.62</v>
      </c>
      <c r="K422" s="20" t="str">
        <f>IF(Table4[[#This Row],[Sales]]&gt;=40000,"BEST SALE","POOR SALE")</f>
        <v>POOR SALE</v>
      </c>
      <c r="L422" s="30" t="str" cm="1">
        <f t="array" ref="L422">_xlfn.IFS(Table4[[#This Row],[Sales]]&gt;=40000,"Best Sale", Table4[[#This Row],[Sales]]&gt;=20000,"Average Sale",Table4[[#This Row],[Sales]]&gt;0,"Poor Sale")</f>
        <v>Average Sale</v>
      </c>
      <c r="M422" s="32" t="str" cm="1">
        <f t="array" ref="M422">_xlfn.IFS(Table4[[#This Row],[Sales]]&gt;=40000,"Best", Table4[[#This Row],[Sales]]&gt;=35000,"Average",Table4[[#This Row],[Sales]]&gt;0,"Poor")</f>
        <v>Poor</v>
      </c>
    </row>
    <row r="423" spans="1:13" x14ac:dyDescent="0.3">
      <c r="A423" s="18">
        <v>422</v>
      </c>
      <c r="B423" s="19">
        <v>44987</v>
      </c>
      <c r="C423" s="20" t="s">
        <v>35</v>
      </c>
      <c r="D423" s="20" t="s">
        <v>36</v>
      </c>
      <c r="E423" s="20" t="s">
        <v>12</v>
      </c>
      <c r="F423" s="20" t="s">
        <v>24</v>
      </c>
      <c r="G423" s="20" t="s">
        <v>25</v>
      </c>
      <c r="H423" s="21">
        <v>37101.279999999999</v>
      </c>
      <c r="I423" s="20">
        <v>10</v>
      </c>
      <c r="J423" s="22">
        <v>7469.11</v>
      </c>
      <c r="K423" s="20" t="str">
        <f>IF(Table4[[#This Row],[Sales]]&gt;=40000,"BEST SALE","POOR SALE")</f>
        <v>POOR SALE</v>
      </c>
      <c r="L423" s="30" t="str" cm="1">
        <f t="array" ref="L423">_xlfn.IFS(Table4[[#This Row],[Sales]]&gt;=40000,"Best Sale", Table4[[#This Row],[Sales]]&gt;=20000,"Average Sale",Table4[[#This Row],[Sales]]&gt;0,"Poor Sale")</f>
        <v>Average Sale</v>
      </c>
      <c r="M423" s="32" t="str" cm="1">
        <f t="array" ref="M423">_xlfn.IFS(Table4[[#This Row],[Sales]]&gt;=40000,"Best", Table4[[#This Row],[Sales]]&gt;=35000,"Average",Table4[[#This Row],[Sales]]&gt;0,"Poor")</f>
        <v>Average</v>
      </c>
    </row>
    <row r="424" spans="1:13" x14ac:dyDescent="0.3">
      <c r="A424" s="13">
        <v>423</v>
      </c>
      <c r="B424" s="14">
        <v>44979</v>
      </c>
      <c r="C424" s="15" t="s">
        <v>37</v>
      </c>
      <c r="D424" s="15" t="s">
        <v>27</v>
      </c>
      <c r="E424" s="15" t="s">
        <v>17</v>
      </c>
      <c r="F424" s="15" t="s">
        <v>31</v>
      </c>
      <c r="G424" s="15" t="s">
        <v>33</v>
      </c>
      <c r="H424" s="16">
        <v>42041.48</v>
      </c>
      <c r="I424" s="15">
        <v>3</v>
      </c>
      <c r="J424" s="17">
        <v>3319.44</v>
      </c>
      <c r="K424" s="20" t="str">
        <f>IF(Table4[[#This Row],[Sales]]&gt;=40000,"BEST SALE","POOR SALE")</f>
        <v>BEST SALE</v>
      </c>
      <c r="L424" s="30" t="str" cm="1">
        <f t="array" ref="L424">_xlfn.IFS(Table4[[#This Row],[Sales]]&gt;=40000,"Best Sale", Table4[[#This Row],[Sales]]&gt;=20000,"Average Sale",Table4[[#This Row],[Sales]]&gt;0,"Poor Sale")</f>
        <v>Best Sale</v>
      </c>
      <c r="M424" s="32" t="str" cm="1">
        <f t="array" ref="M424">_xlfn.IFS(Table4[[#This Row],[Sales]]&gt;=40000,"Best", Table4[[#This Row],[Sales]]&gt;=35000,"Average",Table4[[#This Row],[Sales]]&gt;0,"Poor")</f>
        <v>Best</v>
      </c>
    </row>
    <row r="425" spans="1:13" x14ac:dyDescent="0.3">
      <c r="A425" s="18">
        <v>424</v>
      </c>
      <c r="B425" s="19">
        <v>45179</v>
      </c>
      <c r="C425" s="20" t="s">
        <v>18</v>
      </c>
      <c r="D425" s="20" t="s">
        <v>19</v>
      </c>
      <c r="E425" s="20" t="s">
        <v>12</v>
      </c>
      <c r="F425" s="20" t="s">
        <v>24</v>
      </c>
      <c r="G425" s="20" t="s">
        <v>28</v>
      </c>
      <c r="H425" s="21">
        <v>20704.54</v>
      </c>
      <c r="I425" s="20">
        <v>3</v>
      </c>
      <c r="J425" s="22">
        <v>2503.7199999999998</v>
      </c>
      <c r="K425" s="20" t="str">
        <f>IF(Table4[[#This Row],[Sales]]&gt;=40000,"BEST SALE","POOR SALE")</f>
        <v>POOR SALE</v>
      </c>
      <c r="L425" s="30" t="str" cm="1">
        <f t="array" ref="L425">_xlfn.IFS(Table4[[#This Row],[Sales]]&gt;=40000,"Best Sale", Table4[[#This Row],[Sales]]&gt;=20000,"Average Sale",Table4[[#This Row],[Sales]]&gt;0,"Poor Sale")</f>
        <v>Average Sale</v>
      </c>
      <c r="M425" s="32" t="str" cm="1">
        <f t="array" ref="M425">_xlfn.IFS(Table4[[#This Row],[Sales]]&gt;=40000,"Best", Table4[[#This Row],[Sales]]&gt;=35000,"Average",Table4[[#This Row],[Sales]]&gt;0,"Poor")</f>
        <v>Poor</v>
      </c>
    </row>
    <row r="426" spans="1:13" x14ac:dyDescent="0.3">
      <c r="A426" s="13">
        <v>425</v>
      </c>
      <c r="B426" s="14">
        <v>45045</v>
      </c>
      <c r="C426" s="15" t="s">
        <v>30</v>
      </c>
      <c r="D426" s="15" t="s">
        <v>16</v>
      </c>
      <c r="E426" s="15" t="s">
        <v>17</v>
      </c>
      <c r="F426" s="15" t="s">
        <v>24</v>
      </c>
      <c r="G426" s="15" t="s">
        <v>25</v>
      </c>
      <c r="H426" s="16">
        <v>22455.3</v>
      </c>
      <c r="I426" s="15">
        <v>10</v>
      </c>
      <c r="J426" s="17">
        <v>3904.62</v>
      </c>
      <c r="K426" s="20" t="str">
        <f>IF(Table4[[#This Row],[Sales]]&gt;=40000,"BEST SALE","POOR SALE")</f>
        <v>POOR SALE</v>
      </c>
      <c r="L426" s="30" t="str" cm="1">
        <f t="array" ref="L426">_xlfn.IFS(Table4[[#This Row],[Sales]]&gt;=40000,"Best Sale", Table4[[#This Row],[Sales]]&gt;=20000,"Average Sale",Table4[[#This Row],[Sales]]&gt;0,"Poor Sale")</f>
        <v>Average Sale</v>
      </c>
      <c r="M426" s="32" t="str" cm="1">
        <f t="array" ref="M426">_xlfn.IFS(Table4[[#This Row],[Sales]]&gt;=40000,"Best", Table4[[#This Row],[Sales]]&gt;=35000,"Average",Table4[[#This Row],[Sales]]&gt;0,"Poor")</f>
        <v>Poor</v>
      </c>
    </row>
    <row r="427" spans="1:13" x14ac:dyDescent="0.3">
      <c r="A427" s="18">
        <v>426</v>
      </c>
      <c r="B427" s="19">
        <v>44991</v>
      </c>
      <c r="C427" s="20" t="s">
        <v>35</v>
      </c>
      <c r="D427" s="20" t="s">
        <v>36</v>
      </c>
      <c r="E427" s="20" t="s">
        <v>20</v>
      </c>
      <c r="F427" s="20" t="s">
        <v>31</v>
      </c>
      <c r="G427" s="20" t="s">
        <v>33</v>
      </c>
      <c r="H427" s="21">
        <v>6038.12</v>
      </c>
      <c r="I427" s="20">
        <v>3</v>
      </c>
      <c r="J427" s="22">
        <v>525.65</v>
      </c>
      <c r="K427" s="20" t="str">
        <f>IF(Table4[[#This Row],[Sales]]&gt;=40000,"BEST SALE","POOR SALE")</f>
        <v>POOR SALE</v>
      </c>
      <c r="L427" s="30" t="str" cm="1">
        <f t="array" ref="L427">_xlfn.IFS(Table4[[#This Row],[Sales]]&gt;=40000,"Best Sale", Table4[[#This Row],[Sales]]&gt;=20000,"Average Sale",Table4[[#This Row],[Sales]]&gt;0,"Poor Sale")</f>
        <v>Poor Sale</v>
      </c>
      <c r="M427" s="32" t="str" cm="1">
        <f t="array" ref="M427">_xlfn.IFS(Table4[[#This Row],[Sales]]&gt;=40000,"Best", Table4[[#This Row],[Sales]]&gt;=35000,"Average",Table4[[#This Row],[Sales]]&gt;0,"Poor")</f>
        <v>Poor</v>
      </c>
    </row>
    <row r="428" spans="1:13" x14ac:dyDescent="0.3">
      <c r="A428" s="13">
        <v>427</v>
      </c>
      <c r="B428" s="14">
        <v>45058</v>
      </c>
      <c r="C428" s="15" t="s">
        <v>35</v>
      </c>
      <c r="D428" s="15" t="s">
        <v>36</v>
      </c>
      <c r="E428" s="15" t="s">
        <v>20</v>
      </c>
      <c r="F428" s="15" t="s">
        <v>31</v>
      </c>
      <c r="G428" s="15" t="s">
        <v>33</v>
      </c>
      <c r="H428" s="16">
        <v>48326.83</v>
      </c>
      <c r="I428" s="15">
        <v>4</v>
      </c>
      <c r="J428" s="17">
        <v>3436.06</v>
      </c>
      <c r="K428" s="20" t="str">
        <f>IF(Table4[[#This Row],[Sales]]&gt;=40000,"BEST SALE","POOR SALE")</f>
        <v>BEST SALE</v>
      </c>
      <c r="L428" s="30" t="str" cm="1">
        <f t="array" ref="L428">_xlfn.IFS(Table4[[#This Row],[Sales]]&gt;=40000,"Best Sale", Table4[[#This Row],[Sales]]&gt;=20000,"Average Sale",Table4[[#This Row],[Sales]]&gt;0,"Poor Sale")</f>
        <v>Best Sale</v>
      </c>
      <c r="M428" s="32" t="str" cm="1">
        <f t="array" ref="M428">_xlfn.IFS(Table4[[#This Row],[Sales]]&gt;=40000,"Best", Table4[[#This Row],[Sales]]&gt;=35000,"Average",Table4[[#This Row],[Sales]]&gt;0,"Poor")</f>
        <v>Best</v>
      </c>
    </row>
    <row r="429" spans="1:13" x14ac:dyDescent="0.3">
      <c r="A429" s="18">
        <v>428</v>
      </c>
      <c r="B429" s="19">
        <v>45284</v>
      </c>
      <c r="C429" s="20" t="s">
        <v>30</v>
      </c>
      <c r="D429" s="20" t="s">
        <v>16</v>
      </c>
      <c r="E429" s="20" t="s">
        <v>12</v>
      </c>
      <c r="F429" s="20" t="s">
        <v>24</v>
      </c>
      <c r="G429" s="20" t="s">
        <v>25</v>
      </c>
      <c r="H429" s="21">
        <v>9672.61</v>
      </c>
      <c r="I429" s="20">
        <v>2</v>
      </c>
      <c r="J429" s="22">
        <v>984.08</v>
      </c>
      <c r="K429" s="20" t="str">
        <f>IF(Table4[[#This Row],[Sales]]&gt;=40000,"BEST SALE","POOR SALE")</f>
        <v>POOR SALE</v>
      </c>
      <c r="L429" s="30" t="str" cm="1">
        <f t="array" ref="L429">_xlfn.IFS(Table4[[#This Row],[Sales]]&gt;=40000,"Best Sale", Table4[[#This Row],[Sales]]&gt;=20000,"Average Sale",Table4[[#This Row],[Sales]]&gt;0,"Poor Sale")</f>
        <v>Poor Sale</v>
      </c>
      <c r="M429" s="32" t="str" cm="1">
        <f t="array" ref="M429">_xlfn.IFS(Table4[[#This Row],[Sales]]&gt;=40000,"Best", Table4[[#This Row],[Sales]]&gt;=35000,"Average",Table4[[#This Row],[Sales]]&gt;0,"Poor")</f>
        <v>Poor</v>
      </c>
    </row>
    <row r="430" spans="1:13" x14ac:dyDescent="0.3">
      <c r="A430" s="13">
        <v>429</v>
      </c>
      <c r="B430" s="14">
        <v>45247</v>
      </c>
      <c r="C430" s="15" t="s">
        <v>10</v>
      </c>
      <c r="D430" s="15" t="s">
        <v>11</v>
      </c>
      <c r="E430" s="15" t="s">
        <v>17</v>
      </c>
      <c r="F430" s="15" t="s">
        <v>31</v>
      </c>
      <c r="G430" s="15" t="s">
        <v>39</v>
      </c>
      <c r="H430" s="16">
        <v>19904.45</v>
      </c>
      <c r="I430" s="15">
        <v>9</v>
      </c>
      <c r="J430" s="17">
        <v>5096.17</v>
      </c>
      <c r="K430" s="20" t="str">
        <f>IF(Table4[[#This Row],[Sales]]&gt;=40000,"BEST SALE","POOR SALE")</f>
        <v>POOR SALE</v>
      </c>
      <c r="L430" s="30" t="str" cm="1">
        <f t="array" ref="L430">_xlfn.IFS(Table4[[#This Row],[Sales]]&gt;=40000,"Best Sale", Table4[[#This Row],[Sales]]&gt;=20000,"Average Sale",Table4[[#This Row],[Sales]]&gt;0,"Poor Sale")</f>
        <v>Poor Sale</v>
      </c>
      <c r="M430" s="32" t="str" cm="1">
        <f t="array" ref="M430">_xlfn.IFS(Table4[[#This Row],[Sales]]&gt;=40000,"Best", Table4[[#This Row],[Sales]]&gt;=35000,"Average",Table4[[#This Row],[Sales]]&gt;0,"Poor")</f>
        <v>Poor</v>
      </c>
    </row>
    <row r="431" spans="1:13" x14ac:dyDescent="0.3">
      <c r="A431" s="18">
        <v>430</v>
      </c>
      <c r="B431" s="19">
        <v>45076</v>
      </c>
      <c r="C431" s="20" t="s">
        <v>15</v>
      </c>
      <c r="D431" s="20" t="s">
        <v>16</v>
      </c>
      <c r="E431" s="20" t="s">
        <v>12</v>
      </c>
      <c r="F431" s="20" t="s">
        <v>31</v>
      </c>
      <c r="G431" s="20" t="s">
        <v>39</v>
      </c>
      <c r="H431" s="21">
        <v>16944.29</v>
      </c>
      <c r="I431" s="20">
        <v>4</v>
      </c>
      <c r="J431" s="22">
        <v>3322.86</v>
      </c>
      <c r="K431" s="20" t="str">
        <f>IF(Table4[[#This Row],[Sales]]&gt;=40000,"BEST SALE","POOR SALE")</f>
        <v>POOR SALE</v>
      </c>
      <c r="L431" s="30" t="str" cm="1">
        <f t="array" ref="L431">_xlfn.IFS(Table4[[#This Row],[Sales]]&gt;=40000,"Best Sale", Table4[[#This Row],[Sales]]&gt;=20000,"Average Sale",Table4[[#This Row],[Sales]]&gt;0,"Poor Sale")</f>
        <v>Poor Sale</v>
      </c>
      <c r="M431" s="32" t="str" cm="1">
        <f t="array" ref="M431">_xlfn.IFS(Table4[[#This Row],[Sales]]&gt;=40000,"Best", Table4[[#This Row],[Sales]]&gt;=35000,"Average",Table4[[#This Row],[Sales]]&gt;0,"Poor")</f>
        <v>Poor</v>
      </c>
    </row>
    <row r="432" spans="1:13" x14ac:dyDescent="0.3">
      <c r="A432" s="13">
        <v>431</v>
      </c>
      <c r="B432" s="14">
        <v>44987</v>
      </c>
      <c r="C432" s="15" t="s">
        <v>26</v>
      </c>
      <c r="D432" s="15" t="s">
        <v>27</v>
      </c>
      <c r="E432" s="15" t="s">
        <v>17</v>
      </c>
      <c r="F432" s="15" t="s">
        <v>31</v>
      </c>
      <c r="G432" s="15" t="s">
        <v>33</v>
      </c>
      <c r="H432" s="16">
        <v>26079.08</v>
      </c>
      <c r="I432" s="15">
        <v>4</v>
      </c>
      <c r="J432" s="17">
        <v>4882.3900000000003</v>
      </c>
      <c r="K432" s="20" t="str">
        <f>IF(Table4[[#This Row],[Sales]]&gt;=40000,"BEST SALE","POOR SALE")</f>
        <v>POOR SALE</v>
      </c>
      <c r="L432" s="30" t="str" cm="1">
        <f t="array" ref="L432">_xlfn.IFS(Table4[[#This Row],[Sales]]&gt;=40000,"Best Sale", Table4[[#This Row],[Sales]]&gt;=20000,"Average Sale",Table4[[#This Row],[Sales]]&gt;0,"Poor Sale")</f>
        <v>Average Sale</v>
      </c>
      <c r="M432" s="32" t="str" cm="1">
        <f t="array" ref="M432">_xlfn.IFS(Table4[[#This Row],[Sales]]&gt;=40000,"Best", Table4[[#This Row],[Sales]]&gt;=35000,"Average",Table4[[#This Row],[Sales]]&gt;0,"Poor")</f>
        <v>Poor</v>
      </c>
    </row>
    <row r="433" spans="1:13" x14ac:dyDescent="0.3">
      <c r="A433" s="18">
        <v>432</v>
      </c>
      <c r="B433" s="19">
        <v>45119</v>
      </c>
      <c r="C433" s="20" t="s">
        <v>38</v>
      </c>
      <c r="D433" s="20" t="s">
        <v>27</v>
      </c>
      <c r="E433" s="20" t="s">
        <v>20</v>
      </c>
      <c r="F433" s="20" t="s">
        <v>13</v>
      </c>
      <c r="G433" s="20" t="s">
        <v>21</v>
      </c>
      <c r="H433" s="21">
        <v>7671.29</v>
      </c>
      <c r="I433" s="20">
        <v>2</v>
      </c>
      <c r="J433" s="22">
        <v>1004.67</v>
      </c>
      <c r="K433" s="20" t="str">
        <f>IF(Table4[[#This Row],[Sales]]&gt;=40000,"BEST SALE","POOR SALE")</f>
        <v>POOR SALE</v>
      </c>
      <c r="L433" s="30" t="str" cm="1">
        <f t="array" ref="L433">_xlfn.IFS(Table4[[#This Row],[Sales]]&gt;=40000,"Best Sale", Table4[[#This Row],[Sales]]&gt;=20000,"Average Sale",Table4[[#This Row],[Sales]]&gt;0,"Poor Sale")</f>
        <v>Poor Sale</v>
      </c>
      <c r="M433" s="32" t="str" cm="1">
        <f t="array" ref="M433">_xlfn.IFS(Table4[[#This Row],[Sales]]&gt;=40000,"Best", Table4[[#This Row],[Sales]]&gt;=35000,"Average",Table4[[#This Row],[Sales]]&gt;0,"Poor")</f>
        <v>Poor</v>
      </c>
    </row>
    <row r="434" spans="1:13" x14ac:dyDescent="0.3">
      <c r="A434" s="13">
        <v>433</v>
      </c>
      <c r="B434" s="14">
        <v>45015</v>
      </c>
      <c r="C434" s="15" t="s">
        <v>38</v>
      </c>
      <c r="D434" s="15" t="s">
        <v>27</v>
      </c>
      <c r="E434" s="15" t="s">
        <v>20</v>
      </c>
      <c r="F434" s="15" t="s">
        <v>13</v>
      </c>
      <c r="G434" s="15" t="s">
        <v>34</v>
      </c>
      <c r="H434" s="16">
        <v>1166.95</v>
      </c>
      <c r="I434" s="15">
        <v>8</v>
      </c>
      <c r="J434" s="17">
        <v>238.76</v>
      </c>
      <c r="K434" s="20" t="str">
        <f>IF(Table4[[#This Row],[Sales]]&gt;=40000,"BEST SALE","POOR SALE")</f>
        <v>POOR SALE</v>
      </c>
      <c r="L434" s="30" t="str" cm="1">
        <f t="array" ref="L434">_xlfn.IFS(Table4[[#This Row],[Sales]]&gt;=40000,"Best Sale", Table4[[#This Row],[Sales]]&gt;=20000,"Average Sale",Table4[[#This Row],[Sales]]&gt;0,"Poor Sale")</f>
        <v>Poor Sale</v>
      </c>
      <c r="M434" s="32" t="str" cm="1">
        <f t="array" ref="M434">_xlfn.IFS(Table4[[#This Row],[Sales]]&gt;=40000,"Best", Table4[[#This Row],[Sales]]&gt;=35000,"Average",Table4[[#This Row],[Sales]]&gt;0,"Poor")</f>
        <v>Poor</v>
      </c>
    </row>
    <row r="435" spans="1:13" x14ac:dyDescent="0.3">
      <c r="A435" s="18">
        <v>434</v>
      </c>
      <c r="B435" s="19">
        <v>45026</v>
      </c>
      <c r="C435" s="20" t="s">
        <v>10</v>
      </c>
      <c r="D435" s="20" t="s">
        <v>11</v>
      </c>
      <c r="E435" s="20" t="s">
        <v>12</v>
      </c>
      <c r="F435" s="20" t="s">
        <v>24</v>
      </c>
      <c r="G435" s="20" t="s">
        <v>29</v>
      </c>
      <c r="H435" s="21">
        <v>35047.11</v>
      </c>
      <c r="I435" s="20">
        <v>5</v>
      </c>
      <c r="J435" s="22">
        <v>8499.74</v>
      </c>
      <c r="K435" s="20" t="str">
        <f>IF(Table4[[#This Row],[Sales]]&gt;=40000,"BEST SALE","POOR SALE")</f>
        <v>POOR SALE</v>
      </c>
      <c r="L435" s="30" t="str" cm="1">
        <f t="array" ref="L435">_xlfn.IFS(Table4[[#This Row],[Sales]]&gt;=40000,"Best Sale", Table4[[#This Row],[Sales]]&gt;=20000,"Average Sale",Table4[[#This Row],[Sales]]&gt;0,"Poor Sale")</f>
        <v>Average Sale</v>
      </c>
      <c r="M435" s="32" t="str" cm="1">
        <f t="array" ref="M435">_xlfn.IFS(Table4[[#This Row],[Sales]]&gt;=40000,"Best", Table4[[#This Row],[Sales]]&gt;=35000,"Average",Table4[[#This Row],[Sales]]&gt;0,"Poor")</f>
        <v>Average</v>
      </c>
    </row>
    <row r="436" spans="1:13" x14ac:dyDescent="0.3">
      <c r="A436" s="13">
        <v>435</v>
      </c>
      <c r="B436" s="14">
        <v>45076</v>
      </c>
      <c r="C436" s="15" t="s">
        <v>30</v>
      </c>
      <c r="D436" s="15" t="s">
        <v>16</v>
      </c>
      <c r="E436" s="15" t="s">
        <v>17</v>
      </c>
      <c r="F436" s="15" t="s">
        <v>24</v>
      </c>
      <c r="G436" s="15" t="s">
        <v>25</v>
      </c>
      <c r="H436" s="16">
        <v>40670.42</v>
      </c>
      <c r="I436" s="15">
        <v>2</v>
      </c>
      <c r="J436" s="17">
        <v>2326.37</v>
      </c>
      <c r="K436" s="20" t="str">
        <f>IF(Table4[[#This Row],[Sales]]&gt;=40000,"BEST SALE","POOR SALE")</f>
        <v>BEST SALE</v>
      </c>
      <c r="L436" s="30" t="str" cm="1">
        <f t="array" ref="L436">_xlfn.IFS(Table4[[#This Row],[Sales]]&gt;=40000,"Best Sale", Table4[[#This Row],[Sales]]&gt;=20000,"Average Sale",Table4[[#This Row],[Sales]]&gt;0,"Poor Sale")</f>
        <v>Best Sale</v>
      </c>
      <c r="M436" s="32" t="str" cm="1">
        <f t="array" ref="M436">_xlfn.IFS(Table4[[#This Row],[Sales]]&gt;=40000,"Best", Table4[[#This Row],[Sales]]&gt;=35000,"Average",Table4[[#This Row],[Sales]]&gt;0,"Poor")</f>
        <v>Best</v>
      </c>
    </row>
    <row r="437" spans="1:13" x14ac:dyDescent="0.3">
      <c r="A437" s="18">
        <v>436</v>
      </c>
      <c r="B437" s="19">
        <v>45269</v>
      </c>
      <c r="C437" s="20" t="s">
        <v>22</v>
      </c>
      <c r="D437" s="20" t="s">
        <v>22</v>
      </c>
      <c r="E437" s="20" t="s">
        <v>12</v>
      </c>
      <c r="F437" s="20" t="s">
        <v>24</v>
      </c>
      <c r="G437" s="20" t="s">
        <v>29</v>
      </c>
      <c r="H437" s="21">
        <v>24434.99</v>
      </c>
      <c r="I437" s="20">
        <v>6</v>
      </c>
      <c r="J437" s="22">
        <v>4352.29</v>
      </c>
      <c r="K437" s="20" t="str">
        <f>IF(Table4[[#This Row],[Sales]]&gt;=40000,"BEST SALE","POOR SALE")</f>
        <v>POOR SALE</v>
      </c>
      <c r="L437" s="30" t="str" cm="1">
        <f t="array" ref="L437">_xlfn.IFS(Table4[[#This Row],[Sales]]&gt;=40000,"Best Sale", Table4[[#This Row],[Sales]]&gt;=20000,"Average Sale",Table4[[#This Row],[Sales]]&gt;0,"Poor Sale")</f>
        <v>Average Sale</v>
      </c>
      <c r="M437" s="32" t="str" cm="1">
        <f t="array" ref="M437">_xlfn.IFS(Table4[[#This Row],[Sales]]&gt;=40000,"Best", Table4[[#This Row],[Sales]]&gt;=35000,"Average",Table4[[#This Row],[Sales]]&gt;0,"Poor")</f>
        <v>Poor</v>
      </c>
    </row>
    <row r="438" spans="1:13" x14ac:dyDescent="0.3">
      <c r="A438" s="13">
        <v>437</v>
      </c>
      <c r="B438" s="14">
        <v>45292</v>
      </c>
      <c r="C438" s="15" t="s">
        <v>35</v>
      </c>
      <c r="D438" s="15" t="s">
        <v>36</v>
      </c>
      <c r="E438" s="15" t="s">
        <v>17</v>
      </c>
      <c r="F438" s="15" t="s">
        <v>24</v>
      </c>
      <c r="G438" s="15" t="s">
        <v>25</v>
      </c>
      <c r="H438" s="16">
        <v>46015.08</v>
      </c>
      <c r="I438" s="15">
        <v>6</v>
      </c>
      <c r="J438" s="17">
        <v>11461.24</v>
      </c>
      <c r="K438" s="20" t="str">
        <f>IF(Table4[[#This Row],[Sales]]&gt;=40000,"BEST SALE","POOR SALE")</f>
        <v>BEST SALE</v>
      </c>
      <c r="L438" s="30" t="str" cm="1">
        <f t="array" ref="L438">_xlfn.IFS(Table4[[#This Row],[Sales]]&gt;=40000,"Best Sale", Table4[[#This Row],[Sales]]&gt;=20000,"Average Sale",Table4[[#This Row],[Sales]]&gt;0,"Poor Sale")</f>
        <v>Best Sale</v>
      </c>
      <c r="M438" s="32" t="str" cm="1">
        <f t="array" ref="M438">_xlfn.IFS(Table4[[#This Row],[Sales]]&gt;=40000,"Best", Table4[[#This Row],[Sales]]&gt;=35000,"Average",Table4[[#This Row],[Sales]]&gt;0,"Poor")</f>
        <v>Best</v>
      </c>
    </row>
    <row r="439" spans="1:13" x14ac:dyDescent="0.3">
      <c r="A439" s="18">
        <v>438</v>
      </c>
      <c r="B439" s="19">
        <v>45219</v>
      </c>
      <c r="C439" s="20" t="s">
        <v>35</v>
      </c>
      <c r="D439" s="20" t="s">
        <v>36</v>
      </c>
      <c r="E439" s="20" t="s">
        <v>20</v>
      </c>
      <c r="F439" s="20" t="s">
        <v>31</v>
      </c>
      <c r="G439" s="20" t="s">
        <v>33</v>
      </c>
      <c r="H439" s="21">
        <v>1292.73</v>
      </c>
      <c r="I439" s="20">
        <v>7</v>
      </c>
      <c r="J439" s="22">
        <v>383.69</v>
      </c>
      <c r="K439" s="20" t="str">
        <f>IF(Table4[[#This Row],[Sales]]&gt;=40000,"BEST SALE","POOR SALE")</f>
        <v>POOR SALE</v>
      </c>
      <c r="L439" s="30" t="str" cm="1">
        <f t="array" ref="L439">_xlfn.IFS(Table4[[#This Row],[Sales]]&gt;=40000,"Best Sale", Table4[[#This Row],[Sales]]&gt;=20000,"Average Sale",Table4[[#This Row],[Sales]]&gt;0,"Poor Sale")</f>
        <v>Poor Sale</v>
      </c>
      <c r="M439" s="32" t="str" cm="1">
        <f t="array" ref="M439">_xlfn.IFS(Table4[[#This Row],[Sales]]&gt;=40000,"Best", Table4[[#This Row],[Sales]]&gt;=35000,"Average",Table4[[#This Row],[Sales]]&gt;0,"Poor")</f>
        <v>Poor</v>
      </c>
    </row>
    <row r="440" spans="1:13" x14ac:dyDescent="0.3">
      <c r="A440" s="13">
        <v>439</v>
      </c>
      <c r="B440" s="14">
        <v>45081</v>
      </c>
      <c r="C440" s="15" t="s">
        <v>30</v>
      </c>
      <c r="D440" s="15" t="s">
        <v>16</v>
      </c>
      <c r="E440" s="15" t="s">
        <v>20</v>
      </c>
      <c r="F440" s="15" t="s">
        <v>24</v>
      </c>
      <c r="G440" s="15" t="s">
        <v>29</v>
      </c>
      <c r="H440" s="16">
        <v>9874.76</v>
      </c>
      <c r="I440" s="15">
        <v>3</v>
      </c>
      <c r="J440" s="17">
        <v>1358.17</v>
      </c>
      <c r="K440" s="20" t="str">
        <f>IF(Table4[[#This Row],[Sales]]&gt;=40000,"BEST SALE","POOR SALE")</f>
        <v>POOR SALE</v>
      </c>
      <c r="L440" s="30" t="str" cm="1">
        <f t="array" ref="L440">_xlfn.IFS(Table4[[#This Row],[Sales]]&gt;=40000,"Best Sale", Table4[[#This Row],[Sales]]&gt;=20000,"Average Sale",Table4[[#This Row],[Sales]]&gt;0,"Poor Sale")</f>
        <v>Poor Sale</v>
      </c>
      <c r="M440" s="32" t="str" cm="1">
        <f t="array" ref="M440">_xlfn.IFS(Table4[[#This Row],[Sales]]&gt;=40000,"Best", Table4[[#This Row],[Sales]]&gt;=35000,"Average",Table4[[#This Row],[Sales]]&gt;0,"Poor")</f>
        <v>Poor</v>
      </c>
    </row>
    <row r="441" spans="1:13" x14ac:dyDescent="0.3">
      <c r="A441" s="18">
        <v>440</v>
      </c>
      <c r="B441" s="19">
        <v>45137</v>
      </c>
      <c r="C441" s="20" t="s">
        <v>22</v>
      </c>
      <c r="D441" s="20" t="s">
        <v>22</v>
      </c>
      <c r="E441" s="20" t="s">
        <v>12</v>
      </c>
      <c r="F441" s="20" t="s">
        <v>24</v>
      </c>
      <c r="G441" s="20" t="s">
        <v>29</v>
      </c>
      <c r="H441" s="21">
        <v>15146.54</v>
      </c>
      <c r="I441" s="20">
        <v>2</v>
      </c>
      <c r="J441" s="22">
        <v>2336.02</v>
      </c>
      <c r="K441" s="20" t="str">
        <f>IF(Table4[[#This Row],[Sales]]&gt;=40000,"BEST SALE","POOR SALE")</f>
        <v>POOR SALE</v>
      </c>
      <c r="L441" s="30" t="str" cm="1">
        <f t="array" ref="L441">_xlfn.IFS(Table4[[#This Row],[Sales]]&gt;=40000,"Best Sale", Table4[[#This Row],[Sales]]&gt;=20000,"Average Sale",Table4[[#This Row],[Sales]]&gt;0,"Poor Sale")</f>
        <v>Poor Sale</v>
      </c>
      <c r="M441" s="32" t="str" cm="1">
        <f t="array" ref="M441">_xlfn.IFS(Table4[[#This Row],[Sales]]&gt;=40000,"Best", Table4[[#This Row],[Sales]]&gt;=35000,"Average",Table4[[#This Row],[Sales]]&gt;0,"Poor")</f>
        <v>Poor</v>
      </c>
    </row>
    <row r="442" spans="1:13" x14ac:dyDescent="0.3">
      <c r="A442" s="13">
        <v>441</v>
      </c>
      <c r="B442" s="14">
        <v>44959</v>
      </c>
      <c r="C442" s="15" t="s">
        <v>38</v>
      </c>
      <c r="D442" s="15" t="s">
        <v>27</v>
      </c>
      <c r="E442" s="15" t="s">
        <v>17</v>
      </c>
      <c r="F442" s="15" t="s">
        <v>31</v>
      </c>
      <c r="G442" s="15" t="s">
        <v>32</v>
      </c>
      <c r="H442" s="16">
        <v>34618.480000000003</v>
      </c>
      <c r="I442" s="15">
        <v>3</v>
      </c>
      <c r="J442" s="17">
        <v>5814.36</v>
      </c>
      <c r="K442" s="20" t="str">
        <f>IF(Table4[[#This Row],[Sales]]&gt;=40000,"BEST SALE","POOR SALE")</f>
        <v>POOR SALE</v>
      </c>
      <c r="L442" s="30" t="str" cm="1">
        <f t="array" ref="L442">_xlfn.IFS(Table4[[#This Row],[Sales]]&gt;=40000,"Best Sale", Table4[[#This Row],[Sales]]&gt;=20000,"Average Sale",Table4[[#This Row],[Sales]]&gt;0,"Poor Sale")</f>
        <v>Average Sale</v>
      </c>
      <c r="M442" s="32" t="str" cm="1">
        <f t="array" ref="M442">_xlfn.IFS(Table4[[#This Row],[Sales]]&gt;=40000,"Best", Table4[[#This Row],[Sales]]&gt;=35000,"Average",Table4[[#This Row],[Sales]]&gt;0,"Poor")</f>
        <v>Poor</v>
      </c>
    </row>
    <row r="443" spans="1:13" x14ac:dyDescent="0.3">
      <c r="A443" s="18">
        <v>442</v>
      </c>
      <c r="B443" s="19">
        <v>45167</v>
      </c>
      <c r="C443" s="20" t="s">
        <v>22</v>
      </c>
      <c r="D443" s="20" t="s">
        <v>22</v>
      </c>
      <c r="E443" s="20" t="s">
        <v>12</v>
      </c>
      <c r="F443" s="20" t="s">
        <v>31</v>
      </c>
      <c r="G443" s="20" t="s">
        <v>39</v>
      </c>
      <c r="H443" s="21">
        <v>46015.64</v>
      </c>
      <c r="I443" s="20">
        <v>2</v>
      </c>
      <c r="J443" s="22">
        <v>6821.68</v>
      </c>
      <c r="K443" s="20" t="str">
        <f>IF(Table4[[#This Row],[Sales]]&gt;=40000,"BEST SALE","POOR SALE")</f>
        <v>BEST SALE</v>
      </c>
      <c r="L443" s="30" t="str" cm="1">
        <f t="array" ref="L443">_xlfn.IFS(Table4[[#This Row],[Sales]]&gt;=40000,"Best Sale", Table4[[#This Row],[Sales]]&gt;=20000,"Average Sale",Table4[[#This Row],[Sales]]&gt;0,"Poor Sale")</f>
        <v>Best Sale</v>
      </c>
      <c r="M443" s="32" t="str" cm="1">
        <f t="array" ref="M443">_xlfn.IFS(Table4[[#This Row],[Sales]]&gt;=40000,"Best", Table4[[#This Row],[Sales]]&gt;=35000,"Average",Table4[[#This Row],[Sales]]&gt;0,"Poor")</f>
        <v>Best</v>
      </c>
    </row>
    <row r="444" spans="1:13" x14ac:dyDescent="0.3">
      <c r="A444" s="13">
        <v>443</v>
      </c>
      <c r="B444" s="14">
        <v>45056</v>
      </c>
      <c r="C444" s="15" t="s">
        <v>38</v>
      </c>
      <c r="D444" s="15" t="s">
        <v>27</v>
      </c>
      <c r="E444" s="15" t="s">
        <v>17</v>
      </c>
      <c r="F444" s="15" t="s">
        <v>24</v>
      </c>
      <c r="G444" s="15" t="s">
        <v>25</v>
      </c>
      <c r="H444" s="16">
        <v>43471.73</v>
      </c>
      <c r="I444" s="15">
        <v>4</v>
      </c>
      <c r="J444" s="17">
        <v>9929.52</v>
      </c>
      <c r="K444" s="20" t="str">
        <f>IF(Table4[[#This Row],[Sales]]&gt;=40000,"BEST SALE","POOR SALE")</f>
        <v>BEST SALE</v>
      </c>
      <c r="L444" s="30" t="str" cm="1">
        <f t="array" ref="L444">_xlfn.IFS(Table4[[#This Row],[Sales]]&gt;=40000,"Best Sale", Table4[[#This Row],[Sales]]&gt;=20000,"Average Sale",Table4[[#This Row],[Sales]]&gt;0,"Poor Sale")</f>
        <v>Best Sale</v>
      </c>
      <c r="M444" s="32" t="str" cm="1">
        <f t="array" ref="M444">_xlfn.IFS(Table4[[#This Row],[Sales]]&gt;=40000,"Best", Table4[[#This Row],[Sales]]&gt;=35000,"Average",Table4[[#This Row],[Sales]]&gt;0,"Poor")</f>
        <v>Best</v>
      </c>
    </row>
    <row r="445" spans="1:13" x14ac:dyDescent="0.3">
      <c r="A445" s="18">
        <v>444</v>
      </c>
      <c r="B445" s="19">
        <v>45108</v>
      </c>
      <c r="C445" s="20" t="s">
        <v>10</v>
      </c>
      <c r="D445" s="20" t="s">
        <v>11</v>
      </c>
      <c r="E445" s="20" t="s">
        <v>20</v>
      </c>
      <c r="F445" s="20" t="s">
        <v>13</v>
      </c>
      <c r="G445" s="20" t="s">
        <v>14</v>
      </c>
      <c r="H445" s="21">
        <v>27516.51</v>
      </c>
      <c r="I445" s="20">
        <v>9</v>
      </c>
      <c r="J445" s="22">
        <v>3418.86</v>
      </c>
      <c r="K445" s="20" t="str">
        <f>IF(Table4[[#This Row],[Sales]]&gt;=40000,"BEST SALE","POOR SALE")</f>
        <v>POOR SALE</v>
      </c>
      <c r="L445" s="30" t="str" cm="1">
        <f t="array" ref="L445">_xlfn.IFS(Table4[[#This Row],[Sales]]&gt;=40000,"Best Sale", Table4[[#This Row],[Sales]]&gt;=20000,"Average Sale",Table4[[#This Row],[Sales]]&gt;0,"Poor Sale")</f>
        <v>Average Sale</v>
      </c>
      <c r="M445" s="32" t="str" cm="1">
        <f t="array" ref="M445">_xlfn.IFS(Table4[[#This Row],[Sales]]&gt;=40000,"Best", Table4[[#This Row],[Sales]]&gt;=35000,"Average",Table4[[#This Row],[Sales]]&gt;0,"Poor")</f>
        <v>Poor</v>
      </c>
    </row>
    <row r="446" spans="1:13" x14ac:dyDescent="0.3">
      <c r="A446" s="13">
        <v>445</v>
      </c>
      <c r="B446" s="14">
        <v>45260</v>
      </c>
      <c r="C446" s="15" t="s">
        <v>10</v>
      </c>
      <c r="D446" s="15" t="s">
        <v>11</v>
      </c>
      <c r="E446" s="15" t="s">
        <v>20</v>
      </c>
      <c r="F446" s="15" t="s">
        <v>13</v>
      </c>
      <c r="G446" s="15" t="s">
        <v>34</v>
      </c>
      <c r="H446" s="16">
        <v>48032.71</v>
      </c>
      <c r="I446" s="15">
        <v>4</v>
      </c>
      <c r="J446" s="17">
        <v>6135.71</v>
      </c>
      <c r="K446" s="20" t="str">
        <f>IF(Table4[[#This Row],[Sales]]&gt;=40000,"BEST SALE","POOR SALE")</f>
        <v>BEST SALE</v>
      </c>
      <c r="L446" s="30" t="str" cm="1">
        <f t="array" ref="L446">_xlfn.IFS(Table4[[#This Row],[Sales]]&gt;=40000,"Best Sale", Table4[[#This Row],[Sales]]&gt;=20000,"Average Sale",Table4[[#This Row],[Sales]]&gt;0,"Poor Sale")</f>
        <v>Best Sale</v>
      </c>
      <c r="M446" s="32" t="str" cm="1">
        <f t="array" ref="M446">_xlfn.IFS(Table4[[#This Row],[Sales]]&gt;=40000,"Best", Table4[[#This Row],[Sales]]&gt;=35000,"Average",Table4[[#This Row],[Sales]]&gt;0,"Poor")</f>
        <v>Best</v>
      </c>
    </row>
    <row r="447" spans="1:13" x14ac:dyDescent="0.3">
      <c r="A447" s="18">
        <v>446</v>
      </c>
      <c r="B447" s="19">
        <v>44976</v>
      </c>
      <c r="C447" s="20" t="s">
        <v>35</v>
      </c>
      <c r="D447" s="20" t="s">
        <v>36</v>
      </c>
      <c r="E447" s="20" t="s">
        <v>12</v>
      </c>
      <c r="F447" s="20" t="s">
        <v>24</v>
      </c>
      <c r="G447" s="20" t="s">
        <v>28</v>
      </c>
      <c r="H447" s="21">
        <v>7864.34</v>
      </c>
      <c r="I447" s="20">
        <v>10</v>
      </c>
      <c r="J447" s="22">
        <v>820.53</v>
      </c>
      <c r="K447" s="20" t="str">
        <f>IF(Table4[[#This Row],[Sales]]&gt;=40000,"BEST SALE","POOR SALE")</f>
        <v>POOR SALE</v>
      </c>
      <c r="L447" s="30" t="str" cm="1">
        <f t="array" ref="L447">_xlfn.IFS(Table4[[#This Row],[Sales]]&gt;=40000,"Best Sale", Table4[[#This Row],[Sales]]&gt;=20000,"Average Sale",Table4[[#This Row],[Sales]]&gt;0,"Poor Sale")</f>
        <v>Poor Sale</v>
      </c>
      <c r="M447" s="32" t="str" cm="1">
        <f t="array" ref="M447">_xlfn.IFS(Table4[[#This Row],[Sales]]&gt;=40000,"Best", Table4[[#This Row],[Sales]]&gt;=35000,"Average",Table4[[#This Row],[Sales]]&gt;0,"Poor")</f>
        <v>Poor</v>
      </c>
    </row>
    <row r="448" spans="1:13" x14ac:dyDescent="0.3">
      <c r="A448" s="13">
        <v>447</v>
      </c>
      <c r="B448" s="14">
        <v>44953</v>
      </c>
      <c r="C448" s="15" t="s">
        <v>26</v>
      </c>
      <c r="D448" s="15" t="s">
        <v>27</v>
      </c>
      <c r="E448" s="15" t="s">
        <v>17</v>
      </c>
      <c r="F448" s="15" t="s">
        <v>13</v>
      </c>
      <c r="G448" s="15" t="s">
        <v>21</v>
      </c>
      <c r="H448" s="16">
        <v>27123.54</v>
      </c>
      <c r="I448" s="15">
        <v>2</v>
      </c>
      <c r="J448" s="17">
        <v>2817.45</v>
      </c>
      <c r="K448" s="20" t="str">
        <f>IF(Table4[[#This Row],[Sales]]&gt;=40000,"BEST SALE","POOR SALE")</f>
        <v>POOR SALE</v>
      </c>
      <c r="L448" s="30" t="str" cm="1">
        <f t="array" ref="L448">_xlfn.IFS(Table4[[#This Row],[Sales]]&gt;=40000,"Best Sale", Table4[[#This Row],[Sales]]&gt;=20000,"Average Sale",Table4[[#This Row],[Sales]]&gt;0,"Poor Sale")</f>
        <v>Average Sale</v>
      </c>
      <c r="M448" s="32" t="str" cm="1">
        <f t="array" ref="M448">_xlfn.IFS(Table4[[#This Row],[Sales]]&gt;=40000,"Best", Table4[[#This Row],[Sales]]&gt;=35000,"Average",Table4[[#This Row],[Sales]]&gt;0,"Poor")</f>
        <v>Poor</v>
      </c>
    </row>
    <row r="449" spans="1:13" x14ac:dyDescent="0.3">
      <c r="A449" s="18">
        <v>448</v>
      </c>
      <c r="B449" s="19">
        <v>45062</v>
      </c>
      <c r="C449" s="20" t="s">
        <v>26</v>
      </c>
      <c r="D449" s="20" t="s">
        <v>27</v>
      </c>
      <c r="E449" s="20" t="s">
        <v>12</v>
      </c>
      <c r="F449" s="20" t="s">
        <v>13</v>
      </c>
      <c r="G449" s="20" t="s">
        <v>34</v>
      </c>
      <c r="H449" s="21">
        <v>24573.8</v>
      </c>
      <c r="I449" s="20">
        <v>6</v>
      </c>
      <c r="J449" s="22">
        <v>3674.62</v>
      </c>
      <c r="K449" s="20" t="str">
        <f>IF(Table4[[#This Row],[Sales]]&gt;=40000,"BEST SALE","POOR SALE")</f>
        <v>POOR SALE</v>
      </c>
      <c r="L449" s="30" t="str" cm="1">
        <f t="array" ref="L449">_xlfn.IFS(Table4[[#This Row],[Sales]]&gt;=40000,"Best Sale", Table4[[#This Row],[Sales]]&gt;=20000,"Average Sale",Table4[[#This Row],[Sales]]&gt;0,"Poor Sale")</f>
        <v>Average Sale</v>
      </c>
      <c r="M449" s="32" t="str" cm="1">
        <f t="array" ref="M449">_xlfn.IFS(Table4[[#This Row],[Sales]]&gt;=40000,"Best", Table4[[#This Row],[Sales]]&gt;=35000,"Average",Table4[[#This Row],[Sales]]&gt;0,"Poor")</f>
        <v>Poor</v>
      </c>
    </row>
    <row r="450" spans="1:13" x14ac:dyDescent="0.3">
      <c r="A450" s="13">
        <v>449</v>
      </c>
      <c r="B450" s="14">
        <v>44978</v>
      </c>
      <c r="C450" s="15" t="s">
        <v>18</v>
      </c>
      <c r="D450" s="15" t="s">
        <v>19</v>
      </c>
      <c r="E450" s="15" t="s">
        <v>17</v>
      </c>
      <c r="F450" s="15" t="s">
        <v>24</v>
      </c>
      <c r="G450" s="15" t="s">
        <v>29</v>
      </c>
      <c r="H450" s="16">
        <v>24662.23</v>
      </c>
      <c r="I450" s="15">
        <v>3</v>
      </c>
      <c r="J450" s="17">
        <v>3744.45</v>
      </c>
      <c r="K450" s="20" t="str">
        <f>IF(Table4[[#This Row],[Sales]]&gt;=40000,"BEST SALE","POOR SALE")</f>
        <v>POOR SALE</v>
      </c>
      <c r="L450" s="30" t="str" cm="1">
        <f t="array" ref="L450">_xlfn.IFS(Table4[[#This Row],[Sales]]&gt;=40000,"Best Sale", Table4[[#This Row],[Sales]]&gt;=20000,"Average Sale",Table4[[#This Row],[Sales]]&gt;0,"Poor Sale")</f>
        <v>Average Sale</v>
      </c>
      <c r="M450" s="32" t="str" cm="1">
        <f t="array" ref="M450">_xlfn.IFS(Table4[[#This Row],[Sales]]&gt;=40000,"Best", Table4[[#This Row],[Sales]]&gt;=35000,"Average",Table4[[#This Row],[Sales]]&gt;0,"Poor")</f>
        <v>Poor</v>
      </c>
    </row>
    <row r="451" spans="1:13" x14ac:dyDescent="0.3">
      <c r="A451" s="18">
        <v>450</v>
      </c>
      <c r="B451" s="19">
        <v>45214</v>
      </c>
      <c r="C451" s="20" t="s">
        <v>30</v>
      </c>
      <c r="D451" s="20" t="s">
        <v>16</v>
      </c>
      <c r="E451" s="20" t="s">
        <v>20</v>
      </c>
      <c r="F451" s="20" t="s">
        <v>24</v>
      </c>
      <c r="G451" s="20" t="s">
        <v>25</v>
      </c>
      <c r="H451" s="21">
        <v>22932.71</v>
      </c>
      <c r="I451" s="20">
        <v>1</v>
      </c>
      <c r="J451" s="22">
        <v>1770.13</v>
      </c>
      <c r="K451" s="20" t="str">
        <f>IF(Table4[[#This Row],[Sales]]&gt;=40000,"BEST SALE","POOR SALE")</f>
        <v>POOR SALE</v>
      </c>
      <c r="L451" s="30" t="str" cm="1">
        <f t="array" ref="L451">_xlfn.IFS(Table4[[#This Row],[Sales]]&gt;=40000,"Best Sale", Table4[[#This Row],[Sales]]&gt;=20000,"Average Sale",Table4[[#This Row],[Sales]]&gt;0,"Poor Sale")</f>
        <v>Average Sale</v>
      </c>
      <c r="M451" s="32" t="str" cm="1">
        <f t="array" ref="M451">_xlfn.IFS(Table4[[#This Row],[Sales]]&gt;=40000,"Best", Table4[[#This Row],[Sales]]&gt;=35000,"Average",Table4[[#This Row],[Sales]]&gt;0,"Poor")</f>
        <v>Poor</v>
      </c>
    </row>
    <row r="452" spans="1:13" x14ac:dyDescent="0.3">
      <c r="A452" s="13">
        <v>451</v>
      </c>
      <c r="B452" s="14">
        <v>45241</v>
      </c>
      <c r="C452" s="15" t="s">
        <v>10</v>
      </c>
      <c r="D452" s="15" t="s">
        <v>11</v>
      </c>
      <c r="E452" s="15" t="s">
        <v>20</v>
      </c>
      <c r="F452" s="15" t="s">
        <v>31</v>
      </c>
      <c r="G452" s="15" t="s">
        <v>33</v>
      </c>
      <c r="H452" s="16">
        <v>2101.9299999999998</v>
      </c>
      <c r="I452" s="15">
        <v>6</v>
      </c>
      <c r="J452" s="17">
        <v>507.01</v>
      </c>
      <c r="K452" s="20" t="str">
        <f>IF(Table4[[#This Row],[Sales]]&gt;=40000,"BEST SALE","POOR SALE")</f>
        <v>POOR SALE</v>
      </c>
      <c r="L452" s="30" t="str" cm="1">
        <f t="array" ref="L452">_xlfn.IFS(Table4[[#This Row],[Sales]]&gt;=40000,"Best Sale", Table4[[#This Row],[Sales]]&gt;=20000,"Average Sale",Table4[[#This Row],[Sales]]&gt;0,"Poor Sale")</f>
        <v>Poor Sale</v>
      </c>
      <c r="M452" s="32" t="str" cm="1">
        <f t="array" ref="M452">_xlfn.IFS(Table4[[#This Row],[Sales]]&gt;=40000,"Best", Table4[[#This Row],[Sales]]&gt;=35000,"Average",Table4[[#This Row],[Sales]]&gt;0,"Poor")</f>
        <v>Poor</v>
      </c>
    </row>
    <row r="453" spans="1:13" x14ac:dyDescent="0.3">
      <c r="A453" s="18">
        <v>452</v>
      </c>
      <c r="B453" s="19">
        <v>45192</v>
      </c>
      <c r="C453" s="20" t="s">
        <v>26</v>
      </c>
      <c r="D453" s="20" t="s">
        <v>27</v>
      </c>
      <c r="E453" s="20" t="s">
        <v>12</v>
      </c>
      <c r="F453" s="20" t="s">
        <v>24</v>
      </c>
      <c r="G453" s="20" t="s">
        <v>29</v>
      </c>
      <c r="H453" s="21">
        <v>23897.96</v>
      </c>
      <c r="I453" s="20">
        <v>7</v>
      </c>
      <c r="J453" s="22">
        <v>4085.47</v>
      </c>
      <c r="K453" s="20" t="str">
        <f>IF(Table4[[#This Row],[Sales]]&gt;=40000,"BEST SALE","POOR SALE")</f>
        <v>POOR SALE</v>
      </c>
      <c r="L453" s="30" t="str" cm="1">
        <f t="array" ref="L453">_xlfn.IFS(Table4[[#This Row],[Sales]]&gt;=40000,"Best Sale", Table4[[#This Row],[Sales]]&gt;=20000,"Average Sale",Table4[[#This Row],[Sales]]&gt;0,"Poor Sale")</f>
        <v>Average Sale</v>
      </c>
      <c r="M453" s="32" t="str" cm="1">
        <f t="array" ref="M453">_xlfn.IFS(Table4[[#This Row],[Sales]]&gt;=40000,"Best", Table4[[#This Row],[Sales]]&gt;=35000,"Average",Table4[[#This Row],[Sales]]&gt;0,"Poor")</f>
        <v>Poor</v>
      </c>
    </row>
    <row r="454" spans="1:13" x14ac:dyDescent="0.3">
      <c r="A454" s="13">
        <v>453</v>
      </c>
      <c r="B454" s="14">
        <v>45018</v>
      </c>
      <c r="C454" s="15" t="s">
        <v>35</v>
      </c>
      <c r="D454" s="15" t="s">
        <v>36</v>
      </c>
      <c r="E454" s="15" t="s">
        <v>17</v>
      </c>
      <c r="F454" s="15" t="s">
        <v>24</v>
      </c>
      <c r="G454" s="15" t="s">
        <v>29</v>
      </c>
      <c r="H454" s="16">
        <v>32507.15</v>
      </c>
      <c r="I454" s="15">
        <v>10</v>
      </c>
      <c r="J454" s="17">
        <v>4890.71</v>
      </c>
      <c r="K454" s="20" t="str">
        <f>IF(Table4[[#This Row],[Sales]]&gt;=40000,"BEST SALE","POOR SALE")</f>
        <v>POOR SALE</v>
      </c>
      <c r="L454" s="30" t="str" cm="1">
        <f t="array" ref="L454">_xlfn.IFS(Table4[[#This Row],[Sales]]&gt;=40000,"Best Sale", Table4[[#This Row],[Sales]]&gt;=20000,"Average Sale",Table4[[#This Row],[Sales]]&gt;0,"Poor Sale")</f>
        <v>Average Sale</v>
      </c>
      <c r="M454" s="32" t="str" cm="1">
        <f t="array" ref="M454">_xlfn.IFS(Table4[[#This Row],[Sales]]&gt;=40000,"Best", Table4[[#This Row],[Sales]]&gt;=35000,"Average",Table4[[#This Row],[Sales]]&gt;0,"Poor")</f>
        <v>Poor</v>
      </c>
    </row>
    <row r="455" spans="1:13" x14ac:dyDescent="0.3">
      <c r="A455" s="18">
        <v>454</v>
      </c>
      <c r="B455" s="19">
        <v>45053</v>
      </c>
      <c r="C455" s="20" t="s">
        <v>30</v>
      </c>
      <c r="D455" s="20" t="s">
        <v>16</v>
      </c>
      <c r="E455" s="20" t="s">
        <v>12</v>
      </c>
      <c r="F455" s="20" t="s">
        <v>13</v>
      </c>
      <c r="G455" s="20" t="s">
        <v>14</v>
      </c>
      <c r="H455" s="21">
        <v>8584.92</v>
      </c>
      <c r="I455" s="20">
        <v>1</v>
      </c>
      <c r="J455" s="22">
        <v>2560.9699999999998</v>
      </c>
      <c r="K455" s="20" t="str">
        <f>IF(Table4[[#This Row],[Sales]]&gt;=40000,"BEST SALE","POOR SALE")</f>
        <v>POOR SALE</v>
      </c>
      <c r="L455" s="30" t="str" cm="1">
        <f t="array" ref="L455">_xlfn.IFS(Table4[[#This Row],[Sales]]&gt;=40000,"Best Sale", Table4[[#This Row],[Sales]]&gt;=20000,"Average Sale",Table4[[#This Row],[Sales]]&gt;0,"Poor Sale")</f>
        <v>Poor Sale</v>
      </c>
      <c r="M455" s="32" t="str" cm="1">
        <f t="array" ref="M455">_xlfn.IFS(Table4[[#This Row],[Sales]]&gt;=40000,"Best", Table4[[#This Row],[Sales]]&gt;=35000,"Average",Table4[[#This Row],[Sales]]&gt;0,"Poor")</f>
        <v>Poor</v>
      </c>
    </row>
    <row r="456" spans="1:13" x14ac:dyDescent="0.3">
      <c r="A456" s="13">
        <v>455</v>
      </c>
      <c r="B456" s="14">
        <v>45069</v>
      </c>
      <c r="C456" s="15" t="s">
        <v>22</v>
      </c>
      <c r="D456" s="15" t="s">
        <v>22</v>
      </c>
      <c r="E456" s="15" t="s">
        <v>17</v>
      </c>
      <c r="F456" s="15" t="s">
        <v>24</v>
      </c>
      <c r="G456" s="15" t="s">
        <v>28</v>
      </c>
      <c r="H456" s="16">
        <v>17850.810000000001</v>
      </c>
      <c r="I456" s="15">
        <v>9</v>
      </c>
      <c r="J456" s="17">
        <v>4605.67</v>
      </c>
      <c r="K456" s="20" t="str">
        <f>IF(Table4[[#This Row],[Sales]]&gt;=40000,"BEST SALE","POOR SALE")</f>
        <v>POOR SALE</v>
      </c>
      <c r="L456" s="30" t="str" cm="1">
        <f t="array" ref="L456">_xlfn.IFS(Table4[[#This Row],[Sales]]&gt;=40000,"Best Sale", Table4[[#This Row],[Sales]]&gt;=20000,"Average Sale",Table4[[#This Row],[Sales]]&gt;0,"Poor Sale")</f>
        <v>Poor Sale</v>
      </c>
      <c r="M456" s="32" t="str" cm="1">
        <f t="array" ref="M456">_xlfn.IFS(Table4[[#This Row],[Sales]]&gt;=40000,"Best", Table4[[#This Row],[Sales]]&gt;=35000,"Average",Table4[[#This Row],[Sales]]&gt;0,"Poor")</f>
        <v>Poor</v>
      </c>
    </row>
    <row r="457" spans="1:13" x14ac:dyDescent="0.3">
      <c r="A457" s="18">
        <v>456</v>
      </c>
      <c r="B457" s="19">
        <v>44976</v>
      </c>
      <c r="C457" s="20" t="s">
        <v>10</v>
      </c>
      <c r="D457" s="20" t="s">
        <v>11</v>
      </c>
      <c r="E457" s="20" t="s">
        <v>20</v>
      </c>
      <c r="F457" s="20" t="s">
        <v>13</v>
      </c>
      <c r="G457" s="20" t="s">
        <v>21</v>
      </c>
      <c r="H457" s="21">
        <v>33800.74</v>
      </c>
      <c r="I457" s="20">
        <v>2</v>
      </c>
      <c r="J457" s="22">
        <v>2747.6</v>
      </c>
      <c r="K457" s="20" t="str">
        <f>IF(Table4[[#This Row],[Sales]]&gt;=40000,"BEST SALE","POOR SALE")</f>
        <v>POOR SALE</v>
      </c>
      <c r="L457" s="30" t="str" cm="1">
        <f t="array" ref="L457">_xlfn.IFS(Table4[[#This Row],[Sales]]&gt;=40000,"Best Sale", Table4[[#This Row],[Sales]]&gt;=20000,"Average Sale",Table4[[#This Row],[Sales]]&gt;0,"Poor Sale")</f>
        <v>Average Sale</v>
      </c>
      <c r="M457" s="32" t="str" cm="1">
        <f t="array" ref="M457">_xlfn.IFS(Table4[[#This Row],[Sales]]&gt;=40000,"Best", Table4[[#This Row],[Sales]]&gt;=35000,"Average",Table4[[#This Row],[Sales]]&gt;0,"Poor")</f>
        <v>Poor</v>
      </c>
    </row>
    <row r="458" spans="1:13" x14ac:dyDescent="0.3">
      <c r="A458" s="13">
        <v>457</v>
      </c>
      <c r="B458" s="14">
        <v>45264</v>
      </c>
      <c r="C458" s="15" t="s">
        <v>15</v>
      </c>
      <c r="D458" s="15" t="s">
        <v>16</v>
      </c>
      <c r="E458" s="15" t="s">
        <v>20</v>
      </c>
      <c r="F458" s="15" t="s">
        <v>24</v>
      </c>
      <c r="G458" s="15" t="s">
        <v>25</v>
      </c>
      <c r="H458" s="16">
        <v>5414.74</v>
      </c>
      <c r="I458" s="15">
        <v>4</v>
      </c>
      <c r="J458" s="17">
        <v>976.86</v>
      </c>
      <c r="K458" s="20" t="str">
        <f>IF(Table4[[#This Row],[Sales]]&gt;=40000,"BEST SALE","POOR SALE")</f>
        <v>POOR SALE</v>
      </c>
      <c r="L458" s="30" t="str" cm="1">
        <f t="array" ref="L458">_xlfn.IFS(Table4[[#This Row],[Sales]]&gt;=40000,"Best Sale", Table4[[#This Row],[Sales]]&gt;=20000,"Average Sale",Table4[[#This Row],[Sales]]&gt;0,"Poor Sale")</f>
        <v>Poor Sale</v>
      </c>
      <c r="M458" s="32" t="str" cm="1">
        <f t="array" ref="M458">_xlfn.IFS(Table4[[#This Row],[Sales]]&gt;=40000,"Best", Table4[[#This Row],[Sales]]&gt;=35000,"Average",Table4[[#This Row],[Sales]]&gt;0,"Poor")</f>
        <v>Poor</v>
      </c>
    </row>
    <row r="459" spans="1:13" x14ac:dyDescent="0.3">
      <c r="A459" s="18">
        <v>458</v>
      </c>
      <c r="B459" s="19">
        <v>44952</v>
      </c>
      <c r="C459" s="20" t="s">
        <v>37</v>
      </c>
      <c r="D459" s="20" t="s">
        <v>27</v>
      </c>
      <c r="E459" s="20" t="s">
        <v>12</v>
      </c>
      <c r="F459" s="20" t="s">
        <v>24</v>
      </c>
      <c r="G459" s="20" t="s">
        <v>28</v>
      </c>
      <c r="H459" s="21">
        <v>12452.06</v>
      </c>
      <c r="I459" s="20">
        <v>2</v>
      </c>
      <c r="J459" s="22">
        <v>2412.8200000000002</v>
      </c>
      <c r="K459" s="20" t="str">
        <f>IF(Table4[[#This Row],[Sales]]&gt;=40000,"BEST SALE","POOR SALE")</f>
        <v>POOR SALE</v>
      </c>
      <c r="L459" s="30" t="str" cm="1">
        <f t="array" ref="L459">_xlfn.IFS(Table4[[#This Row],[Sales]]&gt;=40000,"Best Sale", Table4[[#This Row],[Sales]]&gt;=20000,"Average Sale",Table4[[#This Row],[Sales]]&gt;0,"Poor Sale")</f>
        <v>Poor Sale</v>
      </c>
      <c r="M459" s="32" t="str" cm="1">
        <f t="array" ref="M459">_xlfn.IFS(Table4[[#This Row],[Sales]]&gt;=40000,"Best", Table4[[#This Row],[Sales]]&gt;=35000,"Average",Table4[[#This Row],[Sales]]&gt;0,"Poor")</f>
        <v>Poor</v>
      </c>
    </row>
    <row r="460" spans="1:13" x14ac:dyDescent="0.3">
      <c r="A460" s="13">
        <v>459</v>
      </c>
      <c r="B460" s="14">
        <v>45132</v>
      </c>
      <c r="C460" s="15" t="s">
        <v>10</v>
      </c>
      <c r="D460" s="15" t="s">
        <v>11</v>
      </c>
      <c r="E460" s="15" t="s">
        <v>17</v>
      </c>
      <c r="F460" s="15" t="s">
        <v>24</v>
      </c>
      <c r="G460" s="15" t="s">
        <v>29</v>
      </c>
      <c r="H460" s="16">
        <v>15764.96</v>
      </c>
      <c r="I460" s="15">
        <v>4</v>
      </c>
      <c r="J460" s="17">
        <v>2352.7399999999998</v>
      </c>
      <c r="K460" s="20" t="str">
        <f>IF(Table4[[#This Row],[Sales]]&gt;=40000,"BEST SALE","POOR SALE")</f>
        <v>POOR SALE</v>
      </c>
      <c r="L460" s="30" t="str" cm="1">
        <f t="array" ref="L460">_xlfn.IFS(Table4[[#This Row],[Sales]]&gt;=40000,"Best Sale", Table4[[#This Row],[Sales]]&gt;=20000,"Average Sale",Table4[[#This Row],[Sales]]&gt;0,"Poor Sale")</f>
        <v>Poor Sale</v>
      </c>
      <c r="M460" s="32" t="str" cm="1">
        <f t="array" ref="M460">_xlfn.IFS(Table4[[#This Row],[Sales]]&gt;=40000,"Best", Table4[[#This Row],[Sales]]&gt;=35000,"Average",Table4[[#This Row],[Sales]]&gt;0,"Poor")</f>
        <v>Poor</v>
      </c>
    </row>
    <row r="461" spans="1:13" x14ac:dyDescent="0.3">
      <c r="A461" s="18">
        <v>460</v>
      </c>
      <c r="B461" s="19">
        <v>45239</v>
      </c>
      <c r="C461" s="20" t="s">
        <v>37</v>
      </c>
      <c r="D461" s="20" t="s">
        <v>27</v>
      </c>
      <c r="E461" s="20" t="s">
        <v>12</v>
      </c>
      <c r="F461" s="20" t="s">
        <v>24</v>
      </c>
      <c r="G461" s="20" t="s">
        <v>25</v>
      </c>
      <c r="H461" s="21">
        <v>41835.79</v>
      </c>
      <c r="I461" s="20">
        <v>1</v>
      </c>
      <c r="J461" s="22">
        <v>2744.23</v>
      </c>
      <c r="K461" s="20" t="str">
        <f>IF(Table4[[#This Row],[Sales]]&gt;=40000,"BEST SALE","POOR SALE")</f>
        <v>BEST SALE</v>
      </c>
      <c r="L461" s="30" t="str" cm="1">
        <f t="array" ref="L461">_xlfn.IFS(Table4[[#This Row],[Sales]]&gt;=40000,"Best Sale", Table4[[#This Row],[Sales]]&gt;=20000,"Average Sale",Table4[[#This Row],[Sales]]&gt;0,"Poor Sale")</f>
        <v>Best Sale</v>
      </c>
      <c r="M461" s="32" t="str" cm="1">
        <f t="array" ref="M461">_xlfn.IFS(Table4[[#This Row],[Sales]]&gt;=40000,"Best", Table4[[#This Row],[Sales]]&gt;=35000,"Average",Table4[[#This Row],[Sales]]&gt;0,"Poor")</f>
        <v>Best</v>
      </c>
    </row>
    <row r="462" spans="1:13" x14ac:dyDescent="0.3">
      <c r="A462" s="13">
        <v>461</v>
      </c>
      <c r="B462" s="14">
        <v>45075</v>
      </c>
      <c r="C462" s="15" t="s">
        <v>18</v>
      </c>
      <c r="D462" s="15" t="s">
        <v>19</v>
      </c>
      <c r="E462" s="15" t="s">
        <v>17</v>
      </c>
      <c r="F462" s="15" t="s">
        <v>31</v>
      </c>
      <c r="G462" s="15" t="s">
        <v>33</v>
      </c>
      <c r="H462" s="16">
        <v>23801.25</v>
      </c>
      <c r="I462" s="15">
        <v>2</v>
      </c>
      <c r="J462" s="17">
        <v>6445.33</v>
      </c>
      <c r="K462" s="20" t="str">
        <f>IF(Table4[[#This Row],[Sales]]&gt;=40000,"BEST SALE","POOR SALE")</f>
        <v>POOR SALE</v>
      </c>
      <c r="L462" s="30" t="str" cm="1">
        <f t="array" ref="L462">_xlfn.IFS(Table4[[#This Row],[Sales]]&gt;=40000,"Best Sale", Table4[[#This Row],[Sales]]&gt;=20000,"Average Sale",Table4[[#This Row],[Sales]]&gt;0,"Poor Sale")</f>
        <v>Average Sale</v>
      </c>
      <c r="M462" s="32" t="str" cm="1">
        <f t="array" ref="M462">_xlfn.IFS(Table4[[#This Row],[Sales]]&gt;=40000,"Best", Table4[[#This Row],[Sales]]&gt;=35000,"Average",Table4[[#This Row],[Sales]]&gt;0,"Poor")</f>
        <v>Poor</v>
      </c>
    </row>
    <row r="463" spans="1:13" x14ac:dyDescent="0.3">
      <c r="A463" s="18">
        <v>462</v>
      </c>
      <c r="B463" s="19">
        <v>45252</v>
      </c>
      <c r="C463" s="20" t="s">
        <v>26</v>
      </c>
      <c r="D463" s="20" t="s">
        <v>27</v>
      </c>
      <c r="E463" s="20" t="s">
        <v>20</v>
      </c>
      <c r="F463" s="20" t="s">
        <v>24</v>
      </c>
      <c r="G463" s="20" t="s">
        <v>25</v>
      </c>
      <c r="H463" s="21">
        <v>15461.71</v>
      </c>
      <c r="I463" s="20">
        <v>3</v>
      </c>
      <c r="J463" s="22">
        <v>3314.59</v>
      </c>
      <c r="K463" s="20" t="str">
        <f>IF(Table4[[#This Row],[Sales]]&gt;=40000,"BEST SALE","POOR SALE")</f>
        <v>POOR SALE</v>
      </c>
      <c r="L463" s="30" t="str" cm="1">
        <f t="array" ref="L463">_xlfn.IFS(Table4[[#This Row],[Sales]]&gt;=40000,"Best Sale", Table4[[#This Row],[Sales]]&gt;=20000,"Average Sale",Table4[[#This Row],[Sales]]&gt;0,"Poor Sale")</f>
        <v>Poor Sale</v>
      </c>
      <c r="M463" s="32" t="str" cm="1">
        <f t="array" ref="M463">_xlfn.IFS(Table4[[#This Row],[Sales]]&gt;=40000,"Best", Table4[[#This Row],[Sales]]&gt;=35000,"Average",Table4[[#This Row],[Sales]]&gt;0,"Poor")</f>
        <v>Poor</v>
      </c>
    </row>
    <row r="464" spans="1:13" x14ac:dyDescent="0.3">
      <c r="A464" s="13">
        <v>463</v>
      </c>
      <c r="B464" s="14">
        <v>45076</v>
      </c>
      <c r="C464" s="15" t="s">
        <v>35</v>
      </c>
      <c r="D464" s="15" t="s">
        <v>36</v>
      </c>
      <c r="E464" s="15" t="s">
        <v>20</v>
      </c>
      <c r="F464" s="15" t="s">
        <v>24</v>
      </c>
      <c r="G464" s="15" t="s">
        <v>29</v>
      </c>
      <c r="H464" s="16">
        <v>45619.47</v>
      </c>
      <c r="I464" s="15">
        <v>10</v>
      </c>
      <c r="J464" s="17">
        <v>10134.75</v>
      </c>
      <c r="K464" s="20" t="str">
        <f>IF(Table4[[#This Row],[Sales]]&gt;=40000,"BEST SALE","POOR SALE")</f>
        <v>BEST SALE</v>
      </c>
      <c r="L464" s="30" t="str" cm="1">
        <f t="array" ref="L464">_xlfn.IFS(Table4[[#This Row],[Sales]]&gt;=40000,"Best Sale", Table4[[#This Row],[Sales]]&gt;=20000,"Average Sale",Table4[[#This Row],[Sales]]&gt;0,"Poor Sale")</f>
        <v>Best Sale</v>
      </c>
      <c r="M464" s="32" t="str" cm="1">
        <f t="array" ref="M464">_xlfn.IFS(Table4[[#This Row],[Sales]]&gt;=40000,"Best", Table4[[#This Row],[Sales]]&gt;=35000,"Average",Table4[[#This Row],[Sales]]&gt;0,"Poor")</f>
        <v>Best</v>
      </c>
    </row>
    <row r="465" spans="1:13" x14ac:dyDescent="0.3">
      <c r="A465" s="18">
        <v>464</v>
      </c>
      <c r="B465" s="19">
        <v>45000</v>
      </c>
      <c r="C465" s="20" t="s">
        <v>10</v>
      </c>
      <c r="D465" s="20" t="s">
        <v>11</v>
      </c>
      <c r="E465" s="20" t="s">
        <v>12</v>
      </c>
      <c r="F465" s="20" t="s">
        <v>31</v>
      </c>
      <c r="G465" s="20" t="s">
        <v>33</v>
      </c>
      <c r="H465" s="21">
        <v>15028.38</v>
      </c>
      <c r="I465" s="20">
        <v>7</v>
      </c>
      <c r="J465" s="22">
        <v>2910.42</v>
      </c>
      <c r="K465" s="20" t="str">
        <f>IF(Table4[[#This Row],[Sales]]&gt;=40000,"BEST SALE","POOR SALE")</f>
        <v>POOR SALE</v>
      </c>
      <c r="L465" s="30" t="str" cm="1">
        <f t="array" ref="L465">_xlfn.IFS(Table4[[#This Row],[Sales]]&gt;=40000,"Best Sale", Table4[[#This Row],[Sales]]&gt;=20000,"Average Sale",Table4[[#This Row],[Sales]]&gt;0,"Poor Sale")</f>
        <v>Poor Sale</v>
      </c>
      <c r="M465" s="32" t="str" cm="1">
        <f t="array" ref="M465">_xlfn.IFS(Table4[[#This Row],[Sales]]&gt;=40000,"Best", Table4[[#This Row],[Sales]]&gt;=35000,"Average",Table4[[#This Row],[Sales]]&gt;0,"Poor")</f>
        <v>Poor</v>
      </c>
    </row>
    <row r="466" spans="1:13" x14ac:dyDescent="0.3">
      <c r="A466" s="13">
        <v>465</v>
      </c>
      <c r="B466" s="14">
        <v>45205</v>
      </c>
      <c r="C466" s="15" t="s">
        <v>22</v>
      </c>
      <c r="D466" s="15" t="s">
        <v>22</v>
      </c>
      <c r="E466" s="15" t="s">
        <v>17</v>
      </c>
      <c r="F466" s="15" t="s">
        <v>13</v>
      </c>
      <c r="G466" s="15" t="s">
        <v>34</v>
      </c>
      <c r="H466" s="16">
        <v>30842.46</v>
      </c>
      <c r="I466" s="15">
        <v>1</v>
      </c>
      <c r="J466" s="17">
        <v>3773.49</v>
      </c>
      <c r="K466" s="20" t="str">
        <f>IF(Table4[[#This Row],[Sales]]&gt;=40000,"BEST SALE","POOR SALE")</f>
        <v>POOR SALE</v>
      </c>
      <c r="L466" s="30" t="str" cm="1">
        <f t="array" ref="L466">_xlfn.IFS(Table4[[#This Row],[Sales]]&gt;=40000,"Best Sale", Table4[[#This Row],[Sales]]&gt;=20000,"Average Sale",Table4[[#This Row],[Sales]]&gt;0,"Poor Sale")</f>
        <v>Average Sale</v>
      </c>
      <c r="M466" s="32" t="str" cm="1">
        <f t="array" ref="M466">_xlfn.IFS(Table4[[#This Row],[Sales]]&gt;=40000,"Best", Table4[[#This Row],[Sales]]&gt;=35000,"Average",Table4[[#This Row],[Sales]]&gt;0,"Poor")</f>
        <v>Poor</v>
      </c>
    </row>
    <row r="467" spans="1:13" x14ac:dyDescent="0.3">
      <c r="A467" s="18">
        <v>466</v>
      </c>
      <c r="B467" s="19">
        <v>45222</v>
      </c>
      <c r="C467" s="20" t="s">
        <v>10</v>
      </c>
      <c r="D467" s="20" t="s">
        <v>11</v>
      </c>
      <c r="E467" s="20" t="s">
        <v>12</v>
      </c>
      <c r="F467" s="20" t="s">
        <v>13</v>
      </c>
      <c r="G467" s="20" t="s">
        <v>21</v>
      </c>
      <c r="H467" s="21">
        <v>6318.79</v>
      </c>
      <c r="I467" s="20">
        <v>4</v>
      </c>
      <c r="J467" s="22">
        <v>1551.93</v>
      </c>
      <c r="K467" s="20" t="str">
        <f>IF(Table4[[#This Row],[Sales]]&gt;=40000,"BEST SALE","POOR SALE")</f>
        <v>POOR SALE</v>
      </c>
      <c r="L467" s="30" t="str" cm="1">
        <f t="array" ref="L467">_xlfn.IFS(Table4[[#This Row],[Sales]]&gt;=40000,"Best Sale", Table4[[#This Row],[Sales]]&gt;=20000,"Average Sale",Table4[[#This Row],[Sales]]&gt;0,"Poor Sale")</f>
        <v>Poor Sale</v>
      </c>
      <c r="M467" s="32" t="str" cm="1">
        <f t="array" ref="M467">_xlfn.IFS(Table4[[#This Row],[Sales]]&gt;=40000,"Best", Table4[[#This Row],[Sales]]&gt;=35000,"Average",Table4[[#This Row],[Sales]]&gt;0,"Poor")</f>
        <v>Poor</v>
      </c>
    </row>
    <row r="468" spans="1:13" x14ac:dyDescent="0.3">
      <c r="A468" s="13">
        <v>467</v>
      </c>
      <c r="B468" s="14">
        <v>44974</v>
      </c>
      <c r="C468" s="15" t="s">
        <v>38</v>
      </c>
      <c r="D468" s="15" t="s">
        <v>27</v>
      </c>
      <c r="E468" s="15" t="s">
        <v>17</v>
      </c>
      <c r="F468" s="15" t="s">
        <v>31</v>
      </c>
      <c r="G468" s="15" t="s">
        <v>33</v>
      </c>
      <c r="H468" s="16">
        <v>14828.09</v>
      </c>
      <c r="I468" s="15">
        <v>7</v>
      </c>
      <c r="J468" s="17">
        <v>2884.42</v>
      </c>
      <c r="K468" s="20" t="str">
        <f>IF(Table4[[#This Row],[Sales]]&gt;=40000,"BEST SALE","POOR SALE")</f>
        <v>POOR SALE</v>
      </c>
      <c r="L468" s="30" t="str" cm="1">
        <f t="array" ref="L468">_xlfn.IFS(Table4[[#This Row],[Sales]]&gt;=40000,"Best Sale", Table4[[#This Row],[Sales]]&gt;=20000,"Average Sale",Table4[[#This Row],[Sales]]&gt;0,"Poor Sale")</f>
        <v>Poor Sale</v>
      </c>
      <c r="M468" s="32" t="str" cm="1">
        <f t="array" ref="M468">_xlfn.IFS(Table4[[#This Row],[Sales]]&gt;=40000,"Best", Table4[[#This Row],[Sales]]&gt;=35000,"Average",Table4[[#This Row],[Sales]]&gt;0,"Poor")</f>
        <v>Poor</v>
      </c>
    </row>
    <row r="469" spans="1:13" x14ac:dyDescent="0.3">
      <c r="A469" s="18">
        <v>468</v>
      </c>
      <c r="B469" s="19">
        <v>45137</v>
      </c>
      <c r="C469" s="20" t="s">
        <v>37</v>
      </c>
      <c r="D469" s="20" t="s">
        <v>27</v>
      </c>
      <c r="E469" s="20" t="s">
        <v>20</v>
      </c>
      <c r="F469" s="20" t="s">
        <v>24</v>
      </c>
      <c r="G469" s="20" t="s">
        <v>28</v>
      </c>
      <c r="H469" s="21">
        <v>16069.37</v>
      </c>
      <c r="I469" s="20">
        <v>2</v>
      </c>
      <c r="J469" s="22">
        <v>3976.35</v>
      </c>
      <c r="K469" s="20" t="str">
        <f>IF(Table4[[#This Row],[Sales]]&gt;=40000,"BEST SALE","POOR SALE")</f>
        <v>POOR SALE</v>
      </c>
      <c r="L469" s="30" t="str" cm="1">
        <f t="array" ref="L469">_xlfn.IFS(Table4[[#This Row],[Sales]]&gt;=40000,"Best Sale", Table4[[#This Row],[Sales]]&gt;=20000,"Average Sale",Table4[[#This Row],[Sales]]&gt;0,"Poor Sale")</f>
        <v>Poor Sale</v>
      </c>
      <c r="M469" s="32" t="str" cm="1">
        <f t="array" ref="M469">_xlfn.IFS(Table4[[#This Row],[Sales]]&gt;=40000,"Best", Table4[[#This Row],[Sales]]&gt;=35000,"Average",Table4[[#This Row],[Sales]]&gt;0,"Poor")</f>
        <v>Poor</v>
      </c>
    </row>
    <row r="470" spans="1:13" x14ac:dyDescent="0.3">
      <c r="A470" s="13">
        <v>469</v>
      </c>
      <c r="B470" s="14">
        <v>45213</v>
      </c>
      <c r="C470" s="15" t="s">
        <v>30</v>
      </c>
      <c r="D470" s="15" t="s">
        <v>16</v>
      </c>
      <c r="E470" s="15" t="s">
        <v>20</v>
      </c>
      <c r="F470" s="15" t="s">
        <v>13</v>
      </c>
      <c r="G470" s="15" t="s">
        <v>21</v>
      </c>
      <c r="H470" s="16">
        <v>13770.88</v>
      </c>
      <c r="I470" s="15">
        <v>9</v>
      </c>
      <c r="J470" s="17">
        <v>1110.72</v>
      </c>
      <c r="K470" s="20" t="str">
        <f>IF(Table4[[#This Row],[Sales]]&gt;=40000,"BEST SALE","POOR SALE")</f>
        <v>POOR SALE</v>
      </c>
      <c r="L470" s="30" t="str" cm="1">
        <f t="array" ref="L470">_xlfn.IFS(Table4[[#This Row],[Sales]]&gt;=40000,"Best Sale", Table4[[#This Row],[Sales]]&gt;=20000,"Average Sale",Table4[[#This Row],[Sales]]&gt;0,"Poor Sale")</f>
        <v>Poor Sale</v>
      </c>
      <c r="M470" s="32" t="str" cm="1">
        <f t="array" ref="M470">_xlfn.IFS(Table4[[#This Row],[Sales]]&gt;=40000,"Best", Table4[[#This Row],[Sales]]&gt;=35000,"Average",Table4[[#This Row],[Sales]]&gt;0,"Poor")</f>
        <v>Poor</v>
      </c>
    </row>
    <row r="471" spans="1:13" x14ac:dyDescent="0.3">
      <c r="A471" s="18">
        <v>470</v>
      </c>
      <c r="B471" s="19">
        <v>45016</v>
      </c>
      <c r="C471" s="20" t="s">
        <v>37</v>
      </c>
      <c r="D471" s="20" t="s">
        <v>27</v>
      </c>
      <c r="E471" s="20" t="s">
        <v>12</v>
      </c>
      <c r="F471" s="20" t="s">
        <v>24</v>
      </c>
      <c r="G471" s="20" t="s">
        <v>29</v>
      </c>
      <c r="H471" s="21">
        <v>24821.75</v>
      </c>
      <c r="I471" s="20">
        <v>4</v>
      </c>
      <c r="J471" s="22">
        <v>4789.5600000000004</v>
      </c>
      <c r="K471" s="20" t="str">
        <f>IF(Table4[[#This Row],[Sales]]&gt;=40000,"BEST SALE","POOR SALE")</f>
        <v>POOR SALE</v>
      </c>
      <c r="L471" s="30" t="str" cm="1">
        <f t="array" ref="L471">_xlfn.IFS(Table4[[#This Row],[Sales]]&gt;=40000,"Best Sale", Table4[[#This Row],[Sales]]&gt;=20000,"Average Sale",Table4[[#This Row],[Sales]]&gt;0,"Poor Sale")</f>
        <v>Average Sale</v>
      </c>
      <c r="M471" s="32" t="str" cm="1">
        <f t="array" ref="M471">_xlfn.IFS(Table4[[#This Row],[Sales]]&gt;=40000,"Best", Table4[[#This Row],[Sales]]&gt;=35000,"Average",Table4[[#This Row],[Sales]]&gt;0,"Poor")</f>
        <v>Poor</v>
      </c>
    </row>
    <row r="472" spans="1:13" x14ac:dyDescent="0.3">
      <c r="A472" s="13">
        <v>471</v>
      </c>
      <c r="B472" s="14">
        <v>45038</v>
      </c>
      <c r="C472" s="15" t="s">
        <v>15</v>
      </c>
      <c r="D472" s="15" t="s">
        <v>16</v>
      </c>
      <c r="E472" s="15" t="s">
        <v>17</v>
      </c>
      <c r="F472" s="15" t="s">
        <v>13</v>
      </c>
      <c r="G472" s="15" t="s">
        <v>14</v>
      </c>
      <c r="H472" s="16">
        <v>19819</v>
      </c>
      <c r="I472" s="15">
        <v>9</v>
      </c>
      <c r="J472" s="17">
        <v>4493.47</v>
      </c>
      <c r="K472" s="20" t="str">
        <f>IF(Table4[[#This Row],[Sales]]&gt;=40000,"BEST SALE","POOR SALE")</f>
        <v>POOR SALE</v>
      </c>
      <c r="L472" s="30" t="str" cm="1">
        <f t="array" ref="L472">_xlfn.IFS(Table4[[#This Row],[Sales]]&gt;=40000,"Best Sale", Table4[[#This Row],[Sales]]&gt;=20000,"Average Sale",Table4[[#This Row],[Sales]]&gt;0,"Poor Sale")</f>
        <v>Poor Sale</v>
      </c>
      <c r="M472" s="32" t="str" cm="1">
        <f t="array" ref="M472">_xlfn.IFS(Table4[[#This Row],[Sales]]&gt;=40000,"Best", Table4[[#This Row],[Sales]]&gt;=35000,"Average",Table4[[#This Row],[Sales]]&gt;0,"Poor")</f>
        <v>Poor</v>
      </c>
    </row>
    <row r="473" spans="1:13" x14ac:dyDescent="0.3">
      <c r="A473" s="18">
        <v>472</v>
      </c>
      <c r="B473" s="19">
        <v>45211</v>
      </c>
      <c r="C473" s="20" t="s">
        <v>37</v>
      </c>
      <c r="D473" s="20" t="s">
        <v>27</v>
      </c>
      <c r="E473" s="20" t="s">
        <v>12</v>
      </c>
      <c r="F473" s="20" t="s">
        <v>13</v>
      </c>
      <c r="G473" s="20" t="s">
        <v>21</v>
      </c>
      <c r="H473" s="21">
        <v>7807.18</v>
      </c>
      <c r="I473" s="20">
        <v>9</v>
      </c>
      <c r="J473" s="22">
        <v>893.09</v>
      </c>
      <c r="K473" s="20" t="str">
        <f>IF(Table4[[#This Row],[Sales]]&gt;=40000,"BEST SALE","POOR SALE")</f>
        <v>POOR SALE</v>
      </c>
      <c r="L473" s="30" t="str" cm="1">
        <f t="array" ref="L473">_xlfn.IFS(Table4[[#This Row],[Sales]]&gt;=40000,"Best Sale", Table4[[#This Row],[Sales]]&gt;=20000,"Average Sale",Table4[[#This Row],[Sales]]&gt;0,"Poor Sale")</f>
        <v>Poor Sale</v>
      </c>
      <c r="M473" s="32" t="str" cm="1">
        <f t="array" ref="M473">_xlfn.IFS(Table4[[#This Row],[Sales]]&gt;=40000,"Best", Table4[[#This Row],[Sales]]&gt;=35000,"Average",Table4[[#This Row],[Sales]]&gt;0,"Poor")</f>
        <v>Poor</v>
      </c>
    </row>
    <row r="474" spans="1:13" x14ac:dyDescent="0.3">
      <c r="A474" s="13">
        <v>473</v>
      </c>
      <c r="B474" s="14">
        <v>45158</v>
      </c>
      <c r="C474" s="15" t="s">
        <v>35</v>
      </c>
      <c r="D474" s="15" t="s">
        <v>36</v>
      </c>
      <c r="E474" s="15" t="s">
        <v>17</v>
      </c>
      <c r="F474" s="15" t="s">
        <v>13</v>
      </c>
      <c r="G474" s="15" t="s">
        <v>14</v>
      </c>
      <c r="H474" s="16">
        <v>29187.5</v>
      </c>
      <c r="I474" s="15">
        <v>3</v>
      </c>
      <c r="J474" s="17">
        <v>2048.9699999999998</v>
      </c>
      <c r="K474" s="20" t="str">
        <f>IF(Table4[[#This Row],[Sales]]&gt;=40000,"BEST SALE","POOR SALE")</f>
        <v>POOR SALE</v>
      </c>
      <c r="L474" s="30" t="str" cm="1">
        <f t="array" ref="L474">_xlfn.IFS(Table4[[#This Row],[Sales]]&gt;=40000,"Best Sale", Table4[[#This Row],[Sales]]&gt;=20000,"Average Sale",Table4[[#This Row],[Sales]]&gt;0,"Poor Sale")</f>
        <v>Average Sale</v>
      </c>
      <c r="M474" s="32" t="str" cm="1">
        <f t="array" ref="M474">_xlfn.IFS(Table4[[#This Row],[Sales]]&gt;=40000,"Best", Table4[[#This Row],[Sales]]&gt;=35000,"Average",Table4[[#This Row],[Sales]]&gt;0,"Poor")</f>
        <v>Poor</v>
      </c>
    </row>
    <row r="475" spans="1:13" x14ac:dyDescent="0.3">
      <c r="A475" s="18">
        <v>474</v>
      </c>
      <c r="B475" s="19">
        <v>45287</v>
      </c>
      <c r="C475" s="20" t="s">
        <v>10</v>
      </c>
      <c r="D475" s="20" t="s">
        <v>11</v>
      </c>
      <c r="E475" s="20" t="s">
        <v>20</v>
      </c>
      <c r="F475" s="20" t="s">
        <v>24</v>
      </c>
      <c r="G475" s="20" t="s">
        <v>28</v>
      </c>
      <c r="H475" s="21">
        <v>30736.28</v>
      </c>
      <c r="I475" s="20">
        <v>6</v>
      </c>
      <c r="J475" s="22">
        <v>6419.01</v>
      </c>
      <c r="K475" s="20" t="str">
        <f>IF(Table4[[#This Row],[Sales]]&gt;=40000,"BEST SALE","POOR SALE")</f>
        <v>POOR SALE</v>
      </c>
      <c r="L475" s="30" t="str" cm="1">
        <f t="array" ref="L475">_xlfn.IFS(Table4[[#This Row],[Sales]]&gt;=40000,"Best Sale", Table4[[#This Row],[Sales]]&gt;=20000,"Average Sale",Table4[[#This Row],[Sales]]&gt;0,"Poor Sale")</f>
        <v>Average Sale</v>
      </c>
      <c r="M475" s="32" t="str" cm="1">
        <f t="array" ref="M475">_xlfn.IFS(Table4[[#This Row],[Sales]]&gt;=40000,"Best", Table4[[#This Row],[Sales]]&gt;=35000,"Average",Table4[[#This Row],[Sales]]&gt;0,"Poor")</f>
        <v>Poor</v>
      </c>
    </row>
    <row r="476" spans="1:13" x14ac:dyDescent="0.3">
      <c r="A476" s="13">
        <v>475</v>
      </c>
      <c r="B476" s="14">
        <v>44988</v>
      </c>
      <c r="C476" s="15" t="s">
        <v>30</v>
      </c>
      <c r="D476" s="15" t="s">
        <v>16</v>
      </c>
      <c r="E476" s="15" t="s">
        <v>20</v>
      </c>
      <c r="F476" s="15" t="s">
        <v>24</v>
      </c>
      <c r="G476" s="15" t="s">
        <v>25</v>
      </c>
      <c r="H476" s="16">
        <v>14023.91</v>
      </c>
      <c r="I476" s="15">
        <v>7</v>
      </c>
      <c r="J476" s="17">
        <v>1687.3</v>
      </c>
      <c r="K476" s="20" t="str">
        <f>IF(Table4[[#This Row],[Sales]]&gt;=40000,"BEST SALE","POOR SALE")</f>
        <v>POOR SALE</v>
      </c>
      <c r="L476" s="30" t="str" cm="1">
        <f t="array" ref="L476">_xlfn.IFS(Table4[[#This Row],[Sales]]&gt;=40000,"Best Sale", Table4[[#This Row],[Sales]]&gt;=20000,"Average Sale",Table4[[#This Row],[Sales]]&gt;0,"Poor Sale")</f>
        <v>Poor Sale</v>
      </c>
      <c r="M476" s="32" t="str" cm="1">
        <f t="array" ref="M476">_xlfn.IFS(Table4[[#This Row],[Sales]]&gt;=40000,"Best", Table4[[#This Row],[Sales]]&gt;=35000,"Average",Table4[[#This Row],[Sales]]&gt;0,"Poor")</f>
        <v>Poor</v>
      </c>
    </row>
    <row r="477" spans="1:13" x14ac:dyDescent="0.3">
      <c r="A477" s="18">
        <v>476</v>
      </c>
      <c r="B477" s="19">
        <v>45029</v>
      </c>
      <c r="C477" s="20" t="s">
        <v>18</v>
      </c>
      <c r="D477" s="20" t="s">
        <v>19</v>
      </c>
      <c r="E477" s="20" t="s">
        <v>12</v>
      </c>
      <c r="F477" s="20" t="s">
        <v>24</v>
      </c>
      <c r="G477" s="20" t="s">
        <v>29</v>
      </c>
      <c r="H477" s="21">
        <v>16267.75</v>
      </c>
      <c r="I477" s="20">
        <v>3</v>
      </c>
      <c r="J477" s="22">
        <v>3928.17</v>
      </c>
      <c r="K477" s="20" t="str">
        <f>IF(Table4[[#This Row],[Sales]]&gt;=40000,"BEST SALE","POOR SALE")</f>
        <v>POOR SALE</v>
      </c>
      <c r="L477" s="30" t="str" cm="1">
        <f t="array" ref="L477">_xlfn.IFS(Table4[[#This Row],[Sales]]&gt;=40000,"Best Sale", Table4[[#This Row],[Sales]]&gt;=20000,"Average Sale",Table4[[#This Row],[Sales]]&gt;0,"Poor Sale")</f>
        <v>Poor Sale</v>
      </c>
      <c r="M477" s="32" t="str" cm="1">
        <f t="array" ref="M477">_xlfn.IFS(Table4[[#This Row],[Sales]]&gt;=40000,"Best", Table4[[#This Row],[Sales]]&gt;=35000,"Average",Table4[[#This Row],[Sales]]&gt;0,"Poor")</f>
        <v>Poor</v>
      </c>
    </row>
    <row r="478" spans="1:13" x14ac:dyDescent="0.3">
      <c r="A478" s="13">
        <v>477</v>
      </c>
      <c r="B478" s="14">
        <v>45129</v>
      </c>
      <c r="C478" s="15" t="s">
        <v>38</v>
      </c>
      <c r="D478" s="15" t="s">
        <v>27</v>
      </c>
      <c r="E478" s="15" t="s">
        <v>17</v>
      </c>
      <c r="F478" s="15" t="s">
        <v>31</v>
      </c>
      <c r="G478" s="15" t="s">
        <v>39</v>
      </c>
      <c r="H478" s="16">
        <v>17638.95</v>
      </c>
      <c r="I478" s="15">
        <v>1</v>
      </c>
      <c r="J478" s="17">
        <v>5267.64</v>
      </c>
      <c r="K478" s="20" t="str">
        <f>IF(Table4[[#This Row],[Sales]]&gt;=40000,"BEST SALE","POOR SALE")</f>
        <v>POOR SALE</v>
      </c>
      <c r="L478" s="30" t="str" cm="1">
        <f t="array" ref="L478">_xlfn.IFS(Table4[[#This Row],[Sales]]&gt;=40000,"Best Sale", Table4[[#This Row],[Sales]]&gt;=20000,"Average Sale",Table4[[#This Row],[Sales]]&gt;0,"Poor Sale")</f>
        <v>Poor Sale</v>
      </c>
      <c r="M478" s="32" t="str" cm="1">
        <f t="array" ref="M478">_xlfn.IFS(Table4[[#This Row],[Sales]]&gt;=40000,"Best", Table4[[#This Row],[Sales]]&gt;=35000,"Average",Table4[[#This Row],[Sales]]&gt;0,"Poor")</f>
        <v>Poor</v>
      </c>
    </row>
    <row r="479" spans="1:13" x14ac:dyDescent="0.3">
      <c r="A479" s="18">
        <v>478</v>
      </c>
      <c r="B479" s="19">
        <v>45019</v>
      </c>
      <c r="C479" s="20" t="s">
        <v>35</v>
      </c>
      <c r="D479" s="20" t="s">
        <v>36</v>
      </c>
      <c r="E479" s="20" t="s">
        <v>12</v>
      </c>
      <c r="F479" s="20" t="s">
        <v>31</v>
      </c>
      <c r="G479" s="20" t="s">
        <v>39</v>
      </c>
      <c r="H479" s="21">
        <v>4634.8100000000004</v>
      </c>
      <c r="I479" s="20">
        <v>5</v>
      </c>
      <c r="J479" s="22">
        <v>1129.28</v>
      </c>
      <c r="K479" s="20" t="str">
        <f>IF(Table4[[#This Row],[Sales]]&gt;=40000,"BEST SALE","POOR SALE")</f>
        <v>POOR SALE</v>
      </c>
      <c r="L479" s="30" t="str" cm="1">
        <f t="array" ref="L479">_xlfn.IFS(Table4[[#This Row],[Sales]]&gt;=40000,"Best Sale", Table4[[#This Row],[Sales]]&gt;=20000,"Average Sale",Table4[[#This Row],[Sales]]&gt;0,"Poor Sale")</f>
        <v>Poor Sale</v>
      </c>
      <c r="M479" s="32" t="str" cm="1">
        <f t="array" ref="M479">_xlfn.IFS(Table4[[#This Row],[Sales]]&gt;=40000,"Best", Table4[[#This Row],[Sales]]&gt;=35000,"Average",Table4[[#This Row],[Sales]]&gt;0,"Poor")</f>
        <v>Poor</v>
      </c>
    </row>
    <row r="480" spans="1:13" x14ac:dyDescent="0.3">
      <c r="A480" s="13">
        <v>479</v>
      </c>
      <c r="B480" s="14">
        <v>44994</v>
      </c>
      <c r="C480" s="15" t="s">
        <v>38</v>
      </c>
      <c r="D480" s="15" t="s">
        <v>27</v>
      </c>
      <c r="E480" s="15" t="s">
        <v>17</v>
      </c>
      <c r="F480" s="15" t="s">
        <v>31</v>
      </c>
      <c r="G480" s="15" t="s">
        <v>32</v>
      </c>
      <c r="H480" s="16">
        <v>38025.67</v>
      </c>
      <c r="I480" s="15">
        <v>8</v>
      </c>
      <c r="J480" s="17">
        <v>2827.8</v>
      </c>
      <c r="K480" s="20" t="str">
        <f>IF(Table4[[#This Row],[Sales]]&gt;=40000,"BEST SALE","POOR SALE")</f>
        <v>POOR SALE</v>
      </c>
      <c r="L480" s="30" t="str" cm="1">
        <f t="array" ref="L480">_xlfn.IFS(Table4[[#This Row],[Sales]]&gt;=40000,"Best Sale", Table4[[#This Row],[Sales]]&gt;=20000,"Average Sale",Table4[[#This Row],[Sales]]&gt;0,"Poor Sale")</f>
        <v>Average Sale</v>
      </c>
      <c r="M480" s="32" t="str" cm="1">
        <f t="array" ref="M480">_xlfn.IFS(Table4[[#This Row],[Sales]]&gt;=40000,"Best", Table4[[#This Row],[Sales]]&gt;=35000,"Average",Table4[[#This Row],[Sales]]&gt;0,"Poor")</f>
        <v>Average</v>
      </c>
    </row>
    <row r="481" spans="1:13" x14ac:dyDescent="0.3">
      <c r="A481" s="18">
        <v>480</v>
      </c>
      <c r="B481" s="19">
        <v>45024</v>
      </c>
      <c r="C481" s="20" t="s">
        <v>38</v>
      </c>
      <c r="D481" s="20" t="s">
        <v>27</v>
      </c>
      <c r="E481" s="20" t="s">
        <v>20</v>
      </c>
      <c r="F481" s="20" t="s">
        <v>13</v>
      </c>
      <c r="G481" s="20" t="s">
        <v>34</v>
      </c>
      <c r="H481" s="21">
        <v>2127.65</v>
      </c>
      <c r="I481" s="20">
        <v>9</v>
      </c>
      <c r="J481" s="22">
        <v>181.46</v>
      </c>
      <c r="K481" s="20" t="str">
        <f>IF(Table4[[#This Row],[Sales]]&gt;=40000,"BEST SALE","POOR SALE")</f>
        <v>POOR SALE</v>
      </c>
      <c r="L481" s="30" t="str" cm="1">
        <f t="array" ref="L481">_xlfn.IFS(Table4[[#This Row],[Sales]]&gt;=40000,"Best Sale", Table4[[#This Row],[Sales]]&gt;=20000,"Average Sale",Table4[[#This Row],[Sales]]&gt;0,"Poor Sale")</f>
        <v>Poor Sale</v>
      </c>
      <c r="M481" s="32" t="str" cm="1">
        <f t="array" ref="M481">_xlfn.IFS(Table4[[#This Row],[Sales]]&gt;=40000,"Best", Table4[[#This Row],[Sales]]&gt;=35000,"Average",Table4[[#This Row],[Sales]]&gt;0,"Poor")</f>
        <v>Poor</v>
      </c>
    </row>
    <row r="482" spans="1:13" x14ac:dyDescent="0.3">
      <c r="A482" s="13">
        <v>481</v>
      </c>
      <c r="B482" s="14">
        <v>44936</v>
      </c>
      <c r="C482" s="15" t="s">
        <v>37</v>
      </c>
      <c r="D482" s="15" t="s">
        <v>27</v>
      </c>
      <c r="E482" s="15" t="s">
        <v>20</v>
      </c>
      <c r="F482" s="15" t="s">
        <v>31</v>
      </c>
      <c r="G482" s="15" t="s">
        <v>33</v>
      </c>
      <c r="H482" s="16">
        <v>45815.93</v>
      </c>
      <c r="I482" s="15">
        <v>8</v>
      </c>
      <c r="J482" s="17">
        <v>2496.91</v>
      </c>
      <c r="K482" s="20" t="str">
        <f>IF(Table4[[#This Row],[Sales]]&gt;=40000,"BEST SALE","POOR SALE")</f>
        <v>BEST SALE</v>
      </c>
      <c r="L482" s="30" t="str" cm="1">
        <f t="array" ref="L482">_xlfn.IFS(Table4[[#This Row],[Sales]]&gt;=40000,"Best Sale", Table4[[#This Row],[Sales]]&gt;=20000,"Average Sale",Table4[[#This Row],[Sales]]&gt;0,"Poor Sale")</f>
        <v>Best Sale</v>
      </c>
      <c r="M482" s="32" t="str" cm="1">
        <f t="array" ref="M482">_xlfn.IFS(Table4[[#This Row],[Sales]]&gt;=40000,"Best", Table4[[#This Row],[Sales]]&gt;=35000,"Average",Table4[[#This Row],[Sales]]&gt;0,"Poor")</f>
        <v>Best</v>
      </c>
    </row>
    <row r="483" spans="1:13" x14ac:dyDescent="0.3">
      <c r="A483" s="18">
        <v>482</v>
      </c>
      <c r="B483" s="19">
        <v>45291</v>
      </c>
      <c r="C483" s="20" t="s">
        <v>22</v>
      </c>
      <c r="D483" s="20" t="s">
        <v>22</v>
      </c>
      <c r="E483" s="20" t="s">
        <v>12</v>
      </c>
      <c r="F483" s="20" t="s">
        <v>13</v>
      </c>
      <c r="G483" s="20" t="s">
        <v>14</v>
      </c>
      <c r="H483" s="21">
        <v>15944.17</v>
      </c>
      <c r="I483" s="20">
        <v>3</v>
      </c>
      <c r="J483" s="22">
        <v>1241.5</v>
      </c>
      <c r="K483" s="20" t="str">
        <f>IF(Table4[[#This Row],[Sales]]&gt;=40000,"BEST SALE","POOR SALE")</f>
        <v>POOR SALE</v>
      </c>
      <c r="L483" s="30" t="str" cm="1">
        <f t="array" ref="L483">_xlfn.IFS(Table4[[#This Row],[Sales]]&gt;=40000,"Best Sale", Table4[[#This Row],[Sales]]&gt;=20000,"Average Sale",Table4[[#This Row],[Sales]]&gt;0,"Poor Sale")</f>
        <v>Poor Sale</v>
      </c>
      <c r="M483" s="32" t="str" cm="1">
        <f t="array" ref="M483">_xlfn.IFS(Table4[[#This Row],[Sales]]&gt;=40000,"Best", Table4[[#This Row],[Sales]]&gt;=35000,"Average",Table4[[#This Row],[Sales]]&gt;0,"Poor")</f>
        <v>Poor</v>
      </c>
    </row>
    <row r="484" spans="1:13" x14ac:dyDescent="0.3">
      <c r="A484" s="13">
        <v>483</v>
      </c>
      <c r="B484" s="14">
        <v>45127</v>
      </c>
      <c r="C484" s="15" t="s">
        <v>30</v>
      </c>
      <c r="D484" s="15" t="s">
        <v>16</v>
      </c>
      <c r="E484" s="15" t="s">
        <v>17</v>
      </c>
      <c r="F484" s="15" t="s">
        <v>31</v>
      </c>
      <c r="G484" s="15" t="s">
        <v>39</v>
      </c>
      <c r="H484" s="16">
        <v>13865.4</v>
      </c>
      <c r="I484" s="15">
        <v>7</v>
      </c>
      <c r="J484" s="17">
        <v>1146.8599999999999</v>
      </c>
      <c r="K484" s="20" t="str">
        <f>IF(Table4[[#This Row],[Sales]]&gt;=40000,"BEST SALE","POOR SALE")</f>
        <v>POOR SALE</v>
      </c>
      <c r="L484" s="30" t="str" cm="1">
        <f t="array" ref="L484">_xlfn.IFS(Table4[[#This Row],[Sales]]&gt;=40000,"Best Sale", Table4[[#This Row],[Sales]]&gt;=20000,"Average Sale",Table4[[#This Row],[Sales]]&gt;0,"Poor Sale")</f>
        <v>Poor Sale</v>
      </c>
      <c r="M484" s="32" t="str" cm="1">
        <f t="array" ref="M484">_xlfn.IFS(Table4[[#This Row],[Sales]]&gt;=40000,"Best", Table4[[#This Row],[Sales]]&gt;=35000,"Average",Table4[[#This Row],[Sales]]&gt;0,"Poor")</f>
        <v>Poor</v>
      </c>
    </row>
    <row r="485" spans="1:13" x14ac:dyDescent="0.3">
      <c r="A485" s="18">
        <v>484</v>
      </c>
      <c r="B485" s="19">
        <v>45219</v>
      </c>
      <c r="C485" s="20" t="s">
        <v>10</v>
      </c>
      <c r="D485" s="20" t="s">
        <v>11</v>
      </c>
      <c r="E485" s="20" t="s">
        <v>12</v>
      </c>
      <c r="F485" s="20" t="s">
        <v>31</v>
      </c>
      <c r="G485" s="20" t="s">
        <v>33</v>
      </c>
      <c r="H485" s="21">
        <v>49401.07</v>
      </c>
      <c r="I485" s="20">
        <v>7</v>
      </c>
      <c r="J485" s="22">
        <v>13668.97</v>
      </c>
      <c r="K485" s="20" t="str">
        <f>IF(Table4[[#This Row],[Sales]]&gt;=40000,"BEST SALE","POOR SALE")</f>
        <v>BEST SALE</v>
      </c>
      <c r="L485" s="30" t="str" cm="1">
        <f t="array" ref="L485">_xlfn.IFS(Table4[[#This Row],[Sales]]&gt;=40000,"Best Sale", Table4[[#This Row],[Sales]]&gt;=20000,"Average Sale",Table4[[#This Row],[Sales]]&gt;0,"Poor Sale")</f>
        <v>Best Sale</v>
      </c>
      <c r="M485" s="32" t="str" cm="1">
        <f t="array" ref="M485">_xlfn.IFS(Table4[[#This Row],[Sales]]&gt;=40000,"Best", Table4[[#This Row],[Sales]]&gt;=35000,"Average",Table4[[#This Row],[Sales]]&gt;0,"Poor")</f>
        <v>Best</v>
      </c>
    </row>
    <row r="486" spans="1:13" x14ac:dyDescent="0.3">
      <c r="A486" s="13">
        <v>485</v>
      </c>
      <c r="B486" s="14">
        <v>45222</v>
      </c>
      <c r="C486" s="15" t="s">
        <v>38</v>
      </c>
      <c r="D486" s="15" t="s">
        <v>27</v>
      </c>
      <c r="E486" s="15" t="s">
        <v>17</v>
      </c>
      <c r="F486" s="15" t="s">
        <v>24</v>
      </c>
      <c r="G486" s="15" t="s">
        <v>28</v>
      </c>
      <c r="H486" s="16">
        <v>6564.48</v>
      </c>
      <c r="I486" s="15">
        <v>1</v>
      </c>
      <c r="J486" s="17">
        <v>522.54999999999995</v>
      </c>
      <c r="K486" s="20" t="str">
        <f>IF(Table4[[#This Row],[Sales]]&gt;=40000,"BEST SALE","POOR SALE")</f>
        <v>POOR SALE</v>
      </c>
      <c r="L486" s="30" t="str" cm="1">
        <f t="array" ref="L486">_xlfn.IFS(Table4[[#This Row],[Sales]]&gt;=40000,"Best Sale", Table4[[#This Row],[Sales]]&gt;=20000,"Average Sale",Table4[[#This Row],[Sales]]&gt;0,"Poor Sale")</f>
        <v>Poor Sale</v>
      </c>
      <c r="M486" s="32" t="str" cm="1">
        <f t="array" ref="M486">_xlfn.IFS(Table4[[#This Row],[Sales]]&gt;=40000,"Best", Table4[[#This Row],[Sales]]&gt;=35000,"Average",Table4[[#This Row],[Sales]]&gt;0,"Poor")</f>
        <v>Poor</v>
      </c>
    </row>
    <row r="487" spans="1:13" x14ac:dyDescent="0.3">
      <c r="A487" s="18">
        <v>486</v>
      </c>
      <c r="B487" s="19">
        <v>45109</v>
      </c>
      <c r="C487" s="20" t="s">
        <v>37</v>
      </c>
      <c r="D487" s="20" t="s">
        <v>27</v>
      </c>
      <c r="E487" s="20" t="s">
        <v>20</v>
      </c>
      <c r="F487" s="20" t="s">
        <v>13</v>
      </c>
      <c r="G487" s="20" t="s">
        <v>14</v>
      </c>
      <c r="H487" s="21">
        <v>5283.9</v>
      </c>
      <c r="I487" s="20">
        <v>9</v>
      </c>
      <c r="J487" s="22">
        <v>1226.3399999999999</v>
      </c>
      <c r="K487" s="20" t="str">
        <f>IF(Table4[[#This Row],[Sales]]&gt;=40000,"BEST SALE","POOR SALE")</f>
        <v>POOR SALE</v>
      </c>
      <c r="L487" s="30" t="str" cm="1">
        <f t="array" ref="L487">_xlfn.IFS(Table4[[#This Row],[Sales]]&gt;=40000,"Best Sale", Table4[[#This Row],[Sales]]&gt;=20000,"Average Sale",Table4[[#This Row],[Sales]]&gt;0,"Poor Sale")</f>
        <v>Poor Sale</v>
      </c>
      <c r="M487" s="32" t="str" cm="1">
        <f t="array" ref="M487">_xlfn.IFS(Table4[[#This Row],[Sales]]&gt;=40000,"Best", Table4[[#This Row],[Sales]]&gt;=35000,"Average",Table4[[#This Row],[Sales]]&gt;0,"Poor")</f>
        <v>Poor</v>
      </c>
    </row>
    <row r="488" spans="1:13" x14ac:dyDescent="0.3">
      <c r="A488" s="13">
        <v>487</v>
      </c>
      <c r="B488" s="14">
        <v>45011</v>
      </c>
      <c r="C488" s="15" t="s">
        <v>15</v>
      </c>
      <c r="D488" s="15" t="s">
        <v>16</v>
      </c>
      <c r="E488" s="15" t="s">
        <v>20</v>
      </c>
      <c r="F488" s="15" t="s">
        <v>24</v>
      </c>
      <c r="G488" s="15" t="s">
        <v>29</v>
      </c>
      <c r="H488" s="16">
        <v>36607.199999999997</v>
      </c>
      <c r="I488" s="15">
        <v>7</v>
      </c>
      <c r="J488" s="17">
        <v>3454.39</v>
      </c>
      <c r="K488" s="20" t="str">
        <f>IF(Table4[[#This Row],[Sales]]&gt;=40000,"BEST SALE","POOR SALE")</f>
        <v>POOR SALE</v>
      </c>
      <c r="L488" s="30" t="str" cm="1">
        <f t="array" ref="L488">_xlfn.IFS(Table4[[#This Row],[Sales]]&gt;=40000,"Best Sale", Table4[[#This Row],[Sales]]&gt;=20000,"Average Sale",Table4[[#This Row],[Sales]]&gt;0,"Poor Sale")</f>
        <v>Average Sale</v>
      </c>
      <c r="M488" s="32" t="str" cm="1">
        <f t="array" ref="M488">_xlfn.IFS(Table4[[#This Row],[Sales]]&gt;=40000,"Best", Table4[[#This Row],[Sales]]&gt;=35000,"Average",Table4[[#This Row],[Sales]]&gt;0,"Poor")</f>
        <v>Average</v>
      </c>
    </row>
    <row r="489" spans="1:13" x14ac:dyDescent="0.3">
      <c r="A489" s="18">
        <v>488</v>
      </c>
      <c r="B489" s="19">
        <v>44986</v>
      </c>
      <c r="C489" s="20" t="s">
        <v>37</v>
      </c>
      <c r="D489" s="20" t="s">
        <v>27</v>
      </c>
      <c r="E489" s="20" t="s">
        <v>12</v>
      </c>
      <c r="F489" s="20" t="s">
        <v>24</v>
      </c>
      <c r="G489" s="20" t="s">
        <v>28</v>
      </c>
      <c r="H489" s="21">
        <v>17654.32</v>
      </c>
      <c r="I489" s="20">
        <v>9</v>
      </c>
      <c r="J489" s="22">
        <v>1231.93</v>
      </c>
      <c r="K489" s="20" t="str">
        <f>IF(Table4[[#This Row],[Sales]]&gt;=40000,"BEST SALE","POOR SALE")</f>
        <v>POOR SALE</v>
      </c>
      <c r="L489" s="30" t="str" cm="1">
        <f t="array" ref="L489">_xlfn.IFS(Table4[[#This Row],[Sales]]&gt;=40000,"Best Sale", Table4[[#This Row],[Sales]]&gt;=20000,"Average Sale",Table4[[#This Row],[Sales]]&gt;0,"Poor Sale")</f>
        <v>Poor Sale</v>
      </c>
      <c r="M489" s="32" t="str" cm="1">
        <f t="array" ref="M489">_xlfn.IFS(Table4[[#This Row],[Sales]]&gt;=40000,"Best", Table4[[#This Row],[Sales]]&gt;=35000,"Average",Table4[[#This Row],[Sales]]&gt;0,"Poor")</f>
        <v>Poor</v>
      </c>
    </row>
    <row r="490" spans="1:13" x14ac:dyDescent="0.3">
      <c r="A490" s="13">
        <v>489</v>
      </c>
      <c r="B490" s="14">
        <v>45143</v>
      </c>
      <c r="C490" s="15" t="s">
        <v>26</v>
      </c>
      <c r="D490" s="15" t="s">
        <v>27</v>
      </c>
      <c r="E490" s="15" t="s">
        <v>17</v>
      </c>
      <c r="F490" s="15" t="s">
        <v>31</v>
      </c>
      <c r="G490" s="15" t="s">
        <v>39</v>
      </c>
      <c r="H490" s="16">
        <v>9433.0400000000009</v>
      </c>
      <c r="I490" s="15">
        <v>8</v>
      </c>
      <c r="J490" s="17">
        <v>2046</v>
      </c>
      <c r="K490" s="20" t="str">
        <f>IF(Table4[[#This Row],[Sales]]&gt;=40000,"BEST SALE","POOR SALE")</f>
        <v>POOR SALE</v>
      </c>
      <c r="L490" s="30" t="str" cm="1">
        <f t="array" ref="L490">_xlfn.IFS(Table4[[#This Row],[Sales]]&gt;=40000,"Best Sale", Table4[[#This Row],[Sales]]&gt;=20000,"Average Sale",Table4[[#This Row],[Sales]]&gt;0,"Poor Sale")</f>
        <v>Poor Sale</v>
      </c>
      <c r="M490" s="32" t="str" cm="1">
        <f t="array" ref="M490">_xlfn.IFS(Table4[[#This Row],[Sales]]&gt;=40000,"Best", Table4[[#This Row],[Sales]]&gt;=35000,"Average",Table4[[#This Row],[Sales]]&gt;0,"Poor")</f>
        <v>Poor</v>
      </c>
    </row>
    <row r="491" spans="1:13" x14ac:dyDescent="0.3">
      <c r="A491" s="18">
        <v>490</v>
      </c>
      <c r="B491" s="19">
        <v>45217</v>
      </c>
      <c r="C491" s="20" t="s">
        <v>37</v>
      </c>
      <c r="D491" s="20" t="s">
        <v>27</v>
      </c>
      <c r="E491" s="20" t="s">
        <v>12</v>
      </c>
      <c r="F491" s="20" t="s">
        <v>24</v>
      </c>
      <c r="G491" s="20" t="s">
        <v>28</v>
      </c>
      <c r="H491" s="21">
        <v>2839.73</v>
      </c>
      <c r="I491" s="20">
        <v>9</v>
      </c>
      <c r="J491" s="22">
        <v>780.48</v>
      </c>
      <c r="K491" s="20" t="str">
        <f>IF(Table4[[#This Row],[Sales]]&gt;=40000,"BEST SALE","POOR SALE")</f>
        <v>POOR SALE</v>
      </c>
      <c r="L491" s="30" t="str" cm="1">
        <f t="array" ref="L491">_xlfn.IFS(Table4[[#This Row],[Sales]]&gt;=40000,"Best Sale", Table4[[#This Row],[Sales]]&gt;=20000,"Average Sale",Table4[[#This Row],[Sales]]&gt;0,"Poor Sale")</f>
        <v>Poor Sale</v>
      </c>
      <c r="M491" s="32" t="str" cm="1">
        <f t="array" ref="M491">_xlfn.IFS(Table4[[#This Row],[Sales]]&gt;=40000,"Best", Table4[[#This Row],[Sales]]&gt;=35000,"Average",Table4[[#This Row],[Sales]]&gt;0,"Poor")</f>
        <v>Poor</v>
      </c>
    </row>
    <row r="492" spans="1:13" x14ac:dyDescent="0.3">
      <c r="A492" s="13">
        <v>491</v>
      </c>
      <c r="B492" s="14">
        <v>45187</v>
      </c>
      <c r="C492" s="15" t="s">
        <v>26</v>
      </c>
      <c r="D492" s="15" t="s">
        <v>27</v>
      </c>
      <c r="E492" s="15" t="s">
        <v>17</v>
      </c>
      <c r="F492" s="15" t="s">
        <v>31</v>
      </c>
      <c r="G492" s="15" t="s">
        <v>39</v>
      </c>
      <c r="H492" s="16">
        <v>37729.72</v>
      </c>
      <c r="I492" s="15">
        <v>8</v>
      </c>
      <c r="J492" s="17">
        <v>7417.54</v>
      </c>
      <c r="K492" s="20" t="str">
        <f>IF(Table4[[#This Row],[Sales]]&gt;=40000,"BEST SALE","POOR SALE")</f>
        <v>POOR SALE</v>
      </c>
      <c r="L492" s="30" t="str" cm="1">
        <f t="array" ref="L492">_xlfn.IFS(Table4[[#This Row],[Sales]]&gt;=40000,"Best Sale", Table4[[#This Row],[Sales]]&gt;=20000,"Average Sale",Table4[[#This Row],[Sales]]&gt;0,"Poor Sale")</f>
        <v>Average Sale</v>
      </c>
      <c r="M492" s="32" t="str" cm="1">
        <f t="array" ref="M492">_xlfn.IFS(Table4[[#This Row],[Sales]]&gt;=40000,"Best", Table4[[#This Row],[Sales]]&gt;=35000,"Average",Table4[[#This Row],[Sales]]&gt;0,"Poor")</f>
        <v>Average</v>
      </c>
    </row>
    <row r="493" spans="1:13" x14ac:dyDescent="0.3">
      <c r="A493" s="18">
        <v>492</v>
      </c>
      <c r="B493" s="19">
        <v>45082</v>
      </c>
      <c r="C493" s="20" t="s">
        <v>35</v>
      </c>
      <c r="D493" s="20" t="s">
        <v>36</v>
      </c>
      <c r="E493" s="20" t="s">
        <v>20</v>
      </c>
      <c r="F493" s="20" t="s">
        <v>13</v>
      </c>
      <c r="G493" s="20" t="s">
        <v>14</v>
      </c>
      <c r="H493" s="21">
        <v>42195.65</v>
      </c>
      <c r="I493" s="20">
        <v>8</v>
      </c>
      <c r="J493" s="22">
        <v>7879.74</v>
      </c>
      <c r="K493" s="20" t="str">
        <f>IF(Table4[[#This Row],[Sales]]&gt;=40000,"BEST SALE","POOR SALE")</f>
        <v>BEST SALE</v>
      </c>
      <c r="L493" s="30" t="str" cm="1">
        <f t="array" ref="L493">_xlfn.IFS(Table4[[#This Row],[Sales]]&gt;=40000,"Best Sale", Table4[[#This Row],[Sales]]&gt;=20000,"Average Sale",Table4[[#This Row],[Sales]]&gt;0,"Poor Sale")</f>
        <v>Best Sale</v>
      </c>
      <c r="M493" s="32" t="str" cm="1">
        <f t="array" ref="M493">_xlfn.IFS(Table4[[#This Row],[Sales]]&gt;=40000,"Best", Table4[[#This Row],[Sales]]&gt;=35000,"Average",Table4[[#This Row],[Sales]]&gt;0,"Poor")</f>
        <v>Best</v>
      </c>
    </row>
    <row r="494" spans="1:13" x14ac:dyDescent="0.3">
      <c r="A494" s="13">
        <v>493</v>
      </c>
      <c r="B494" s="14">
        <v>45163</v>
      </c>
      <c r="C494" s="15" t="s">
        <v>18</v>
      </c>
      <c r="D494" s="15" t="s">
        <v>19</v>
      </c>
      <c r="E494" s="15" t="s">
        <v>20</v>
      </c>
      <c r="F494" s="15" t="s">
        <v>24</v>
      </c>
      <c r="G494" s="15" t="s">
        <v>28</v>
      </c>
      <c r="H494" s="16">
        <v>43878.42</v>
      </c>
      <c r="I494" s="15">
        <v>7</v>
      </c>
      <c r="J494" s="17">
        <v>6784.49</v>
      </c>
      <c r="K494" s="20" t="str">
        <f>IF(Table4[[#This Row],[Sales]]&gt;=40000,"BEST SALE","POOR SALE")</f>
        <v>BEST SALE</v>
      </c>
      <c r="L494" s="30" t="str" cm="1">
        <f t="array" ref="L494">_xlfn.IFS(Table4[[#This Row],[Sales]]&gt;=40000,"Best Sale", Table4[[#This Row],[Sales]]&gt;=20000,"Average Sale",Table4[[#This Row],[Sales]]&gt;0,"Poor Sale")</f>
        <v>Best Sale</v>
      </c>
      <c r="M494" s="32" t="str" cm="1">
        <f t="array" ref="M494">_xlfn.IFS(Table4[[#This Row],[Sales]]&gt;=40000,"Best", Table4[[#This Row],[Sales]]&gt;=35000,"Average",Table4[[#This Row],[Sales]]&gt;0,"Poor")</f>
        <v>Best</v>
      </c>
    </row>
    <row r="495" spans="1:13" x14ac:dyDescent="0.3">
      <c r="A495" s="18">
        <v>494</v>
      </c>
      <c r="B495" s="19">
        <v>45203</v>
      </c>
      <c r="C495" s="20" t="s">
        <v>22</v>
      </c>
      <c r="D495" s="20" t="s">
        <v>22</v>
      </c>
      <c r="E495" s="20" t="s">
        <v>12</v>
      </c>
      <c r="F495" s="20" t="s">
        <v>24</v>
      </c>
      <c r="G495" s="20" t="s">
        <v>29</v>
      </c>
      <c r="H495" s="21">
        <v>38660.239999999998</v>
      </c>
      <c r="I495" s="20">
        <v>10</v>
      </c>
      <c r="J495" s="22">
        <v>4376.5</v>
      </c>
      <c r="K495" s="20" t="str">
        <f>IF(Table4[[#This Row],[Sales]]&gt;=40000,"BEST SALE","POOR SALE")</f>
        <v>POOR SALE</v>
      </c>
      <c r="L495" s="30" t="str" cm="1">
        <f t="array" ref="L495">_xlfn.IFS(Table4[[#This Row],[Sales]]&gt;=40000,"Best Sale", Table4[[#This Row],[Sales]]&gt;=20000,"Average Sale",Table4[[#This Row],[Sales]]&gt;0,"Poor Sale")</f>
        <v>Average Sale</v>
      </c>
      <c r="M495" s="32" t="str" cm="1">
        <f t="array" ref="M495">_xlfn.IFS(Table4[[#This Row],[Sales]]&gt;=40000,"Best", Table4[[#This Row],[Sales]]&gt;=35000,"Average",Table4[[#This Row],[Sales]]&gt;0,"Poor")</f>
        <v>Average</v>
      </c>
    </row>
    <row r="496" spans="1:13" x14ac:dyDescent="0.3">
      <c r="A496" s="13">
        <v>495</v>
      </c>
      <c r="B496" s="14">
        <v>45086</v>
      </c>
      <c r="C496" s="15" t="s">
        <v>38</v>
      </c>
      <c r="D496" s="15" t="s">
        <v>27</v>
      </c>
      <c r="E496" s="15" t="s">
        <v>17</v>
      </c>
      <c r="F496" s="15" t="s">
        <v>31</v>
      </c>
      <c r="G496" s="15" t="s">
        <v>32</v>
      </c>
      <c r="H496" s="16">
        <v>21116.26</v>
      </c>
      <c r="I496" s="15">
        <v>4</v>
      </c>
      <c r="J496" s="17">
        <v>5256.29</v>
      </c>
      <c r="K496" s="20" t="str">
        <f>IF(Table4[[#This Row],[Sales]]&gt;=40000,"BEST SALE","POOR SALE")</f>
        <v>POOR SALE</v>
      </c>
      <c r="L496" s="30" t="str" cm="1">
        <f t="array" ref="L496">_xlfn.IFS(Table4[[#This Row],[Sales]]&gt;=40000,"Best Sale", Table4[[#This Row],[Sales]]&gt;=20000,"Average Sale",Table4[[#This Row],[Sales]]&gt;0,"Poor Sale")</f>
        <v>Average Sale</v>
      </c>
      <c r="M496" s="32" t="str" cm="1">
        <f t="array" ref="M496">_xlfn.IFS(Table4[[#This Row],[Sales]]&gt;=40000,"Best", Table4[[#This Row],[Sales]]&gt;=35000,"Average",Table4[[#This Row],[Sales]]&gt;0,"Poor")</f>
        <v>Poor</v>
      </c>
    </row>
    <row r="497" spans="1:13" x14ac:dyDescent="0.3">
      <c r="A497" s="18">
        <v>496</v>
      </c>
      <c r="B497" s="19">
        <v>45079</v>
      </c>
      <c r="C497" s="20" t="s">
        <v>38</v>
      </c>
      <c r="D497" s="20" t="s">
        <v>27</v>
      </c>
      <c r="E497" s="20" t="s">
        <v>12</v>
      </c>
      <c r="F497" s="20" t="s">
        <v>24</v>
      </c>
      <c r="G497" s="20" t="s">
        <v>29</v>
      </c>
      <c r="H497" s="21">
        <v>4757.99</v>
      </c>
      <c r="I497" s="20">
        <v>10</v>
      </c>
      <c r="J497" s="22">
        <v>1164.3900000000001</v>
      </c>
      <c r="K497" s="20" t="str">
        <f>IF(Table4[[#This Row],[Sales]]&gt;=40000,"BEST SALE","POOR SALE")</f>
        <v>POOR SALE</v>
      </c>
      <c r="L497" s="30" t="str" cm="1">
        <f t="array" ref="L497">_xlfn.IFS(Table4[[#This Row],[Sales]]&gt;=40000,"Best Sale", Table4[[#This Row],[Sales]]&gt;=20000,"Average Sale",Table4[[#This Row],[Sales]]&gt;0,"Poor Sale")</f>
        <v>Poor Sale</v>
      </c>
      <c r="M497" s="32" t="str" cm="1">
        <f t="array" ref="M497">_xlfn.IFS(Table4[[#This Row],[Sales]]&gt;=40000,"Best", Table4[[#This Row],[Sales]]&gt;=35000,"Average",Table4[[#This Row],[Sales]]&gt;0,"Poor")</f>
        <v>Poor</v>
      </c>
    </row>
    <row r="498" spans="1:13" x14ac:dyDescent="0.3">
      <c r="A498" s="13">
        <v>497</v>
      </c>
      <c r="B498" s="14">
        <v>45195</v>
      </c>
      <c r="C498" s="15" t="s">
        <v>30</v>
      </c>
      <c r="D498" s="15" t="s">
        <v>16</v>
      </c>
      <c r="E498" s="15" t="s">
        <v>17</v>
      </c>
      <c r="F498" s="15" t="s">
        <v>31</v>
      </c>
      <c r="G498" s="15" t="s">
        <v>33</v>
      </c>
      <c r="H498" s="16">
        <v>8870.2800000000007</v>
      </c>
      <c r="I498" s="15">
        <v>2</v>
      </c>
      <c r="J498" s="17">
        <v>1105.6300000000001</v>
      </c>
      <c r="K498" s="20" t="str">
        <f>IF(Table4[[#This Row],[Sales]]&gt;=40000,"BEST SALE","POOR SALE")</f>
        <v>POOR SALE</v>
      </c>
      <c r="L498" s="30" t="str" cm="1">
        <f t="array" ref="L498">_xlfn.IFS(Table4[[#This Row],[Sales]]&gt;=40000,"Best Sale", Table4[[#This Row],[Sales]]&gt;=20000,"Average Sale",Table4[[#This Row],[Sales]]&gt;0,"Poor Sale")</f>
        <v>Poor Sale</v>
      </c>
      <c r="M498" s="32" t="str" cm="1">
        <f t="array" ref="M498">_xlfn.IFS(Table4[[#This Row],[Sales]]&gt;=40000,"Best", Table4[[#This Row],[Sales]]&gt;=35000,"Average",Table4[[#This Row],[Sales]]&gt;0,"Poor")</f>
        <v>Poor</v>
      </c>
    </row>
    <row r="499" spans="1:13" x14ac:dyDescent="0.3">
      <c r="A499" s="18">
        <v>498</v>
      </c>
      <c r="B499" s="19">
        <v>45252</v>
      </c>
      <c r="C499" s="20" t="s">
        <v>30</v>
      </c>
      <c r="D499" s="20" t="s">
        <v>16</v>
      </c>
      <c r="E499" s="20" t="s">
        <v>20</v>
      </c>
      <c r="F499" s="20" t="s">
        <v>31</v>
      </c>
      <c r="G499" s="20" t="s">
        <v>33</v>
      </c>
      <c r="H499" s="21">
        <v>46482.94</v>
      </c>
      <c r="I499" s="20">
        <v>10</v>
      </c>
      <c r="J499" s="22">
        <v>7712.88</v>
      </c>
      <c r="K499" s="20" t="str">
        <f>IF(Table4[[#This Row],[Sales]]&gt;=40000,"BEST SALE","POOR SALE")</f>
        <v>BEST SALE</v>
      </c>
      <c r="L499" s="30" t="str" cm="1">
        <f t="array" ref="L499">_xlfn.IFS(Table4[[#This Row],[Sales]]&gt;=40000,"Best Sale", Table4[[#This Row],[Sales]]&gt;=20000,"Average Sale",Table4[[#This Row],[Sales]]&gt;0,"Poor Sale")</f>
        <v>Best Sale</v>
      </c>
      <c r="M499" s="32" t="str" cm="1">
        <f t="array" ref="M499">_xlfn.IFS(Table4[[#This Row],[Sales]]&gt;=40000,"Best", Table4[[#This Row],[Sales]]&gt;=35000,"Average",Table4[[#This Row],[Sales]]&gt;0,"Poor")</f>
        <v>Best</v>
      </c>
    </row>
    <row r="500" spans="1:13" x14ac:dyDescent="0.3">
      <c r="A500" s="13">
        <v>499</v>
      </c>
      <c r="B500" s="14">
        <v>45042</v>
      </c>
      <c r="C500" s="15" t="s">
        <v>30</v>
      </c>
      <c r="D500" s="15" t="s">
        <v>16</v>
      </c>
      <c r="E500" s="15" t="s">
        <v>20</v>
      </c>
      <c r="F500" s="15" t="s">
        <v>13</v>
      </c>
      <c r="G500" s="15" t="s">
        <v>14</v>
      </c>
      <c r="H500" s="16">
        <v>43505.83</v>
      </c>
      <c r="I500" s="15">
        <v>7</v>
      </c>
      <c r="J500" s="17">
        <v>7809.91</v>
      </c>
      <c r="K500" s="20" t="str">
        <f>IF(Table4[[#This Row],[Sales]]&gt;=40000,"BEST SALE","POOR SALE")</f>
        <v>BEST SALE</v>
      </c>
      <c r="L500" s="30" t="str" cm="1">
        <f t="array" ref="L500">_xlfn.IFS(Table4[[#This Row],[Sales]]&gt;=40000,"Best Sale", Table4[[#This Row],[Sales]]&gt;=20000,"Average Sale",Table4[[#This Row],[Sales]]&gt;0,"Poor Sale")</f>
        <v>Best Sale</v>
      </c>
      <c r="M500" s="32" t="str" cm="1">
        <f t="array" ref="M500">_xlfn.IFS(Table4[[#This Row],[Sales]]&gt;=40000,"Best", Table4[[#This Row],[Sales]]&gt;=35000,"Average",Table4[[#This Row],[Sales]]&gt;0,"Poor")</f>
        <v>Best</v>
      </c>
    </row>
    <row r="501" spans="1:13" x14ac:dyDescent="0.3">
      <c r="A501" s="23">
        <v>500</v>
      </c>
      <c r="B501" s="24">
        <v>45224</v>
      </c>
      <c r="C501" s="25" t="s">
        <v>15</v>
      </c>
      <c r="D501" s="25" t="s">
        <v>16</v>
      </c>
      <c r="E501" s="25" t="s">
        <v>12</v>
      </c>
      <c r="F501" s="25" t="s">
        <v>31</v>
      </c>
      <c r="G501" s="25" t="s">
        <v>32</v>
      </c>
      <c r="H501" s="26">
        <v>33463.57</v>
      </c>
      <c r="I501" s="25">
        <v>6</v>
      </c>
      <c r="J501" s="27">
        <v>6469.01</v>
      </c>
      <c r="K501" s="25" t="str">
        <f>IF(Table4[[#This Row],[Sales]]&gt;=40000,"BEST SALE","POOR SALE")</f>
        <v>POOR SALE</v>
      </c>
      <c r="L501" s="30" t="str" cm="1">
        <f t="array" ref="L501">_xlfn.IFS(Table4[[#This Row],[Sales]]&gt;=40000,"Best Sale", Table4[[#This Row],[Sales]]&gt;=20000,"Average Sale",Table4[[#This Row],[Sales]]&gt;0,"Poor Sale")</f>
        <v>Average Sale</v>
      </c>
      <c r="M501" s="32" t="str" cm="1">
        <f t="array" ref="M501">_xlfn.IFS(Table4[[#This Row],[Sales]]&gt;=40000,"Best", Table4[[#This Row],[Sales]]&gt;=35000,"Average",Table4[[#This Row],[Sales]]&gt;0,"Poor")</f>
        <v>Poor</v>
      </c>
    </row>
    <row r="502" spans="1:13" x14ac:dyDescent="0.3">
      <c r="B502" s="1"/>
      <c r="H502" s="2"/>
      <c r="I502" s="2"/>
      <c r="J502" s="2"/>
      <c r="M502" s="2"/>
    </row>
  </sheetData>
  <mergeCells count="29">
    <mergeCell ref="P21:U21"/>
    <mergeCell ref="N37:W37"/>
    <mergeCell ref="N38:W38"/>
    <mergeCell ref="X17:Z17"/>
    <mergeCell ref="X16:Z16"/>
    <mergeCell ref="N35:W35"/>
    <mergeCell ref="N36:W36"/>
    <mergeCell ref="N30:W30"/>
    <mergeCell ref="N31:W31"/>
    <mergeCell ref="N32:W32"/>
    <mergeCell ref="N33:W33"/>
    <mergeCell ref="N34:W34"/>
    <mergeCell ref="Z36:AA36"/>
    <mergeCell ref="AB36:AC36"/>
    <mergeCell ref="W13:Z13"/>
    <mergeCell ref="W12:Z12"/>
    <mergeCell ref="W11:Z11"/>
    <mergeCell ref="P4:U4"/>
    <mergeCell ref="N11:S11"/>
    <mergeCell ref="N12:S12"/>
    <mergeCell ref="N13:S13"/>
    <mergeCell ref="N14:S14"/>
    <mergeCell ref="N29:W29"/>
    <mergeCell ref="N28:W28"/>
    <mergeCell ref="N27:W27"/>
    <mergeCell ref="N15:S15"/>
    <mergeCell ref="N16:S16"/>
    <mergeCell ref="N17:S17"/>
    <mergeCell ref="N18:S18"/>
  </mergeCells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Vishalsinh Mahida</dc:creator>
  <cp:lastModifiedBy>Prince Patel</cp:lastModifiedBy>
  <dcterms:created xsi:type="dcterms:W3CDTF">2026-05-10T16:08:44Z</dcterms:created>
  <dcterms:modified xsi:type="dcterms:W3CDTF">2026-05-14T09:49:09Z</dcterms:modified>
</cp:coreProperties>
</file>