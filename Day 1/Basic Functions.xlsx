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rince patel\Documents\Prelytix Internship\Day 1\"/>
    </mc:Choice>
  </mc:AlternateContent>
  <xr:revisionPtr revIDLastSave="0" documentId="13_ncr:1_{97770637-F8EE-411A-B2A8-BDF0A7EAB096}" xr6:coauthVersionLast="47" xr6:coauthVersionMax="47" xr10:uidLastSave="{00000000-0000-0000-0000-000000000000}"/>
  <bookViews>
    <workbookView xWindow="-108" yWindow="-108" windowWidth="23256" windowHeight="12456" xr2:uid="{74D63399-A806-4BC2-B42A-1EC48C5562D0}"/>
  </bookViews>
  <sheets>
    <sheet name="MAIN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1" i="1" l="1"/>
  <c r="R17" i="1"/>
  <c r="R16" i="1"/>
  <c r="R15" i="1"/>
  <c r="R14" i="1"/>
  <c r="R13" i="1"/>
  <c r="R12" i="1"/>
  <c r="R11" i="1"/>
  <c r="R10" i="1"/>
  <c r="V6" i="1"/>
  <c r="T6" i="1"/>
  <c r="R6" i="1"/>
  <c r="P6" i="1"/>
  <c r="N6" i="1"/>
  <c r="L6" i="1"/>
</calcChain>
</file>

<file path=xl/sharedStrings.xml><?xml version="1.0" encoding="utf-8"?>
<sst xmlns="http://schemas.openxmlformats.org/spreadsheetml/2006/main" count="2529" uniqueCount="59">
  <si>
    <t>Order_ID</t>
  </si>
  <si>
    <t>Date</t>
  </si>
  <si>
    <t>City</t>
  </si>
  <si>
    <t>State</t>
  </si>
  <si>
    <t>Region</t>
  </si>
  <si>
    <t>Category</t>
  </si>
  <si>
    <t>Product</t>
  </si>
  <si>
    <t>Sales</t>
  </si>
  <si>
    <t>Quantity</t>
  </si>
  <si>
    <t>Profit</t>
  </si>
  <si>
    <t>Jaipur</t>
  </si>
  <si>
    <t>Rajasthan</t>
  </si>
  <si>
    <t>South</t>
  </si>
  <si>
    <t>Electronics</t>
  </si>
  <si>
    <t>Mobile</t>
  </si>
  <si>
    <t>Pune</t>
  </si>
  <si>
    <t>Maharashtra</t>
  </si>
  <si>
    <t>East</t>
  </si>
  <si>
    <t>Chennai</t>
  </si>
  <si>
    <t>Tamil Nadu</t>
  </si>
  <si>
    <t>North</t>
  </si>
  <si>
    <t>Tablet</t>
  </si>
  <si>
    <t>Delhi</t>
  </si>
  <si>
    <t>West</t>
  </si>
  <si>
    <t>Furniture</t>
  </si>
  <si>
    <t>Sofa</t>
  </si>
  <si>
    <t>Ahmedabad</t>
  </si>
  <si>
    <t>Gujarat</t>
  </si>
  <si>
    <t>Table</t>
  </si>
  <si>
    <t>Chair</t>
  </si>
  <si>
    <t>Mumbai</t>
  </si>
  <si>
    <t>Clothing</t>
  </si>
  <si>
    <t>Jeans</t>
  </si>
  <si>
    <t>Shirt</t>
  </si>
  <si>
    <t>Laptop</t>
  </si>
  <si>
    <t>Bangalore</t>
  </si>
  <si>
    <t>Karnataka</t>
  </si>
  <si>
    <t>Surat</t>
  </si>
  <si>
    <t>Vadodara</t>
  </si>
  <si>
    <t>Jacket</t>
  </si>
  <si>
    <t>SUM</t>
  </si>
  <si>
    <t>MIN</t>
  </si>
  <si>
    <t>MAX</t>
  </si>
  <si>
    <t>COUNT</t>
  </si>
  <si>
    <t>BASIC FUNCTIONS</t>
  </si>
  <si>
    <t>AVERAGE</t>
  </si>
  <si>
    <t>IS BLANK</t>
  </si>
  <si>
    <t>2. Calculate Total Sales.</t>
  </si>
  <si>
    <t>1. Find Total Orders.</t>
  </si>
  <si>
    <t>3. Find Out Max Qnty</t>
  </si>
  <si>
    <t>4. Find Out Min Qnty</t>
  </si>
  <si>
    <t>5. Calculate Average Qnty</t>
  </si>
  <si>
    <t>6. Calculate Total Profit</t>
  </si>
  <si>
    <t>7. Calculate Average profit</t>
  </si>
  <si>
    <t>8. Findout Max Sales?</t>
  </si>
  <si>
    <t>Day 1 Task</t>
  </si>
  <si>
    <t>Name: Patel Prince Ashishkumar</t>
  </si>
  <si>
    <t>Mo. 9727395040</t>
  </si>
  <si>
    <t>ashishrp80@gmail.com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</si>
</sst>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1" xfId="0" applyBorder="1"/>
    <xf numFmtId="0" fontId="2" fillId="2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/>
    <xf numFmtId="0" fontId="3" fillId="0" borderId="0" xfId="0" applyFont="1"/>
    <xf numFmtId="0" fontId="5" fillId="0" borderId="0" xfId="2" applyFont="1"/>
    <xf numFmtId="0" fontId="2" fillId="2" borderId="0" xfId="1" applyFont="1" applyAlignment="1">
      <alignment horizontal="center"/>
    </xf>
    <xf numFmtId="0" fontId="1" fillId="2" borderId="1" xfId="1" applyBorder="1" applyAlignment="1">
      <alignment horizontal="left"/>
    </xf>
  </cellXfs>
  <cellStyles count="3">
    <cellStyle name="Good" xfId="1" builtinId="26"/>
    <cellStyle name="Hyperlink" xfId="2" builtinId="8"/>
    <cellStyle name="Normal" xfId="0" builtinId="0"/>
  </cellStyles>
  <dxfs count="3">
    <dxf>
      <numFmt numFmtId="1" formatCode="0"/>
    </dxf>
    <dxf>
      <numFmt numFmtId="1" formatCode="0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F97573-03E3-4E29-873E-A2F3B2A692E0}" name="Table1" displayName="Table1" ref="A1:J501" totalsRowShown="0">
  <autoFilter ref="A1:J501" xr:uid="{F4F97573-03E3-4E29-873E-A2F3B2A692E0}"/>
  <tableColumns count="10">
    <tableColumn id="1" xr3:uid="{BAF9D5B1-37F6-43E3-A24D-29CFAD189CC4}" name="Order_ID"/>
    <tableColumn id="2" xr3:uid="{D38193C6-17A6-45F5-A146-693BBB6BEE7E}" name="Date" dataDxfId="2"/>
    <tableColumn id="3" xr3:uid="{AE3A890F-75C7-4571-A927-C7DA73EE35B8}" name="City"/>
    <tableColumn id="4" xr3:uid="{305AA823-2210-4C29-8DD2-1D4EA03C3278}" name="State"/>
    <tableColumn id="5" xr3:uid="{0B81886B-259A-4D9F-A6FE-8D40359B17BA}" name="Region"/>
    <tableColumn id="6" xr3:uid="{463E86D4-48F8-465F-B259-CE42F5FBF5B8}" name="Category"/>
    <tableColumn id="7" xr3:uid="{FC5C5787-53B3-499A-82AF-842B603552B7}" name="Product"/>
    <tableColumn id="8" xr3:uid="{028AF0CF-43DC-42F1-9062-82035F197837}" name="Sales" dataDxfId="1"/>
    <tableColumn id="9" xr3:uid="{3C3B9184-01D9-4B5E-9BBF-448E650DBBC7}" name="Quantity"/>
    <tableColumn id="10" xr3:uid="{98A2514A-1C2C-4843-BCE3-AAD62AD44FC3}" name="Profi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shishrp8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7ABF2-7B5D-42CA-A96E-A0DF32920A41}">
  <sheetPr codeName="Sheet1"/>
  <dimension ref="A1:V501"/>
  <sheetViews>
    <sheetView tabSelected="1" zoomScale="94" workbookViewId="0">
      <selection activeCell="S10" sqref="S10"/>
    </sheetView>
  </sheetViews>
  <sheetFormatPr defaultRowHeight="14.4" x14ac:dyDescent="0.3"/>
  <cols>
    <col min="1" max="1" width="10.77734375" bestFit="1" customWidth="1"/>
    <col min="2" max="2" width="10.5546875" bestFit="1" customWidth="1"/>
    <col min="7" max="7" width="9.88671875" bestFit="1" customWidth="1"/>
    <col min="9" max="9" width="10.5546875" bestFit="1" customWidth="1"/>
    <col min="12" max="12" width="10.77734375" customWidth="1"/>
    <col min="15" max="15" width="10.77734375" bestFit="1" customWidth="1"/>
    <col min="18" max="18" width="12.77734375" bestFit="1" customWidth="1"/>
  </cols>
  <sheetData>
    <row r="1" spans="1:22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s="2" t="s">
        <v>9</v>
      </c>
    </row>
    <row r="2" spans="1:22" x14ac:dyDescent="0.3">
      <c r="A2">
        <v>1</v>
      </c>
      <c r="B2" s="1">
        <v>45197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2">
        <v>46482.46</v>
      </c>
      <c r="I2">
        <v>8</v>
      </c>
      <c r="J2" s="2">
        <v>12648.46</v>
      </c>
    </row>
    <row r="3" spans="1:22" x14ac:dyDescent="0.3">
      <c r="A3">
        <v>2</v>
      </c>
      <c r="B3" s="1">
        <v>45274</v>
      </c>
      <c r="C3" t="s">
        <v>15</v>
      </c>
      <c r="D3" t="s">
        <v>16</v>
      </c>
      <c r="E3" t="s">
        <v>17</v>
      </c>
      <c r="F3" t="s">
        <v>13</v>
      </c>
      <c r="G3" t="s">
        <v>14</v>
      </c>
      <c r="H3" s="2">
        <v>47951.42</v>
      </c>
      <c r="I3">
        <v>10</v>
      </c>
      <c r="J3" s="2">
        <v>9869.94</v>
      </c>
      <c r="N3" s="9" t="s">
        <v>44</v>
      </c>
      <c r="O3" s="9"/>
      <c r="P3" s="9"/>
      <c r="Q3" s="9"/>
      <c r="R3" s="9"/>
      <c r="S3" s="9"/>
    </row>
    <row r="4" spans="1:22" x14ac:dyDescent="0.3">
      <c r="A4">
        <v>3</v>
      </c>
      <c r="B4" s="1">
        <v>45136</v>
      </c>
      <c r="C4" t="s">
        <v>18</v>
      </c>
      <c r="D4" t="s">
        <v>19</v>
      </c>
      <c r="E4" t="s">
        <v>20</v>
      </c>
      <c r="F4" t="s">
        <v>13</v>
      </c>
      <c r="G4" t="s">
        <v>21</v>
      </c>
      <c r="H4" s="2">
        <v>24461.75</v>
      </c>
      <c r="I4">
        <v>3</v>
      </c>
      <c r="J4" s="2">
        <v>7086.73</v>
      </c>
    </row>
    <row r="5" spans="1:22" x14ac:dyDescent="0.3">
      <c r="A5">
        <v>4</v>
      </c>
      <c r="B5" s="1">
        <v>45044</v>
      </c>
      <c r="C5" t="s">
        <v>22</v>
      </c>
      <c r="D5" t="s">
        <v>22</v>
      </c>
      <c r="E5" t="s">
        <v>23</v>
      </c>
      <c r="F5" t="s">
        <v>24</v>
      </c>
      <c r="G5" t="s">
        <v>25</v>
      </c>
      <c r="H5" s="2">
        <v>11804.18</v>
      </c>
      <c r="I5">
        <v>5</v>
      </c>
      <c r="J5" s="2">
        <v>2281.2199999999998</v>
      </c>
      <c r="L5" s="4" t="s">
        <v>40</v>
      </c>
      <c r="N5" s="4" t="s">
        <v>41</v>
      </c>
      <c r="P5" s="4" t="s">
        <v>42</v>
      </c>
      <c r="R5" s="4" t="s">
        <v>45</v>
      </c>
      <c r="T5" s="4" t="s">
        <v>43</v>
      </c>
      <c r="V5" s="4" t="s">
        <v>46</v>
      </c>
    </row>
    <row r="6" spans="1:22" x14ac:dyDescent="0.3">
      <c r="A6">
        <v>5</v>
      </c>
      <c r="B6" s="1">
        <v>45175</v>
      </c>
      <c r="C6" t="s">
        <v>26</v>
      </c>
      <c r="D6" t="s">
        <v>27</v>
      </c>
      <c r="E6" t="s">
        <v>12</v>
      </c>
      <c r="F6" t="s">
        <v>24</v>
      </c>
      <c r="G6" t="s">
        <v>28</v>
      </c>
      <c r="H6" s="2">
        <v>32428.83</v>
      </c>
      <c r="I6">
        <v>7</v>
      </c>
      <c r="J6" s="2">
        <v>6931.45</v>
      </c>
      <c r="L6" s="6">
        <f>SUM(Table1[Sales])</f>
        <v>13647434.239999998</v>
      </c>
      <c r="N6" s="3">
        <f>MIN(Table1[Sales])</f>
        <v>1072.04</v>
      </c>
      <c r="P6" s="3">
        <f>MAX(Table1[Sales])</f>
        <v>555555</v>
      </c>
      <c r="R6" s="3">
        <f>AVERAGE(Table1[Sales])</f>
        <v>27294.868479999997</v>
      </c>
      <c r="T6" s="3">
        <f>COUNT(Table1[Sales])</f>
        <v>500</v>
      </c>
      <c r="V6" s="5" t="b">
        <f>ISBLANK(B3)</f>
        <v>0</v>
      </c>
    </row>
    <row r="7" spans="1:22" x14ac:dyDescent="0.3">
      <c r="A7">
        <v>6</v>
      </c>
      <c r="B7" s="1">
        <v>45004</v>
      </c>
      <c r="C7" t="s">
        <v>18</v>
      </c>
      <c r="D7" t="s">
        <v>19</v>
      </c>
      <c r="E7" t="s">
        <v>17</v>
      </c>
      <c r="F7" t="s">
        <v>24</v>
      </c>
      <c r="G7" t="s">
        <v>29</v>
      </c>
      <c r="H7" s="2">
        <v>25931.95</v>
      </c>
      <c r="I7">
        <v>4</v>
      </c>
      <c r="J7" s="2">
        <v>1541.8</v>
      </c>
    </row>
    <row r="8" spans="1:22" x14ac:dyDescent="0.3">
      <c r="A8">
        <v>7</v>
      </c>
      <c r="B8" s="1">
        <v>45258</v>
      </c>
      <c r="C8" t="s">
        <v>30</v>
      </c>
      <c r="D8" t="s">
        <v>16</v>
      </c>
      <c r="E8" t="s">
        <v>23</v>
      </c>
      <c r="F8" t="s">
        <v>24</v>
      </c>
      <c r="G8" t="s">
        <v>25</v>
      </c>
      <c r="H8" s="2">
        <v>15599.35</v>
      </c>
      <c r="I8">
        <v>4</v>
      </c>
      <c r="J8" s="2">
        <v>2837.29</v>
      </c>
    </row>
    <row r="9" spans="1:22" x14ac:dyDescent="0.3">
      <c r="A9">
        <v>8</v>
      </c>
      <c r="B9" s="1">
        <v>45165</v>
      </c>
      <c r="C9" t="s">
        <v>18</v>
      </c>
      <c r="D9" t="s">
        <v>19</v>
      </c>
      <c r="E9" t="s">
        <v>20</v>
      </c>
      <c r="F9" t="s">
        <v>31</v>
      </c>
      <c r="G9" t="s">
        <v>32</v>
      </c>
      <c r="H9" s="2">
        <v>31649</v>
      </c>
      <c r="I9">
        <v>5</v>
      </c>
      <c r="J9" s="2">
        <v>3646.09</v>
      </c>
    </row>
    <row r="10" spans="1:22" x14ac:dyDescent="0.3">
      <c r="A10">
        <v>9</v>
      </c>
      <c r="B10" s="1">
        <v>45027</v>
      </c>
      <c r="C10" t="s">
        <v>15</v>
      </c>
      <c r="D10" t="s">
        <v>16</v>
      </c>
      <c r="E10" t="s">
        <v>12</v>
      </c>
      <c r="F10" t="s">
        <v>24</v>
      </c>
      <c r="G10" t="s">
        <v>29</v>
      </c>
      <c r="H10" s="2">
        <v>555555</v>
      </c>
      <c r="I10">
        <v>7</v>
      </c>
      <c r="J10" s="2">
        <v>2025</v>
      </c>
      <c r="L10" s="10" t="s">
        <v>48</v>
      </c>
      <c r="M10" s="10"/>
      <c r="N10" s="10"/>
      <c r="O10" s="10"/>
      <c r="P10" s="10"/>
      <c r="Q10" s="10"/>
      <c r="R10" s="3">
        <f>COUNT(Table1[Order_ID])</f>
        <v>500</v>
      </c>
    </row>
    <row r="11" spans="1:22" x14ac:dyDescent="0.3">
      <c r="A11">
        <v>10</v>
      </c>
      <c r="B11" s="1">
        <v>45097</v>
      </c>
      <c r="C11" t="s">
        <v>30</v>
      </c>
      <c r="D11" t="s">
        <v>16</v>
      </c>
      <c r="E11" t="s">
        <v>17</v>
      </c>
      <c r="F11" t="s">
        <v>31</v>
      </c>
      <c r="G11" t="s">
        <v>33</v>
      </c>
      <c r="H11" s="2">
        <v>31852.71</v>
      </c>
      <c r="I11">
        <v>5</v>
      </c>
      <c r="J11" s="2">
        <v>9113.66</v>
      </c>
      <c r="L11" s="10" t="s">
        <v>47</v>
      </c>
      <c r="M11" s="10"/>
      <c r="N11" s="10"/>
      <c r="O11" s="10"/>
      <c r="P11" s="10"/>
      <c r="Q11" s="10"/>
      <c r="R11" s="6">
        <f>SUM(Table1[Sales])</f>
        <v>13647434.239999998</v>
      </c>
    </row>
    <row r="12" spans="1:22" x14ac:dyDescent="0.3">
      <c r="A12">
        <v>11</v>
      </c>
      <c r="B12" s="1">
        <v>45272</v>
      </c>
      <c r="C12" t="s">
        <v>22</v>
      </c>
      <c r="D12" t="s">
        <v>22</v>
      </c>
      <c r="E12" t="s">
        <v>23</v>
      </c>
      <c r="F12" t="s">
        <v>31</v>
      </c>
      <c r="G12" t="s">
        <v>32</v>
      </c>
      <c r="H12" s="2">
        <v>46127.15</v>
      </c>
      <c r="I12">
        <v>7</v>
      </c>
      <c r="J12" s="2">
        <v>12556.39</v>
      </c>
      <c r="L12" s="10" t="s">
        <v>49</v>
      </c>
      <c r="M12" s="10"/>
      <c r="N12" s="10"/>
      <c r="O12" s="10"/>
      <c r="P12" s="10"/>
      <c r="Q12" s="10"/>
      <c r="R12" s="3">
        <f>MAX(Table1[Quantity])</f>
        <v>10</v>
      </c>
    </row>
    <row r="13" spans="1:22" x14ac:dyDescent="0.3">
      <c r="A13">
        <v>12</v>
      </c>
      <c r="B13" s="1">
        <v>45123</v>
      </c>
      <c r="C13" t="s">
        <v>18</v>
      </c>
      <c r="D13" t="s">
        <v>19</v>
      </c>
      <c r="E13" t="s">
        <v>20</v>
      </c>
      <c r="F13" t="s">
        <v>13</v>
      </c>
      <c r="G13" t="s">
        <v>34</v>
      </c>
      <c r="H13" s="2">
        <v>16045.71</v>
      </c>
      <c r="I13">
        <v>10</v>
      </c>
      <c r="J13" s="2">
        <v>921.15</v>
      </c>
      <c r="L13" s="10" t="s">
        <v>50</v>
      </c>
      <c r="M13" s="10"/>
      <c r="N13" s="10"/>
      <c r="O13" s="10"/>
      <c r="P13" s="10"/>
      <c r="Q13" s="10"/>
      <c r="R13" s="3">
        <f>MIN(Table1[Quantity])</f>
        <v>1</v>
      </c>
    </row>
    <row r="14" spans="1:22" x14ac:dyDescent="0.3">
      <c r="A14">
        <v>13</v>
      </c>
      <c r="B14" s="1">
        <v>45004</v>
      </c>
      <c r="C14" t="s">
        <v>35</v>
      </c>
      <c r="D14" t="s">
        <v>36</v>
      </c>
      <c r="E14" t="s">
        <v>20</v>
      </c>
      <c r="F14" t="s">
        <v>31</v>
      </c>
      <c r="G14" t="s">
        <v>32</v>
      </c>
      <c r="H14" s="2">
        <v>17293.28</v>
      </c>
      <c r="I14">
        <v>3</v>
      </c>
      <c r="J14" s="2">
        <v>3755.05</v>
      </c>
      <c r="L14" s="10" t="s">
        <v>51</v>
      </c>
      <c r="M14" s="10"/>
      <c r="N14" s="10"/>
      <c r="O14" s="10"/>
      <c r="P14" s="10"/>
      <c r="Q14" s="10"/>
      <c r="R14" s="3">
        <f>AVERAGE(Table1[Quantity])</f>
        <v>5.4180000000000001</v>
      </c>
    </row>
    <row r="15" spans="1:22" x14ac:dyDescent="0.3">
      <c r="A15">
        <v>14</v>
      </c>
      <c r="B15" s="1">
        <v>45278</v>
      </c>
      <c r="C15" t="s">
        <v>37</v>
      </c>
      <c r="D15" t="s">
        <v>27</v>
      </c>
      <c r="E15" t="s">
        <v>12</v>
      </c>
      <c r="F15" t="s">
        <v>13</v>
      </c>
      <c r="G15" t="s">
        <v>34</v>
      </c>
      <c r="H15" s="2">
        <v>34137.550000000003</v>
      </c>
      <c r="I15">
        <v>4</v>
      </c>
      <c r="J15" s="2">
        <v>1912.63</v>
      </c>
      <c r="L15" s="10" t="s">
        <v>52</v>
      </c>
      <c r="M15" s="10"/>
      <c r="N15" s="10"/>
      <c r="O15" s="10"/>
      <c r="P15" s="10"/>
      <c r="Q15" s="10"/>
      <c r="R15" s="6">
        <f>SUM(Table1[Profit])</f>
        <v>2342559.0700000017</v>
      </c>
    </row>
    <row r="16" spans="1:22" x14ac:dyDescent="0.3">
      <c r="A16">
        <v>15</v>
      </c>
      <c r="B16" s="1">
        <v>44966</v>
      </c>
      <c r="C16" t="s">
        <v>38</v>
      </c>
      <c r="D16" t="s">
        <v>27</v>
      </c>
      <c r="E16" t="s">
        <v>17</v>
      </c>
      <c r="F16" t="s">
        <v>24</v>
      </c>
      <c r="G16" t="s">
        <v>29</v>
      </c>
      <c r="H16" s="2">
        <v>37166.230000000003</v>
      </c>
      <c r="I16">
        <v>9</v>
      </c>
      <c r="J16" s="2">
        <v>4660.25</v>
      </c>
      <c r="L16" s="10" t="s">
        <v>53</v>
      </c>
      <c r="M16" s="10"/>
      <c r="N16" s="10"/>
      <c r="O16" s="10"/>
      <c r="P16" s="10"/>
      <c r="Q16" s="10"/>
      <c r="R16" s="3">
        <f>AVERAGE(Table1[Profit])</f>
        <v>4685.1181400000032</v>
      </c>
    </row>
    <row r="17" spans="1:18" x14ac:dyDescent="0.3">
      <c r="A17">
        <v>16</v>
      </c>
      <c r="B17" s="1">
        <v>45001</v>
      </c>
      <c r="C17" t="s">
        <v>38</v>
      </c>
      <c r="D17" t="s">
        <v>27</v>
      </c>
      <c r="E17" t="s">
        <v>17</v>
      </c>
      <c r="F17" t="s">
        <v>13</v>
      </c>
      <c r="G17" t="s">
        <v>21</v>
      </c>
      <c r="H17" s="2">
        <v>7067.15</v>
      </c>
      <c r="I17">
        <v>10</v>
      </c>
      <c r="J17" s="2">
        <v>959.24</v>
      </c>
      <c r="L17" s="10" t="s">
        <v>54</v>
      </c>
      <c r="M17" s="10"/>
      <c r="N17" s="10"/>
      <c r="O17" s="10"/>
      <c r="P17" s="10"/>
      <c r="Q17" s="10"/>
      <c r="R17" s="3">
        <f>MAX(Table1[Sales])</f>
        <v>555555</v>
      </c>
    </row>
    <row r="18" spans="1:18" x14ac:dyDescent="0.3">
      <c r="A18">
        <v>17</v>
      </c>
      <c r="B18" s="1">
        <v>45119</v>
      </c>
      <c r="C18" t="s">
        <v>15</v>
      </c>
      <c r="D18" t="s">
        <v>16</v>
      </c>
      <c r="E18" t="s">
        <v>17</v>
      </c>
      <c r="F18" t="s">
        <v>31</v>
      </c>
      <c r="G18" t="s">
        <v>33</v>
      </c>
      <c r="H18" s="2">
        <v>28440.25</v>
      </c>
      <c r="I18">
        <v>7</v>
      </c>
      <c r="J18" s="2">
        <v>8317.2999999999993</v>
      </c>
    </row>
    <row r="19" spans="1:18" x14ac:dyDescent="0.3">
      <c r="A19">
        <v>18</v>
      </c>
      <c r="B19" s="1">
        <v>45259</v>
      </c>
      <c r="C19" t="s">
        <v>22</v>
      </c>
      <c r="D19" t="s">
        <v>22</v>
      </c>
      <c r="E19" t="s">
        <v>17</v>
      </c>
      <c r="F19" t="s">
        <v>13</v>
      </c>
      <c r="G19" t="s">
        <v>34</v>
      </c>
      <c r="H19" s="2">
        <v>4336.55</v>
      </c>
      <c r="I19">
        <v>10</v>
      </c>
      <c r="J19" s="2">
        <v>883.82</v>
      </c>
    </row>
    <row r="20" spans="1:18" x14ac:dyDescent="0.3">
      <c r="A20">
        <v>19</v>
      </c>
      <c r="B20" s="1">
        <v>45282</v>
      </c>
      <c r="C20" t="s">
        <v>22</v>
      </c>
      <c r="D20" t="s">
        <v>22</v>
      </c>
      <c r="E20" t="s">
        <v>17</v>
      </c>
      <c r="F20" t="s">
        <v>13</v>
      </c>
      <c r="G20" t="s">
        <v>14</v>
      </c>
      <c r="H20" s="2">
        <v>1239.49</v>
      </c>
      <c r="I20">
        <v>4</v>
      </c>
      <c r="J20" s="2">
        <v>278.37</v>
      </c>
    </row>
    <row r="21" spans="1:18" x14ac:dyDescent="0.3">
      <c r="A21">
        <v>20</v>
      </c>
      <c r="B21" s="1">
        <v>45003</v>
      </c>
      <c r="C21" t="s">
        <v>26</v>
      </c>
      <c r="D21" t="s">
        <v>27</v>
      </c>
      <c r="E21" t="s">
        <v>17</v>
      </c>
      <c r="F21" t="s">
        <v>24</v>
      </c>
      <c r="G21" t="s">
        <v>25</v>
      </c>
      <c r="H21" s="2">
        <v>12013.15</v>
      </c>
      <c r="I21">
        <v>7</v>
      </c>
      <c r="J21" s="2">
        <v>968.92</v>
      </c>
      <c r="M21" s="7" t="s">
        <v>55</v>
      </c>
      <c r="O21" s="1">
        <f ca="1">TODAY()</f>
        <v>46154</v>
      </c>
    </row>
    <row r="22" spans="1:18" x14ac:dyDescent="0.3">
      <c r="A22">
        <v>21</v>
      </c>
      <c r="B22" s="1">
        <v>44972</v>
      </c>
      <c r="C22" t="s">
        <v>10</v>
      </c>
      <c r="D22" t="s">
        <v>11</v>
      </c>
      <c r="E22" t="s">
        <v>17</v>
      </c>
      <c r="F22" t="s">
        <v>31</v>
      </c>
      <c r="G22" t="s">
        <v>39</v>
      </c>
      <c r="H22" s="2">
        <v>43252.06</v>
      </c>
      <c r="I22">
        <v>10</v>
      </c>
      <c r="J22" s="2">
        <v>8949.06</v>
      </c>
      <c r="M22" s="7" t="s">
        <v>56</v>
      </c>
    </row>
    <row r="23" spans="1:18" x14ac:dyDescent="0.3">
      <c r="A23">
        <v>22</v>
      </c>
      <c r="B23" s="1">
        <v>45175</v>
      </c>
      <c r="C23" t="s">
        <v>26</v>
      </c>
      <c r="D23" t="s">
        <v>27</v>
      </c>
      <c r="E23" t="s">
        <v>17</v>
      </c>
      <c r="F23" t="s">
        <v>24</v>
      </c>
      <c r="G23" t="s">
        <v>29</v>
      </c>
      <c r="H23" s="2">
        <v>13136.74</v>
      </c>
      <c r="I23">
        <v>10</v>
      </c>
      <c r="J23" s="2">
        <v>2907.53</v>
      </c>
      <c r="M23" s="7" t="s">
        <v>57</v>
      </c>
    </row>
    <row r="24" spans="1:18" x14ac:dyDescent="0.3">
      <c r="A24">
        <v>23</v>
      </c>
      <c r="B24" s="1">
        <v>45260</v>
      </c>
      <c r="C24" t="s">
        <v>26</v>
      </c>
      <c r="D24" t="s">
        <v>27</v>
      </c>
      <c r="E24" t="s">
        <v>20</v>
      </c>
      <c r="F24" t="s">
        <v>31</v>
      </c>
      <c r="G24" t="s">
        <v>39</v>
      </c>
      <c r="H24" s="2">
        <v>35956.54</v>
      </c>
      <c r="I24">
        <v>1</v>
      </c>
      <c r="J24" s="2">
        <v>6308.41</v>
      </c>
      <c r="M24" s="8" t="s">
        <v>58</v>
      </c>
    </row>
    <row r="25" spans="1:18" x14ac:dyDescent="0.3">
      <c r="A25">
        <v>24</v>
      </c>
      <c r="B25" s="1">
        <v>45103</v>
      </c>
      <c r="C25" t="s">
        <v>18</v>
      </c>
      <c r="D25" t="s">
        <v>19</v>
      </c>
      <c r="E25" t="s">
        <v>20</v>
      </c>
      <c r="F25" t="s">
        <v>31</v>
      </c>
      <c r="G25" t="s">
        <v>33</v>
      </c>
      <c r="H25" s="2">
        <v>36894.9</v>
      </c>
      <c r="I25">
        <v>5</v>
      </c>
      <c r="J25" s="2">
        <v>10265.879999999999</v>
      </c>
    </row>
    <row r="26" spans="1:18" x14ac:dyDescent="0.3">
      <c r="A26">
        <v>25</v>
      </c>
      <c r="B26" s="1">
        <v>45176</v>
      </c>
      <c r="C26" t="s">
        <v>35</v>
      </c>
      <c r="D26" t="s">
        <v>36</v>
      </c>
      <c r="E26" t="s">
        <v>12</v>
      </c>
      <c r="F26" t="s">
        <v>13</v>
      </c>
      <c r="G26" t="s">
        <v>34</v>
      </c>
      <c r="H26" s="2">
        <v>36393.839999999997</v>
      </c>
      <c r="I26">
        <v>2</v>
      </c>
      <c r="J26" s="2">
        <v>4029.33</v>
      </c>
    </row>
    <row r="27" spans="1:18" x14ac:dyDescent="0.3">
      <c r="A27">
        <v>26</v>
      </c>
      <c r="B27" s="1">
        <v>45153</v>
      </c>
      <c r="C27" t="s">
        <v>26</v>
      </c>
      <c r="D27" t="s">
        <v>27</v>
      </c>
      <c r="E27" t="s">
        <v>12</v>
      </c>
      <c r="F27" t="s">
        <v>24</v>
      </c>
      <c r="G27" t="s">
        <v>29</v>
      </c>
      <c r="H27" s="2">
        <v>18244.080000000002</v>
      </c>
      <c r="I27">
        <v>10</v>
      </c>
      <c r="J27" s="2">
        <v>1308.29</v>
      </c>
    </row>
    <row r="28" spans="1:18" x14ac:dyDescent="0.3">
      <c r="A28">
        <v>27</v>
      </c>
      <c r="B28" s="1">
        <v>45050</v>
      </c>
      <c r="C28" t="s">
        <v>18</v>
      </c>
      <c r="D28" t="s">
        <v>19</v>
      </c>
      <c r="E28" t="s">
        <v>12</v>
      </c>
      <c r="F28" t="s">
        <v>24</v>
      </c>
      <c r="G28" t="s">
        <v>25</v>
      </c>
      <c r="H28" s="2">
        <v>39573.279999999999</v>
      </c>
      <c r="I28">
        <v>7</v>
      </c>
      <c r="J28" s="2">
        <v>6877.16</v>
      </c>
    </row>
    <row r="29" spans="1:18" x14ac:dyDescent="0.3">
      <c r="A29">
        <v>28</v>
      </c>
      <c r="B29" s="1">
        <v>44968</v>
      </c>
      <c r="C29" t="s">
        <v>37</v>
      </c>
      <c r="D29" t="s">
        <v>27</v>
      </c>
      <c r="E29" t="s">
        <v>12</v>
      </c>
      <c r="F29" t="s">
        <v>24</v>
      </c>
      <c r="G29" t="s">
        <v>25</v>
      </c>
      <c r="H29" s="2">
        <v>16112.12</v>
      </c>
      <c r="I29">
        <v>2</v>
      </c>
      <c r="J29" s="2">
        <v>2614.2399999999998</v>
      </c>
    </row>
    <row r="30" spans="1:18" x14ac:dyDescent="0.3">
      <c r="A30">
        <v>29</v>
      </c>
      <c r="B30" s="1">
        <v>45166</v>
      </c>
      <c r="C30" t="s">
        <v>18</v>
      </c>
      <c r="D30" t="s">
        <v>19</v>
      </c>
      <c r="E30" t="s">
        <v>12</v>
      </c>
      <c r="F30" t="s">
        <v>13</v>
      </c>
      <c r="G30" t="s">
        <v>14</v>
      </c>
      <c r="H30" s="2">
        <v>17197.509999999998</v>
      </c>
      <c r="I30">
        <v>3</v>
      </c>
      <c r="J30" s="2">
        <v>1675.41</v>
      </c>
    </row>
    <row r="31" spans="1:18" x14ac:dyDescent="0.3">
      <c r="A31">
        <v>30</v>
      </c>
      <c r="B31" s="1">
        <v>44995</v>
      </c>
      <c r="C31" t="s">
        <v>30</v>
      </c>
      <c r="D31" t="s">
        <v>16</v>
      </c>
      <c r="E31" t="s">
        <v>12</v>
      </c>
      <c r="F31" t="s">
        <v>31</v>
      </c>
      <c r="G31" t="s">
        <v>39</v>
      </c>
      <c r="H31" s="2">
        <v>40062.949999999997</v>
      </c>
      <c r="I31">
        <v>5</v>
      </c>
      <c r="J31" s="2">
        <v>11536.21</v>
      </c>
    </row>
    <row r="32" spans="1:18" x14ac:dyDescent="0.3">
      <c r="A32">
        <v>31</v>
      </c>
      <c r="B32" s="1">
        <v>45217</v>
      </c>
      <c r="C32" t="s">
        <v>15</v>
      </c>
      <c r="D32" t="s">
        <v>16</v>
      </c>
      <c r="E32" t="s">
        <v>12</v>
      </c>
      <c r="F32" t="s">
        <v>24</v>
      </c>
      <c r="G32" t="s">
        <v>25</v>
      </c>
      <c r="H32" s="2">
        <v>30699.4</v>
      </c>
      <c r="I32">
        <v>2</v>
      </c>
      <c r="J32" s="2">
        <v>5821.81</v>
      </c>
    </row>
    <row r="33" spans="1:10" x14ac:dyDescent="0.3">
      <c r="A33">
        <v>32</v>
      </c>
      <c r="B33" s="1">
        <v>45127</v>
      </c>
      <c r="C33" t="s">
        <v>22</v>
      </c>
      <c r="D33" t="s">
        <v>22</v>
      </c>
      <c r="E33" t="s">
        <v>12</v>
      </c>
      <c r="F33" t="s">
        <v>31</v>
      </c>
      <c r="G33" t="s">
        <v>32</v>
      </c>
      <c r="H33" s="2">
        <v>46798.46</v>
      </c>
      <c r="I33">
        <v>8</v>
      </c>
      <c r="J33" s="2">
        <v>12650.58</v>
      </c>
    </row>
    <row r="34" spans="1:10" x14ac:dyDescent="0.3">
      <c r="A34">
        <v>33</v>
      </c>
      <c r="B34" s="1">
        <v>45005</v>
      </c>
      <c r="C34" t="s">
        <v>30</v>
      </c>
      <c r="D34" t="s">
        <v>16</v>
      </c>
      <c r="E34" t="s">
        <v>12</v>
      </c>
      <c r="F34" t="s">
        <v>24</v>
      </c>
      <c r="G34" t="s">
        <v>28</v>
      </c>
      <c r="H34" s="2">
        <v>18545.72</v>
      </c>
      <c r="I34">
        <v>9</v>
      </c>
      <c r="J34" s="2">
        <v>3893.71</v>
      </c>
    </row>
    <row r="35" spans="1:10" x14ac:dyDescent="0.3">
      <c r="A35">
        <v>34</v>
      </c>
      <c r="B35" s="1">
        <v>45097</v>
      </c>
      <c r="C35" t="s">
        <v>15</v>
      </c>
      <c r="D35" t="s">
        <v>16</v>
      </c>
      <c r="E35" t="s">
        <v>12</v>
      </c>
      <c r="F35" t="s">
        <v>24</v>
      </c>
      <c r="G35" t="s">
        <v>25</v>
      </c>
      <c r="H35" s="2">
        <v>47078.67</v>
      </c>
      <c r="I35">
        <v>4</v>
      </c>
      <c r="J35" s="2">
        <v>5416.29</v>
      </c>
    </row>
    <row r="36" spans="1:10" x14ac:dyDescent="0.3">
      <c r="A36">
        <v>35</v>
      </c>
      <c r="B36" s="1">
        <v>44983</v>
      </c>
      <c r="C36" t="s">
        <v>37</v>
      </c>
      <c r="D36" t="s">
        <v>27</v>
      </c>
      <c r="E36" t="s">
        <v>12</v>
      </c>
      <c r="F36" t="s">
        <v>13</v>
      </c>
      <c r="G36" t="s">
        <v>21</v>
      </c>
      <c r="H36" s="2">
        <v>45410.16</v>
      </c>
      <c r="I36">
        <v>2</v>
      </c>
      <c r="J36" s="2">
        <v>6601.61</v>
      </c>
    </row>
    <row r="37" spans="1:10" x14ac:dyDescent="0.3">
      <c r="A37">
        <v>36</v>
      </c>
      <c r="B37" s="1">
        <v>45083</v>
      </c>
      <c r="C37" t="s">
        <v>18</v>
      </c>
      <c r="D37" t="s">
        <v>19</v>
      </c>
      <c r="E37" t="s">
        <v>12</v>
      </c>
      <c r="F37" t="s">
        <v>31</v>
      </c>
      <c r="G37" t="s">
        <v>32</v>
      </c>
      <c r="H37" s="2">
        <v>8022.9</v>
      </c>
      <c r="I37">
        <v>9</v>
      </c>
      <c r="J37" s="2">
        <v>1118.83</v>
      </c>
    </row>
    <row r="38" spans="1:10" x14ac:dyDescent="0.3">
      <c r="A38">
        <v>37</v>
      </c>
      <c r="B38" s="1">
        <v>45039</v>
      </c>
      <c r="C38" t="s">
        <v>15</v>
      </c>
      <c r="D38" t="s">
        <v>16</v>
      </c>
      <c r="E38" t="s">
        <v>12</v>
      </c>
      <c r="F38" t="s">
        <v>13</v>
      </c>
      <c r="G38" t="s">
        <v>34</v>
      </c>
      <c r="H38" s="2">
        <v>34478.959999999999</v>
      </c>
      <c r="I38">
        <v>5</v>
      </c>
      <c r="J38" s="2">
        <v>4118.41</v>
      </c>
    </row>
    <row r="39" spans="1:10" x14ac:dyDescent="0.3">
      <c r="A39">
        <v>38</v>
      </c>
      <c r="B39" s="1">
        <v>45247</v>
      </c>
      <c r="C39" t="s">
        <v>18</v>
      </c>
      <c r="D39" t="s">
        <v>19</v>
      </c>
      <c r="E39" t="s">
        <v>12</v>
      </c>
      <c r="F39" t="s">
        <v>31</v>
      </c>
      <c r="G39" t="s">
        <v>33</v>
      </c>
      <c r="H39" s="2">
        <v>34640.65</v>
      </c>
      <c r="I39">
        <v>10</v>
      </c>
      <c r="J39" s="2">
        <v>9567.4500000000007</v>
      </c>
    </row>
    <row r="40" spans="1:10" x14ac:dyDescent="0.3">
      <c r="A40">
        <v>39</v>
      </c>
      <c r="B40" s="1">
        <v>44941</v>
      </c>
      <c r="C40" t="s">
        <v>26</v>
      </c>
      <c r="D40" t="s">
        <v>27</v>
      </c>
      <c r="E40" t="s">
        <v>12</v>
      </c>
      <c r="F40" t="s">
        <v>13</v>
      </c>
      <c r="G40" t="s">
        <v>34</v>
      </c>
      <c r="H40" s="2">
        <v>3218.7</v>
      </c>
      <c r="I40">
        <v>3</v>
      </c>
      <c r="J40" s="2">
        <v>572.08000000000004</v>
      </c>
    </row>
    <row r="41" spans="1:10" x14ac:dyDescent="0.3">
      <c r="A41">
        <v>40</v>
      </c>
      <c r="B41" s="1">
        <v>44941</v>
      </c>
      <c r="C41" t="s">
        <v>22</v>
      </c>
      <c r="D41" t="s">
        <v>22</v>
      </c>
      <c r="E41" t="s">
        <v>12</v>
      </c>
      <c r="F41" t="s">
        <v>31</v>
      </c>
      <c r="G41" t="s">
        <v>33</v>
      </c>
      <c r="H41" s="2">
        <v>28642.2</v>
      </c>
      <c r="I41">
        <v>5</v>
      </c>
      <c r="J41" s="2">
        <v>2312.54</v>
      </c>
    </row>
    <row r="42" spans="1:10" x14ac:dyDescent="0.3">
      <c r="A42">
        <v>41</v>
      </c>
      <c r="B42" s="1">
        <v>45238</v>
      </c>
      <c r="C42" t="s">
        <v>15</v>
      </c>
      <c r="D42" t="s">
        <v>16</v>
      </c>
      <c r="E42" t="s">
        <v>12</v>
      </c>
      <c r="F42" t="s">
        <v>13</v>
      </c>
      <c r="G42" t="s">
        <v>14</v>
      </c>
      <c r="H42" s="2">
        <v>30927.86</v>
      </c>
      <c r="I42">
        <v>10</v>
      </c>
      <c r="J42" s="2">
        <v>8460.2199999999993</v>
      </c>
    </row>
    <row r="43" spans="1:10" x14ac:dyDescent="0.3">
      <c r="A43">
        <v>42</v>
      </c>
      <c r="B43" s="1">
        <v>45143</v>
      </c>
      <c r="C43" t="s">
        <v>10</v>
      </c>
      <c r="D43" t="s">
        <v>11</v>
      </c>
      <c r="E43" t="s">
        <v>12</v>
      </c>
      <c r="F43" t="s">
        <v>31</v>
      </c>
      <c r="G43" t="s">
        <v>32</v>
      </c>
      <c r="H43" s="2">
        <v>32426.75</v>
      </c>
      <c r="I43">
        <v>7</v>
      </c>
      <c r="J43" s="2">
        <v>8518.11</v>
      </c>
    </row>
    <row r="44" spans="1:10" x14ac:dyDescent="0.3">
      <c r="A44">
        <v>43</v>
      </c>
      <c r="B44" s="1">
        <v>45283</v>
      </c>
      <c r="C44" t="s">
        <v>38</v>
      </c>
      <c r="D44" t="s">
        <v>27</v>
      </c>
      <c r="E44" t="s">
        <v>20</v>
      </c>
      <c r="F44" t="s">
        <v>31</v>
      </c>
      <c r="G44" t="s">
        <v>39</v>
      </c>
      <c r="H44" s="2">
        <v>19643.03</v>
      </c>
      <c r="I44">
        <v>5</v>
      </c>
      <c r="J44" s="2">
        <v>2911.87</v>
      </c>
    </row>
    <row r="45" spans="1:10" x14ac:dyDescent="0.3">
      <c r="A45">
        <v>44</v>
      </c>
      <c r="B45" s="1">
        <v>44981</v>
      </c>
      <c r="C45" t="s">
        <v>26</v>
      </c>
      <c r="D45" t="s">
        <v>27</v>
      </c>
      <c r="E45" t="s">
        <v>20</v>
      </c>
      <c r="F45" t="s">
        <v>13</v>
      </c>
      <c r="G45" t="s">
        <v>34</v>
      </c>
      <c r="H45" s="2">
        <v>46031.41</v>
      </c>
      <c r="I45">
        <v>10</v>
      </c>
      <c r="J45" s="2">
        <v>12190.44</v>
      </c>
    </row>
    <row r="46" spans="1:10" x14ac:dyDescent="0.3">
      <c r="A46">
        <v>45</v>
      </c>
      <c r="B46" s="1">
        <v>44967</v>
      </c>
      <c r="C46" t="s">
        <v>22</v>
      </c>
      <c r="D46" t="s">
        <v>22</v>
      </c>
      <c r="E46" t="s">
        <v>20</v>
      </c>
      <c r="F46" t="s">
        <v>13</v>
      </c>
      <c r="G46" t="s">
        <v>21</v>
      </c>
      <c r="H46" s="2">
        <v>10312.469999999999</v>
      </c>
      <c r="I46">
        <v>3</v>
      </c>
      <c r="J46" s="2">
        <v>917.6</v>
      </c>
    </row>
    <row r="47" spans="1:10" x14ac:dyDescent="0.3">
      <c r="A47">
        <v>46</v>
      </c>
      <c r="B47" s="1">
        <v>45288</v>
      </c>
      <c r="C47" t="s">
        <v>37</v>
      </c>
      <c r="D47" t="s">
        <v>27</v>
      </c>
      <c r="E47" t="s">
        <v>20</v>
      </c>
      <c r="F47" t="s">
        <v>24</v>
      </c>
      <c r="G47" t="s">
        <v>28</v>
      </c>
      <c r="H47" s="2">
        <v>6582.1</v>
      </c>
      <c r="I47">
        <v>1</v>
      </c>
      <c r="J47" s="2">
        <v>1867.37</v>
      </c>
    </row>
    <row r="48" spans="1:10" x14ac:dyDescent="0.3">
      <c r="A48">
        <v>47</v>
      </c>
      <c r="B48" s="1">
        <v>45155</v>
      </c>
      <c r="C48" t="s">
        <v>15</v>
      </c>
      <c r="D48" t="s">
        <v>16</v>
      </c>
      <c r="E48" t="s">
        <v>20</v>
      </c>
      <c r="F48" t="s">
        <v>31</v>
      </c>
      <c r="G48" t="s">
        <v>39</v>
      </c>
      <c r="H48" s="2">
        <v>3134.95</v>
      </c>
      <c r="I48">
        <v>8</v>
      </c>
      <c r="J48" s="2">
        <v>371.46</v>
      </c>
    </row>
    <row r="49" spans="1:10" x14ac:dyDescent="0.3">
      <c r="A49">
        <v>48</v>
      </c>
      <c r="B49" s="1">
        <v>45252</v>
      </c>
      <c r="C49" t="s">
        <v>18</v>
      </c>
      <c r="D49" t="s">
        <v>19</v>
      </c>
      <c r="E49" t="s">
        <v>20</v>
      </c>
      <c r="F49" t="s">
        <v>31</v>
      </c>
      <c r="G49" t="s">
        <v>39</v>
      </c>
      <c r="H49" s="2">
        <v>43738.86</v>
      </c>
      <c r="I49">
        <v>4</v>
      </c>
      <c r="J49" s="2">
        <v>5140.59</v>
      </c>
    </row>
    <row r="50" spans="1:10" x14ac:dyDescent="0.3">
      <c r="A50">
        <v>49</v>
      </c>
      <c r="B50" s="1">
        <v>45229</v>
      </c>
      <c r="C50" t="s">
        <v>38</v>
      </c>
      <c r="D50" t="s">
        <v>27</v>
      </c>
      <c r="E50" t="s">
        <v>20</v>
      </c>
      <c r="F50" t="s">
        <v>24</v>
      </c>
      <c r="G50" t="s">
        <v>29</v>
      </c>
      <c r="H50" s="2">
        <v>17707.400000000001</v>
      </c>
      <c r="I50">
        <v>10</v>
      </c>
      <c r="J50" s="2">
        <v>2970.2</v>
      </c>
    </row>
    <row r="51" spans="1:10" x14ac:dyDescent="0.3">
      <c r="A51">
        <v>50</v>
      </c>
      <c r="B51" s="1">
        <v>45222</v>
      </c>
      <c r="C51" t="s">
        <v>15</v>
      </c>
      <c r="D51" t="s">
        <v>16</v>
      </c>
      <c r="E51" t="s">
        <v>20</v>
      </c>
      <c r="F51" t="s">
        <v>31</v>
      </c>
      <c r="G51" t="s">
        <v>39</v>
      </c>
      <c r="H51" s="2">
        <v>7789.2</v>
      </c>
      <c r="I51">
        <v>1</v>
      </c>
      <c r="J51" s="2">
        <v>1011.85</v>
      </c>
    </row>
    <row r="52" spans="1:10" x14ac:dyDescent="0.3">
      <c r="A52">
        <v>51</v>
      </c>
      <c r="B52" s="1">
        <v>45270</v>
      </c>
      <c r="C52" t="s">
        <v>18</v>
      </c>
      <c r="D52" t="s">
        <v>19</v>
      </c>
      <c r="E52" t="s">
        <v>20</v>
      </c>
      <c r="F52" t="s">
        <v>31</v>
      </c>
      <c r="G52" t="s">
        <v>33</v>
      </c>
      <c r="H52" s="2">
        <v>18333.759999999998</v>
      </c>
      <c r="I52">
        <v>7</v>
      </c>
      <c r="J52" s="2">
        <v>4255.3900000000003</v>
      </c>
    </row>
    <row r="53" spans="1:10" x14ac:dyDescent="0.3">
      <c r="A53">
        <v>52</v>
      </c>
      <c r="B53" s="1">
        <v>45041</v>
      </c>
      <c r="C53" t="s">
        <v>15</v>
      </c>
      <c r="D53" t="s">
        <v>16</v>
      </c>
      <c r="E53" t="s">
        <v>20</v>
      </c>
      <c r="F53" t="s">
        <v>31</v>
      </c>
      <c r="G53" t="s">
        <v>39</v>
      </c>
      <c r="H53" s="2">
        <v>29916.02</v>
      </c>
      <c r="I53">
        <v>1</v>
      </c>
      <c r="J53" s="2">
        <v>6067.18</v>
      </c>
    </row>
    <row r="54" spans="1:10" x14ac:dyDescent="0.3">
      <c r="A54">
        <v>53</v>
      </c>
      <c r="B54" s="1">
        <v>45143</v>
      </c>
      <c r="C54" t="s">
        <v>15</v>
      </c>
      <c r="D54" t="s">
        <v>16</v>
      </c>
      <c r="E54" t="s">
        <v>20</v>
      </c>
      <c r="F54" t="s">
        <v>13</v>
      </c>
      <c r="G54" t="s">
        <v>14</v>
      </c>
      <c r="H54" s="2">
        <v>40222.480000000003</v>
      </c>
      <c r="I54">
        <v>5</v>
      </c>
      <c r="J54" s="2">
        <v>8031.61</v>
      </c>
    </row>
    <row r="55" spans="1:10" x14ac:dyDescent="0.3">
      <c r="A55">
        <v>54</v>
      </c>
      <c r="B55" s="1">
        <v>45148</v>
      </c>
      <c r="C55" t="s">
        <v>35</v>
      </c>
      <c r="D55" t="s">
        <v>36</v>
      </c>
      <c r="E55" t="s">
        <v>23</v>
      </c>
      <c r="F55" t="s">
        <v>13</v>
      </c>
      <c r="G55" t="s">
        <v>14</v>
      </c>
      <c r="H55" s="2">
        <v>28351.119999999999</v>
      </c>
      <c r="I55">
        <v>2</v>
      </c>
      <c r="J55" s="2">
        <v>7580.92</v>
      </c>
    </row>
    <row r="56" spans="1:10" x14ac:dyDescent="0.3">
      <c r="A56">
        <v>55</v>
      </c>
      <c r="B56" s="1">
        <v>44980</v>
      </c>
      <c r="C56" t="s">
        <v>30</v>
      </c>
      <c r="D56" t="s">
        <v>16</v>
      </c>
      <c r="E56" t="s">
        <v>23</v>
      </c>
      <c r="F56" t="s">
        <v>31</v>
      </c>
      <c r="G56" t="s">
        <v>32</v>
      </c>
      <c r="H56" s="2">
        <v>26706.3</v>
      </c>
      <c r="I56">
        <v>5</v>
      </c>
      <c r="J56" s="2">
        <v>3028.14</v>
      </c>
    </row>
    <row r="57" spans="1:10" x14ac:dyDescent="0.3">
      <c r="A57">
        <v>56</v>
      </c>
      <c r="B57" s="1">
        <v>45068</v>
      </c>
      <c r="C57" t="s">
        <v>10</v>
      </c>
      <c r="D57" t="s">
        <v>11</v>
      </c>
      <c r="E57" t="s">
        <v>23</v>
      </c>
      <c r="F57" t="s">
        <v>13</v>
      </c>
      <c r="G57" t="s">
        <v>34</v>
      </c>
      <c r="H57" s="2">
        <v>5030.05</v>
      </c>
      <c r="I57">
        <v>3</v>
      </c>
      <c r="J57" s="2">
        <v>1411.28</v>
      </c>
    </row>
    <row r="58" spans="1:10" x14ac:dyDescent="0.3">
      <c r="A58">
        <v>57</v>
      </c>
      <c r="B58" s="1">
        <v>45006</v>
      </c>
      <c r="C58" t="s">
        <v>30</v>
      </c>
      <c r="D58" t="s">
        <v>16</v>
      </c>
      <c r="E58" t="s">
        <v>23</v>
      </c>
      <c r="F58" t="s">
        <v>13</v>
      </c>
      <c r="G58" t="s">
        <v>21</v>
      </c>
      <c r="H58" s="2">
        <v>36606.480000000003</v>
      </c>
      <c r="I58">
        <v>1</v>
      </c>
      <c r="J58" s="2">
        <v>5249.58</v>
      </c>
    </row>
    <row r="59" spans="1:10" x14ac:dyDescent="0.3">
      <c r="A59">
        <v>58</v>
      </c>
      <c r="B59" s="1">
        <v>44946</v>
      </c>
      <c r="C59" t="s">
        <v>15</v>
      </c>
      <c r="D59" t="s">
        <v>16</v>
      </c>
      <c r="E59" t="s">
        <v>23</v>
      </c>
      <c r="F59" t="s">
        <v>13</v>
      </c>
      <c r="G59" t="s">
        <v>14</v>
      </c>
      <c r="H59" s="2">
        <v>30254.94</v>
      </c>
      <c r="I59">
        <v>3</v>
      </c>
      <c r="J59" s="2">
        <v>5950.99</v>
      </c>
    </row>
    <row r="60" spans="1:10" x14ac:dyDescent="0.3">
      <c r="A60">
        <v>59</v>
      </c>
      <c r="B60" s="1">
        <v>45065</v>
      </c>
      <c r="C60" t="s">
        <v>30</v>
      </c>
      <c r="D60" t="s">
        <v>16</v>
      </c>
      <c r="E60" t="s">
        <v>23</v>
      </c>
      <c r="F60" t="s">
        <v>31</v>
      </c>
      <c r="G60" t="s">
        <v>39</v>
      </c>
      <c r="H60" s="2">
        <v>43019.7</v>
      </c>
      <c r="I60">
        <v>4</v>
      </c>
      <c r="J60" s="2">
        <v>9540.3799999999992</v>
      </c>
    </row>
    <row r="61" spans="1:10" x14ac:dyDescent="0.3">
      <c r="A61">
        <v>60</v>
      </c>
      <c r="B61" s="1">
        <v>44977</v>
      </c>
      <c r="C61" t="s">
        <v>38</v>
      </c>
      <c r="D61" t="s">
        <v>27</v>
      </c>
      <c r="E61" t="s">
        <v>23</v>
      </c>
      <c r="F61" t="s">
        <v>13</v>
      </c>
      <c r="G61" t="s">
        <v>21</v>
      </c>
      <c r="H61" s="2">
        <v>3020.57</v>
      </c>
      <c r="I61">
        <v>7</v>
      </c>
      <c r="J61" s="2">
        <v>762.12</v>
      </c>
    </row>
    <row r="62" spans="1:10" x14ac:dyDescent="0.3">
      <c r="A62">
        <v>61</v>
      </c>
      <c r="B62" s="1">
        <v>44992</v>
      </c>
      <c r="C62" t="s">
        <v>22</v>
      </c>
      <c r="D62" t="s">
        <v>22</v>
      </c>
      <c r="E62" t="s">
        <v>23</v>
      </c>
      <c r="F62" t="s">
        <v>13</v>
      </c>
      <c r="G62" t="s">
        <v>14</v>
      </c>
      <c r="H62" s="2">
        <v>29105.97</v>
      </c>
      <c r="I62">
        <v>7</v>
      </c>
      <c r="J62" s="2">
        <v>7986.26</v>
      </c>
    </row>
    <row r="63" spans="1:10" x14ac:dyDescent="0.3">
      <c r="A63">
        <v>62</v>
      </c>
      <c r="B63" s="1">
        <v>44987</v>
      </c>
      <c r="C63" t="s">
        <v>18</v>
      </c>
      <c r="D63" t="s">
        <v>19</v>
      </c>
      <c r="E63" t="s">
        <v>23</v>
      </c>
      <c r="F63" t="s">
        <v>13</v>
      </c>
      <c r="G63" t="s">
        <v>21</v>
      </c>
      <c r="H63" s="2">
        <v>42202.76</v>
      </c>
      <c r="I63">
        <v>10</v>
      </c>
      <c r="J63" s="2">
        <v>5345.77</v>
      </c>
    </row>
    <row r="64" spans="1:10" x14ac:dyDescent="0.3">
      <c r="A64">
        <v>63</v>
      </c>
      <c r="B64" s="1">
        <v>45126</v>
      </c>
      <c r="C64" t="s">
        <v>15</v>
      </c>
      <c r="D64" t="s">
        <v>16</v>
      </c>
      <c r="E64" t="s">
        <v>23</v>
      </c>
      <c r="F64" t="s">
        <v>31</v>
      </c>
      <c r="G64" t="s">
        <v>33</v>
      </c>
      <c r="H64" s="2">
        <v>16484.55</v>
      </c>
      <c r="I64">
        <v>9</v>
      </c>
      <c r="J64" s="2">
        <v>1351</v>
      </c>
    </row>
    <row r="65" spans="1:10" x14ac:dyDescent="0.3">
      <c r="A65">
        <v>64</v>
      </c>
      <c r="B65" s="1">
        <v>45216</v>
      </c>
      <c r="C65" t="s">
        <v>15</v>
      </c>
      <c r="D65" t="s">
        <v>16</v>
      </c>
      <c r="E65" t="s">
        <v>23</v>
      </c>
      <c r="F65" t="s">
        <v>24</v>
      </c>
      <c r="G65" t="s">
        <v>28</v>
      </c>
      <c r="H65" s="2">
        <v>48949.84</v>
      </c>
      <c r="I65">
        <v>9</v>
      </c>
      <c r="J65" s="2">
        <v>10667.27</v>
      </c>
    </row>
    <row r="66" spans="1:10" x14ac:dyDescent="0.3">
      <c r="A66">
        <v>65</v>
      </c>
      <c r="B66" s="1">
        <v>45173</v>
      </c>
      <c r="C66" t="s">
        <v>30</v>
      </c>
      <c r="D66" t="s">
        <v>16</v>
      </c>
      <c r="E66" t="s">
        <v>23</v>
      </c>
      <c r="F66" t="s">
        <v>24</v>
      </c>
      <c r="G66" t="s">
        <v>28</v>
      </c>
      <c r="H66" s="2">
        <v>19183.52</v>
      </c>
      <c r="I66">
        <v>5</v>
      </c>
      <c r="J66" s="2">
        <v>2804.51</v>
      </c>
    </row>
    <row r="67" spans="1:10" x14ac:dyDescent="0.3">
      <c r="A67">
        <v>66</v>
      </c>
      <c r="B67" s="1">
        <v>45163</v>
      </c>
      <c r="C67" t="s">
        <v>22</v>
      </c>
      <c r="D67" t="s">
        <v>22</v>
      </c>
      <c r="E67" t="s">
        <v>23</v>
      </c>
      <c r="F67" t="s">
        <v>13</v>
      </c>
      <c r="G67" t="s">
        <v>34</v>
      </c>
      <c r="H67" s="2">
        <v>25834.9</v>
      </c>
      <c r="I67">
        <v>2</v>
      </c>
      <c r="J67" s="2">
        <v>6880.51</v>
      </c>
    </row>
    <row r="68" spans="1:10" x14ac:dyDescent="0.3">
      <c r="A68">
        <v>67</v>
      </c>
      <c r="B68" s="1">
        <v>44930</v>
      </c>
      <c r="C68" t="s">
        <v>22</v>
      </c>
      <c r="D68" t="s">
        <v>22</v>
      </c>
      <c r="E68" t="s">
        <v>12</v>
      </c>
      <c r="F68" t="s">
        <v>13</v>
      </c>
      <c r="G68" t="s">
        <v>34</v>
      </c>
      <c r="H68" s="2">
        <v>37162.660000000003</v>
      </c>
      <c r="I68">
        <v>8</v>
      </c>
      <c r="J68" s="2">
        <v>5652.71</v>
      </c>
    </row>
    <row r="69" spans="1:10" x14ac:dyDescent="0.3">
      <c r="A69">
        <v>68</v>
      </c>
      <c r="B69" s="1">
        <v>45098</v>
      </c>
      <c r="C69" t="s">
        <v>30</v>
      </c>
      <c r="D69" t="s">
        <v>16</v>
      </c>
      <c r="E69" t="s">
        <v>17</v>
      </c>
      <c r="F69" t="s">
        <v>24</v>
      </c>
      <c r="G69" t="s">
        <v>25</v>
      </c>
      <c r="H69" s="2">
        <v>28938.6</v>
      </c>
      <c r="I69">
        <v>10</v>
      </c>
      <c r="J69" s="2">
        <v>7700.06</v>
      </c>
    </row>
    <row r="70" spans="1:10" x14ac:dyDescent="0.3">
      <c r="A70">
        <v>69</v>
      </c>
      <c r="B70" s="1">
        <v>45268</v>
      </c>
      <c r="C70" t="s">
        <v>38</v>
      </c>
      <c r="D70" t="s">
        <v>27</v>
      </c>
      <c r="E70" t="s">
        <v>17</v>
      </c>
      <c r="F70" t="s">
        <v>24</v>
      </c>
      <c r="G70" t="s">
        <v>25</v>
      </c>
      <c r="H70" s="2">
        <v>10690.45</v>
      </c>
      <c r="I70">
        <v>5</v>
      </c>
      <c r="J70" s="2">
        <v>2992.24</v>
      </c>
    </row>
    <row r="71" spans="1:10" x14ac:dyDescent="0.3">
      <c r="A71">
        <v>70</v>
      </c>
      <c r="B71" s="1">
        <v>45137</v>
      </c>
      <c r="C71" t="s">
        <v>22</v>
      </c>
      <c r="D71" t="s">
        <v>22</v>
      </c>
      <c r="E71" t="s">
        <v>12</v>
      </c>
      <c r="F71" t="s">
        <v>31</v>
      </c>
      <c r="G71" t="s">
        <v>39</v>
      </c>
      <c r="H71" s="2">
        <v>4383.75</v>
      </c>
      <c r="I71">
        <v>1</v>
      </c>
      <c r="J71" s="2">
        <v>918.46</v>
      </c>
    </row>
    <row r="72" spans="1:10" x14ac:dyDescent="0.3">
      <c r="A72">
        <v>71</v>
      </c>
      <c r="B72" s="1">
        <v>45257</v>
      </c>
      <c r="C72" t="s">
        <v>30</v>
      </c>
      <c r="D72" t="s">
        <v>16</v>
      </c>
      <c r="E72" t="s">
        <v>12</v>
      </c>
      <c r="F72" t="s">
        <v>13</v>
      </c>
      <c r="G72" t="s">
        <v>21</v>
      </c>
      <c r="H72" s="2">
        <v>23844.99</v>
      </c>
      <c r="I72">
        <v>5</v>
      </c>
      <c r="J72" s="2">
        <v>2367.61</v>
      </c>
    </row>
    <row r="73" spans="1:10" x14ac:dyDescent="0.3">
      <c r="A73">
        <v>72</v>
      </c>
      <c r="B73" s="1">
        <v>45214</v>
      </c>
      <c r="C73" t="s">
        <v>15</v>
      </c>
      <c r="D73" t="s">
        <v>16</v>
      </c>
      <c r="E73" t="s">
        <v>17</v>
      </c>
      <c r="F73" t="s">
        <v>24</v>
      </c>
      <c r="G73" t="s">
        <v>29</v>
      </c>
      <c r="H73" s="2">
        <v>48504.77</v>
      </c>
      <c r="I73">
        <v>10</v>
      </c>
      <c r="J73" s="2">
        <v>8679.41</v>
      </c>
    </row>
    <row r="74" spans="1:10" x14ac:dyDescent="0.3">
      <c r="A74">
        <v>73</v>
      </c>
      <c r="B74" s="1">
        <v>45053</v>
      </c>
      <c r="C74" t="s">
        <v>37</v>
      </c>
      <c r="D74" t="s">
        <v>27</v>
      </c>
      <c r="E74" t="s">
        <v>12</v>
      </c>
      <c r="F74" t="s">
        <v>31</v>
      </c>
      <c r="G74" t="s">
        <v>32</v>
      </c>
      <c r="H74" s="2">
        <v>10052.780000000001</v>
      </c>
      <c r="I74">
        <v>8</v>
      </c>
      <c r="J74" s="2">
        <v>2293.2600000000002</v>
      </c>
    </row>
    <row r="75" spans="1:10" x14ac:dyDescent="0.3">
      <c r="A75">
        <v>74</v>
      </c>
      <c r="B75" s="1">
        <v>44964</v>
      </c>
      <c r="C75" t="s">
        <v>37</v>
      </c>
      <c r="D75" t="s">
        <v>27</v>
      </c>
      <c r="E75" t="s">
        <v>17</v>
      </c>
      <c r="F75" t="s">
        <v>13</v>
      </c>
      <c r="G75" t="s">
        <v>34</v>
      </c>
      <c r="H75" s="2">
        <v>47147.42</v>
      </c>
      <c r="I75">
        <v>6</v>
      </c>
      <c r="J75" s="2">
        <v>9546.64</v>
      </c>
    </row>
    <row r="76" spans="1:10" x14ac:dyDescent="0.3">
      <c r="A76">
        <v>75</v>
      </c>
      <c r="B76" s="1">
        <v>45109</v>
      </c>
      <c r="C76" t="s">
        <v>37</v>
      </c>
      <c r="D76" t="s">
        <v>27</v>
      </c>
      <c r="E76" t="s">
        <v>20</v>
      </c>
      <c r="F76" t="s">
        <v>13</v>
      </c>
      <c r="G76" t="s">
        <v>14</v>
      </c>
      <c r="H76" s="2">
        <v>35496.660000000003</v>
      </c>
      <c r="I76">
        <v>8</v>
      </c>
      <c r="J76" s="2">
        <v>8170.12</v>
      </c>
    </row>
    <row r="77" spans="1:10" x14ac:dyDescent="0.3">
      <c r="A77">
        <v>76</v>
      </c>
      <c r="B77" s="1">
        <v>45274</v>
      </c>
      <c r="C77" t="s">
        <v>35</v>
      </c>
      <c r="D77" t="s">
        <v>36</v>
      </c>
      <c r="E77" t="s">
        <v>20</v>
      </c>
      <c r="F77" t="s">
        <v>13</v>
      </c>
      <c r="G77" t="s">
        <v>34</v>
      </c>
      <c r="H77" s="2">
        <v>33753.199999999997</v>
      </c>
      <c r="I77">
        <v>9</v>
      </c>
      <c r="J77" s="2">
        <v>4284.71</v>
      </c>
    </row>
    <row r="78" spans="1:10" x14ac:dyDescent="0.3">
      <c r="A78">
        <v>77</v>
      </c>
      <c r="B78" s="1">
        <v>45228</v>
      </c>
      <c r="C78" t="s">
        <v>35</v>
      </c>
      <c r="D78" t="s">
        <v>36</v>
      </c>
      <c r="E78" t="s">
        <v>20</v>
      </c>
      <c r="F78" t="s">
        <v>31</v>
      </c>
      <c r="G78" t="s">
        <v>39</v>
      </c>
      <c r="H78" s="2">
        <v>7488.8</v>
      </c>
      <c r="I78">
        <v>5</v>
      </c>
      <c r="J78" s="2">
        <v>2208.5100000000002</v>
      </c>
    </row>
    <row r="79" spans="1:10" x14ac:dyDescent="0.3">
      <c r="A79">
        <v>78</v>
      </c>
      <c r="B79" s="1">
        <v>45135</v>
      </c>
      <c r="C79" t="s">
        <v>22</v>
      </c>
      <c r="D79" t="s">
        <v>22</v>
      </c>
      <c r="E79" t="s">
        <v>20</v>
      </c>
      <c r="F79" t="s">
        <v>13</v>
      </c>
      <c r="G79" t="s">
        <v>34</v>
      </c>
      <c r="H79" s="2">
        <v>41949.599999999999</v>
      </c>
      <c r="I79">
        <v>1</v>
      </c>
      <c r="J79" s="2">
        <v>2775.01</v>
      </c>
    </row>
    <row r="80" spans="1:10" x14ac:dyDescent="0.3">
      <c r="A80">
        <v>79</v>
      </c>
      <c r="B80" s="1">
        <v>45008</v>
      </c>
      <c r="C80" t="s">
        <v>26</v>
      </c>
      <c r="D80" t="s">
        <v>27</v>
      </c>
      <c r="E80" t="s">
        <v>20</v>
      </c>
      <c r="F80" t="s">
        <v>24</v>
      </c>
      <c r="G80" t="s">
        <v>29</v>
      </c>
      <c r="H80" s="2">
        <v>34219.17</v>
      </c>
      <c r="I80">
        <v>5</v>
      </c>
      <c r="J80" s="2">
        <v>6904.79</v>
      </c>
    </row>
    <row r="81" spans="1:10" x14ac:dyDescent="0.3">
      <c r="A81">
        <v>80</v>
      </c>
      <c r="B81" s="1">
        <v>45057</v>
      </c>
      <c r="C81" t="s">
        <v>30</v>
      </c>
      <c r="D81" t="s">
        <v>16</v>
      </c>
      <c r="E81" t="s">
        <v>20</v>
      </c>
      <c r="F81" t="s">
        <v>13</v>
      </c>
      <c r="G81" t="s">
        <v>21</v>
      </c>
      <c r="H81" s="2">
        <v>18981.490000000002</v>
      </c>
      <c r="I81">
        <v>2</v>
      </c>
      <c r="J81" s="2">
        <v>4601.25</v>
      </c>
    </row>
    <row r="82" spans="1:10" x14ac:dyDescent="0.3">
      <c r="A82">
        <v>81</v>
      </c>
      <c r="B82" s="1">
        <v>45074</v>
      </c>
      <c r="C82" t="s">
        <v>38</v>
      </c>
      <c r="D82" t="s">
        <v>27</v>
      </c>
      <c r="E82" t="s">
        <v>20</v>
      </c>
      <c r="F82" t="s">
        <v>13</v>
      </c>
      <c r="G82" t="s">
        <v>34</v>
      </c>
      <c r="H82" s="2">
        <v>13262.03</v>
      </c>
      <c r="I82">
        <v>3</v>
      </c>
      <c r="J82" s="2">
        <v>1704.76</v>
      </c>
    </row>
    <row r="83" spans="1:10" x14ac:dyDescent="0.3">
      <c r="A83">
        <v>82</v>
      </c>
      <c r="B83" s="1">
        <v>45007</v>
      </c>
      <c r="C83" t="s">
        <v>30</v>
      </c>
      <c r="D83" t="s">
        <v>16</v>
      </c>
      <c r="E83" t="s">
        <v>20</v>
      </c>
      <c r="F83" t="s">
        <v>31</v>
      </c>
      <c r="G83" t="s">
        <v>33</v>
      </c>
      <c r="H83" s="2">
        <v>28533.71</v>
      </c>
      <c r="I83">
        <v>7</v>
      </c>
      <c r="J83" s="2">
        <v>5376.75</v>
      </c>
    </row>
    <row r="84" spans="1:10" x14ac:dyDescent="0.3">
      <c r="A84">
        <v>83</v>
      </c>
      <c r="B84" s="1">
        <v>45065</v>
      </c>
      <c r="C84" t="s">
        <v>38</v>
      </c>
      <c r="D84" t="s">
        <v>27</v>
      </c>
      <c r="E84" t="s">
        <v>20</v>
      </c>
      <c r="F84" t="s">
        <v>31</v>
      </c>
      <c r="G84" t="s">
        <v>32</v>
      </c>
      <c r="H84" s="2">
        <v>23050.22</v>
      </c>
      <c r="I84">
        <v>9</v>
      </c>
      <c r="J84" s="2">
        <v>3097.82</v>
      </c>
    </row>
    <row r="85" spans="1:10" x14ac:dyDescent="0.3">
      <c r="A85">
        <v>84</v>
      </c>
      <c r="B85" s="1">
        <v>45083</v>
      </c>
      <c r="C85" t="s">
        <v>22</v>
      </c>
      <c r="D85" t="s">
        <v>22</v>
      </c>
      <c r="E85" t="s">
        <v>20</v>
      </c>
      <c r="F85" t="s">
        <v>13</v>
      </c>
      <c r="G85" t="s">
        <v>34</v>
      </c>
      <c r="H85" s="2">
        <v>5628.94</v>
      </c>
      <c r="I85">
        <v>10</v>
      </c>
      <c r="J85" s="2">
        <v>502.11</v>
      </c>
    </row>
    <row r="86" spans="1:10" x14ac:dyDescent="0.3">
      <c r="A86">
        <v>85</v>
      </c>
      <c r="B86" s="1">
        <v>45094</v>
      </c>
      <c r="C86" t="s">
        <v>26</v>
      </c>
      <c r="D86" t="s">
        <v>27</v>
      </c>
      <c r="E86" t="s">
        <v>20</v>
      </c>
      <c r="F86" t="s">
        <v>13</v>
      </c>
      <c r="G86" t="s">
        <v>34</v>
      </c>
      <c r="H86" s="2">
        <v>24580.28</v>
      </c>
      <c r="I86">
        <v>4</v>
      </c>
      <c r="J86" s="2">
        <v>4569.32</v>
      </c>
    </row>
    <row r="87" spans="1:10" x14ac:dyDescent="0.3">
      <c r="A87">
        <v>86</v>
      </c>
      <c r="B87" s="1">
        <v>45167</v>
      </c>
      <c r="C87" t="s">
        <v>15</v>
      </c>
      <c r="D87" t="s">
        <v>16</v>
      </c>
      <c r="E87" t="s">
        <v>20</v>
      </c>
      <c r="F87" t="s">
        <v>31</v>
      </c>
      <c r="G87" t="s">
        <v>33</v>
      </c>
      <c r="H87" s="2">
        <v>5581.58</v>
      </c>
      <c r="I87">
        <v>4</v>
      </c>
      <c r="J87" s="2">
        <v>1382.81</v>
      </c>
    </row>
    <row r="88" spans="1:10" x14ac:dyDescent="0.3">
      <c r="A88">
        <v>87</v>
      </c>
      <c r="B88" s="1">
        <v>45180</v>
      </c>
      <c r="C88" t="s">
        <v>38</v>
      </c>
      <c r="D88" t="s">
        <v>27</v>
      </c>
      <c r="E88" t="s">
        <v>20</v>
      </c>
      <c r="F88" t="s">
        <v>24</v>
      </c>
      <c r="G88" t="s">
        <v>28</v>
      </c>
      <c r="H88" s="2">
        <v>42628.71</v>
      </c>
      <c r="I88">
        <v>2</v>
      </c>
      <c r="J88" s="2">
        <v>12647.05</v>
      </c>
    </row>
    <row r="89" spans="1:10" x14ac:dyDescent="0.3">
      <c r="A89">
        <v>88</v>
      </c>
      <c r="B89" s="1">
        <v>45026</v>
      </c>
      <c r="C89" t="s">
        <v>26</v>
      </c>
      <c r="D89" t="s">
        <v>27</v>
      </c>
      <c r="E89" t="s">
        <v>20</v>
      </c>
      <c r="F89" t="s">
        <v>24</v>
      </c>
      <c r="G89" t="s">
        <v>25</v>
      </c>
      <c r="H89" s="2">
        <v>36936.449999999997</v>
      </c>
      <c r="I89">
        <v>1</v>
      </c>
      <c r="J89" s="2">
        <v>1871.1</v>
      </c>
    </row>
    <row r="90" spans="1:10" x14ac:dyDescent="0.3">
      <c r="A90">
        <v>89</v>
      </c>
      <c r="B90" s="1">
        <v>45154</v>
      </c>
      <c r="C90" t="s">
        <v>10</v>
      </c>
      <c r="D90" t="s">
        <v>11</v>
      </c>
      <c r="E90" t="s">
        <v>20</v>
      </c>
      <c r="F90" t="s">
        <v>13</v>
      </c>
      <c r="G90" t="s">
        <v>34</v>
      </c>
      <c r="H90" s="2">
        <v>49161.73</v>
      </c>
      <c r="I90">
        <v>4</v>
      </c>
      <c r="J90" s="2">
        <v>11453.36</v>
      </c>
    </row>
    <row r="91" spans="1:10" x14ac:dyDescent="0.3">
      <c r="A91">
        <v>90</v>
      </c>
      <c r="B91" s="1">
        <v>45256</v>
      </c>
      <c r="C91" t="s">
        <v>18</v>
      </c>
      <c r="D91" t="s">
        <v>19</v>
      </c>
      <c r="E91" t="s">
        <v>20</v>
      </c>
      <c r="F91" t="s">
        <v>24</v>
      </c>
      <c r="G91" t="s">
        <v>28</v>
      </c>
      <c r="H91" s="2">
        <v>2971.97</v>
      </c>
      <c r="I91">
        <v>4</v>
      </c>
      <c r="J91" s="2">
        <v>387.64</v>
      </c>
    </row>
    <row r="92" spans="1:10" x14ac:dyDescent="0.3">
      <c r="A92">
        <v>91</v>
      </c>
      <c r="B92" s="1">
        <v>45221</v>
      </c>
      <c r="C92" t="s">
        <v>26</v>
      </c>
      <c r="D92" t="s">
        <v>27</v>
      </c>
      <c r="E92" t="s">
        <v>20</v>
      </c>
      <c r="F92" t="s">
        <v>31</v>
      </c>
      <c r="G92" t="s">
        <v>33</v>
      </c>
      <c r="H92" s="2">
        <v>45280.43</v>
      </c>
      <c r="I92">
        <v>8</v>
      </c>
      <c r="J92" s="2">
        <v>5426.84</v>
      </c>
    </row>
    <row r="93" spans="1:10" x14ac:dyDescent="0.3">
      <c r="A93">
        <v>92</v>
      </c>
      <c r="B93" s="1">
        <v>44956</v>
      </c>
      <c r="C93" t="s">
        <v>22</v>
      </c>
      <c r="D93" t="s">
        <v>22</v>
      </c>
      <c r="E93" t="s">
        <v>20</v>
      </c>
      <c r="F93" t="s">
        <v>13</v>
      </c>
      <c r="G93" t="s">
        <v>14</v>
      </c>
      <c r="H93" s="2">
        <v>15117.73</v>
      </c>
      <c r="I93">
        <v>1</v>
      </c>
      <c r="J93" s="2">
        <v>3245</v>
      </c>
    </row>
    <row r="94" spans="1:10" x14ac:dyDescent="0.3">
      <c r="A94">
        <v>93</v>
      </c>
      <c r="B94" s="1">
        <v>45211</v>
      </c>
      <c r="C94" t="s">
        <v>15</v>
      </c>
      <c r="D94" t="s">
        <v>16</v>
      </c>
      <c r="E94" t="s">
        <v>20</v>
      </c>
      <c r="F94" t="s">
        <v>31</v>
      </c>
      <c r="G94" t="s">
        <v>39</v>
      </c>
      <c r="H94" s="2">
        <v>17343.349999999999</v>
      </c>
      <c r="I94">
        <v>4</v>
      </c>
      <c r="J94" s="2">
        <v>3930.83</v>
      </c>
    </row>
    <row r="95" spans="1:10" x14ac:dyDescent="0.3">
      <c r="A95">
        <v>94</v>
      </c>
      <c r="B95" s="1">
        <v>45080</v>
      </c>
      <c r="C95" t="s">
        <v>38</v>
      </c>
      <c r="D95" t="s">
        <v>27</v>
      </c>
      <c r="E95" t="s">
        <v>20</v>
      </c>
      <c r="F95" t="s">
        <v>13</v>
      </c>
      <c r="G95" t="s">
        <v>34</v>
      </c>
      <c r="H95" s="2">
        <v>20412.259999999998</v>
      </c>
      <c r="I95">
        <v>9</v>
      </c>
      <c r="J95" s="2">
        <v>4042.76</v>
      </c>
    </row>
    <row r="96" spans="1:10" x14ac:dyDescent="0.3">
      <c r="A96">
        <v>95</v>
      </c>
      <c r="B96" s="1">
        <v>45237</v>
      </c>
      <c r="C96" t="s">
        <v>10</v>
      </c>
      <c r="D96" t="s">
        <v>11</v>
      </c>
      <c r="E96" t="s">
        <v>20</v>
      </c>
      <c r="F96" t="s">
        <v>31</v>
      </c>
      <c r="G96" t="s">
        <v>33</v>
      </c>
      <c r="H96" s="2">
        <v>43100.75</v>
      </c>
      <c r="I96">
        <v>3</v>
      </c>
      <c r="J96" s="2">
        <v>7277.93</v>
      </c>
    </row>
    <row r="97" spans="1:10" x14ac:dyDescent="0.3">
      <c r="A97">
        <v>96</v>
      </c>
      <c r="B97" s="1">
        <v>45167</v>
      </c>
      <c r="C97" t="s">
        <v>22</v>
      </c>
      <c r="D97" t="s">
        <v>22</v>
      </c>
      <c r="E97" t="s">
        <v>20</v>
      </c>
      <c r="F97" t="s">
        <v>24</v>
      </c>
      <c r="G97" t="s">
        <v>25</v>
      </c>
      <c r="H97" s="2">
        <v>33221.47</v>
      </c>
      <c r="I97">
        <v>2</v>
      </c>
      <c r="J97" s="2">
        <v>8139.07</v>
      </c>
    </row>
    <row r="98" spans="1:10" x14ac:dyDescent="0.3">
      <c r="A98">
        <v>97</v>
      </c>
      <c r="B98" s="1">
        <v>45145</v>
      </c>
      <c r="C98" t="s">
        <v>15</v>
      </c>
      <c r="D98" t="s">
        <v>16</v>
      </c>
      <c r="E98" t="s">
        <v>20</v>
      </c>
      <c r="F98" t="s">
        <v>31</v>
      </c>
      <c r="G98" t="s">
        <v>33</v>
      </c>
      <c r="H98" s="2">
        <v>27420.6</v>
      </c>
      <c r="I98">
        <v>1</v>
      </c>
      <c r="J98" s="2">
        <v>3380.25</v>
      </c>
    </row>
    <row r="99" spans="1:10" x14ac:dyDescent="0.3">
      <c r="A99">
        <v>98</v>
      </c>
      <c r="B99" s="1">
        <v>45151</v>
      </c>
      <c r="C99" t="s">
        <v>18</v>
      </c>
      <c r="D99" t="s">
        <v>19</v>
      </c>
      <c r="E99" t="s">
        <v>20</v>
      </c>
      <c r="F99" t="s">
        <v>13</v>
      </c>
      <c r="G99" t="s">
        <v>21</v>
      </c>
      <c r="H99" s="2">
        <v>41720.79</v>
      </c>
      <c r="I99">
        <v>9</v>
      </c>
      <c r="J99" s="2">
        <v>7269.45</v>
      </c>
    </row>
    <row r="100" spans="1:10" x14ac:dyDescent="0.3">
      <c r="A100">
        <v>99</v>
      </c>
      <c r="B100" s="1">
        <v>45008</v>
      </c>
      <c r="C100" t="s">
        <v>22</v>
      </c>
      <c r="D100" t="s">
        <v>22</v>
      </c>
      <c r="E100" t="s">
        <v>20</v>
      </c>
      <c r="F100" t="s">
        <v>13</v>
      </c>
      <c r="G100" t="s">
        <v>14</v>
      </c>
      <c r="H100" s="2">
        <v>43520.98</v>
      </c>
      <c r="I100">
        <v>8</v>
      </c>
      <c r="J100" s="2">
        <v>6580.87</v>
      </c>
    </row>
    <row r="101" spans="1:10" x14ac:dyDescent="0.3">
      <c r="A101">
        <v>100</v>
      </c>
      <c r="B101" s="1">
        <v>45104</v>
      </c>
      <c r="C101" t="s">
        <v>18</v>
      </c>
      <c r="D101" t="s">
        <v>19</v>
      </c>
      <c r="E101" t="s">
        <v>12</v>
      </c>
      <c r="F101" t="s">
        <v>31</v>
      </c>
      <c r="G101" t="s">
        <v>39</v>
      </c>
      <c r="H101" s="2">
        <v>43256.76</v>
      </c>
      <c r="I101">
        <v>9</v>
      </c>
      <c r="J101" s="2">
        <v>12801</v>
      </c>
    </row>
    <row r="102" spans="1:10" x14ac:dyDescent="0.3">
      <c r="A102">
        <v>101</v>
      </c>
      <c r="B102" s="1">
        <v>45016</v>
      </c>
      <c r="C102" t="s">
        <v>38</v>
      </c>
      <c r="D102" t="s">
        <v>27</v>
      </c>
      <c r="E102" t="s">
        <v>12</v>
      </c>
      <c r="F102" t="s">
        <v>31</v>
      </c>
      <c r="G102" t="s">
        <v>33</v>
      </c>
      <c r="H102" s="2">
        <v>28432</v>
      </c>
      <c r="I102">
        <v>1</v>
      </c>
      <c r="J102" s="2">
        <v>4326.1000000000004</v>
      </c>
    </row>
    <row r="103" spans="1:10" x14ac:dyDescent="0.3">
      <c r="A103">
        <v>102</v>
      </c>
      <c r="B103" s="1">
        <v>45043</v>
      </c>
      <c r="C103" t="s">
        <v>26</v>
      </c>
      <c r="D103" t="s">
        <v>27</v>
      </c>
      <c r="E103" t="s">
        <v>12</v>
      </c>
      <c r="F103" t="s">
        <v>24</v>
      </c>
      <c r="G103" t="s">
        <v>29</v>
      </c>
      <c r="H103" s="2">
        <v>45607.68</v>
      </c>
      <c r="I103">
        <v>9</v>
      </c>
      <c r="J103" s="2">
        <v>10061.65</v>
      </c>
    </row>
    <row r="104" spans="1:10" x14ac:dyDescent="0.3">
      <c r="A104">
        <v>103</v>
      </c>
      <c r="B104" s="1">
        <v>45249</v>
      </c>
      <c r="C104" t="s">
        <v>15</v>
      </c>
      <c r="D104" t="s">
        <v>16</v>
      </c>
      <c r="E104" t="s">
        <v>12</v>
      </c>
      <c r="F104" t="s">
        <v>24</v>
      </c>
      <c r="G104" t="s">
        <v>28</v>
      </c>
      <c r="H104" s="2">
        <v>45100.31</v>
      </c>
      <c r="I104">
        <v>5</v>
      </c>
      <c r="J104" s="2">
        <v>5435.3</v>
      </c>
    </row>
    <row r="105" spans="1:10" x14ac:dyDescent="0.3">
      <c r="A105">
        <v>104</v>
      </c>
      <c r="B105" s="1">
        <v>45258</v>
      </c>
      <c r="C105" t="s">
        <v>35</v>
      </c>
      <c r="D105" t="s">
        <v>36</v>
      </c>
      <c r="E105" t="s">
        <v>12</v>
      </c>
      <c r="F105" t="s">
        <v>13</v>
      </c>
      <c r="G105" t="s">
        <v>21</v>
      </c>
      <c r="H105" s="2">
        <v>31680.26</v>
      </c>
      <c r="I105">
        <v>6</v>
      </c>
      <c r="J105" s="2">
        <v>7130.43</v>
      </c>
    </row>
    <row r="106" spans="1:10" x14ac:dyDescent="0.3">
      <c r="A106">
        <v>105</v>
      </c>
      <c r="B106" s="1">
        <v>45178</v>
      </c>
      <c r="C106" t="s">
        <v>10</v>
      </c>
      <c r="D106" t="s">
        <v>11</v>
      </c>
      <c r="E106" t="s">
        <v>12</v>
      </c>
      <c r="F106" t="s">
        <v>24</v>
      </c>
      <c r="G106" t="s">
        <v>29</v>
      </c>
      <c r="H106" s="2">
        <v>17942.34</v>
      </c>
      <c r="I106">
        <v>4</v>
      </c>
      <c r="J106" s="2">
        <v>4800.71</v>
      </c>
    </row>
    <row r="107" spans="1:10" x14ac:dyDescent="0.3">
      <c r="A107">
        <v>106</v>
      </c>
      <c r="B107" s="1">
        <v>44943</v>
      </c>
      <c r="C107" t="s">
        <v>38</v>
      </c>
      <c r="D107" t="s">
        <v>27</v>
      </c>
      <c r="E107" t="s">
        <v>12</v>
      </c>
      <c r="F107" t="s">
        <v>31</v>
      </c>
      <c r="G107" t="s">
        <v>33</v>
      </c>
      <c r="H107" s="2">
        <v>46409.88</v>
      </c>
      <c r="I107">
        <v>7</v>
      </c>
      <c r="J107" s="2">
        <v>12657.84</v>
      </c>
    </row>
    <row r="108" spans="1:10" x14ac:dyDescent="0.3">
      <c r="A108">
        <v>107</v>
      </c>
      <c r="B108" s="1">
        <v>45270</v>
      </c>
      <c r="C108" t="s">
        <v>35</v>
      </c>
      <c r="D108" t="s">
        <v>36</v>
      </c>
      <c r="E108" t="s">
        <v>12</v>
      </c>
      <c r="F108" t="s">
        <v>31</v>
      </c>
      <c r="G108" t="s">
        <v>33</v>
      </c>
      <c r="H108" s="2">
        <v>20904.05</v>
      </c>
      <c r="I108">
        <v>9</v>
      </c>
      <c r="J108" s="2">
        <v>2758.95</v>
      </c>
    </row>
    <row r="109" spans="1:10" x14ac:dyDescent="0.3">
      <c r="A109">
        <v>108</v>
      </c>
      <c r="B109" s="1">
        <v>45143</v>
      </c>
      <c r="C109" t="s">
        <v>18</v>
      </c>
      <c r="D109" t="s">
        <v>19</v>
      </c>
      <c r="E109" t="s">
        <v>12</v>
      </c>
      <c r="F109" t="s">
        <v>31</v>
      </c>
      <c r="G109" t="s">
        <v>39</v>
      </c>
      <c r="H109" s="2">
        <v>9106.1</v>
      </c>
      <c r="I109">
        <v>3</v>
      </c>
      <c r="J109" s="2">
        <v>519.4</v>
      </c>
    </row>
    <row r="110" spans="1:10" x14ac:dyDescent="0.3">
      <c r="A110">
        <v>109</v>
      </c>
      <c r="B110" s="1">
        <v>45214</v>
      </c>
      <c r="C110" t="s">
        <v>10</v>
      </c>
      <c r="D110" t="s">
        <v>11</v>
      </c>
      <c r="E110" t="s">
        <v>12</v>
      </c>
      <c r="F110" t="s">
        <v>24</v>
      </c>
      <c r="G110" t="s">
        <v>25</v>
      </c>
      <c r="H110" s="2">
        <v>7629.97</v>
      </c>
      <c r="I110">
        <v>9</v>
      </c>
      <c r="J110" s="2">
        <v>1489.6</v>
      </c>
    </row>
    <row r="111" spans="1:10" x14ac:dyDescent="0.3">
      <c r="A111">
        <v>110</v>
      </c>
      <c r="B111" s="1">
        <v>45008</v>
      </c>
      <c r="C111" t="s">
        <v>26</v>
      </c>
      <c r="D111" t="s">
        <v>27</v>
      </c>
      <c r="E111" t="s">
        <v>12</v>
      </c>
      <c r="F111" t="s">
        <v>13</v>
      </c>
      <c r="G111" t="s">
        <v>14</v>
      </c>
      <c r="H111" s="2">
        <v>23310.71</v>
      </c>
      <c r="I111">
        <v>1</v>
      </c>
      <c r="J111" s="2">
        <v>3512.57</v>
      </c>
    </row>
    <row r="112" spans="1:10" x14ac:dyDescent="0.3">
      <c r="A112">
        <v>111</v>
      </c>
      <c r="B112" s="1">
        <v>45085</v>
      </c>
      <c r="C112" t="s">
        <v>30</v>
      </c>
      <c r="D112" t="s">
        <v>16</v>
      </c>
      <c r="E112" t="s">
        <v>12</v>
      </c>
      <c r="F112" t="s">
        <v>13</v>
      </c>
      <c r="G112" t="s">
        <v>34</v>
      </c>
      <c r="H112" s="2">
        <v>27994.05</v>
      </c>
      <c r="I112">
        <v>4</v>
      </c>
      <c r="J112" s="2">
        <v>5449.63</v>
      </c>
    </row>
    <row r="113" spans="1:10" x14ac:dyDescent="0.3">
      <c r="A113">
        <v>112</v>
      </c>
      <c r="B113" s="1">
        <v>44963</v>
      </c>
      <c r="C113" t="s">
        <v>18</v>
      </c>
      <c r="D113" t="s">
        <v>19</v>
      </c>
      <c r="E113" t="s">
        <v>12</v>
      </c>
      <c r="F113" t="s">
        <v>13</v>
      </c>
      <c r="G113" t="s">
        <v>34</v>
      </c>
      <c r="H113" s="2">
        <v>32440.06</v>
      </c>
      <c r="I113">
        <v>3</v>
      </c>
      <c r="J113" s="2">
        <v>7193.85</v>
      </c>
    </row>
    <row r="114" spans="1:10" x14ac:dyDescent="0.3">
      <c r="A114">
        <v>113</v>
      </c>
      <c r="B114" s="1">
        <v>45103</v>
      </c>
      <c r="C114" t="s">
        <v>30</v>
      </c>
      <c r="D114" t="s">
        <v>16</v>
      </c>
      <c r="E114" t="s">
        <v>12</v>
      </c>
      <c r="F114" t="s">
        <v>13</v>
      </c>
      <c r="G114" t="s">
        <v>34</v>
      </c>
      <c r="H114" s="2">
        <v>40462.19</v>
      </c>
      <c r="I114">
        <v>3</v>
      </c>
      <c r="J114" s="2">
        <v>9068.9</v>
      </c>
    </row>
    <row r="115" spans="1:10" x14ac:dyDescent="0.3">
      <c r="A115">
        <v>114</v>
      </c>
      <c r="B115" s="1">
        <v>45086</v>
      </c>
      <c r="C115" t="s">
        <v>37</v>
      </c>
      <c r="D115" t="s">
        <v>27</v>
      </c>
      <c r="E115" t="s">
        <v>12</v>
      </c>
      <c r="F115" t="s">
        <v>31</v>
      </c>
      <c r="G115" t="s">
        <v>32</v>
      </c>
      <c r="H115" s="2">
        <v>4946.33</v>
      </c>
      <c r="I115">
        <v>9</v>
      </c>
      <c r="J115" s="2">
        <v>1157.56</v>
      </c>
    </row>
    <row r="116" spans="1:10" x14ac:dyDescent="0.3">
      <c r="A116">
        <v>115</v>
      </c>
      <c r="B116" s="1">
        <v>45067</v>
      </c>
      <c r="C116" t="s">
        <v>18</v>
      </c>
      <c r="D116" t="s">
        <v>19</v>
      </c>
      <c r="E116" t="s">
        <v>12</v>
      </c>
      <c r="F116" t="s">
        <v>24</v>
      </c>
      <c r="G116" t="s">
        <v>25</v>
      </c>
      <c r="H116" s="2">
        <v>41523.230000000003</v>
      </c>
      <c r="I116">
        <v>7</v>
      </c>
      <c r="J116" s="2">
        <v>9474.06</v>
      </c>
    </row>
    <row r="117" spans="1:10" x14ac:dyDescent="0.3">
      <c r="A117">
        <v>116</v>
      </c>
      <c r="B117" s="1">
        <v>45091</v>
      </c>
      <c r="C117" t="s">
        <v>37</v>
      </c>
      <c r="D117" t="s">
        <v>27</v>
      </c>
      <c r="E117" t="s">
        <v>12</v>
      </c>
      <c r="F117" t="s">
        <v>31</v>
      </c>
      <c r="G117" t="s">
        <v>33</v>
      </c>
      <c r="H117" s="2">
        <v>41692.239999999998</v>
      </c>
      <c r="I117">
        <v>1</v>
      </c>
      <c r="J117" s="2">
        <v>11454.59</v>
      </c>
    </row>
    <row r="118" spans="1:10" x14ac:dyDescent="0.3">
      <c r="A118">
        <v>117</v>
      </c>
      <c r="B118" s="1">
        <v>45275</v>
      </c>
      <c r="C118" t="s">
        <v>18</v>
      </c>
      <c r="D118" t="s">
        <v>19</v>
      </c>
      <c r="E118" t="s">
        <v>12</v>
      </c>
      <c r="F118" t="s">
        <v>24</v>
      </c>
      <c r="G118" t="s">
        <v>25</v>
      </c>
      <c r="H118" s="2">
        <v>37435.72</v>
      </c>
      <c r="I118">
        <v>10</v>
      </c>
      <c r="J118" s="2">
        <v>7225.3</v>
      </c>
    </row>
    <row r="119" spans="1:10" x14ac:dyDescent="0.3">
      <c r="A119">
        <v>118</v>
      </c>
      <c r="B119" s="1">
        <v>44993</v>
      </c>
      <c r="C119" t="s">
        <v>22</v>
      </c>
      <c r="D119" t="s">
        <v>22</v>
      </c>
      <c r="E119" t="s">
        <v>12</v>
      </c>
      <c r="F119" t="s">
        <v>31</v>
      </c>
      <c r="G119" t="s">
        <v>39</v>
      </c>
      <c r="H119" s="2">
        <v>24188.17</v>
      </c>
      <c r="I119">
        <v>4</v>
      </c>
      <c r="J119" s="2">
        <v>1398.98</v>
      </c>
    </row>
    <row r="120" spans="1:10" x14ac:dyDescent="0.3">
      <c r="A120">
        <v>119</v>
      </c>
      <c r="B120" s="1">
        <v>44978</v>
      </c>
      <c r="C120" t="s">
        <v>10</v>
      </c>
      <c r="D120" t="s">
        <v>11</v>
      </c>
      <c r="E120" t="s">
        <v>12</v>
      </c>
      <c r="F120" t="s">
        <v>13</v>
      </c>
      <c r="G120" t="s">
        <v>14</v>
      </c>
      <c r="H120" s="2">
        <v>7636.41</v>
      </c>
      <c r="I120">
        <v>5</v>
      </c>
      <c r="J120" s="2">
        <v>1440.24</v>
      </c>
    </row>
    <row r="121" spans="1:10" x14ac:dyDescent="0.3">
      <c r="A121">
        <v>120</v>
      </c>
      <c r="B121" s="1">
        <v>44930</v>
      </c>
      <c r="C121" t="s">
        <v>30</v>
      </c>
      <c r="D121" t="s">
        <v>16</v>
      </c>
      <c r="E121" t="s">
        <v>12</v>
      </c>
      <c r="F121" t="s">
        <v>24</v>
      </c>
      <c r="G121" t="s">
        <v>29</v>
      </c>
      <c r="H121" s="2">
        <v>46770.74</v>
      </c>
      <c r="I121">
        <v>9</v>
      </c>
      <c r="J121" s="2">
        <v>10311.32</v>
      </c>
    </row>
    <row r="122" spans="1:10" x14ac:dyDescent="0.3">
      <c r="A122">
        <v>121</v>
      </c>
      <c r="B122" s="1">
        <v>45269</v>
      </c>
      <c r="C122" t="s">
        <v>30</v>
      </c>
      <c r="D122" t="s">
        <v>16</v>
      </c>
      <c r="E122" t="s">
        <v>12</v>
      </c>
      <c r="F122" t="s">
        <v>24</v>
      </c>
      <c r="G122" t="s">
        <v>29</v>
      </c>
      <c r="H122" s="2">
        <v>25666.98</v>
      </c>
      <c r="I122">
        <v>6</v>
      </c>
      <c r="J122" s="2">
        <v>5659.2</v>
      </c>
    </row>
    <row r="123" spans="1:10" x14ac:dyDescent="0.3">
      <c r="A123">
        <v>122</v>
      </c>
      <c r="B123" s="1">
        <v>45281</v>
      </c>
      <c r="C123" t="s">
        <v>37</v>
      </c>
      <c r="D123" t="s">
        <v>27</v>
      </c>
      <c r="E123" t="s">
        <v>12</v>
      </c>
      <c r="F123" t="s">
        <v>13</v>
      </c>
      <c r="G123" t="s">
        <v>14</v>
      </c>
      <c r="H123" s="2">
        <v>23082.5</v>
      </c>
      <c r="I123">
        <v>5</v>
      </c>
      <c r="J123" s="2">
        <v>6692.32</v>
      </c>
    </row>
    <row r="124" spans="1:10" x14ac:dyDescent="0.3">
      <c r="A124">
        <v>123</v>
      </c>
      <c r="B124" s="1">
        <v>45087</v>
      </c>
      <c r="C124" t="s">
        <v>37</v>
      </c>
      <c r="D124" t="s">
        <v>27</v>
      </c>
      <c r="E124" t="s">
        <v>12</v>
      </c>
      <c r="F124" t="s">
        <v>31</v>
      </c>
      <c r="G124" t="s">
        <v>33</v>
      </c>
      <c r="H124" s="2">
        <v>38476.03</v>
      </c>
      <c r="I124">
        <v>5</v>
      </c>
      <c r="J124" s="2">
        <v>4209.84</v>
      </c>
    </row>
    <row r="125" spans="1:10" x14ac:dyDescent="0.3">
      <c r="A125">
        <v>124</v>
      </c>
      <c r="B125" s="1">
        <v>44997</v>
      </c>
      <c r="C125" t="s">
        <v>37</v>
      </c>
      <c r="D125" t="s">
        <v>27</v>
      </c>
      <c r="E125" t="s">
        <v>12</v>
      </c>
      <c r="F125" t="s">
        <v>31</v>
      </c>
      <c r="G125" t="s">
        <v>32</v>
      </c>
      <c r="H125" s="2">
        <v>18610.04</v>
      </c>
      <c r="I125">
        <v>9</v>
      </c>
      <c r="J125" s="2">
        <v>2849.41</v>
      </c>
    </row>
    <row r="126" spans="1:10" x14ac:dyDescent="0.3">
      <c r="A126">
        <v>125</v>
      </c>
      <c r="B126" s="1">
        <v>44996</v>
      </c>
      <c r="C126" t="s">
        <v>30</v>
      </c>
      <c r="D126" t="s">
        <v>16</v>
      </c>
      <c r="E126" t="s">
        <v>12</v>
      </c>
      <c r="F126" t="s">
        <v>13</v>
      </c>
      <c r="G126" t="s">
        <v>14</v>
      </c>
      <c r="H126" s="2">
        <v>9386.76</v>
      </c>
      <c r="I126">
        <v>5</v>
      </c>
      <c r="J126" s="2">
        <v>1362.58</v>
      </c>
    </row>
    <row r="127" spans="1:10" x14ac:dyDescent="0.3">
      <c r="A127">
        <v>126</v>
      </c>
      <c r="B127" s="1">
        <v>45288</v>
      </c>
      <c r="C127" t="s">
        <v>26</v>
      </c>
      <c r="D127" t="s">
        <v>27</v>
      </c>
      <c r="E127" t="s">
        <v>12</v>
      </c>
      <c r="F127" t="s">
        <v>13</v>
      </c>
      <c r="G127" t="s">
        <v>14</v>
      </c>
      <c r="H127" s="2">
        <v>28617.52</v>
      </c>
      <c r="I127">
        <v>6</v>
      </c>
      <c r="J127" s="2">
        <v>2807.32</v>
      </c>
    </row>
    <row r="128" spans="1:10" x14ac:dyDescent="0.3">
      <c r="A128">
        <v>127</v>
      </c>
      <c r="B128" s="1">
        <v>45268</v>
      </c>
      <c r="C128" t="s">
        <v>15</v>
      </c>
      <c r="D128" t="s">
        <v>16</v>
      </c>
      <c r="E128" t="s">
        <v>12</v>
      </c>
      <c r="F128" t="s">
        <v>31</v>
      </c>
      <c r="G128" t="s">
        <v>32</v>
      </c>
      <c r="H128" s="2">
        <v>23321.11</v>
      </c>
      <c r="I128">
        <v>6</v>
      </c>
      <c r="J128" s="2">
        <v>6516.94</v>
      </c>
    </row>
    <row r="129" spans="1:10" x14ac:dyDescent="0.3">
      <c r="A129">
        <v>128</v>
      </c>
      <c r="B129" s="1">
        <v>45195</v>
      </c>
      <c r="C129" t="s">
        <v>26</v>
      </c>
      <c r="D129" t="s">
        <v>27</v>
      </c>
      <c r="E129" t="s">
        <v>12</v>
      </c>
      <c r="F129" t="s">
        <v>13</v>
      </c>
      <c r="G129" t="s">
        <v>14</v>
      </c>
      <c r="H129" s="2">
        <v>30886.63</v>
      </c>
      <c r="I129">
        <v>3</v>
      </c>
      <c r="J129" s="2">
        <v>7845.04</v>
      </c>
    </row>
    <row r="130" spans="1:10" x14ac:dyDescent="0.3">
      <c r="A130">
        <v>129</v>
      </c>
      <c r="B130" s="1">
        <v>45236</v>
      </c>
      <c r="C130" t="s">
        <v>10</v>
      </c>
      <c r="D130" t="s">
        <v>11</v>
      </c>
      <c r="E130" t="s">
        <v>12</v>
      </c>
      <c r="F130" t="s">
        <v>31</v>
      </c>
      <c r="G130" t="s">
        <v>39</v>
      </c>
      <c r="H130" s="2">
        <v>33355.910000000003</v>
      </c>
      <c r="I130">
        <v>5</v>
      </c>
      <c r="J130" s="2">
        <v>2731.47</v>
      </c>
    </row>
    <row r="131" spans="1:10" x14ac:dyDescent="0.3">
      <c r="A131">
        <v>130</v>
      </c>
      <c r="B131" s="1">
        <v>45109</v>
      </c>
      <c r="C131" t="s">
        <v>10</v>
      </c>
      <c r="D131" t="s">
        <v>11</v>
      </c>
      <c r="E131" t="s">
        <v>12</v>
      </c>
      <c r="F131" t="s">
        <v>24</v>
      </c>
      <c r="G131" t="s">
        <v>28</v>
      </c>
      <c r="H131" s="2">
        <v>23925.26</v>
      </c>
      <c r="I131">
        <v>3</v>
      </c>
      <c r="J131" s="2">
        <v>4614.3999999999996</v>
      </c>
    </row>
    <row r="132" spans="1:10" x14ac:dyDescent="0.3">
      <c r="A132">
        <v>131</v>
      </c>
      <c r="B132" s="1">
        <v>44930</v>
      </c>
      <c r="C132" t="s">
        <v>10</v>
      </c>
      <c r="D132" t="s">
        <v>11</v>
      </c>
      <c r="E132" t="s">
        <v>12</v>
      </c>
      <c r="F132" t="s">
        <v>13</v>
      </c>
      <c r="G132" t="s">
        <v>34</v>
      </c>
      <c r="H132" s="2">
        <v>46208.11</v>
      </c>
      <c r="I132">
        <v>1</v>
      </c>
      <c r="J132" s="2">
        <v>4640.21</v>
      </c>
    </row>
    <row r="133" spans="1:10" x14ac:dyDescent="0.3">
      <c r="A133">
        <v>132</v>
      </c>
      <c r="B133" s="1">
        <v>44967</v>
      </c>
      <c r="C133" t="s">
        <v>10</v>
      </c>
      <c r="D133" t="s">
        <v>11</v>
      </c>
      <c r="E133" t="s">
        <v>12</v>
      </c>
      <c r="F133" t="s">
        <v>31</v>
      </c>
      <c r="G133" t="s">
        <v>39</v>
      </c>
      <c r="H133" s="2">
        <v>7965.54</v>
      </c>
      <c r="I133">
        <v>3</v>
      </c>
      <c r="J133" s="2">
        <v>2341.5300000000002</v>
      </c>
    </row>
    <row r="134" spans="1:10" x14ac:dyDescent="0.3">
      <c r="A134">
        <v>133</v>
      </c>
      <c r="B134" s="1">
        <v>45265</v>
      </c>
      <c r="C134" t="s">
        <v>15</v>
      </c>
      <c r="D134" t="s">
        <v>16</v>
      </c>
      <c r="E134" t="s">
        <v>12</v>
      </c>
      <c r="F134" t="s">
        <v>13</v>
      </c>
      <c r="G134" t="s">
        <v>34</v>
      </c>
      <c r="H134" s="2">
        <v>47622.58</v>
      </c>
      <c r="I134">
        <v>8</v>
      </c>
      <c r="J134" s="2">
        <v>13847.81</v>
      </c>
    </row>
    <row r="135" spans="1:10" x14ac:dyDescent="0.3">
      <c r="A135">
        <v>134</v>
      </c>
      <c r="B135" s="1">
        <v>45204</v>
      </c>
      <c r="C135" t="s">
        <v>22</v>
      </c>
      <c r="D135" t="s">
        <v>22</v>
      </c>
      <c r="E135" t="s">
        <v>12</v>
      </c>
      <c r="F135" t="s">
        <v>31</v>
      </c>
      <c r="G135" t="s">
        <v>33</v>
      </c>
      <c r="H135" s="2">
        <v>2192.81</v>
      </c>
      <c r="I135">
        <v>2</v>
      </c>
      <c r="J135" s="2">
        <v>448.06</v>
      </c>
    </row>
    <row r="136" spans="1:10" x14ac:dyDescent="0.3">
      <c r="A136">
        <v>135</v>
      </c>
      <c r="B136" s="1">
        <v>45182</v>
      </c>
      <c r="C136" t="s">
        <v>35</v>
      </c>
      <c r="D136" t="s">
        <v>36</v>
      </c>
      <c r="E136" t="s">
        <v>12</v>
      </c>
      <c r="F136" t="s">
        <v>13</v>
      </c>
      <c r="G136" t="s">
        <v>34</v>
      </c>
      <c r="H136" s="2">
        <v>39455.26</v>
      </c>
      <c r="I136">
        <v>6</v>
      </c>
      <c r="J136" s="2">
        <v>7254.89</v>
      </c>
    </row>
    <row r="137" spans="1:10" x14ac:dyDescent="0.3">
      <c r="A137">
        <v>136</v>
      </c>
      <c r="B137" s="1">
        <v>45066</v>
      </c>
      <c r="C137" t="s">
        <v>30</v>
      </c>
      <c r="D137" t="s">
        <v>16</v>
      </c>
      <c r="E137" t="s">
        <v>12</v>
      </c>
      <c r="F137" t="s">
        <v>31</v>
      </c>
      <c r="G137" t="s">
        <v>33</v>
      </c>
      <c r="H137" s="2">
        <v>33615.199999999997</v>
      </c>
      <c r="I137">
        <v>10</v>
      </c>
      <c r="J137" s="2">
        <v>9400.1200000000008</v>
      </c>
    </row>
    <row r="138" spans="1:10" x14ac:dyDescent="0.3">
      <c r="A138">
        <v>137</v>
      </c>
      <c r="B138" s="1">
        <v>45112</v>
      </c>
      <c r="C138" t="s">
        <v>10</v>
      </c>
      <c r="D138" t="s">
        <v>11</v>
      </c>
      <c r="E138" t="s">
        <v>12</v>
      </c>
      <c r="F138" t="s">
        <v>13</v>
      </c>
      <c r="G138" t="s">
        <v>21</v>
      </c>
      <c r="H138" s="2">
        <v>43630.27</v>
      </c>
      <c r="I138">
        <v>1</v>
      </c>
      <c r="J138" s="2">
        <v>5720.89</v>
      </c>
    </row>
    <row r="139" spans="1:10" x14ac:dyDescent="0.3">
      <c r="A139">
        <v>138</v>
      </c>
      <c r="B139" s="1">
        <v>45222</v>
      </c>
      <c r="C139" t="s">
        <v>30</v>
      </c>
      <c r="D139" t="s">
        <v>16</v>
      </c>
      <c r="E139" t="s">
        <v>12</v>
      </c>
      <c r="F139" t="s">
        <v>31</v>
      </c>
      <c r="G139" t="s">
        <v>39</v>
      </c>
      <c r="H139" s="2">
        <v>45089.98</v>
      </c>
      <c r="I139">
        <v>5</v>
      </c>
      <c r="J139" s="2">
        <v>4787.6899999999996</v>
      </c>
    </row>
    <row r="140" spans="1:10" x14ac:dyDescent="0.3">
      <c r="A140">
        <v>139</v>
      </c>
      <c r="B140" s="1">
        <v>45193</v>
      </c>
      <c r="C140" t="s">
        <v>30</v>
      </c>
      <c r="D140" t="s">
        <v>16</v>
      </c>
      <c r="E140" t="s">
        <v>12</v>
      </c>
      <c r="F140" t="s">
        <v>24</v>
      </c>
      <c r="G140" t="s">
        <v>29</v>
      </c>
      <c r="H140" s="2">
        <v>41314.769999999997</v>
      </c>
      <c r="I140">
        <v>7</v>
      </c>
      <c r="J140" s="2">
        <v>9847.14</v>
      </c>
    </row>
    <row r="141" spans="1:10" x14ac:dyDescent="0.3">
      <c r="A141">
        <v>140</v>
      </c>
      <c r="B141" s="1">
        <v>44981</v>
      </c>
      <c r="C141" t="s">
        <v>30</v>
      </c>
      <c r="D141" t="s">
        <v>16</v>
      </c>
      <c r="E141" t="s">
        <v>12</v>
      </c>
      <c r="F141" t="s">
        <v>24</v>
      </c>
      <c r="G141" t="s">
        <v>28</v>
      </c>
      <c r="H141" s="2">
        <v>33348.76</v>
      </c>
      <c r="I141">
        <v>2</v>
      </c>
      <c r="J141" s="2">
        <v>3732.78</v>
      </c>
    </row>
    <row r="142" spans="1:10" x14ac:dyDescent="0.3">
      <c r="A142">
        <v>141</v>
      </c>
      <c r="B142" s="1">
        <v>44944</v>
      </c>
      <c r="C142" t="s">
        <v>18</v>
      </c>
      <c r="D142" t="s">
        <v>19</v>
      </c>
      <c r="E142" t="s">
        <v>12</v>
      </c>
      <c r="F142" t="s">
        <v>13</v>
      </c>
      <c r="G142" t="s">
        <v>14</v>
      </c>
      <c r="H142" s="2">
        <v>36059.56</v>
      </c>
      <c r="I142">
        <v>8</v>
      </c>
      <c r="J142" s="2">
        <v>6777.54</v>
      </c>
    </row>
    <row r="143" spans="1:10" x14ac:dyDescent="0.3">
      <c r="A143">
        <v>142</v>
      </c>
      <c r="B143" s="1">
        <v>45063</v>
      </c>
      <c r="C143" t="s">
        <v>37</v>
      </c>
      <c r="D143" t="s">
        <v>27</v>
      </c>
      <c r="E143" t="s">
        <v>12</v>
      </c>
      <c r="F143" t="s">
        <v>24</v>
      </c>
      <c r="G143" t="s">
        <v>29</v>
      </c>
      <c r="H143" s="2">
        <v>21431.96</v>
      </c>
      <c r="I143">
        <v>6</v>
      </c>
      <c r="J143" s="2">
        <v>2214.5500000000002</v>
      </c>
    </row>
    <row r="144" spans="1:10" x14ac:dyDescent="0.3">
      <c r="A144">
        <v>143</v>
      </c>
      <c r="B144" s="1">
        <v>45177</v>
      </c>
      <c r="C144" t="s">
        <v>26</v>
      </c>
      <c r="D144" t="s">
        <v>27</v>
      </c>
      <c r="E144" t="s">
        <v>12</v>
      </c>
      <c r="F144" t="s">
        <v>13</v>
      </c>
      <c r="G144" t="s">
        <v>14</v>
      </c>
      <c r="H144" s="2">
        <v>29187.79</v>
      </c>
      <c r="I144">
        <v>2</v>
      </c>
      <c r="J144" s="2">
        <v>1532.13</v>
      </c>
    </row>
    <row r="145" spans="1:10" x14ac:dyDescent="0.3">
      <c r="A145">
        <v>144</v>
      </c>
      <c r="B145" s="1">
        <v>44930</v>
      </c>
      <c r="C145" t="s">
        <v>30</v>
      </c>
      <c r="D145" t="s">
        <v>16</v>
      </c>
      <c r="E145" t="s">
        <v>17</v>
      </c>
      <c r="F145" t="s">
        <v>31</v>
      </c>
      <c r="G145" t="s">
        <v>32</v>
      </c>
      <c r="H145" s="2">
        <v>45025.54</v>
      </c>
      <c r="I145">
        <v>2</v>
      </c>
      <c r="J145" s="2">
        <v>12720.22</v>
      </c>
    </row>
    <row r="146" spans="1:10" x14ac:dyDescent="0.3">
      <c r="A146">
        <v>145</v>
      </c>
      <c r="B146" s="1">
        <v>45118</v>
      </c>
      <c r="C146" t="s">
        <v>15</v>
      </c>
      <c r="D146" t="s">
        <v>16</v>
      </c>
      <c r="E146" t="s">
        <v>17</v>
      </c>
      <c r="F146" t="s">
        <v>13</v>
      </c>
      <c r="G146" t="s">
        <v>14</v>
      </c>
      <c r="H146" s="2">
        <v>29484.35</v>
      </c>
      <c r="I146">
        <v>4</v>
      </c>
      <c r="J146" s="2">
        <v>2052.4299999999998</v>
      </c>
    </row>
    <row r="147" spans="1:10" x14ac:dyDescent="0.3">
      <c r="A147">
        <v>146</v>
      </c>
      <c r="B147" s="1">
        <v>45067</v>
      </c>
      <c r="C147" t="s">
        <v>26</v>
      </c>
      <c r="D147" t="s">
        <v>27</v>
      </c>
      <c r="E147" t="s">
        <v>17</v>
      </c>
      <c r="F147" t="s">
        <v>13</v>
      </c>
      <c r="G147" t="s">
        <v>34</v>
      </c>
      <c r="H147" s="2">
        <v>16959.68</v>
      </c>
      <c r="I147">
        <v>4</v>
      </c>
      <c r="J147" s="2">
        <v>1943.65</v>
      </c>
    </row>
    <row r="148" spans="1:10" x14ac:dyDescent="0.3">
      <c r="A148">
        <v>147</v>
      </c>
      <c r="B148" s="1">
        <v>45022</v>
      </c>
      <c r="C148" t="s">
        <v>38</v>
      </c>
      <c r="D148" t="s">
        <v>27</v>
      </c>
      <c r="E148" t="s">
        <v>17</v>
      </c>
      <c r="F148" t="s">
        <v>13</v>
      </c>
      <c r="G148" t="s">
        <v>34</v>
      </c>
      <c r="H148" s="2">
        <v>31987.86</v>
      </c>
      <c r="I148">
        <v>8</v>
      </c>
      <c r="J148" s="2">
        <v>9445.74</v>
      </c>
    </row>
    <row r="149" spans="1:10" x14ac:dyDescent="0.3">
      <c r="A149">
        <v>148</v>
      </c>
      <c r="B149" s="1">
        <v>44953</v>
      </c>
      <c r="C149" t="s">
        <v>38</v>
      </c>
      <c r="D149" t="s">
        <v>27</v>
      </c>
      <c r="E149" t="s">
        <v>17</v>
      </c>
      <c r="F149" t="s">
        <v>31</v>
      </c>
      <c r="G149" t="s">
        <v>32</v>
      </c>
      <c r="H149" s="2">
        <v>24644.97</v>
      </c>
      <c r="I149">
        <v>5</v>
      </c>
      <c r="J149" s="2">
        <v>2363.06</v>
      </c>
    </row>
    <row r="150" spans="1:10" x14ac:dyDescent="0.3">
      <c r="A150">
        <v>149</v>
      </c>
      <c r="B150" s="1">
        <v>45241</v>
      </c>
      <c r="C150" t="s">
        <v>37</v>
      </c>
      <c r="D150" t="s">
        <v>27</v>
      </c>
      <c r="E150" t="s">
        <v>17</v>
      </c>
      <c r="F150" t="s">
        <v>13</v>
      </c>
      <c r="G150" t="s">
        <v>14</v>
      </c>
      <c r="H150" s="2">
        <v>28554.67</v>
      </c>
      <c r="I150">
        <v>9</v>
      </c>
      <c r="J150" s="2">
        <v>7750.57</v>
      </c>
    </row>
    <row r="151" spans="1:10" x14ac:dyDescent="0.3">
      <c r="A151">
        <v>150</v>
      </c>
      <c r="B151" s="1">
        <v>44960</v>
      </c>
      <c r="C151" t="s">
        <v>18</v>
      </c>
      <c r="D151" t="s">
        <v>19</v>
      </c>
      <c r="E151" t="s">
        <v>17</v>
      </c>
      <c r="F151" t="s">
        <v>13</v>
      </c>
      <c r="G151" t="s">
        <v>34</v>
      </c>
      <c r="H151" s="2">
        <v>8418.6</v>
      </c>
      <c r="I151">
        <v>7</v>
      </c>
      <c r="J151" s="2">
        <v>1523.75</v>
      </c>
    </row>
    <row r="152" spans="1:10" x14ac:dyDescent="0.3">
      <c r="A152">
        <v>151</v>
      </c>
      <c r="B152" s="1">
        <v>45257</v>
      </c>
      <c r="C152" t="s">
        <v>18</v>
      </c>
      <c r="D152" t="s">
        <v>19</v>
      </c>
      <c r="E152" t="s">
        <v>17</v>
      </c>
      <c r="F152" t="s">
        <v>24</v>
      </c>
      <c r="G152" t="s">
        <v>28</v>
      </c>
      <c r="H152" s="2">
        <v>27560.07</v>
      </c>
      <c r="I152">
        <v>8</v>
      </c>
      <c r="J152" s="2">
        <v>2515.9699999999998</v>
      </c>
    </row>
    <row r="153" spans="1:10" x14ac:dyDescent="0.3">
      <c r="A153">
        <v>152</v>
      </c>
      <c r="B153" s="1">
        <v>45201</v>
      </c>
      <c r="C153" t="s">
        <v>35</v>
      </c>
      <c r="D153" t="s">
        <v>36</v>
      </c>
      <c r="E153" t="s">
        <v>17</v>
      </c>
      <c r="F153" t="s">
        <v>24</v>
      </c>
      <c r="G153" t="s">
        <v>25</v>
      </c>
      <c r="H153" s="2">
        <v>13616.19</v>
      </c>
      <c r="I153">
        <v>10</v>
      </c>
      <c r="J153" s="2">
        <v>4009.3</v>
      </c>
    </row>
    <row r="154" spans="1:10" x14ac:dyDescent="0.3">
      <c r="A154">
        <v>153</v>
      </c>
      <c r="B154" s="1">
        <v>45139</v>
      </c>
      <c r="C154" t="s">
        <v>35</v>
      </c>
      <c r="D154" t="s">
        <v>36</v>
      </c>
      <c r="E154" t="s">
        <v>17</v>
      </c>
      <c r="F154" t="s">
        <v>13</v>
      </c>
      <c r="G154" t="s">
        <v>21</v>
      </c>
      <c r="H154" s="2">
        <v>25212.93</v>
      </c>
      <c r="I154">
        <v>8</v>
      </c>
      <c r="J154" s="2">
        <v>3535.68</v>
      </c>
    </row>
    <row r="155" spans="1:10" x14ac:dyDescent="0.3">
      <c r="A155">
        <v>154</v>
      </c>
      <c r="B155" s="1">
        <v>44977</v>
      </c>
      <c r="C155" t="s">
        <v>15</v>
      </c>
      <c r="D155" t="s">
        <v>16</v>
      </c>
      <c r="E155" t="s">
        <v>17</v>
      </c>
      <c r="F155" t="s">
        <v>31</v>
      </c>
      <c r="G155" t="s">
        <v>39</v>
      </c>
      <c r="H155" s="2">
        <v>43825.39</v>
      </c>
      <c r="I155">
        <v>6</v>
      </c>
      <c r="J155" s="2">
        <v>10611</v>
      </c>
    </row>
    <row r="156" spans="1:10" x14ac:dyDescent="0.3">
      <c r="A156">
        <v>155</v>
      </c>
      <c r="B156" s="1">
        <v>45011</v>
      </c>
      <c r="C156" t="s">
        <v>22</v>
      </c>
      <c r="D156" t="s">
        <v>22</v>
      </c>
      <c r="E156" t="s">
        <v>17</v>
      </c>
      <c r="F156" t="s">
        <v>24</v>
      </c>
      <c r="G156" t="s">
        <v>29</v>
      </c>
      <c r="H156" s="2">
        <v>40738.550000000003</v>
      </c>
      <c r="I156">
        <v>10</v>
      </c>
      <c r="J156" s="2">
        <v>3969.18</v>
      </c>
    </row>
    <row r="157" spans="1:10" x14ac:dyDescent="0.3">
      <c r="A157">
        <v>156</v>
      </c>
      <c r="B157" s="1">
        <v>45007</v>
      </c>
      <c r="C157" t="s">
        <v>10</v>
      </c>
      <c r="D157" t="s">
        <v>11</v>
      </c>
      <c r="E157" t="s">
        <v>17</v>
      </c>
      <c r="F157" t="s">
        <v>24</v>
      </c>
      <c r="G157" t="s">
        <v>28</v>
      </c>
      <c r="H157" s="2">
        <v>8460.74</v>
      </c>
      <c r="I157">
        <v>4</v>
      </c>
      <c r="J157" s="2">
        <v>1472.42</v>
      </c>
    </row>
    <row r="158" spans="1:10" x14ac:dyDescent="0.3">
      <c r="A158">
        <v>157</v>
      </c>
      <c r="B158" s="1">
        <v>45002</v>
      </c>
      <c r="C158" t="s">
        <v>37</v>
      </c>
      <c r="D158" t="s">
        <v>27</v>
      </c>
      <c r="E158" t="s">
        <v>17</v>
      </c>
      <c r="F158" t="s">
        <v>13</v>
      </c>
      <c r="G158" t="s">
        <v>34</v>
      </c>
      <c r="H158" s="2">
        <v>41629.51</v>
      </c>
      <c r="I158">
        <v>9</v>
      </c>
      <c r="J158" s="2">
        <v>11605.29</v>
      </c>
    </row>
    <row r="159" spans="1:10" x14ac:dyDescent="0.3">
      <c r="A159">
        <v>158</v>
      </c>
      <c r="B159" s="1">
        <v>45166</v>
      </c>
      <c r="C159" t="s">
        <v>15</v>
      </c>
      <c r="D159" t="s">
        <v>16</v>
      </c>
      <c r="E159" t="s">
        <v>17</v>
      </c>
      <c r="F159" t="s">
        <v>24</v>
      </c>
      <c r="G159" t="s">
        <v>28</v>
      </c>
      <c r="H159" s="2">
        <v>26680.82</v>
      </c>
      <c r="I159">
        <v>2</v>
      </c>
      <c r="J159" s="2">
        <v>5004.5</v>
      </c>
    </row>
    <row r="160" spans="1:10" x14ac:dyDescent="0.3">
      <c r="A160">
        <v>159</v>
      </c>
      <c r="B160" s="1">
        <v>45085</v>
      </c>
      <c r="C160" t="s">
        <v>15</v>
      </c>
      <c r="D160" t="s">
        <v>16</v>
      </c>
      <c r="E160" t="s">
        <v>17</v>
      </c>
      <c r="F160" t="s">
        <v>24</v>
      </c>
      <c r="G160" t="s">
        <v>28</v>
      </c>
      <c r="H160" s="2">
        <v>31459.86</v>
      </c>
      <c r="I160">
        <v>7</v>
      </c>
      <c r="J160" s="2">
        <v>2921.88</v>
      </c>
    </row>
    <row r="161" spans="1:10" x14ac:dyDescent="0.3">
      <c r="A161">
        <v>160</v>
      </c>
      <c r="B161" s="1">
        <v>45122</v>
      </c>
      <c r="C161" t="s">
        <v>26</v>
      </c>
      <c r="D161" t="s">
        <v>27</v>
      </c>
      <c r="E161" t="s">
        <v>17</v>
      </c>
      <c r="F161" t="s">
        <v>24</v>
      </c>
      <c r="G161" t="s">
        <v>25</v>
      </c>
      <c r="H161" s="2">
        <v>2532.71</v>
      </c>
      <c r="I161">
        <v>8</v>
      </c>
      <c r="J161" s="2">
        <v>324.74</v>
      </c>
    </row>
    <row r="162" spans="1:10" x14ac:dyDescent="0.3">
      <c r="A162">
        <v>161</v>
      </c>
      <c r="B162" s="1">
        <v>45062</v>
      </c>
      <c r="C162" t="s">
        <v>38</v>
      </c>
      <c r="D162" t="s">
        <v>27</v>
      </c>
      <c r="E162" t="s">
        <v>17</v>
      </c>
      <c r="F162" t="s">
        <v>31</v>
      </c>
      <c r="G162" t="s">
        <v>33</v>
      </c>
      <c r="H162" s="2">
        <v>26794.54</v>
      </c>
      <c r="I162">
        <v>8</v>
      </c>
      <c r="J162" s="2">
        <v>5027.8900000000003</v>
      </c>
    </row>
    <row r="163" spans="1:10" x14ac:dyDescent="0.3">
      <c r="A163">
        <v>162</v>
      </c>
      <c r="B163" s="1">
        <v>45069</v>
      </c>
      <c r="C163" t="s">
        <v>10</v>
      </c>
      <c r="D163" t="s">
        <v>11</v>
      </c>
      <c r="E163" t="s">
        <v>17</v>
      </c>
      <c r="F163" t="s">
        <v>31</v>
      </c>
      <c r="G163" t="s">
        <v>33</v>
      </c>
      <c r="H163" s="2">
        <v>36838.78</v>
      </c>
      <c r="I163">
        <v>6</v>
      </c>
      <c r="J163" s="2">
        <v>4092.23</v>
      </c>
    </row>
    <row r="164" spans="1:10" x14ac:dyDescent="0.3">
      <c r="A164">
        <v>163</v>
      </c>
      <c r="B164" s="1">
        <v>45233</v>
      </c>
      <c r="C164" t="s">
        <v>22</v>
      </c>
      <c r="D164" t="s">
        <v>22</v>
      </c>
      <c r="E164" t="s">
        <v>17</v>
      </c>
      <c r="F164" t="s">
        <v>31</v>
      </c>
      <c r="G164" t="s">
        <v>39</v>
      </c>
      <c r="H164" s="2">
        <v>13801.62</v>
      </c>
      <c r="I164">
        <v>1</v>
      </c>
      <c r="J164" s="2">
        <v>1863.69</v>
      </c>
    </row>
    <row r="165" spans="1:10" x14ac:dyDescent="0.3">
      <c r="A165">
        <v>164</v>
      </c>
      <c r="B165" s="1">
        <v>45018</v>
      </c>
      <c r="C165" t="s">
        <v>37</v>
      </c>
      <c r="D165" t="s">
        <v>27</v>
      </c>
      <c r="E165" t="s">
        <v>17</v>
      </c>
      <c r="F165" t="s">
        <v>31</v>
      </c>
      <c r="G165" t="s">
        <v>32</v>
      </c>
      <c r="H165" s="2">
        <v>26884.04</v>
      </c>
      <c r="I165">
        <v>9</v>
      </c>
      <c r="J165" s="2">
        <v>4634.18</v>
      </c>
    </row>
    <row r="166" spans="1:10" x14ac:dyDescent="0.3">
      <c r="A166">
        <v>165</v>
      </c>
      <c r="B166" s="1">
        <v>45280</v>
      </c>
      <c r="C166" t="s">
        <v>22</v>
      </c>
      <c r="D166" t="s">
        <v>22</v>
      </c>
      <c r="E166" t="s">
        <v>17</v>
      </c>
      <c r="F166" t="s">
        <v>31</v>
      </c>
      <c r="G166" t="s">
        <v>39</v>
      </c>
      <c r="H166" s="2">
        <v>24536.3</v>
      </c>
      <c r="I166">
        <v>4</v>
      </c>
      <c r="J166" s="2">
        <v>4883.58</v>
      </c>
    </row>
    <row r="167" spans="1:10" x14ac:dyDescent="0.3">
      <c r="A167">
        <v>166</v>
      </c>
      <c r="B167" s="1">
        <v>45092</v>
      </c>
      <c r="C167" t="s">
        <v>26</v>
      </c>
      <c r="D167" t="s">
        <v>27</v>
      </c>
      <c r="E167" t="s">
        <v>17</v>
      </c>
      <c r="F167" t="s">
        <v>13</v>
      </c>
      <c r="G167" t="s">
        <v>14</v>
      </c>
      <c r="H167" s="2">
        <v>38091.9</v>
      </c>
      <c r="I167">
        <v>3</v>
      </c>
      <c r="J167" s="2">
        <v>2162.17</v>
      </c>
    </row>
    <row r="168" spans="1:10" x14ac:dyDescent="0.3">
      <c r="A168">
        <v>167</v>
      </c>
      <c r="B168" s="1">
        <v>45066</v>
      </c>
      <c r="C168" t="s">
        <v>38</v>
      </c>
      <c r="D168" t="s">
        <v>27</v>
      </c>
      <c r="E168" t="s">
        <v>17</v>
      </c>
      <c r="F168" t="s">
        <v>24</v>
      </c>
      <c r="G168" t="s">
        <v>28</v>
      </c>
      <c r="H168" s="2">
        <v>39598.29</v>
      </c>
      <c r="I168">
        <v>5</v>
      </c>
      <c r="J168" s="2">
        <v>6403.75</v>
      </c>
    </row>
    <row r="169" spans="1:10" x14ac:dyDescent="0.3">
      <c r="A169">
        <v>168</v>
      </c>
      <c r="B169" s="1">
        <v>44968</v>
      </c>
      <c r="C169" t="s">
        <v>38</v>
      </c>
      <c r="D169" t="s">
        <v>27</v>
      </c>
      <c r="E169" t="s">
        <v>17</v>
      </c>
      <c r="F169" t="s">
        <v>13</v>
      </c>
      <c r="G169" t="s">
        <v>34</v>
      </c>
      <c r="H169" s="2">
        <v>4814.78</v>
      </c>
      <c r="I169">
        <v>6</v>
      </c>
      <c r="J169" s="2">
        <v>378.7</v>
      </c>
    </row>
    <row r="170" spans="1:10" x14ac:dyDescent="0.3">
      <c r="A170">
        <v>169</v>
      </c>
      <c r="B170" s="1">
        <v>45237</v>
      </c>
      <c r="C170" t="s">
        <v>18</v>
      </c>
      <c r="D170" t="s">
        <v>19</v>
      </c>
      <c r="E170" t="s">
        <v>17</v>
      </c>
      <c r="F170" t="s">
        <v>31</v>
      </c>
      <c r="G170" t="s">
        <v>32</v>
      </c>
      <c r="H170" s="2">
        <v>20072.27</v>
      </c>
      <c r="I170">
        <v>1</v>
      </c>
      <c r="J170" s="2">
        <v>4794.18</v>
      </c>
    </row>
    <row r="171" spans="1:10" x14ac:dyDescent="0.3">
      <c r="A171">
        <v>170</v>
      </c>
      <c r="B171" s="1">
        <v>45175</v>
      </c>
      <c r="C171" t="s">
        <v>10</v>
      </c>
      <c r="D171" t="s">
        <v>11</v>
      </c>
      <c r="E171" t="s">
        <v>17</v>
      </c>
      <c r="F171" t="s">
        <v>31</v>
      </c>
      <c r="G171" t="s">
        <v>32</v>
      </c>
      <c r="H171" s="2">
        <v>23725.51</v>
      </c>
      <c r="I171">
        <v>1</v>
      </c>
      <c r="J171" s="2">
        <v>1324.6</v>
      </c>
    </row>
    <row r="172" spans="1:10" x14ac:dyDescent="0.3">
      <c r="A172">
        <v>171</v>
      </c>
      <c r="B172" s="1">
        <v>45192</v>
      </c>
      <c r="C172" t="s">
        <v>18</v>
      </c>
      <c r="D172" t="s">
        <v>19</v>
      </c>
      <c r="E172" t="s">
        <v>17</v>
      </c>
      <c r="F172" t="s">
        <v>13</v>
      </c>
      <c r="G172" t="s">
        <v>14</v>
      </c>
      <c r="H172" s="2">
        <v>6338.6</v>
      </c>
      <c r="I172">
        <v>10</v>
      </c>
      <c r="J172" s="2">
        <v>850.83</v>
      </c>
    </row>
    <row r="173" spans="1:10" x14ac:dyDescent="0.3">
      <c r="A173">
        <v>172</v>
      </c>
      <c r="B173" s="1">
        <v>44934</v>
      </c>
      <c r="C173" t="s">
        <v>26</v>
      </c>
      <c r="D173" t="s">
        <v>27</v>
      </c>
      <c r="E173" t="s">
        <v>17</v>
      </c>
      <c r="F173" t="s">
        <v>31</v>
      </c>
      <c r="G173" t="s">
        <v>33</v>
      </c>
      <c r="H173" s="2">
        <v>43340.91</v>
      </c>
      <c r="I173">
        <v>3</v>
      </c>
      <c r="J173" s="2">
        <v>3409.31</v>
      </c>
    </row>
    <row r="174" spans="1:10" x14ac:dyDescent="0.3">
      <c r="A174">
        <v>173</v>
      </c>
      <c r="B174" s="1">
        <v>45014</v>
      </c>
      <c r="C174" t="s">
        <v>37</v>
      </c>
      <c r="D174" t="s">
        <v>27</v>
      </c>
      <c r="E174" t="s">
        <v>17</v>
      </c>
      <c r="F174" t="s">
        <v>31</v>
      </c>
      <c r="G174" t="s">
        <v>39</v>
      </c>
      <c r="H174" s="2">
        <v>5774.71</v>
      </c>
      <c r="I174">
        <v>6</v>
      </c>
      <c r="J174" s="2">
        <v>1350.62</v>
      </c>
    </row>
    <row r="175" spans="1:10" x14ac:dyDescent="0.3">
      <c r="A175">
        <v>174</v>
      </c>
      <c r="B175" s="1">
        <v>45178</v>
      </c>
      <c r="C175" t="s">
        <v>10</v>
      </c>
      <c r="D175" t="s">
        <v>11</v>
      </c>
      <c r="E175" t="s">
        <v>17</v>
      </c>
      <c r="F175" t="s">
        <v>13</v>
      </c>
      <c r="G175" t="s">
        <v>14</v>
      </c>
      <c r="H175" s="2">
        <v>31543.41</v>
      </c>
      <c r="I175">
        <v>7</v>
      </c>
      <c r="J175" s="2">
        <v>7095.9</v>
      </c>
    </row>
    <row r="176" spans="1:10" x14ac:dyDescent="0.3">
      <c r="A176">
        <v>175</v>
      </c>
      <c r="B176" s="1">
        <v>45127</v>
      </c>
      <c r="C176" t="s">
        <v>37</v>
      </c>
      <c r="D176" t="s">
        <v>27</v>
      </c>
      <c r="E176" t="s">
        <v>17</v>
      </c>
      <c r="F176" t="s">
        <v>24</v>
      </c>
      <c r="G176" t="s">
        <v>28</v>
      </c>
      <c r="H176" s="2">
        <v>48726.25</v>
      </c>
      <c r="I176">
        <v>6</v>
      </c>
      <c r="J176" s="2">
        <v>9754.02</v>
      </c>
    </row>
    <row r="177" spans="1:10" x14ac:dyDescent="0.3">
      <c r="A177">
        <v>176</v>
      </c>
      <c r="B177" s="1">
        <v>45082</v>
      </c>
      <c r="C177" t="s">
        <v>22</v>
      </c>
      <c r="D177" t="s">
        <v>22</v>
      </c>
      <c r="E177" t="s">
        <v>17</v>
      </c>
      <c r="F177" t="s">
        <v>13</v>
      </c>
      <c r="G177" t="s">
        <v>21</v>
      </c>
      <c r="H177" s="2">
        <v>4877.32</v>
      </c>
      <c r="I177">
        <v>2</v>
      </c>
      <c r="J177" s="2">
        <v>678.04</v>
      </c>
    </row>
    <row r="178" spans="1:10" x14ac:dyDescent="0.3">
      <c r="A178">
        <v>177</v>
      </c>
      <c r="B178" s="1">
        <v>45227</v>
      </c>
      <c r="C178" t="s">
        <v>30</v>
      </c>
      <c r="D178" t="s">
        <v>16</v>
      </c>
      <c r="E178" t="s">
        <v>17</v>
      </c>
      <c r="F178" t="s">
        <v>24</v>
      </c>
      <c r="G178" t="s">
        <v>28</v>
      </c>
      <c r="H178" s="2">
        <v>36632.480000000003</v>
      </c>
      <c r="I178">
        <v>5</v>
      </c>
      <c r="J178" s="2">
        <v>4419.68</v>
      </c>
    </row>
    <row r="179" spans="1:10" x14ac:dyDescent="0.3">
      <c r="A179">
        <v>178</v>
      </c>
      <c r="B179" s="1">
        <v>44978</v>
      </c>
      <c r="C179" t="s">
        <v>26</v>
      </c>
      <c r="D179" t="s">
        <v>27</v>
      </c>
      <c r="E179" t="s">
        <v>17</v>
      </c>
      <c r="F179" t="s">
        <v>31</v>
      </c>
      <c r="G179" t="s">
        <v>32</v>
      </c>
      <c r="H179" s="2">
        <v>7302.34</v>
      </c>
      <c r="I179">
        <v>10</v>
      </c>
      <c r="J179" s="2">
        <v>909.18</v>
      </c>
    </row>
    <row r="180" spans="1:10" x14ac:dyDescent="0.3">
      <c r="A180">
        <v>179</v>
      </c>
      <c r="B180" s="1">
        <v>44993</v>
      </c>
      <c r="C180" t="s">
        <v>15</v>
      </c>
      <c r="D180" t="s">
        <v>16</v>
      </c>
      <c r="E180" t="s">
        <v>17</v>
      </c>
      <c r="F180" t="s">
        <v>31</v>
      </c>
      <c r="G180" t="s">
        <v>39</v>
      </c>
      <c r="H180" s="2">
        <v>17646.86</v>
      </c>
      <c r="I180">
        <v>9</v>
      </c>
      <c r="J180" s="2">
        <v>3145.05</v>
      </c>
    </row>
    <row r="181" spans="1:10" x14ac:dyDescent="0.3">
      <c r="A181">
        <v>180</v>
      </c>
      <c r="B181" s="1">
        <v>45230</v>
      </c>
      <c r="C181" t="s">
        <v>37</v>
      </c>
      <c r="D181" t="s">
        <v>27</v>
      </c>
      <c r="E181" t="s">
        <v>17</v>
      </c>
      <c r="F181" t="s">
        <v>13</v>
      </c>
      <c r="G181" t="s">
        <v>14</v>
      </c>
      <c r="H181" s="2">
        <v>18272.21</v>
      </c>
      <c r="I181">
        <v>9</v>
      </c>
      <c r="J181" s="2">
        <v>4352.6099999999997</v>
      </c>
    </row>
    <row r="182" spans="1:10" x14ac:dyDescent="0.3">
      <c r="A182">
        <v>181</v>
      </c>
      <c r="B182" s="1">
        <v>45151</v>
      </c>
      <c r="C182" t="s">
        <v>22</v>
      </c>
      <c r="D182" t="s">
        <v>22</v>
      </c>
      <c r="E182" t="s">
        <v>17</v>
      </c>
      <c r="F182" t="s">
        <v>24</v>
      </c>
      <c r="G182" t="s">
        <v>29</v>
      </c>
      <c r="H182" s="2">
        <v>30968.38</v>
      </c>
      <c r="I182">
        <v>7</v>
      </c>
      <c r="J182" s="2">
        <v>4688.1000000000004</v>
      </c>
    </row>
    <row r="183" spans="1:10" x14ac:dyDescent="0.3">
      <c r="A183">
        <v>182</v>
      </c>
      <c r="B183" s="1">
        <v>45080</v>
      </c>
      <c r="C183" t="s">
        <v>26</v>
      </c>
      <c r="D183" t="s">
        <v>27</v>
      </c>
      <c r="E183" t="s">
        <v>17</v>
      </c>
      <c r="F183" t="s">
        <v>31</v>
      </c>
      <c r="G183" t="s">
        <v>33</v>
      </c>
      <c r="H183" s="2">
        <v>17745.36</v>
      </c>
      <c r="I183">
        <v>2</v>
      </c>
      <c r="J183" s="2">
        <v>1736.15</v>
      </c>
    </row>
    <row r="184" spans="1:10" x14ac:dyDescent="0.3">
      <c r="A184">
        <v>183</v>
      </c>
      <c r="B184" s="1">
        <v>44984</v>
      </c>
      <c r="C184" t="s">
        <v>26</v>
      </c>
      <c r="D184" t="s">
        <v>27</v>
      </c>
      <c r="E184" t="s">
        <v>17</v>
      </c>
      <c r="F184" t="s">
        <v>13</v>
      </c>
      <c r="G184" t="s">
        <v>21</v>
      </c>
      <c r="H184" s="2">
        <v>30601.31</v>
      </c>
      <c r="I184">
        <v>9</v>
      </c>
      <c r="J184" s="2">
        <v>4632.5600000000004</v>
      </c>
    </row>
    <row r="185" spans="1:10" x14ac:dyDescent="0.3">
      <c r="A185">
        <v>184</v>
      </c>
      <c r="B185" s="1">
        <v>45256</v>
      </c>
      <c r="C185" t="s">
        <v>22</v>
      </c>
      <c r="D185" t="s">
        <v>22</v>
      </c>
      <c r="E185" t="s">
        <v>17</v>
      </c>
      <c r="F185" t="s">
        <v>24</v>
      </c>
      <c r="G185" t="s">
        <v>25</v>
      </c>
      <c r="H185" s="2">
        <v>27508.720000000001</v>
      </c>
      <c r="I185">
        <v>4</v>
      </c>
      <c r="J185" s="2">
        <v>2649.16</v>
      </c>
    </row>
    <row r="186" spans="1:10" x14ac:dyDescent="0.3">
      <c r="A186">
        <v>185</v>
      </c>
      <c r="B186" s="1">
        <v>44959</v>
      </c>
      <c r="C186" t="s">
        <v>35</v>
      </c>
      <c r="D186" t="s">
        <v>36</v>
      </c>
      <c r="E186" t="s">
        <v>17</v>
      </c>
      <c r="F186" t="s">
        <v>24</v>
      </c>
      <c r="G186" t="s">
        <v>29</v>
      </c>
      <c r="H186" s="2">
        <v>20818.54</v>
      </c>
      <c r="I186">
        <v>10</v>
      </c>
      <c r="J186" s="2">
        <v>2457.2199999999998</v>
      </c>
    </row>
    <row r="187" spans="1:10" x14ac:dyDescent="0.3">
      <c r="A187">
        <v>186</v>
      </c>
      <c r="B187" s="1">
        <v>44990</v>
      </c>
      <c r="C187" t="s">
        <v>18</v>
      </c>
      <c r="D187" t="s">
        <v>19</v>
      </c>
      <c r="E187" t="s">
        <v>17</v>
      </c>
      <c r="F187" t="s">
        <v>24</v>
      </c>
      <c r="G187" t="s">
        <v>29</v>
      </c>
      <c r="H187" s="2">
        <v>49951.15</v>
      </c>
      <c r="I187">
        <v>8</v>
      </c>
      <c r="J187" s="2">
        <v>9925.48</v>
      </c>
    </row>
    <row r="188" spans="1:10" x14ac:dyDescent="0.3">
      <c r="A188">
        <v>187</v>
      </c>
      <c r="B188" s="1">
        <v>45184</v>
      </c>
      <c r="C188" t="s">
        <v>26</v>
      </c>
      <c r="D188" t="s">
        <v>27</v>
      </c>
      <c r="E188" t="s">
        <v>17</v>
      </c>
      <c r="F188" t="s">
        <v>31</v>
      </c>
      <c r="G188" t="s">
        <v>33</v>
      </c>
      <c r="H188" s="2">
        <v>14099.59</v>
      </c>
      <c r="I188">
        <v>7</v>
      </c>
      <c r="J188" s="2">
        <v>1349.86</v>
      </c>
    </row>
    <row r="189" spans="1:10" x14ac:dyDescent="0.3">
      <c r="A189">
        <v>188</v>
      </c>
      <c r="B189" s="1">
        <v>45210</v>
      </c>
      <c r="C189" t="s">
        <v>15</v>
      </c>
      <c r="D189" t="s">
        <v>16</v>
      </c>
      <c r="E189" t="s">
        <v>12</v>
      </c>
      <c r="F189" t="s">
        <v>31</v>
      </c>
      <c r="G189" t="s">
        <v>33</v>
      </c>
      <c r="H189" s="2">
        <v>30464.74</v>
      </c>
      <c r="I189">
        <v>6</v>
      </c>
      <c r="J189" s="2">
        <v>7362.23</v>
      </c>
    </row>
    <row r="190" spans="1:10" x14ac:dyDescent="0.3">
      <c r="A190">
        <v>189</v>
      </c>
      <c r="B190" s="1">
        <v>45041</v>
      </c>
      <c r="C190" t="s">
        <v>18</v>
      </c>
      <c r="D190" t="s">
        <v>19</v>
      </c>
      <c r="E190" t="s">
        <v>17</v>
      </c>
      <c r="F190" t="s">
        <v>13</v>
      </c>
      <c r="G190" t="s">
        <v>21</v>
      </c>
      <c r="H190" s="2">
        <v>45371.4</v>
      </c>
      <c r="I190">
        <v>9</v>
      </c>
      <c r="J190" s="2">
        <v>10014.870000000001</v>
      </c>
    </row>
    <row r="191" spans="1:10" x14ac:dyDescent="0.3">
      <c r="A191">
        <v>190</v>
      </c>
      <c r="B191" s="1">
        <v>45082</v>
      </c>
      <c r="C191" t="s">
        <v>38</v>
      </c>
      <c r="D191" t="s">
        <v>27</v>
      </c>
      <c r="E191" t="s">
        <v>12</v>
      </c>
      <c r="F191" t="s">
        <v>31</v>
      </c>
      <c r="G191" t="s">
        <v>32</v>
      </c>
      <c r="H191" s="2">
        <v>22118.26</v>
      </c>
      <c r="I191">
        <v>4</v>
      </c>
      <c r="J191" s="2">
        <v>2171.89</v>
      </c>
    </row>
    <row r="192" spans="1:10" x14ac:dyDescent="0.3">
      <c r="A192">
        <v>191</v>
      </c>
      <c r="B192" s="1">
        <v>45248</v>
      </c>
      <c r="C192" t="s">
        <v>10</v>
      </c>
      <c r="D192" t="s">
        <v>11</v>
      </c>
      <c r="E192" t="s">
        <v>17</v>
      </c>
      <c r="F192" t="s">
        <v>13</v>
      </c>
      <c r="G192" t="s">
        <v>21</v>
      </c>
      <c r="H192" s="2">
        <v>37631.99</v>
      </c>
      <c r="I192">
        <v>10</v>
      </c>
      <c r="J192" s="2">
        <v>2815.66</v>
      </c>
    </row>
    <row r="193" spans="1:10" x14ac:dyDescent="0.3">
      <c r="A193">
        <v>192</v>
      </c>
      <c r="B193" s="1">
        <v>45279</v>
      </c>
      <c r="C193" t="s">
        <v>15</v>
      </c>
      <c r="D193" t="s">
        <v>16</v>
      </c>
      <c r="E193" t="s">
        <v>20</v>
      </c>
      <c r="F193" t="s">
        <v>13</v>
      </c>
      <c r="G193" t="s">
        <v>34</v>
      </c>
      <c r="H193" s="2">
        <v>32613.74</v>
      </c>
      <c r="I193">
        <v>3</v>
      </c>
      <c r="J193" s="2">
        <v>2329.77</v>
      </c>
    </row>
    <row r="194" spans="1:10" x14ac:dyDescent="0.3">
      <c r="A194">
        <v>193</v>
      </c>
      <c r="B194" s="1">
        <v>45031</v>
      </c>
      <c r="C194" t="s">
        <v>38</v>
      </c>
      <c r="D194" t="s">
        <v>27</v>
      </c>
      <c r="E194" t="s">
        <v>20</v>
      </c>
      <c r="F194" t="s">
        <v>31</v>
      </c>
      <c r="G194" t="s">
        <v>39</v>
      </c>
      <c r="H194" s="2">
        <v>19402.79</v>
      </c>
      <c r="I194">
        <v>5</v>
      </c>
      <c r="J194" s="2">
        <v>4070.53</v>
      </c>
    </row>
    <row r="195" spans="1:10" x14ac:dyDescent="0.3">
      <c r="A195">
        <v>194</v>
      </c>
      <c r="B195" s="1">
        <v>45226</v>
      </c>
      <c r="C195" t="s">
        <v>37</v>
      </c>
      <c r="D195" t="s">
        <v>27</v>
      </c>
      <c r="E195" t="s">
        <v>12</v>
      </c>
      <c r="F195" t="s">
        <v>13</v>
      </c>
      <c r="G195" t="s">
        <v>21</v>
      </c>
      <c r="H195" s="2">
        <v>38828.89</v>
      </c>
      <c r="I195">
        <v>1</v>
      </c>
      <c r="J195" s="2">
        <v>3558.41</v>
      </c>
    </row>
    <row r="196" spans="1:10" x14ac:dyDescent="0.3">
      <c r="A196">
        <v>195</v>
      </c>
      <c r="B196" s="1">
        <v>45285</v>
      </c>
      <c r="C196" t="s">
        <v>10</v>
      </c>
      <c r="D196" t="s">
        <v>11</v>
      </c>
      <c r="E196" t="s">
        <v>17</v>
      </c>
      <c r="F196" t="s">
        <v>13</v>
      </c>
      <c r="G196" t="s">
        <v>34</v>
      </c>
      <c r="H196" s="2">
        <v>40947.69</v>
      </c>
      <c r="I196">
        <v>10</v>
      </c>
      <c r="J196" s="2">
        <v>3402.46</v>
      </c>
    </row>
    <row r="197" spans="1:10" x14ac:dyDescent="0.3">
      <c r="A197">
        <v>196</v>
      </c>
      <c r="B197" s="1">
        <v>45132</v>
      </c>
      <c r="C197" t="s">
        <v>38</v>
      </c>
      <c r="D197" t="s">
        <v>27</v>
      </c>
      <c r="E197" t="s">
        <v>12</v>
      </c>
      <c r="F197" t="s">
        <v>13</v>
      </c>
      <c r="G197" t="s">
        <v>34</v>
      </c>
      <c r="H197" s="2">
        <v>42010.67</v>
      </c>
      <c r="I197">
        <v>2</v>
      </c>
      <c r="J197" s="2">
        <v>11879.89</v>
      </c>
    </row>
    <row r="198" spans="1:10" x14ac:dyDescent="0.3">
      <c r="A198">
        <v>197</v>
      </c>
      <c r="B198" s="1">
        <v>44951</v>
      </c>
      <c r="C198" t="s">
        <v>10</v>
      </c>
      <c r="D198" t="s">
        <v>11</v>
      </c>
      <c r="E198" t="s">
        <v>17</v>
      </c>
      <c r="F198" t="s">
        <v>31</v>
      </c>
      <c r="G198" t="s">
        <v>33</v>
      </c>
      <c r="H198" s="2">
        <v>15486.53</v>
      </c>
      <c r="I198">
        <v>3</v>
      </c>
      <c r="J198" s="2">
        <v>3644.96</v>
      </c>
    </row>
    <row r="199" spans="1:10" x14ac:dyDescent="0.3">
      <c r="A199">
        <v>198</v>
      </c>
      <c r="B199" s="1">
        <v>44962</v>
      </c>
      <c r="C199" t="s">
        <v>35</v>
      </c>
      <c r="D199" t="s">
        <v>36</v>
      </c>
      <c r="E199" t="s">
        <v>20</v>
      </c>
      <c r="F199" t="s">
        <v>13</v>
      </c>
      <c r="G199" t="s">
        <v>34</v>
      </c>
      <c r="H199" s="2">
        <v>30608.400000000001</v>
      </c>
      <c r="I199">
        <v>1</v>
      </c>
      <c r="J199" s="2">
        <v>2635.57</v>
      </c>
    </row>
    <row r="200" spans="1:10" x14ac:dyDescent="0.3">
      <c r="A200">
        <v>199</v>
      </c>
      <c r="B200" s="1">
        <v>45181</v>
      </c>
      <c r="C200" t="s">
        <v>18</v>
      </c>
      <c r="D200" t="s">
        <v>19</v>
      </c>
      <c r="E200" t="s">
        <v>20</v>
      </c>
      <c r="F200" t="s">
        <v>31</v>
      </c>
      <c r="G200" t="s">
        <v>33</v>
      </c>
      <c r="H200" s="2">
        <v>15000.25</v>
      </c>
      <c r="I200">
        <v>1</v>
      </c>
      <c r="J200" s="2">
        <v>3201.7</v>
      </c>
    </row>
    <row r="201" spans="1:10" x14ac:dyDescent="0.3">
      <c r="A201">
        <v>200</v>
      </c>
      <c r="B201" s="1">
        <v>45266</v>
      </c>
      <c r="C201" t="s">
        <v>15</v>
      </c>
      <c r="D201" t="s">
        <v>16</v>
      </c>
      <c r="E201" t="s">
        <v>12</v>
      </c>
      <c r="F201" t="s">
        <v>24</v>
      </c>
      <c r="G201" t="s">
        <v>25</v>
      </c>
      <c r="H201" s="2">
        <v>30584.37</v>
      </c>
      <c r="I201">
        <v>4</v>
      </c>
      <c r="J201" s="2">
        <v>5866.07</v>
      </c>
    </row>
    <row r="202" spans="1:10" x14ac:dyDescent="0.3">
      <c r="A202">
        <v>201</v>
      </c>
      <c r="B202" s="1">
        <v>44995</v>
      </c>
      <c r="C202" t="s">
        <v>30</v>
      </c>
      <c r="D202" t="s">
        <v>16</v>
      </c>
      <c r="E202" t="s">
        <v>17</v>
      </c>
      <c r="F202" t="s">
        <v>24</v>
      </c>
      <c r="G202" t="s">
        <v>29</v>
      </c>
      <c r="H202" s="2">
        <v>2307.9</v>
      </c>
      <c r="I202">
        <v>2</v>
      </c>
      <c r="J202" s="2">
        <v>185.88</v>
      </c>
    </row>
    <row r="203" spans="1:10" x14ac:dyDescent="0.3">
      <c r="A203">
        <v>202</v>
      </c>
      <c r="B203" s="1">
        <v>45210</v>
      </c>
      <c r="C203" t="s">
        <v>15</v>
      </c>
      <c r="D203" t="s">
        <v>16</v>
      </c>
      <c r="E203" t="s">
        <v>12</v>
      </c>
      <c r="F203" t="s">
        <v>24</v>
      </c>
      <c r="G203" t="s">
        <v>28</v>
      </c>
      <c r="H203" s="2">
        <v>46291.49</v>
      </c>
      <c r="I203">
        <v>6</v>
      </c>
      <c r="J203" s="2">
        <v>5632.5</v>
      </c>
    </row>
    <row r="204" spans="1:10" x14ac:dyDescent="0.3">
      <c r="A204">
        <v>203</v>
      </c>
      <c r="B204" s="1">
        <v>44974</v>
      </c>
      <c r="C204" t="s">
        <v>38</v>
      </c>
      <c r="D204" t="s">
        <v>27</v>
      </c>
      <c r="E204" t="s">
        <v>17</v>
      </c>
      <c r="F204" t="s">
        <v>13</v>
      </c>
      <c r="G204" t="s">
        <v>21</v>
      </c>
      <c r="H204" s="2">
        <v>14665.44</v>
      </c>
      <c r="I204">
        <v>7</v>
      </c>
      <c r="J204" s="2">
        <v>2033.06</v>
      </c>
    </row>
    <row r="205" spans="1:10" x14ac:dyDescent="0.3">
      <c r="A205">
        <v>204</v>
      </c>
      <c r="B205" s="1">
        <v>44982</v>
      </c>
      <c r="C205" t="s">
        <v>18</v>
      </c>
      <c r="D205" t="s">
        <v>19</v>
      </c>
      <c r="E205" t="s">
        <v>20</v>
      </c>
      <c r="F205" t="s">
        <v>24</v>
      </c>
      <c r="G205" t="s">
        <v>25</v>
      </c>
      <c r="H205" s="2">
        <v>29742</v>
      </c>
      <c r="I205">
        <v>1</v>
      </c>
      <c r="J205" s="2">
        <v>5975.9</v>
      </c>
    </row>
    <row r="206" spans="1:10" x14ac:dyDescent="0.3">
      <c r="A206">
        <v>205</v>
      </c>
      <c r="B206" s="1">
        <v>44955</v>
      </c>
      <c r="C206" t="s">
        <v>15</v>
      </c>
      <c r="D206" t="s">
        <v>16</v>
      </c>
      <c r="E206" t="s">
        <v>20</v>
      </c>
      <c r="F206" t="s">
        <v>13</v>
      </c>
      <c r="G206" t="s">
        <v>34</v>
      </c>
      <c r="H206" s="2">
        <v>35349.51</v>
      </c>
      <c r="I206">
        <v>4</v>
      </c>
      <c r="J206" s="2">
        <v>10510.77</v>
      </c>
    </row>
    <row r="207" spans="1:10" x14ac:dyDescent="0.3">
      <c r="A207">
        <v>206</v>
      </c>
      <c r="B207" s="1">
        <v>45253</v>
      </c>
      <c r="C207" t="s">
        <v>26</v>
      </c>
      <c r="D207" t="s">
        <v>27</v>
      </c>
      <c r="E207" t="s">
        <v>12</v>
      </c>
      <c r="F207" t="s">
        <v>13</v>
      </c>
      <c r="G207" t="s">
        <v>14</v>
      </c>
      <c r="H207" s="2">
        <v>25985.13</v>
      </c>
      <c r="I207">
        <v>6</v>
      </c>
      <c r="J207" s="2">
        <v>2350.9299999999998</v>
      </c>
    </row>
    <row r="208" spans="1:10" x14ac:dyDescent="0.3">
      <c r="A208">
        <v>207</v>
      </c>
      <c r="B208" s="1">
        <v>45156</v>
      </c>
      <c r="C208" t="s">
        <v>30</v>
      </c>
      <c r="D208" t="s">
        <v>16</v>
      </c>
      <c r="E208" t="s">
        <v>17</v>
      </c>
      <c r="F208" t="s">
        <v>24</v>
      </c>
      <c r="G208" t="s">
        <v>25</v>
      </c>
      <c r="H208" s="2">
        <v>42832.639999999999</v>
      </c>
      <c r="I208">
        <v>7</v>
      </c>
      <c r="J208" s="2">
        <v>9063.49</v>
      </c>
    </row>
    <row r="209" spans="1:10" x14ac:dyDescent="0.3">
      <c r="A209">
        <v>208</v>
      </c>
      <c r="B209" s="1">
        <v>45079</v>
      </c>
      <c r="C209" t="s">
        <v>37</v>
      </c>
      <c r="D209" t="s">
        <v>27</v>
      </c>
      <c r="E209" t="s">
        <v>12</v>
      </c>
      <c r="F209" t="s">
        <v>31</v>
      </c>
      <c r="G209" t="s">
        <v>32</v>
      </c>
      <c r="H209" s="2">
        <v>22629.8</v>
      </c>
      <c r="I209">
        <v>9</v>
      </c>
      <c r="J209" s="2">
        <v>6097.6</v>
      </c>
    </row>
    <row r="210" spans="1:10" x14ac:dyDescent="0.3">
      <c r="A210">
        <v>209</v>
      </c>
      <c r="B210" s="1">
        <v>45030</v>
      </c>
      <c r="C210" t="s">
        <v>22</v>
      </c>
      <c r="D210" t="s">
        <v>22</v>
      </c>
      <c r="E210" t="s">
        <v>17</v>
      </c>
      <c r="F210" t="s">
        <v>13</v>
      </c>
      <c r="G210" t="s">
        <v>34</v>
      </c>
      <c r="H210" s="2">
        <v>13679.99</v>
      </c>
      <c r="I210">
        <v>6</v>
      </c>
      <c r="J210" s="2">
        <v>3823.09</v>
      </c>
    </row>
    <row r="211" spans="1:10" x14ac:dyDescent="0.3">
      <c r="A211">
        <v>210</v>
      </c>
      <c r="B211" s="1">
        <v>45183</v>
      </c>
      <c r="C211" t="s">
        <v>15</v>
      </c>
      <c r="D211" t="s">
        <v>16</v>
      </c>
      <c r="E211" t="s">
        <v>20</v>
      </c>
      <c r="F211" t="s">
        <v>24</v>
      </c>
      <c r="G211" t="s">
        <v>28</v>
      </c>
      <c r="H211" s="2">
        <v>36043.949999999997</v>
      </c>
      <c r="I211">
        <v>8</v>
      </c>
      <c r="J211" s="2">
        <v>5946.66</v>
      </c>
    </row>
    <row r="212" spans="1:10" x14ac:dyDescent="0.3">
      <c r="A212">
        <v>211</v>
      </c>
      <c r="B212" s="1">
        <v>45220</v>
      </c>
      <c r="C212" t="s">
        <v>18</v>
      </c>
      <c r="D212" t="s">
        <v>19</v>
      </c>
      <c r="E212" t="s">
        <v>20</v>
      </c>
      <c r="F212" t="s">
        <v>31</v>
      </c>
      <c r="G212" t="s">
        <v>33</v>
      </c>
      <c r="H212" s="2">
        <v>8717.0400000000009</v>
      </c>
      <c r="I212">
        <v>7</v>
      </c>
      <c r="J212" s="2">
        <v>550.32000000000005</v>
      </c>
    </row>
    <row r="213" spans="1:10" x14ac:dyDescent="0.3">
      <c r="A213">
        <v>212</v>
      </c>
      <c r="B213" s="1">
        <v>45238</v>
      </c>
      <c r="C213" t="s">
        <v>15</v>
      </c>
      <c r="D213" t="s">
        <v>16</v>
      </c>
      <c r="E213" t="s">
        <v>12</v>
      </c>
      <c r="F213" t="s">
        <v>24</v>
      </c>
      <c r="G213" t="s">
        <v>28</v>
      </c>
      <c r="H213" s="2">
        <v>49857.23</v>
      </c>
      <c r="I213">
        <v>1</v>
      </c>
      <c r="J213" s="2">
        <v>9642.2000000000007</v>
      </c>
    </row>
    <row r="214" spans="1:10" x14ac:dyDescent="0.3">
      <c r="A214">
        <v>213</v>
      </c>
      <c r="B214" s="1">
        <v>45287</v>
      </c>
      <c r="C214" t="s">
        <v>30</v>
      </c>
      <c r="D214" t="s">
        <v>16</v>
      </c>
      <c r="E214" t="s">
        <v>17</v>
      </c>
      <c r="F214" t="s">
        <v>13</v>
      </c>
      <c r="G214" t="s">
        <v>14</v>
      </c>
      <c r="H214" s="2">
        <v>11971.17</v>
      </c>
      <c r="I214">
        <v>4</v>
      </c>
      <c r="J214" s="2">
        <v>2338.79</v>
      </c>
    </row>
    <row r="215" spans="1:10" x14ac:dyDescent="0.3">
      <c r="A215">
        <v>214</v>
      </c>
      <c r="B215" s="1">
        <v>45252</v>
      </c>
      <c r="C215" t="s">
        <v>10</v>
      </c>
      <c r="D215" t="s">
        <v>11</v>
      </c>
      <c r="E215" t="s">
        <v>12</v>
      </c>
      <c r="F215" t="s">
        <v>13</v>
      </c>
      <c r="G215" t="s">
        <v>14</v>
      </c>
      <c r="H215" s="2">
        <v>35720.53</v>
      </c>
      <c r="I215">
        <v>2</v>
      </c>
      <c r="J215" s="2">
        <v>7171.98</v>
      </c>
    </row>
    <row r="216" spans="1:10" x14ac:dyDescent="0.3">
      <c r="A216">
        <v>215</v>
      </c>
      <c r="B216" s="1">
        <v>45167</v>
      </c>
      <c r="C216" t="s">
        <v>10</v>
      </c>
      <c r="D216" t="s">
        <v>11</v>
      </c>
      <c r="E216" t="s">
        <v>17</v>
      </c>
      <c r="F216" t="s">
        <v>13</v>
      </c>
      <c r="G216" t="s">
        <v>21</v>
      </c>
      <c r="H216" s="2">
        <v>15091</v>
      </c>
      <c r="I216">
        <v>10</v>
      </c>
      <c r="J216" s="2">
        <v>4408.8599999999997</v>
      </c>
    </row>
    <row r="217" spans="1:10" x14ac:dyDescent="0.3">
      <c r="A217">
        <v>216</v>
      </c>
      <c r="B217" s="1">
        <v>45142</v>
      </c>
      <c r="C217" t="s">
        <v>38</v>
      </c>
      <c r="D217" t="s">
        <v>27</v>
      </c>
      <c r="E217" t="s">
        <v>20</v>
      </c>
      <c r="F217" t="s">
        <v>13</v>
      </c>
      <c r="G217" t="s">
        <v>21</v>
      </c>
      <c r="H217" s="2">
        <v>1464.91</v>
      </c>
      <c r="I217">
        <v>2</v>
      </c>
      <c r="J217" s="2">
        <v>166.33</v>
      </c>
    </row>
    <row r="218" spans="1:10" x14ac:dyDescent="0.3">
      <c r="A218">
        <v>217</v>
      </c>
      <c r="B218" s="1">
        <v>45057</v>
      </c>
      <c r="C218" t="s">
        <v>38</v>
      </c>
      <c r="D218" t="s">
        <v>27</v>
      </c>
      <c r="E218" t="s">
        <v>20</v>
      </c>
      <c r="F218" t="s">
        <v>13</v>
      </c>
      <c r="G218" t="s">
        <v>14</v>
      </c>
      <c r="H218" s="2">
        <v>20871</v>
      </c>
      <c r="I218">
        <v>6</v>
      </c>
      <c r="J218" s="2">
        <v>1123.25</v>
      </c>
    </row>
    <row r="219" spans="1:10" x14ac:dyDescent="0.3">
      <c r="A219">
        <v>218</v>
      </c>
      <c r="B219" s="1">
        <v>45060</v>
      </c>
      <c r="C219" t="s">
        <v>10</v>
      </c>
      <c r="D219" t="s">
        <v>11</v>
      </c>
      <c r="E219" t="s">
        <v>12</v>
      </c>
      <c r="F219" t="s">
        <v>31</v>
      </c>
      <c r="G219" t="s">
        <v>39</v>
      </c>
      <c r="H219" s="2">
        <v>16475.830000000002</v>
      </c>
      <c r="I219">
        <v>3</v>
      </c>
      <c r="J219" s="2">
        <v>2544.4499999999998</v>
      </c>
    </row>
    <row r="220" spans="1:10" x14ac:dyDescent="0.3">
      <c r="A220">
        <v>219</v>
      </c>
      <c r="B220" s="1">
        <v>45166</v>
      </c>
      <c r="C220" t="s">
        <v>15</v>
      </c>
      <c r="D220" t="s">
        <v>16</v>
      </c>
      <c r="E220" t="s">
        <v>17</v>
      </c>
      <c r="F220" t="s">
        <v>13</v>
      </c>
      <c r="G220" t="s">
        <v>21</v>
      </c>
      <c r="H220" s="2">
        <v>40284</v>
      </c>
      <c r="I220">
        <v>5</v>
      </c>
      <c r="J220" s="2">
        <v>10032.85</v>
      </c>
    </row>
    <row r="221" spans="1:10" x14ac:dyDescent="0.3">
      <c r="A221">
        <v>220</v>
      </c>
      <c r="B221" s="1">
        <v>45188</v>
      </c>
      <c r="C221" t="s">
        <v>35</v>
      </c>
      <c r="D221" t="s">
        <v>36</v>
      </c>
      <c r="E221" t="s">
        <v>12</v>
      </c>
      <c r="F221" t="s">
        <v>13</v>
      </c>
      <c r="G221" t="s">
        <v>14</v>
      </c>
      <c r="H221" s="2">
        <v>8686.2199999999993</v>
      </c>
      <c r="I221">
        <v>2</v>
      </c>
      <c r="J221" s="2">
        <v>929.05</v>
      </c>
    </row>
    <row r="222" spans="1:10" x14ac:dyDescent="0.3">
      <c r="A222">
        <v>221</v>
      </c>
      <c r="B222" s="1">
        <v>44991</v>
      </c>
      <c r="C222" t="s">
        <v>37</v>
      </c>
      <c r="D222" t="s">
        <v>27</v>
      </c>
      <c r="E222" t="s">
        <v>17</v>
      </c>
      <c r="F222" t="s">
        <v>24</v>
      </c>
      <c r="G222" t="s">
        <v>25</v>
      </c>
      <c r="H222" s="2">
        <v>6913.56</v>
      </c>
      <c r="I222">
        <v>3</v>
      </c>
      <c r="J222" s="2">
        <v>1983.12</v>
      </c>
    </row>
    <row r="223" spans="1:10" x14ac:dyDescent="0.3">
      <c r="A223">
        <v>222</v>
      </c>
      <c r="B223" s="1">
        <v>45022</v>
      </c>
      <c r="C223" t="s">
        <v>22</v>
      </c>
      <c r="D223" t="s">
        <v>22</v>
      </c>
      <c r="E223" t="s">
        <v>20</v>
      </c>
      <c r="F223" t="s">
        <v>24</v>
      </c>
      <c r="G223" t="s">
        <v>28</v>
      </c>
      <c r="H223" s="2">
        <v>37149.339999999997</v>
      </c>
      <c r="I223">
        <v>10</v>
      </c>
      <c r="J223" s="2">
        <v>10843.22</v>
      </c>
    </row>
    <row r="224" spans="1:10" x14ac:dyDescent="0.3">
      <c r="A224">
        <v>223</v>
      </c>
      <c r="B224" s="1">
        <v>45146</v>
      </c>
      <c r="C224" t="s">
        <v>26</v>
      </c>
      <c r="D224" t="s">
        <v>27</v>
      </c>
      <c r="E224" t="s">
        <v>20</v>
      </c>
      <c r="F224" t="s">
        <v>13</v>
      </c>
      <c r="G224" t="s">
        <v>34</v>
      </c>
      <c r="H224" s="2">
        <v>16640.29</v>
      </c>
      <c r="I224">
        <v>3</v>
      </c>
      <c r="J224" s="2">
        <v>1393.49</v>
      </c>
    </row>
    <row r="225" spans="1:10" x14ac:dyDescent="0.3">
      <c r="A225">
        <v>224</v>
      </c>
      <c r="B225" s="1">
        <v>44939</v>
      </c>
      <c r="C225" t="s">
        <v>10</v>
      </c>
      <c r="D225" t="s">
        <v>11</v>
      </c>
      <c r="E225" t="s">
        <v>12</v>
      </c>
      <c r="F225" t="s">
        <v>24</v>
      </c>
      <c r="G225" t="s">
        <v>28</v>
      </c>
      <c r="H225" s="2">
        <v>21947.32</v>
      </c>
      <c r="I225">
        <v>3</v>
      </c>
      <c r="J225" s="2">
        <v>6382.79</v>
      </c>
    </row>
    <row r="226" spans="1:10" x14ac:dyDescent="0.3">
      <c r="A226">
        <v>225</v>
      </c>
      <c r="B226" s="1">
        <v>44957</v>
      </c>
      <c r="C226" t="s">
        <v>10</v>
      </c>
      <c r="D226" t="s">
        <v>11</v>
      </c>
      <c r="E226" t="s">
        <v>17</v>
      </c>
      <c r="F226" t="s">
        <v>31</v>
      </c>
      <c r="G226" t="s">
        <v>39</v>
      </c>
      <c r="H226" s="2">
        <v>24075.200000000001</v>
      </c>
      <c r="I226">
        <v>10</v>
      </c>
      <c r="J226" s="2">
        <v>5340.35</v>
      </c>
    </row>
    <row r="227" spans="1:10" x14ac:dyDescent="0.3">
      <c r="A227">
        <v>226</v>
      </c>
      <c r="B227" s="1">
        <v>44969</v>
      </c>
      <c r="C227" t="s">
        <v>26</v>
      </c>
      <c r="D227" t="s">
        <v>27</v>
      </c>
      <c r="E227" t="s">
        <v>12</v>
      </c>
      <c r="F227" t="s">
        <v>24</v>
      </c>
      <c r="G227" t="s">
        <v>25</v>
      </c>
      <c r="H227" s="2">
        <v>44542.65</v>
      </c>
      <c r="I227">
        <v>6</v>
      </c>
      <c r="J227" s="2">
        <v>12094.77</v>
      </c>
    </row>
    <row r="228" spans="1:10" x14ac:dyDescent="0.3">
      <c r="A228">
        <v>227</v>
      </c>
      <c r="B228" s="1">
        <v>44927</v>
      </c>
      <c r="C228" t="s">
        <v>35</v>
      </c>
      <c r="D228" t="s">
        <v>36</v>
      </c>
      <c r="E228" t="s">
        <v>17</v>
      </c>
      <c r="F228" t="s">
        <v>31</v>
      </c>
      <c r="G228" t="s">
        <v>39</v>
      </c>
      <c r="H228" s="2">
        <v>42137.27</v>
      </c>
      <c r="I228">
        <v>5</v>
      </c>
      <c r="J228" s="2">
        <v>5097.54</v>
      </c>
    </row>
    <row r="229" spans="1:10" x14ac:dyDescent="0.3">
      <c r="A229">
        <v>228</v>
      </c>
      <c r="B229" s="1">
        <v>45121</v>
      </c>
      <c r="C229" t="s">
        <v>30</v>
      </c>
      <c r="D229" t="s">
        <v>16</v>
      </c>
      <c r="E229" t="s">
        <v>20</v>
      </c>
      <c r="F229" t="s">
        <v>31</v>
      </c>
      <c r="G229" t="s">
        <v>33</v>
      </c>
      <c r="H229" s="2">
        <v>33630.86</v>
      </c>
      <c r="I229">
        <v>5</v>
      </c>
      <c r="J229" s="2">
        <v>2900.81</v>
      </c>
    </row>
    <row r="230" spans="1:10" x14ac:dyDescent="0.3">
      <c r="A230">
        <v>229</v>
      </c>
      <c r="B230" s="1">
        <v>45263</v>
      </c>
      <c r="C230" t="s">
        <v>35</v>
      </c>
      <c r="D230" t="s">
        <v>36</v>
      </c>
      <c r="E230" t="s">
        <v>20</v>
      </c>
      <c r="F230" t="s">
        <v>24</v>
      </c>
      <c r="G230" t="s">
        <v>28</v>
      </c>
      <c r="H230" s="2">
        <v>1156.72</v>
      </c>
      <c r="I230">
        <v>2</v>
      </c>
      <c r="J230" s="2">
        <v>281.39</v>
      </c>
    </row>
    <row r="231" spans="1:10" x14ac:dyDescent="0.3">
      <c r="A231">
        <v>230</v>
      </c>
      <c r="B231" s="1">
        <v>45163</v>
      </c>
      <c r="C231" t="s">
        <v>26</v>
      </c>
      <c r="D231" t="s">
        <v>27</v>
      </c>
      <c r="E231" t="s">
        <v>12</v>
      </c>
      <c r="F231" t="s">
        <v>13</v>
      </c>
      <c r="G231" t="s">
        <v>21</v>
      </c>
      <c r="H231" s="2">
        <v>28988.87</v>
      </c>
      <c r="I231">
        <v>4</v>
      </c>
      <c r="J231" s="2">
        <v>8348.4500000000007</v>
      </c>
    </row>
    <row r="232" spans="1:10" x14ac:dyDescent="0.3">
      <c r="A232">
        <v>231</v>
      </c>
      <c r="B232" s="1">
        <v>45227</v>
      </c>
      <c r="C232" t="s">
        <v>10</v>
      </c>
      <c r="D232" t="s">
        <v>11</v>
      </c>
      <c r="E232" t="s">
        <v>17</v>
      </c>
      <c r="F232" t="s">
        <v>24</v>
      </c>
      <c r="G232" t="s">
        <v>28</v>
      </c>
      <c r="H232" s="2">
        <v>40961.07</v>
      </c>
      <c r="I232">
        <v>7</v>
      </c>
      <c r="J232" s="2">
        <v>11511.53</v>
      </c>
    </row>
    <row r="233" spans="1:10" x14ac:dyDescent="0.3">
      <c r="A233">
        <v>232</v>
      </c>
      <c r="B233" s="1">
        <v>45215</v>
      </c>
      <c r="C233" t="s">
        <v>10</v>
      </c>
      <c r="D233" t="s">
        <v>11</v>
      </c>
      <c r="E233" t="s">
        <v>12</v>
      </c>
      <c r="F233" t="s">
        <v>31</v>
      </c>
      <c r="G233" t="s">
        <v>32</v>
      </c>
      <c r="H233" s="2">
        <v>44103.15</v>
      </c>
      <c r="I233">
        <v>8</v>
      </c>
      <c r="J233" s="2">
        <v>7622.06</v>
      </c>
    </row>
    <row r="234" spans="1:10" x14ac:dyDescent="0.3">
      <c r="A234">
        <v>233</v>
      </c>
      <c r="B234" s="1">
        <v>45205</v>
      </c>
      <c r="C234" t="s">
        <v>30</v>
      </c>
      <c r="D234" t="s">
        <v>16</v>
      </c>
      <c r="E234" t="s">
        <v>17</v>
      </c>
      <c r="F234" t="s">
        <v>24</v>
      </c>
      <c r="G234" t="s">
        <v>28</v>
      </c>
      <c r="H234" s="2">
        <v>40991.879999999997</v>
      </c>
      <c r="I234">
        <v>3</v>
      </c>
      <c r="J234" s="2">
        <v>10571.44</v>
      </c>
    </row>
    <row r="235" spans="1:10" x14ac:dyDescent="0.3">
      <c r="A235">
        <v>234</v>
      </c>
      <c r="B235" s="1">
        <v>45094</v>
      </c>
      <c r="C235" t="s">
        <v>37</v>
      </c>
      <c r="D235" t="s">
        <v>27</v>
      </c>
      <c r="E235" t="s">
        <v>20</v>
      </c>
      <c r="F235" t="s">
        <v>31</v>
      </c>
      <c r="G235" t="s">
        <v>32</v>
      </c>
      <c r="H235" s="2">
        <v>22770.06</v>
      </c>
      <c r="I235">
        <v>9</v>
      </c>
      <c r="J235" s="2">
        <v>3327.09</v>
      </c>
    </row>
    <row r="236" spans="1:10" x14ac:dyDescent="0.3">
      <c r="A236">
        <v>235</v>
      </c>
      <c r="B236" s="1">
        <v>45133</v>
      </c>
      <c r="C236" t="s">
        <v>26</v>
      </c>
      <c r="D236" t="s">
        <v>27</v>
      </c>
      <c r="E236" t="s">
        <v>20</v>
      </c>
      <c r="F236" t="s">
        <v>31</v>
      </c>
      <c r="G236" t="s">
        <v>33</v>
      </c>
      <c r="H236" s="2">
        <v>32866.050000000003</v>
      </c>
      <c r="I236">
        <v>5</v>
      </c>
      <c r="J236" s="2">
        <v>7169.07</v>
      </c>
    </row>
    <row r="237" spans="1:10" x14ac:dyDescent="0.3">
      <c r="A237">
        <v>236</v>
      </c>
      <c r="B237" s="1">
        <v>45158</v>
      </c>
      <c r="C237" t="s">
        <v>37</v>
      </c>
      <c r="D237" t="s">
        <v>27</v>
      </c>
      <c r="E237" t="s">
        <v>12</v>
      </c>
      <c r="F237" t="s">
        <v>31</v>
      </c>
      <c r="G237" t="s">
        <v>32</v>
      </c>
      <c r="H237" s="2">
        <v>10663.17</v>
      </c>
      <c r="I237">
        <v>2</v>
      </c>
      <c r="J237" s="2">
        <v>2411.1799999999998</v>
      </c>
    </row>
    <row r="238" spans="1:10" x14ac:dyDescent="0.3">
      <c r="A238">
        <v>237</v>
      </c>
      <c r="B238" s="1">
        <v>45067</v>
      </c>
      <c r="C238" t="s">
        <v>35</v>
      </c>
      <c r="D238" t="s">
        <v>36</v>
      </c>
      <c r="E238" t="s">
        <v>17</v>
      </c>
      <c r="F238" t="s">
        <v>31</v>
      </c>
      <c r="G238" t="s">
        <v>39</v>
      </c>
      <c r="H238" s="2">
        <v>25820.27</v>
      </c>
      <c r="I238">
        <v>6</v>
      </c>
      <c r="J238" s="2">
        <v>1912.88</v>
      </c>
    </row>
    <row r="239" spans="1:10" x14ac:dyDescent="0.3">
      <c r="A239">
        <v>238</v>
      </c>
      <c r="B239" s="1">
        <v>44941</v>
      </c>
      <c r="C239" t="s">
        <v>15</v>
      </c>
      <c r="D239" t="s">
        <v>16</v>
      </c>
      <c r="E239" t="s">
        <v>12</v>
      </c>
      <c r="F239" t="s">
        <v>31</v>
      </c>
      <c r="G239" t="s">
        <v>32</v>
      </c>
      <c r="H239" s="2">
        <v>18390.77</v>
      </c>
      <c r="I239">
        <v>10</v>
      </c>
      <c r="J239" s="2">
        <v>2737.63</v>
      </c>
    </row>
    <row r="240" spans="1:10" x14ac:dyDescent="0.3">
      <c r="A240">
        <v>239</v>
      </c>
      <c r="B240" s="1">
        <v>44947</v>
      </c>
      <c r="C240" t="s">
        <v>37</v>
      </c>
      <c r="D240" t="s">
        <v>27</v>
      </c>
      <c r="E240" t="s">
        <v>17</v>
      </c>
      <c r="F240" t="s">
        <v>24</v>
      </c>
      <c r="G240" t="s">
        <v>25</v>
      </c>
      <c r="H240" s="2">
        <v>9511</v>
      </c>
      <c r="I240">
        <v>2</v>
      </c>
      <c r="J240" s="2">
        <v>1162.99</v>
      </c>
    </row>
    <row r="241" spans="1:10" x14ac:dyDescent="0.3">
      <c r="A241">
        <v>240</v>
      </c>
      <c r="B241" s="1">
        <v>45001</v>
      </c>
      <c r="C241" t="s">
        <v>10</v>
      </c>
      <c r="D241" t="s">
        <v>11</v>
      </c>
      <c r="E241" t="s">
        <v>20</v>
      </c>
      <c r="F241" t="s">
        <v>13</v>
      </c>
      <c r="G241" t="s">
        <v>21</v>
      </c>
      <c r="H241" s="2">
        <v>36211.370000000003</v>
      </c>
      <c r="I241">
        <v>6</v>
      </c>
      <c r="J241" s="2">
        <v>7076.58</v>
      </c>
    </row>
    <row r="242" spans="1:10" x14ac:dyDescent="0.3">
      <c r="A242">
        <v>241</v>
      </c>
      <c r="B242" s="1">
        <v>45034</v>
      </c>
      <c r="C242" t="s">
        <v>15</v>
      </c>
      <c r="D242" t="s">
        <v>16</v>
      </c>
      <c r="E242" t="s">
        <v>20</v>
      </c>
      <c r="F242" t="s">
        <v>13</v>
      </c>
      <c r="G242" t="s">
        <v>21</v>
      </c>
      <c r="H242" s="2">
        <v>38204.660000000003</v>
      </c>
      <c r="I242">
        <v>1</v>
      </c>
      <c r="J242" s="2">
        <v>10074.93</v>
      </c>
    </row>
    <row r="243" spans="1:10" x14ac:dyDescent="0.3">
      <c r="A243">
        <v>242</v>
      </c>
      <c r="B243" s="1">
        <v>44930</v>
      </c>
      <c r="C243" t="s">
        <v>38</v>
      </c>
      <c r="D243" t="s">
        <v>27</v>
      </c>
      <c r="E243" t="s">
        <v>12</v>
      </c>
      <c r="F243" t="s">
        <v>24</v>
      </c>
      <c r="G243" t="s">
        <v>25</v>
      </c>
      <c r="H243" s="2">
        <v>40939.94</v>
      </c>
      <c r="I243">
        <v>7</v>
      </c>
      <c r="J243" s="2">
        <v>7280.08</v>
      </c>
    </row>
    <row r="244" spans="1:10" x14ac:dyDescent="0.3">
      <c r="A244">
        <v>243</v>
      </c>
      <c r="B244" s="1">
        <v>45019</v>
      </c>
      <c r="C244" t="s">
        <v>22</v>
      </c>
      <c r="D244" t="s">
        <v>22</v>
      </c>
      <c r="E244" t="s">
        <v>17</v>
      </c>
      <c r="F244" t="s">
        <v>24</v>
      </c>
      <c r="G244" t="s">
        <v>29</v>
      </c>
      <c r="H244" s="2">
        <v>26046.11</v>
      </c>
      <c r="I244">
        <v>2</v>
      </c>
      <c r="J244" s="2">
        <v>3289.52</v>
      </c>
    </row>
    <row r="245" spans="1:10" x14ac:dyDescent="0.3">
      <c r="A245">
        <v>244</v>
      </c>
      <c r="B245" s="1">
        <v>45000</v>
      </c>
      <c r="C245" t="s">
        <v>26</v>
      </c>
      <c r="D245" t="s">
        <v>27</v>
      </c>
      <c r="E245" t="s">
        <v>12</v>
      </c>
      <c r="F245" t="s">
        <v>31</v>
      </c>
      <c r="G245" t="s">
        <v>33</v>
      </c>
      <c r="H245" s="2">
        <v>40691.96</v>
      </c>
      <c r="I245">
        <v>4</v>
      </c>
      <c r="J245" s="2">
        <v>2624.84</v>
      </c>
    </row>
    <row r="246" spans="1:10" x14ac:dyDescent="0.3">
      <c r="A246">
        <v>245</v>
      </c>
      <c r="B246" s="1">
        <v>45053</v>
      </c>
      <c r="C246" t="s">
        <v>22</v>
      </c>
      <c r="D246" t="s">
        <v>22</v>
      </c>
      <c r="E246" t="s">
        <v>17</v>
      </c>
      <c r="F246" t="s">
        <v>24</v>
      </c>
      <c r="G246" t="s">
        <v>29</v>
      </c>
      <c r="H246" s="2">
        <v>49598.16</v>
      </c>
      <c r="I246">
        <v>2</v>
      </c>
      <c r="J246" s="2">
        <v>8746.65</v>
      </c>
    </row>
    <row r="247" spans="1:10" x14ac:dyDescent="0.3">
      <c r="A247">
        <v>246</v>
      </c>
      <c r="B247" s="1">
        <v>45088</v>
      </c>
      <c r="C247" t="s">
        <v>26</v>
      </c>
      <c r="D247" t="s">
        <v>27</v>
      </c>
      <c r="E247" t="s">
        <v>20</v>
      </c>
      <c r="F247" t="s">
        <v>24</v>
      </c>
      <c r="G247" t="s">
        <v>25</v>
      </c>
      <c r="H247" s="2">
        <v>13177.69</v>
      </c>
      <c r="I247">
        <v>2</v>
      </c>
      <c r="J247" s="2">
        <v>1536.55</v>
      </c>
    </row>
    <row r="248" spans="1:10" x14ac:dyDescent="0.3">
      <c r="A248">
        <v>247</v>
      </c>
      <c r="B248" s="1">
        <v>45204</v>
      </c>
      <c r="C248" t="s">
        <v>38</v>
      </c>
      <c r="D248" t="s">
        <v>27</v>
      </c>
      <c r="E248" t="s">
        <v>20</v>
      </c>
      <c r="F248" t="s">
        <v>13</v>
      </c>
      <c r="G248" t="s">
        <v>21</v>
      </c>
      <c r="H248" s="2">
        <v>25816.6</v>
      </c>
      <c r="I248">
        <v>1</v>
      </c>
      <c r="J248" s="2">
        <v>6376.67</v>
      </c>
    </row>
    <row r="249" spans="1:10" x14ac:dyDescent="0.3">
      <c r="A249">
        <v>248</v>
      </c>
      <c r="B249" s="1">
        <v>44981</v>
      </c>
      <c r="C249" t="s">
        <v>26</v>
      </c>
      <c r="D249" t="s">
        <v>27</v>
      </c>
      <c r="E249" t="s">
        <v>12</v>
      </c>
      <c r="F249" t="s">
        <v>13</v>
      </c>
      <c r="G249" t="s">
        <v>34</v>
      </c>
      <c r="H249" s="2">
        <v>4142.42</v>
      </c>
      <c r="I249">
        <v>7</v>
      </c>
      <c r="J249" s="2">
        <v>987.96</v>
      </c>
    </row>
    <row r="250" spans="1:10" x14ac:dyDescent="0.3">
      <c r="A250">
        <v>249</v>
      </c>
      <c r="B250" s="1">
        <v>45149</v>
      </c>
      <c r="C250" t="s">
        <v>26</v>
      </c>
      <c r="D250" t="s">
        <v>27</v>
      </c>
      <c r="E250" t="s">
        <v>17</v>
      </c>
      <c r="F250" t="s">
        <v>13</v>
      </c>
      <c r="G250" t="s">
        <v>34</v>
      </c>
      <c r="H250" s="2">
        <v>48741.85</v>
      </c>
      <c r="I250">
        <v>2</v>
      </c>
      <c r="J250" s="2">
        <v>6991.38</v>
      </c>
    </row>
    <row r="251" spans="1:10" x14ac:dyDescent="0.3">
      <c r="A251">
        <v>250</v>
      </c>
      <c r="B251" s="1">
        <v>45268</v>
      </c>
      <c r="C251" t="s">
        <v>30</v>
      </c>
      <c r="D251" t="s">
        <v>16</v>
      </c>
      <c r="E251" t="s">
        <v>12</v>
      </c>
      <c r="F251" t="s">
        <v>13</v>
      </c>
      <c r="G251" t="s">
        <v>34</v>
      </c>
      <c r="H251" s="2">
        <v>22157.78</v>
      </c>
      <c r="I251">
        <v>2</v>
      </c>
      <c r="J251" s="2">
        <v>4517.67</v>
      </c>
    </row>
    <row r="252" spans="1:10" x14ac:dyDescent="0.3">
      <c r="A252">
        <v>251</v>
      </c>
      <c r="B252" s="1">
        <v>45094</v>
      </c>
      <c r="C252" t="s">
        <v>15</v>
      </c>
      <c r="D252" t="s">
        <v>16</v>
      </c>
      <c r="E252" t="s">
        <v>17</v>
      </c>
      <c r="F252" t="s">
        <v>24</v>
      </c>
      <c r="G252" t="s">
        <v>25</v>
      </c>
      <c r="H252" s="2">
        <v>17751.919999999998</v>
      </c>
      <c r="I252">
        <v>7</v>
      </c>
      <c r="J252" s="2">
        <v>4931.21</v>
      </c>
    </row>
    <row r="253" spans="1:10" x14ac:dyDescent="0.3">
      <c r="A253">
        <v>252</v>
      </c>
      <c r="B253" s="1">
        <v>45011</v>
      </c>
      <c r="C253" t="s">
        <v>38</v>
      </c>
      <c r="D253" t="s">
        <v>27</v>
      </c>
      <c r="E253" t="s">
        <v>20</v>
      </c>
      <c r="F253" t="s">
        <v>31</v>
      </c>
      <c r="G253" t="s">
        <v>39</v>
      </c>
      <c r="H253" s="2">
        <v>11067.21</v>
      </c>
      <c r="I253">
        <v>3</v>
      </c>
      <c r="J253" s="2">
        <v>2057.92</v>
      </c>
    </row>
    <row r="254" spans="1:10" x14ac:dyDescent="0.3">
      <c r="A254">
        <v>253</v>
      </c>
      <c r="B254" s="1">
        <v>45131</v>
      </c>
      <c r="C254" t="s">
        <v>38</v>
      </c>
      <c r="D254" t="s">
        <v>27</v>
      </c>
      <c r="E254" t="s">
        <v>20</v>
      </c>
      <c r="F254" t="s">
        <v>24</v>
      </c>
      <c r="G254" t="s">
        <v>29</v>
      </c>
      <c r="H254" s="2">
        <v>13954.05</v>
      </c>
      <c r="I254">
        <v>10</v>
      </c>
      <c r="J254" s="2">
        <v>3139.56</v>
      </c>
    </row>
    <row r="255" spans="1:10" x14ac:dyDescent="0.3">
      <c r="A255">
        <v>254</v>
      </c>
      <c r="B255" s="1">
        <v>44976</v>
      </c>
      <c r="C255" t="s">
        <v>22</v>
      </c>
      <c r="D255" t="s">
        <v>22</v>
      </c>
      <c r="E255" t="s">
        <v>12</v>
      </c>
      <c r="F255" t="s">
        <v>24</v>
      </c>
      <c r="G255" t="s">
        <v>25</v>
      </c>
      <c r="H255" s="2">
        <v>10782.97</v>
      </c>
      <c r="I255">
        <v>7</v>
      </c>
      <c r="J255" s="2">
        <v>772.84</v>
      </c>
    </row>
    <row r="256" spans="1:10" x14ac:dyDescent="0.3">
      <c r="A256">
        <v>255</v>
      </c>
      <c r="B256" s="1">
        <v>45247</v>
      </c>
      <c r="C256" t="s">
        <v>35</v>
      </c>
      <c r="D256" t="s">
        <v>36</v>
      </c>
      <c r="E256" t="s">
        <v>17</v>
      </c>
      <c r="F256" t="s">
        <v>31</v>
      </c>
      <c r="G256" t="s">
        <v>32</v>
      </c>
      <c r="H256" s="2">
        <v>49437.25</v>
      </c>
      <c r="I256">
        <v>8</v>
      </c>
      <c r="J256" s="2">
        <v>14199.96</v>
      </c>
    </row>
    <row r="257" spans="1:10" x14ac:dyDescent="0.3">
      <c r="A257">
        <v>256</v>
      </c>
      <c r="B257" s="1">
        <v>45195</v>
      </c>
      <c r="C257" t="s">
        <v>35</v>
      </c>
      <c r="D257" t="s">
        <v>36</v>
      </c>
      <c r="E257" t="s">
        <v>12</v>
      </c>
      <c r="F257" t="s">
        <v>13</v>
      </c>
      <c r="G257" t="s">
        <v>21</v>
      </c>
      <c r="H257" s="2">
        <v>31032.49</v>
      </c>
      <c r="I257">
        <v>9</v>
      </c>
      <c r="J257" s="2">
        <v>7395</v>
      </c>
    </row>
    <row r="258" spans="1:10" x14ac:dyDescent="0.3">
      <c r="A258">
        <v>257</v>
      </c>
      <c r="B258" s="1">
        <v>45158</v>
      </c>
      <c r="C258" t="s">
        <v>30</v>
      </c>
      <c r="D258" t="s">
        <v>16</v>
      </c>
      <c r="E258" t="s">
        <v>17</v>
      </c>
      <c r="F258" t="s">
        <v>24</v>
      </c>
      <c r="G258" t="s">
        <v>25</v>
      </c>
      <c r="H258" s="2">
        <v>27868.7</v>
      </c>
      <c r="I258">
        <v>2</v>
      </c>
      <c r="J258" s="2">
        <v>6973.6</v>
      </c>
    </row>
    <row r="259" spans="1:10" x14ac:dyDescent="0.3">
      <c r="A259">
        <v>258</v>
      </c>
      <c r="B259" s="1">
        <v>45269</v>
      </c>
      <c r="C259" t="s">
        <v>10</v>
      </c>
      <c r="D259" t="s">
        <v>11</v>
      </c>
      <c r="E259" t="s">
        <v>20</v>
      </c>
      <c r="F259" t="s">
        <v>31</v>
      </c>
      <c r="G259" t="s">
        <v>39</v>
      </c>
      <c r="H259" s="2">
        <v>40634.300000000003</v>
      </c>
      <c r="I259">
        <v>10</v>
      </c>
      <c r="J259" s="2">
        <v>11614.53</v>
      </c>
    </row>
    <row r="260" spans="1:10" x14ac:dyDescent="0.3">
      <c r="A260">
        <v>259</v>
      </c>
      <c r="B260" s="1">
        <v>45164</v>
      </c>
      <c r="C260" t="s">
        <v>26</v>
      </c>
      <c r="D260" t="s">
        <v>27</v>
      </c>
      <c r="E260" t="s">
        <v>20</v>
      </c>
      <c r="F260" t="s">
        <v>31</v>
      </c>
      <c r="G260" t="s">
        <v>32</v>
      </c>
      <c r="H260" s="2">
        <v>2252.35</v>
      </c>
      <c r="I260">
        <v>2</v>
      </c>
      <c r="J260" s="2">
        <v>469.57</v>
      </c>
    </row>
    <row r="261" spans="1:10" x14ac:dyDescent="0.3">
      <c r="A261">
        <v>260</v>
      </c>
      <c r="B261" s="1">
        <v>45289</v>
      </c>
      <c r="C261" t="s">
        <v>15</v>
      </c>
      <c r="D261" t="s">
        <v>16</v>
      </c>
      <c r="E261" t="s">
        <v>12</v>
      </c>
      <c r="F261" t="s">
        <v>24</v>
      </c>
      <c r="G261" t="s">
        <v>29</v>
      </c>
      <c r="H261" s="2">
        <v>24406.17</v>
      </c>
      <c r="I261">
        <v>2</v>
      </c>
      <c r="J261" s="2">
        <v>1809.18</v>
      </c>
    </row>
    <row r="262" spans="1:10" x14ac:dyDescent="0.3">
      <c r="A262">
        <v>261</v>
      </c>
      <c r="B262" s="1">
        <v>45238</v>
      </c>
      <c r="C262" t="s">
        <v>22</v>
      </c>
      <c r="D262" t="s">
        <v>22</v>
      </c>
      <c r="E262" t="s">
        <v>17</v>
      </c>
      <c r="F262" t="s">
        <v>13</v>
      </c>
      <c r="G262" t="s">
        <v>34</v>
      </c>
      <c r="H262" s="2">
        <v>14529.22</v>
      </c>
      <c r="I262">
        <v>8</v>
      </c>
      <c r="J262" s="2">
        <v>3777.18</v>
      </c>
    </row>
    <row r="263" spans="1:10" x14ac:dyDescent="0.3">
      <c r="A263">
        <v>262</v>
      </c>
      <c r="B263" s="1">
        <v>45013</v>
      </c>
      <c r="C263" t="s">
        <v>37</v>
      </c>
      <c r="D263" t="s">
        <v>27</v>
      </c>
      <c r="E263" t="s">
        <v>12</v>
      </c>
      <c r="F263" t="s">
        <v>13</v>
      </c>
      <c r="G263" t="s">
        <v>14</v>
      </c>
      <c r="H263" s="2">
        <v>19364.93</v>
      </c>
      <c r="I263">
        <v>3</v>
      </c>
      <c r="J263" s="2">
        <v>5725.87</v>
      </c>
    </row>
    <row r="264" spans="1:10" x14ac:dyDescent="0.3">
      <c r="A264">
        <v>263</v>
      </c>
      <c r="B264" s="1">
        <v>45214</v>
      </c>
      <c r="C264" t="s">
        <v>30</v>
      </c>
      <c r="D264" t="s">
        <v>16</v>
      </c>
      <c r="E264" t="s">
        <v>17</v>
      </c>
      <c r="F264" t="s">
        <v>31</v>
      </c>
      <c r="G264" t="s">
        <v>32</v>
      </c>
      <c r="H264" s="2">
        <v>39741.019999999997</v>
      </c>
      <c r="I264">
        <v>6</v>
      </c>
      <c r="J264" s="2">
        <v>11691.37</v>
      </c>
    </row>
    <row r="265" spans="1:10" x14ac:dyDescent="0.3">
      <c r="A265">
        <v>264</v>
      </c>
      <c r="B265" s="1">
        <v>45114</v>
      </c>
      <c r="C265" t="s">
        <v>22</v>
      </c>
      <c r="D265" t="s">
        <v>22</v>
      </c>
      <c r="E265" t="s">
        <v>20</v>
      </c>
      <c r="F265" t="s">
        <v>24</v>
      </c>
      <c r="G265" t="s">
        <v>29</v>
      </c>
      <c r="H265" s="2">
        <v>28526.5</v>
      </c>
      <c r="I265">
        <v>9</v>
      </c>
      <c r="J265" s="2">
        <v>2168.42</v>
      </c>
    </row>
    <row r="266" spans="1:10" x14ac:dyDescent="0.3">
      <c r="A266">
        <v>265</v>
      </c>
      <c r="B266" s="1">
        <v>45156</v>
      </c>
      <c r="C266" t="s">
        <v>26</v>
      </c>
      <c r="D266" t="s">
        <v>27</v>
      </c>
      <c r="E266" t="s">
        <v>20</v>
      </c>
      <c r="F266" t="s">
        <v>24</v>
      </c>
      <c r="G266" t="s">
        <v>28</v>
      </c>
      <c r="H266" s="2">
        <v>23711.97</v>
      </c>
      <c r="I266">
        <v>10</v>
      </c>
      <c r="J266" s="2">
        <v>3673.28</v>
      </c>
    </row>
    <row r="267" spans="1:10" x14ac:dyDescent="0.3">
      <c r="A267">
        <v>266</v>
      </c>
      <c r="B267" s="1">
        <v>45127</v>
      </c>
      <c r="C267" t="s">
        <v>26</v>
      </c>
      <c r="D267" t="s">
        <v>27</v>
      </c>
      <c r="E267" t="s">
        <v>12</v>
      </c>
      <c r="F267" t="s">
        <v>31</v>
      </c>
      <c r="G267" t="s">
        <v>39</v>
      </c>
      <c r="H267" s="2">
        <v>28029.09</v>
      </c>
      <c r="I267">
        <v>2</v>
      </c>
      <c r="J267" s="2">
        <v>5086.72</v>
      </c>
    </row>
    <row r="268" spans="1:10" x14ac:dyDescent="0.3">
      <c r="A268">
        <v>267</v>
      </c>
      <c r="B268" s="1">
        <v>45268</v>
      </c>
      <c r="C268" t="s">
        <v>37</v>
      </c>
      <c r="D268" t="s">
        <v>27</v>
      </c>
      <c r="E268" t="s">
        <v>17</v>
      </c>
      <c r="F268" t="s">
        <v>31</v>
      </c>
      <c r="G268" t="s">
        <v>39</v>
      </c>
      <c r="H268" s="2">
        <v>5734.42</v>
      </c>
      <c r="I268">
        <v>4</v>
      </c>
      <c r="J268" s="2">
        <v>1489.22</v>
      </c>
    </row>
    <row r="269" spans="1:10" x14ac:dyDescent="0.3">
      <c r="A269">
        <v>268</v>
      </c>
      <c r="B269" s="1">
        <v>45136</v>
      </c>
      <c r="C269" t="s">
        <v>30</v>
      </c>
      <c r="D269" t="s">
        <v>16</v>
      </c>
      <c r="E269" t="s">
        <v>12</v>
      </c>
      <c r="F269" t="s">
        <v>31</v>
      </c>
      <c r="G269" t="s">
        <v>32</v>
      </c>
      <c r="H269" s="2">
        <v>39653.46</v>
      </c>
      <c r="I269">
        <v>5</v>
      </c>
      <c r="J269" s="2">
        <v>11436.72</v>
      </c>
    </row>
    <row r="270" spans="1:10" x14ac:dyDescent="0.3">
      <c r="A270">
        <v>269</v>
      </c>
      <c r="B270" s="1">
        <v>45100</v>
      </c>
      <c r="C270" t="s">
        <v>30</v>
      </c>
      <c r="D270" t="s">
        <v>16</v>
      </c>
      <c r="E270" t="s">
        <v>17</v>
      </c>
      <c r="F270" t="s">
        <v>24</v>
      </c>
      <c r="G270" t="s">
        <v>28</v>
      </c>
      <c r="H270" s="2">
        <v>31139.39</v>
      </c>
      <c r="I270">
        <v>5</v>
      </c>
      <c r="J270" s="2">
        <v>5027.6499999999996</v>
      </c>
    </row>
    <row r="271" spans="1:10" x14ac:dyDescent="0.3">
      <c r="A271">
        <v>270</v>
      </c>
      <c r="B271" s="1">
        <v>44981</v>
      </c>
      <c r="C271" t="s">
        <v>30</v>
      </c>
      <c r="D271" t="s">
        <v>16</v>
      </c>
      <c r="E271" t="s">
        <v>20</v>
      </c>
      <c r="F271" t="s">
        <v>24</v>
      </c>
      <c r="G271" t="s">
        <v>28</v>
      </c>
      <c r="H271" s="2">
        <v>22141.33</v>
      </c>
      <c r="I271">
        <v>7</v>
      </c>
      <c r="J271" s="2">
        <v>4473.1400000000003</v>
      </c>
    </row>
    <row r="272" spans="1:10" x14ac:dyDescent="0.3">
      <c r="A272">
        <v>271</v>
      </c>
      <c r="B272" s="1">
        <v>45238</v>
      </c>
      <c r="C272" t="s">
        <v>15</v>
      </c>
      <c r="D272" t="s">
        <v>16</v>
      </c>
      <c r="E272" t="s">
        <v>20</v>
      </c>
      <c r="F272" t="s">
        <v>13</v>
      </c>
      <c r="G272" t="s">
        <v>34</v>
      </c>
      <c r="H272" s="2">
        <v>44279.01</v>
      </c>
      <c r="I272">
        <v>7</v>
      </c>
      <c r="J272" s="2">
        <v>6441.93</v>
      </c>
    </row>
    <row r="273" spans="1:10" x14ac:dyDescent="0.3">
      <c r="A273">
        <v>272</v>
      </c>
      <c r="B273" s="1">
        <v>44927</v>
      </c>
      <c r="C273" t="s">
        <v>35</v>
      </c>
      <c r="D273" t="s">
        <v>36</v>
      </c>
      <c r="E273" t="s">
        <v>12</v>
      </c>
      <c r="F273" t="s">
        <v>24</v>
      </c>
      <c r="G273" t="s">
        <v>25</v>
      </c>
      <c r="H273" s="2">
        <v>34850.58</v>
      </c>
      <c r="I273">
        <v>6</v>
      </c>
      <c r="J273" s="2">
        <v>7187.87</v>
      </c>
    </row>
    <row r="274" spans="1:10" x14ac:dyDescent="0.3">
      <c r="A274">
        <v>273</v>
      </c>
      <c r="B274" s="1">
        <v>45155</v>
      </c>
      <c r="C274" t="s">
        <v>22</v>
      </c>
      <c r="D274" t="s">
        <v>22</v>
      </c>
      <c r="E274" t="s">
        <v>17</v>
      </c>
      <c r="F274" t="s">
        <v>31</v>
      </c>
      <c r="G274" t="s">
        <v>33</v>
      </c>
      <c r="H274" s="2">
        <v>5858.59</v>
      </c>
      <c r="I274">
        <v>3</v>
      </c>
      <c r="J274" s="2">
        <v>796.7</v>
      </c>
    </row>
    <row r="275" spans="1:10" x14ac:dyDescent="0.3">
      <c r="A275">
        <v>274</v>
      </c>
      <c r="B275" s="1">
        <v>45162</v>
      </c>
      <c r="C275" t="s">
        <v>38</v>
      </c>
      <c r="D275" t="s">
        <v>27</v>
      </c>
      <c r="E275" t="s">
        <v>12</v>
      </c>
      <c r="F275" t="s">
        <v>31</v>
      </c>
      <c r="G275" t="s">
        <v>39</v>
      </c>
      <c r="H275" s="2">
        <v>48376.78</v>
      </c>
      <c r="I275">
        <v>2</v>
      </c>
      <c r="J275" s="2">
        <v>6380.96</v>
      </c>
    </row>
    <row r="276" spans="1:10" x14ac:dyDescent="0.3">
      <c r="A276">
        <v>275</v>
      </c>
      <c r="B276" s="1">
        <v>45003</v>
      </c>
      <c r="C276" t="s">
        <v>37</v>
      </c>
      <c r="D276" t="s">
        <v>27</v>
      </c>
      <c r="E276" t="s">
        <v>17</v>
      </c>
      <c r="F276" t="s">
        <v>31</v>
      </c>
      <c r="G276" t="s">
        <v>39</v>
      </c>
      <c r="H276" s="2">
        <v>45474.51</v>
      </c>
      <c r="I276">
        <v>5</v>
      </c>
      <c r="J276" s="2">
        <v>10209.879999999999</v>
      </c>
    </row>
    <row r="277" spans="1:10" x14ac:dyDescent="0.3">
      <c r="A277">
        <v>276</v>
      </c>
      <c r="B277" s="1">
        <v>45184</v>
      </c>
      <c r="C277" t="s">
        <v>38</v>
      </c>
      <c r="D277" t="s">
        <v>27</v>
      </c>
      <c r="E277" t="s">
        <v>20</v>
      </c>
      <c r="F277" t="s">
        <v>31</v>
      </c>
      <c r="G277" t="s">
        <v>32</v>
      </c>
      <c r="H277" s="2">
        <v>38210.57</v>
      </c>
      <c r="I277">
        <v>1</v>
      </c>
      <c r="J277" s="2">
        <v>8172.28</v>
      </c>
    </row>
    <row r="278" spans="1:10" x14ac:dyDescent="0.3">
      <c r="A278">
        <v>277</v>
      </c>
      <c r="B278" s="1">
        <v>45064</v>
      </c>
      <c r="C278" t="s">
        <v>35</v>
      </c>
      <c r="D278" t="s">
        <v>36</v>
      </c>
      <c r="E278" t="s">
        <v>20</v>
      </c>
      <c r="F278" t="s">
        <v>24</v>
      </c>
      <c r="G278" t="s">
        <v>28</v>
      </c>
      <c r="H278" s="2">
        <v>2743.4</v>
      </c>
      <c r="I278">
        <v>2</v>
      </c>
      <c r="J278" s="2">
        <v>324.44</v>
      </c>
    </row>
    <row r="279" spans="1:10" x14ac:dyDescent="0.3">
      <c r="A279">
        <v>278</v>
      </c>
      <c r="B279" s="1">
        <v>45010</v>
      </c>
      <c r="C279" t="s">
        <v>15</v>
      </c>
      <c r="D279" t="s">
        <v>16</v>
      </c>
      <c r="E279" t="s">
        <v>12</v>
      </c>
      <c r="F279" t="s">
        <v>31</v>
      </c>
      <c r="G279" t="s">
        <v>32</v>
      </c>
      <c r="H279" s="2">
        <v>17723.98</v>
      </c>
      <c r="I279">
        <v>3</v>
      </c>
      <c r="J279" s="2">
        <v>3188.41</v>
      </c>
    </row>
    <row r="280" spans="1:10" x14ac:dyDescent="0.3">
      <c r="A280">
        <v>279</v>
      </c>
      <c r="B280" s="1">
        <v>44973</v>
      </c>
      <c r="C280" t="s">
        <v>15</v>
      </c>
      <c r="D280" t="s">
        <v>16</v>
      </c>
      <c r="E280" t="s">
        <v>17</v>
      </c>
      <c r="F280" t="s">
        <v>13</v>
      </c>
      <c r="G280" t="s">
        <v>21</v>
      </c>
      <c r="H280" s="2">
        <v>37126.15</v>
      </c>
      <c r="I280">
        <v>7</v>
      </c>
      <c r="J280" s="2">
        <v>7778.08</v>
      </c>
    </row>
    <row r="281" spans="1:10" x14ac:dyDescent="0.3">
      <c r="A281">
        <v>280</v>
      </c>
      <c r="B281" s="1">
        <v>45043</v>
      </c>
      <c r="C281" t="s">
        <v>10</v>
      </c>
      <c r="D281" t="s">
        <v>11</v>
      </c>
      <c r="E281" t="s">
        <v>12</v>
      </c>
      <c r="F281" t="s">
        <v>13</v>
      </c>
      <c r="G281" t="s">
        <v>14</v>
      </c>
      <c r="H281" s="2">
        <v>33645.160000000003</v>
      </c>
      <c r="I281">
        <v>9</v>
      </c>
      <c r="J281" s="2">
        <v>3910.56</v>
      </c>
    </row>
    <row r="282" spans="1:10" x14ac:dyDescent="0.3">
      <c r="A282">
        <v>281</v>
      </c>
      <c r="B282" s="1">
        <v>44956</v>
      </c>
      <c r="C282" t="s">
        <v>35</v>
      </c>
      <c r="D282" t="s">
        <v>36</v>
      </c>
      <c r="E282" t="s">
        <v>17</v>
      </c>
      <c r="F282" t="s">
        <v>24</v>
      </c>
      <c r="G282" t="s">
        <v>25</v>
      </c>
      <c r="H282" s="2">
        <v>16719.09</v>
      </c>
      <c r="I282">
        <v>4</v>
      </c>
      <c r="J282" s="2">
        <v>1211.3699999999999</v>
      </c>
    </row>
    <row r="283" spans="1:10" x14ac:dyDescent="0.3">
      <c r="A283">
        <v>282</v>
      </c>
      <c r="B283" s="1">
        <v>45046</v>
      </c>
      <c r="C283" t="s">
        <v>10</v>
      </c>
      <c r="D283" t="s">
        <v>11</v>
      </c>
      <c r="E283" t="s">
        <v>20</v>
      </c>
      <c r="F283" t="s">
        <v>31</v>
      </c>
      <c r="G283" t="s">
        <v>32</v>
      </c>
      <c r="H283" s="2">
        <v>25813.7</v>
      </c>
      <c r="I283">
        <v>4</v>
      </c>
      <c r="J283" s="2">
        <v>5481.41</v>
      </c>
    </row>
    <row r="284" spans="1:10" x14ac:dyDescent="0.3">
      <c r="A284">
        <v>283</v>
      </c>
      <c r="B284" s="1">
        <v>45087</v>
      </c>
      <c r="C284" t="s">
        <v>37</v>
      </c>
      <c r="D284" t="s">
        <v>27</v>
      </c>
      <c r="E284" t="s">
        <v>20</v>
      </c>
      <c r="F284" t="s">
        <v>13</v>
      </c>
      <c r="G284" t="s">
        <v>21</v>
      </c>
      <c r="H284" s="2">
        <v>4086.81</v>
      </c>
      <c r="I284">
        <v>4</v>
      </c>
      <c r="J284" s="2">
        <v>760.68</v>
      </c>
    </row>
    <row r="285" spans="1:10" x14ac:dyDescent="0.3">
      <c r="A285">
        <v>284</v>
      </c>
      <c r="B285" s="1">
        <v>45145</v>
      </c>
      <c r="C285" t="s">
        <v>38</v>
      </c>
      <c r="D285" t="s">
        <v>27</v>
      </c>
      <c r="E285" t="s">
        <v>12</v>
      </c>
      <c r="F285" t="s">
        <v>13</v>
      </c>
      <c r="G285" t="s">
        <v>21</v>
      </c>
      <c r="H285" s="2">
        <v>18521.38</v>
      </c>
      <c r="I285">
        <v>1</v>
      </c>
      <c r="J285" s="2">
        <v>1946.16</v>
      </c>
    </row>
    <row r="286" spans="1:10" x14ac:dyDescent="0.3">
      <c r="A286">
        <v>285</v>
      </c>
      <c r="B286" s="1">
        <v>45165</v>
      </c>
      <c r="C286" t="s">
        <v>37</v>
      </c>
      <c r="D286" t="s">
        <v>27</v>
      </c>
      <c r="E286" t="s">
        <v>17</v>
      </c>
      <c r="F286" t="s">
        <v>24</v>
      </c>
      <c r="G286" t="s">
        <v>29</v>
      </c>
      <c r="H286" s="2">
        <v>35464.68</v>
      </c>
      <c r="I286">
        <v>3</v>
      </c>
      <c r="J286" s="2">
        <v>4946.6099999999997</v>
      </c>
    </row>
    <row r="287" spans="1:10" x14ac:dyDescent="0.3">
      <c r="A287">
        <v>286</v>
      </c>
      <c r="B287" s="1">
        <v>45228</v>
      </c>
      <c r="C287" t="s">
        <v>35</v>
      </c>
      <c r="D287" t="s">
        <v>36</v>
      </c>
      <c r="E287" t="s">
        <v>12</v>
      </c>
      <c r="F287" t="s">
        <v>13</v>
      </c>
      <c r="G287" t="s">
        <v>34</v>
      </c>
      <c r="H287" s="2">
        <v>49796.639999999999</v>
      </c>
      <c r="I287">
        <v>9</v>
      </c>
      <c r="J287" s="2">
        <v>11826.36</v>
      </c>
    </row>
    <row r="288" spans="1:10" x14ac:dyDescent="0.3">
      <c r="A288">
        <v>287</v>
      </c>
      <c r="B288" s="1">
        <v>45075</v>
      </c>
      <c r="C288" t="s">
        <v>26</v>
      </c>
      <c r="D288" t="s">
        <v>27</v>
      </c>
      <c r="E288" t="s">
        <v>17</v>
      </c>
      <c r="F288" t="s">
        <v>24</v>
      </c>
      <c r="G288" t="s">
        <v>25</v>
      </c>
      <c r="H288" s="2">
        <v>6484.96</v>
      </c>
      <c r="I288">
        <v>3</v>
      </c>
      <c r="J288" s="2">
        <v>1208.78</v>
      </c>
    </row>
    <row r="289" spans="1:10" x14ac:dyDescent="0.3">
      <c r="A289">
        <v>288</v>
      </c>
      <c r="B289" s="1">
        <v>45197</v>
      </c>
      <c r="C289" t="s">
        <v>35</v>
      </c>
      <c r="D289" t="s">
        <v>36</v>
      </c>
      <c r="E289" t="s">
        <v>20</v>
      </c>
      <c r="F289" t="s">
        <v>13</v>
      </c>
      <c r="G289" t="s">
        <v>21</v>
      </c>
      <c r="H289" s="2">
        <v>33163.33</v>
      </c>
      <c r="I289">
        <v>10</v>
      </c>
      <c r="J289" s="2">
        <v>7488.7</v>
      </c>
    </row>
    <row r="290" spans="1:10" x14ac:dyDescent="0.3">
      <c r="A290">
        <v>289</v>
      </c>
      <c r="B290" s="1">
        <v>44994</v>
      </c>
      <c r="C290" t="s">
        <v>10</v>
      </c>
      <c r="D290" t="s">
        <v>11</v>
      </c>
      <c r="E290" t="s">
        <v>20</v>
      </c>
      <c r="F290" t="s">
        <v>31</v>
      </c>
      <c r="G290" t="s">
        <v>39</v>
      </c>
      <c r="H290" s="2">
        <v>13149.05</v>
      </c>
      <c r="I290">
        <v>7</v>
      </c>
      <c r="J290" s="2">
        <v>3576.49</v>
      </c>
    </row>
    <row r="291" spans="1:10" x14ac:dyDescent="0.3">
      <c r="A291">
        <v>290</v>
      </c>
      <c r="B291" s="1">
        <v>44958</v>
      </c>
      <c r="C291" t="s">
        <v>22</v>
      </c>
      <c r="D291" t="s">
        <v>22</v>
      </c>
      <c r="E291" t="s">
        <v>12</v>
      </c>
      <c r="F291" t="s">
        <v>31</v>
      </c>
      <c r="G291" t="s">
        <v>32</v>
      </c>
      <c r="H291" s="2">
        <v>34621.160000000003</v>
      </c>
      <c r="I291">
        <v>3</v>
      </c>
      <c r="J291" s="2">
        <v>7130.72</v>
      </c>
    </row>
    <row r="292" spans="1:10" x14ac:dyDescent="0.3">
      <c r="A292">
        <v>291</v>
      </c>
      <c r="B292" s="1">
        <v>45221</v>
      </c>
      <c r="C292" t="s">
        <v>10</v>
      </c>
      <c r="D292" t="s">
        <v>11</v>
      </c>
      <c r="E292" t="s">
        <v>17</v>
      </c>
      <c r="F292" t="s">
        <v>24</v>
      </c>
      <c r="G292" t="s">
        <v>29</v>
      </c>
      <c r="H292" s="2">
        <v>11966.24</v>
      </c>
      <c r="I292">
        <v>5</v>
      </c>
      <c r="J292" s="2">
        <v>2420.86</v>
      </c>
    </row>
    <row r="293" spans="1:10" x14ac:dyDescent="0.3">
      <c r="A293">
        <v>292</v>
      </c>
      <c r="B293" s="1">
        <v>44960</v>
      </c>
      <c r="C293" t="s">
        <v>37</v>
      </c>
      <c r="D293" t="s">
        <v>27</v>
      </c>
      <c r="E293" t="s">
        <v>12</v>
      </c>
      <c r="F293" t="s">
        <v>13</v>
      </c>
      <c r="G293" t="s">
        <v>34</v>
      </c>
      <c r="H293" s="2">
        <v>20790.45</v>
      </c>
      <c r="I293">
        <v>10</v>
      </c>
      <c r="J293" s="2">
        <v>2754</v>
      </c>
    </row>
    <row r="294" spans="1:10" x14ac:dyDescent="0.3">
      <c r="A294">
        <v>293</v>
      </c>
      <c r="B294" s="1">
        <v>44982</v>
      </c>
      <c r="C294" t="s">
        <v>22</v>
      </c>
      <c r="D294" t="s">
        <v>22</v>
      </c>
      <c r="E294" t="s">
        <v>17</v>
      </c>
      <c r="F294" t="s">
        <v>13</v>
      </c>
      <c r="G294" t="s">
        <v>34</v>
      </c>
      <c r="H294" s="2">
        <v>20312.77</v>
      </c>
      <c r="I294">
        <v>5</v>
      </c>
      <c r="J294" s="2">
        <v>5618.1</v>
      </c>
    </row>
    <row r="295" spans="1:10" x14ac:dyDescent="0.3">
      <c r="A295">
        <v>294</v>
      </c>
      <c r="B295" s="1">
        <v>44982</v>
      </c>
      <c r="C295" t="s">
        <v>15</v>
      </c>
      <c r="D295" t="s">
        <v>16</v>
      </c>
      <c r="E295" t="s">
        <v>20</v>
      </c>
      <c r="F295" t="s">
        <v>24</v>
      </c>
      <c r="G295" t="s">
        <v>25</v>
      </c>
      <c r="H295" s="2">
        <v>39381.9</v>
      </c>
      <c r="I295">
        <v>10</v>
      </c>
      <c r="J295" s="2">
        <v>7457.7</v>
      </c>
    </row>
    <row r="296" spans="1:10" x14ac:dyDescent="0.3">
      <c r="A296">
        <v>295</v>
      </c>
      <c r="B296" s="1">
        <v>45286</v>
      </c>
      <c r="C296" t="s">
        <v>15</v>
      </c>
      <c r="D296" t="s">
        <v>16</v>
      </c>
      <c r="E296" t="s">
        <v>20</v>
      </c>
      <c r="F296" t="s">
        <v>24</v>
      </c>
      <c r="G296" t="s">
        <v>25</v>
      </c>
      <c r="H296" s="2">
        <v>32040.32</v>
      </c>
      <c r="I296">
        <v>10</v>
      </c>
      <c r="J296" s="2">
        <v>7617.08</v>
      </c>
    </row>
    <row r="297" spans="1:10" x14ac:dyDescent="0.3">
      <c r="A297">
        <v>296</v>
      </c>
      <c r="B297" s="1">
        <v>45200</v>
      </c>
      <c r="C297" t="s">
        <v>30</v>
      </c>
      <c r="D297" t="s">
        <v>16</v>
      </c>
      <c r="E297" t="s">
        <v>12</v>
      </c>
      <c r="F297" t="s">
        <v>24</v>
      </c>
      <c r="G297" t="s">
        <v>25</v>
      </c>
      <c r="H297" s="2">
        <v>9943.7099999999991</v>
      </c>
      <c r="I297">
        <v>2</v>
      </c>
      <c r="J297" s="2">
        <v>1663.61</v>
      </c>
    </row>
    <row r="298" spans="1:10" x14ac:dyDescent="0.3">
      <c r="A298">
        <v>297</v>
      </c>
      <c r="B298" s="1">
        <v>45141</v>
      </c>
      <c r="C298" t="s">
        <v>35</v>
      </c>
      <c r="D298" t="s">
        <v>36</v>
      </c>
      <c r="E298" t="s">
        <v>17</v>
      </c>
      <c r="F298" t="s">
        <v>24</v>
      </c>
      <c r="G298" t="s">
        <v>28</v>
      </c>
      <c r="H298" s="2">
        <v>44799.3</v>
      </c>
      <c r="I298">
        <v>10</v>
      </c>
      <c r="J298" s="2">
        <v>5560.78</v>
      </c>
    </row>
    <row r="299" spans="1:10" x14ac:dyDescent="0.3">
      <c r="A299">
        <v>298</v>
      </c>
      <c r="B299" s="1">
        <v>45109</v>
      </c>
      <c r="C299" t="s">
        <v>26</v>
      </c>
      <c r="D299" t="s">
        <v>27</v>
      </c>
      <c r="E299" t="s">
        <v>12</v>
      </c>
      <c r="F299" t="s">
        <v>24</v>
      </c>
      <c r="G299" t="s">
        <v>28</v>
      </c>
      <c r="H299" s="2">
        <v>30482.42</v>
      </c>
      <c r="I299">
        <v>8</v>
      </c>
      <c r="J299" s="2">
        <v>4421.99</v>
      </c>
    </row>
    <row r="300" spans="1:10" x14ac:dyDescent="0.3">
      <c r="A300">
        <v>299</v>
      </c>
      <c r="B300" s="1">
        <v>45065</v>
      </c>
      <c r="C300" t="s">
        <v>37</v>
      </c>
      <c r="D300" t="s">
        <v>27</v>
      </c>
      <c r="E300" t="s">
        <v>17</v>
      </c>
      <c r="F300" t="s">
        <v>31</v>
      </c>
      <c r="G300" t="s">
        <v>39</v>
      </c>
      <c r="H300" s="2">
        <v>46018.66</v>
      </c>
      <c r="I300">
        <v>4</v>
      </c>
      <c r="J300" s="2">
        <v>11286.35</v>
      </c>
    </row>
    <row r="301" spans="1:10" x14ac:dyDescent="0.3">
      <c r="A301">
        <v>300</v>
      </c>
      <c r="B301" s="1">
        <v>44947</v>
      </c>
      <c r="C301" t="s">
        <v>30</v>
      </c>
      <c r="D301" t="s">
        <v>16</v>
      </c>
      <c r="E301" t="s">
        <v>20</v>
      </c>
      <c r="F301" t="s">
        <v>13</v>
      </c>
      <c r="G301" t="s">
        <v>21</v>
      </c>
      <c r="H301" s="2">
        <v>45604.85</v>
      </c>
      <c r="I301">
        <v>4</v>
      </c>
      <c r="J301" s="2">
        <v>10780.42</v>
      </c>
    </row>
    <row r="302" spans="1:10" x14ac:dyDescent="0.3">
      <c r="A302">
        <v>301</v>
      </c>
      <c r="B302" s="1">
        <v>45205</v>
      </c>
      <c r="C302" t="s">
        <v>10</v>
      </c>
      <c r="D302" t="s">
        <v>11</v>
      </c>
      <c r="E302" t="s">
        <v>20</v>
      </c>
      <c r="F302" t="s">
        <v>24</v>
      </c>
      <c r="G302" t="s">
        <v>29</v>
      </c>
      <c r="H302" s="2">
        <v>10568</v>
      </c>
      <c r="I302">
        <v>9</v>
      </c>
      <c r="J302" s="2">
        <v>1896.29</v>
      </c>
    </row>
    <row r="303" spans="1:10" x14ac:dyDescent="0.3">
      <c r="A303">
        <v>302</v>
      </c>
      <c r="B303" s="1">
        <v>45020</v>
      </c>
      <c r="C303" t="s">
        <v>30</v>
      </c>
      <c r="D303" t="s">
        <v>16</v>
      </c>
      <c r="E303" t="s">
        <v>12</v>
      </c>
      <c r="F303" t="s">
        <v>24</v>
      </c>
      <c r="G303" t="s">
        <v>29</v>
      </c>
      <c r="H303" s="2">
        <v>36013.07</v>
      </c>
      <c r="I303">
        <v>7</v>
      </c>
      <c r="J303" s="2">
        <v>2887.26</v>
      </c>
    </row>
    <row r="304" spans="1:10" x14ac:dyDescent="0.3">
      <c r="A304">
        <v>303</v>
      </c>
      <c r="B304" s="1">
        <v>44950</v>
      </c>
      <c r="C304" t="s">
        <v>22</v>
      </c>
      <c r="D304" t="s">
        <v>22</v>
      </c>
      <c r="E304" t="s">
        <v>17</v>
      </c>
      <c r="F304" t="s">
        <v>24</v>
      </c>
      <c r="G304" t="s">
        <v>28</v>
      </c>
      <c r="H304" s="2">
        <v>8545.89</v>
      </c>
      <c r="I304">
        <v>8</v>
      </c>
      <c r="J304" s="2">
        <v>998.97</v>
      </c>
    </row>
    <row r="305" spans="1:10" x14ac:dyDescent="0.3">
      <c r="A305">
        <v>304</v>
      </c>
      <c r="B305" s="1">
        <v>44976</v>
      </c>
      <c r="C305" t="s">
        <v>22</v>
      </c>
      <c r="D305" t="s">
        <v>22</v>
      </c>
      <c r="E305" t="s">
        <v>12</v>
      </c>
      <c r="F305" t="s">
        <v>24</v>
      </c>
      <c r="G305" t="s">
        <v>29</v>
      </c>
      <c r="H305" s="2">
        <v>46736.67</v>
      </c>
      <c r="I305">
        <v>5</v>
      </c>
      <c r="J305" s="2">
        <v>4010.98</v>
      </c>
    </row>
    <row r="306" spans="1:10" x14ac:dyDescent="0.3">
      <c r="A306">
        <v>305</v>
      </c>
      <c r="B306" s="1">
        <v>45221</v>
      </c>
      <c r="C306" t="s">
        <v>38</v>
      </c>
      <c r="D306" t="s">
        <v>27</v>
      </c>
      <c r="E306" t="s">
        <v>17</v>
      </c>
      <c r="F306" t="s">
        <v>31</v>
      </c>
      <c r="G306" t="s">
        <v>39</v>
      </c>
      <c r="H306" s="2">
        <v>42026.12</v>
      </c>
      <c r="I306">
        <v>5</v>
      </c>
      <c r="J306" s="2">
        <v>7474.37</v>
      </c>
    </row>
    <row r="307" spans="1:10" x14ac:dyDescent="0.3">
      <c r="A307">
        <v>306</v>
      </c>
      <c r="B307" s="1">
        <v>45115</v>
      </c>
      <c r="C307" t="s">
        <v>26</v>
      </c>
      <c r="D307" t="s">
        <v>27</v>
      </c>
      <c r="E307" t="s">
        <v>20</v>
      </c>
      <c r="F307" t="s">
        <v>31</v>
      </c>
      <c r="G307" t="s">
        <v>32</v>
      </c>
      <c r="H307" s="2">
        <v>31540.15</v>
      </c>
      <c r="I307">
        <v>8</v>
      </c>
      <c r="J307" s="2">
        <v>4128.9799999999996</v>
      </c>
    </row>
    <row r="308" spans="1:10" x14ac:dyDescent="0.3">
      <c r="A308">
        <v>307</v>
      </c>
      <c r="B308" s="1">
        <v>45135</v>
      </c>
      <c r="C308" t="s">
        <v>18</v>
      </c>
      <c r="D308" t="s">
        <v>19</v>
      </c>
      <c r="E308" t="s">
        <v>20</v>
      </c>
      <c r="F308" t="s">
        <v>24</v>
      </c>
      <c r="G308" t="s">
        <v>25</v>
      </c>
      <c r="H308" s="2">
        <v>29281.72</v>
      </c>
      <c r="I308">
        <v>10</v>
      </c>
      <c r="J308" s="2">
        <v>2759</v>
      </c>
    </row>
    <row r="309" spans="1:10" x14ac:dyDescent="0.3">
      <c r="A309">
        <v>308</v>
      </c>
      <c r="B309" s="1">
        <v>44974</v>
      </c>
      <c r="C309" t="s">
        <v>38</v>
      </c>
      <c r="D309" t="s">
        <v>27</v>
      </c>
      <c r="E309" t="s">
        <v>12</v>
      </c>
      <c r="F309" t="s">
        <v>31</v>
      </c>
      <c r="G309" t="s">
        <v>33</v>
      </c>
      <c r="H309" s="2">
        <v>23981.49</v>
      </c>
      <c r="I309">
        <v>2</v>
      </c>
      <c r="J309" s="2">
        <v>5193.12</v>
      </c>
    </row>
    <row r="310" spans="1:10" x14ac:dyDescent="0.3">
      <c r="A310">
        <v>309</v>
      </c>
      <c r="B310" s="1">
        <v>45086</v>
      </c>
      <c r="C310" t="s">
        <v>37</v>
      </c>
      <c r="D310" t="s">
        <v>27</v>
      </c>
      <c r="E310" t="s">
        <v>17</v>
      </c>
      <c r="F310" t="s">
        <v>24</v>
      </c>
      <c r="G310" t="s">
        <v>25</v>
      </c>
      <c r="H310" s="2">
        <v>11039.74</v>
      </c>
      <c r="I310">
        <v>6</v>
      </c>
      <c r="J310" s="2">
        <v>642.16999999999996</v>
      </c>
    </row>
    <row r="311" spans="1:10" x14ac:dyDescent="0.3">
      <c r="A311">
        <v>310</v>
      </c>
      <c r="B311" s="1">
        <v>44967</v>
      </c>
      <c r="C311" t="s">
        <v>35</v>
      </c>
      <c r="D311" t="s">
        <v>36</v>
      </c>
      <c r="E311" t="s">
        <v>12</v>
      </c>
      <c r="F311" t="s">
        <v>13</v>
      </c>
      <c r="G311" t="s">
        <v>21</v>
      </c>
      <c r="H311" s="2">
        <v>24072.58</v>
      </c>
      <c r="I311">
        <v>2</v>
      </c>
      <c r="J311" s="2">
        <v>4237.45</v>
      </c>
    </row>
    <row r="312" spans="1:10" x14ac:dyDescent="0.3">
      <c r="A312">
        <v>311</v>
      </c>
      <c r="B312" s="1">
        <v>44969</v>
      </c>
      <c r="C312" t="s">
        <v>15</v>
      </c>
      <c r="D312" t="s">
        <v>16</v>
      </c>
      <c r="E312" t="s">
        <v>17</v>
      </c>
      <c r="F312" t="s">
        <v>31</v>
      </c>
      <c r="G312" t="s">
        <v>39</v>
      </c>
      <c r="H312" s="2">
        <v>48043.43</v>
      </c>
      <c r="I312">
        <v>6</v>
      </c>
      <c r="J312" s="2">
        <v>6191.26</v>
      </c>
    </row>
    <row r="313" spans="1:10" x14ac:dyDescent="0.3">
      <c r="A313">
        <v>312</v>
      </c>
      <c r="B313" s="1">
        <v>44999</v>
      </c>
      <c r="C313" t="s">
        <v>38</v>
      </c>
      <c r="D313" t="s">
        <v>27</v>
      </c>
      <c r="E313" t="s">
        <v>20</v>
      </c>
      <c r="F313" t="s">
        <v>24</v>
      </c>
      <c r="G313" t="s">
        <v>25</v>
      </c>
      <c r="H313" s="2">
        <v>45172.53</v>
      </c>
      <c r="I313">
        <v>6</v>
      </c>
      <c r="J313" s="2">
        <v>3057.46</v>
      </c>
    </row>
    <row r="314" spans="1:10" x14ac:dyDescent="0.3">
      <c r="A314">
        <v>313</v>
      </c>
      <c r="B314" s="1">
        <v>45150</v>
      </c>
      <c r="C314" t="s">
        <v>26</v>
      </c>
      <c r="D314" t="s">
        <v>27</v>
      </c>
      <c r="E314" t="s">
        <v>20</v>
      </c>
      <c r="F314" t="s">
        <v>31</v>
      </c>
      <c r="G314" t="s">
        <v>33</v>
      </c>
      <c r="H314" s="2">
        <v>36425.279999999999</v>
      </c>
      <c r="I314">
        <v>2</v>
      </c>
      <c r="J314" s="2">
        <v>2652.3</v>
      </c>
    </row>
    <row r="315" spans="1:10" x14ac:dyDescent="0.3">
      <c r="A315">
        <v>314</v>
      </c>
      <c r="B315" s="1">
        <v>45204</v>
      </c>
      <c r="C315" t="s">
        <v>38</v>
      </c>
      <c r="D315" t="s">
        <v>27</v>
      </c>
      <c r="E315" t="s">
        <v>12</v>
      </c>
      <c r="F315" t="s">
        <v>24</v>
      </c>
      <c r="G315" t="s">
        <v>29</v>
      </c>
      <c r="H315" s="2">
        <v>34225.440000000002</v>
      </c>
      <c r="I315">
        <v>5</v>
      </c>
      <c r="J315" s="2">
        <v>7171.55</v>
      </c>
    </row>
    <row r="316" spans="1:10" x14ac:dyDescent="0.3">
      <c r="A316">
        <v>315</v>
      </c>
      <c r="B316" s="1">
        <v>45240</v>
      </c>
      <c r="C316" t="s">
        <v>37</v>
      </c>
      <c r="D316" t="s">
        <v>27</v>
      </c>
      <c r="E316" t="s">
        <v>17</v>
      </c>
      <c r="F316" t="s">
        <v>13</v>
      </c>
      <c r="G316" t="s">
        <v>14</v>
      </c>
      <c r="H316" s="2">
        <v>47580.01</v>
      </c>
      <c r="I316">
        <v>1</v>
      </c>
      <c r="J316" s="2">
        <v>13586.56</v>
      </c>
    </row>
    <row r="317" spans="1:10" x14ac:dyDescent="0.3">
      <c r="A317">
        <v>316</v>
      </c>
      <c r="B317" s="1">
        <v>44975</v>
      </c>
      <c r="C317" t="s">
        <v>38</v>
      </c>
      <c r="D317" t="s">
        <v>27</v>
      </c>
      <c r="E317" t="s">
        <v>12</v>
      </c>
      <c r="F317" t="s">
        <v>13</v>
      </c>
      <c r="G317" t="s">
        <v>14</v>
      </c>
      <c r="H317" s="2">
        <v>17212.37</v>
      </c>
      <c r="I317">
        <v>6</v>
      </c>
      <c r="J317" s="2">
        <v>4577.87</v>
      </c>
    </row>
    <row r="318" spans="1:10" x14ac:dyDescent="0.3">
      <c r="A318">
        <v>317</v>
      </c>
      <c r="B318" s="1">
        <v>44949</v>
      </c>
      <c r="C318" t="s">
        <v>18</v>
      </c>
      <c r="D318" t="s">
        <v>19</v>
      </c>
      <c r="E318" t="s">
        <v>17</v>
      </c>
      <c r="F318" t="s">
        <v>13</v>
      </c>
      <c r="G318" t="s">
        <v>21</v>
      </c>
      <c r="H318" s="2">
        <v>48075.95</v>
      </c>
      <c r="I318">
        <v>7</v>
      </c>
      <c r="J318" s="2">
        <v>4672.51</v>
      </c>
    </row>
    <row r="319" spans="1:10" x14ac:dyDescent="0.3">
      <c r="A319">
        <v>318</v>
      </c>
      <c r="B319" s="1">
        <v>45003</v>
      </c>
      <c r="C319" t="s">
        <v>30</v>
      </c>
      <c r="D319" t="s">
        <v>16</v>
      </c>
      <c r="E319" t="s">
        <v>20</v>
      </c>
      <c r="F319" t="s">
        <v>24</v>
      </c>
      <c r="G319" t="s">
        <v>28</v>
      </c>
      <c r="H319" s="2">
        <v>9681.73</v>
      </c>
      <c r="I319">
        <v>10</v>
      </c>
      <c r="J319" s="2">
        <v>628.19000000000005</v>
      </c>
    </row>
    <row r="320" spans="1:10" x14ac:dyDescent="0.3">
      <c r="A320">
        <v>319</v>
      </c>
      <c r="B320" s="1">
        <v>45245</v>
      </c>
      <c r="C320" t="s">
        <v>30</v>
      </c>
      <c r="D320" t="s">
        <v>16</v>
      </c>
      <c r="E320" t="s">
        <v>20</v>
      </c>
      <c r="F320" t="s">
        <v>31</v>
      </c>
      <c r="G320" t="s">
        <v>32</v>
      </c>
      <c r="H320" s="2">
        <v>31708.44</v>
      </c>
      <c r="I320">
        <v>4</v>
      </c>
      <c r="J320" s="2">
        <v>1986.92</v>
      </c>
    </row>
    <row r="321" spans="1:10" x14ac:dyDescent="0.3">
      <c r="A321">
        <v>320</v>
      </c>
      <c r="B321" s="1">
        <v>45008</v>
      </c>
      <c r="C321" t="s">
        <v>30</v>
      </c>
      <c r="D321" t="s">
        <v>16</v>
      </c>
      <c r="E321" t="s">
        <v>12</v>
      </c>
      <c r="F321" t="s">
        <v>24</v>
      </c>
      <c r="G321" t="s">
        <v>29</v>
      </c>
      <c r="H321" s="2">
        <v>23576.81</v>
      </c>
      <c r="I321">
        <v>5</v>
      </c>
      <c r="J321" s="2">
        <v>5469.68</v>
      </c>
    </row>
    <row r="322" spans="1:10" x14ac:dyDescent="0.3">
      <c r="A322">
        <v>321</v>
      </c>
      <c r="B322" s="1">
        <v>45048</v>
      </c>
      <c r="C322" t="s">
        <v>35</v>
      </c>
      <c r="D322" t="s">
        <v>36</v>
      </c>
      <c r="E322" t="s">
        <v>17</v>
      </c>
      <c r="F322" t="s">
        <v>31</v>
      </c>
      <c r="G322" t="s">
        <v>39</v>
      </c>
      <c r="H322" s="2">
        <v>46941.22</v>
      </c>
      <c r="I322">
        <v>3</v>
      </c>
      <c r="J322" s="2">
        <v>11351.59</v>
      </c>
    </row>
    <row r="323" spans="1:10" x14ac:dyDescent="0.3">
      <c r="A323">
        <v>322</v>
      </c>
      <c r="B323" s="1">
        <v>45021</v>
      </c>
      <c r="C323" t="s">
        <v>30</v>
      </c>
      <c r="D323" t="s">
        <v>16</v>
      </c>
      <c r="E323" t="s">
        <v>12</v>
      </c>
      <c r="F323" t="s">
        <v>31</v>
      </c>
      <c r="G323" t="s">
        <v>33</v>
      </c>
      <c r="H323" s="2">
        <v>30511.77</v>
      </c>
      <c r="I323">
        <v>4</v>
      </c>
      <c r="J323" s="2">
        <v>2577.4699999999998</v>
      </c>
    </row>
    <row r="324" spans="1:10" x14ac:dyDescent="0.3">
      <c r="A324">
        <v>323</v>
      </c>
      <c r="B324" s="1">
        <v>45225</v>
      </c>
      <c r="C324" t="s">
        <v>38</v>
      </c>
      <c r="D324" t="s">
        <v>27</v>
      </c>
      <c r="E324" t="s">
        <v>17</v>
      </c>
      <c r="F324" t="s">
        <v>13</v>
      </c>
      <c r="G324" t="s">
        <v>21</v>
      </c>
      <c r="H324" s="2">
        <v>1705.27</v>
      </c>
      <c r="I324">
        <v>2</v>
      </c>
      <c r="J324" s="2">
        <v>258.72000000000003</v>
      </c>
    </row>
    <row r="325" spans="1:10" x14ac:dyDescent="0.3">
      <c r="A325">
        <v>324</v>
      </c>
      <c r="B325" s="1">
        <v>45196</v>
      </c>
      <c r="C325" t="s">
        <v>22</v>
      </c>
      <c r="D325" t="s">
        <v>22</v>
      </c>
      <c r="E325" t="s">
        <v>20</v>
      </c>
      <c r="F325" t="s">
        <v>13</v>
      </c>
      <c r="G325" t="s">
        <v>14</v>
      </c>
      <c r="H325" s="2">
        <v>40330.29</v>
      </c>
      <c r="I325">
        <v>9</v>
      </c>
      <c r="J325" s="2">
        <v>9484.9599999999991</v>
      </c>
    </row>
    <row r="326" spans="1:10" x14ac:dyDescent="0.3">
      <c r="A326">
        <v>325</v>
      </c>
      <c r="B326" s="1">
        <v>44947</v>
      </c>
      <c r="C326" t="s">
        <v>18</v>
      </c>
      <c r="D326" t="s">
        <v>19</v>
      </c>
      <c r="E326" t="s">
        <v>20</v>
      </c>
      <c r="F326" t="s">
        <v>24</v>
      </c>
      <c r="G326" t="s">
        <v>29</v>
      </c>
      <c r="H326" s="2">
        <v>22523.13</v>
      </c>
      <c r="I326">
        <v>3</v>
      </c>
      <c r="J326" s="2">
        <v>5559.51</v>
      </c>
    </row>
    <row r="327" spans="1:10" x14ac:dyDescent="0.3">
      <c r="A327">
        <v>326</v>
      </c>
      <c r="B327" s="1">
        <v>45181</v>
      </c>
      <c r="C327" t="s">
        <v>30</v>
      </c>
      <c r="D327" t="s">
        <v>16</v>
      </c>
      <c r="E327" t="s">
        <v>12</v>
      </c>
      <c r="F327" t="s">
        <v>31</v>
      </c>
      <c r="G327" t="s">
        <v>32</v>
      </c>
      <c r="H327" s="2">
        <v>9721.76</v>
      </c>
      <c r="I327">
        <v>1</v>
      </c>
      <c r="J327" s="2">
        <v>2426.7199999999998</v>
      </c>
    </row>
    <row r="328" spans="1:10" x14ac:dyDescent="0.3">
      <c r="A328">
        <v>327</v>
      </c>
      <c r="B328" s="1">
        <v>45158</v>
      </c>
      <c r="C328" t="s">
        <v>37</v>
      </c>
      <c r="D328" t="s">
        <v>27</v>
      </c>
      <c r="E328" t="s">
        <v>17</v>
      </c>
      <c r="F328" t="s">
        <v>31</v>
      </c>
      <c r="G328" t="s">
        <v>39</v>
      </c>
      <c r="H328" s="2">
        <v>13433.44</v>
      </c>
      <c r="I328">
        <v>10</v>
      </c>
      <c r="J328" s="2">
        <v>3809.36</v>
      </c>
    </row>
    <row r="329" spans="1:10" x14ac:dyDescent="0.3">
      <c r="A329">
        <v>328</v>
      </c>
      <c r="B329" s="1">
        <v>44960</v>
      </c>
      <c r="C329" t="s">
        <v>15</v>
      </c>
      <c r="D329" t="s">
        <v>16</v>
      </c>
      <c r="E329" t="s">
        <v>12</v>
      </c>
      <c r="F329" t="s">
        <v>24</v>
      </c>
      <c r="G329" t="s">
        <v>28</v>
      </c>
      <c r="H329" s="2">
        <v>42800.72</v>
      </c>
      <c r="I329">
        <v>2</v>
      </c>
      <c r="J329" s="2">
        <v>3432.12</v>
      </c>
    </row>
    <row r="330" spans="1:10" x14ac:dyDescent="0.3">
      <c r="A330">
        <v>329</v>
      </c>
      <c r="B330" s="1">
        <v>45245</v>
      </c>
      <c r="C330" t="s">
        <v>37</v>
      </c>
      <c r="D330" t="s">
        <v>27</v>
      </c>
      <c r="E330" t="s">
        <v>17</v>
      </c>
      <c r="F330" t="s">
        <v>24</v>
      </c>
      <c r="G330" t="s">
        <v>25</v>
      </c>
      <c r="H330" s="2">
        <v>11997.4</v>
      </c>
      <c r="I330">
        <v>9</v>
      </c>
      <c r="J330" s="2">
        <v>2230.12</v>
      </c>
    </row>
    <row r="331" spans="1:10" x14ac:dyDescent="0.3">
      <c r="A331">
        <v>330</v>
      </c>
      <c r="B331" s="1">
        <v>45173</v>
      </c>
      <c r="C331" t="s">
        <v>15</v>
      </c>
      <c r="D331" t="s">
        <v>16</v>
      </c>
      <c r="E331" t="s">
        <v>20</v>
      </c>
      <c r="F331" t="s">
        <v>31</v>
      </c>
      <c r="G331" t="s">
        <v>33</v>
      </c>
      <c r="H331" s="2">
        <v>16524.43</v>
      </c>
      <c r="I331">
        <v>5</v>
      </c>
      <c r="J331" s="2">
        <v>3288.46</v>
      </c>
    </row>
    <row r="332" spans="1:10" x14ac:dyDescent="0.3">
      <c r="A332">
        <v>331</v>
      </c>
      <c r="B332" s="1">
        <v>45270</v>
      </c>
      <c r="C332" t="s">
        <v>15</v>
      </c>
      <c r="D332" t="s">
        <v>16</v>
      </c>
      <c r="E332" t="s">
        <v>20</v>
      </c>
      <c r="F332" t="s">
        <v>31</v>
      </c>
      <c r="G332" t="s">
        <v>39</v>
      </c>
      <c r="H332" s="2">
        <v>10353.51</v>
      </c>
      <c r="I332">
        <v>9</v>
      </c>
      <c r="J332" s="2">
        <v>1656.01</v>
      </c>
    </row>
    <row r="333" spans="1:10" x14ac:dyDescent="0.3">
      <c r="A333">
        <v>332</v>
      </c>
      <c r="B333" s="1">
        <v>45126</v>
      </c>
      <c r="C333" t="s">
        <v>10</v>
      </c>
      <c r="D333" t="s">
        <v>11</v>
      </c>
      <c r="E333" t="s">
        <v>12</v>
      </c>
      <c r="F333" t="s">
        <v>24</v>
      </c>
      <c r="G333" t="s">
        <v>29</v>
      </c>
      <c r="H333" s="2">
        <v>49849.49</v>
      </c>
      <c r="I333">
        <v>2</v>
      </c>
      <c r="J333" s="2">
        <v>14334.62</v>
      </c>
    </row>
    <row r="334" spans="1:10" x14ac:dyDescent="0.3">
      <c r="A334">
        <v>333</v>
      </c>
      <c r="B334" s="1">
        <v>45150</v>
      </c>
      <c r="C334" t="s">
        <v>26</v>
      </c>
      <c r="D334" t="s">
        <v>27</v>
      </c>
      <c r="E334" t="s">
        <v>17</v>
      </c>
      <c r="F334" t="s">
        <v>31</v>
      </c>
      <c r="G334" t="s">
        <v>33</v>
      </c>
      <c r="H334" s="2">
        <v>40482.129999999997</v>
      </c>
      <c r="I334">
        <v>4</v>
      </c>
      <c r="J334" s="2">
        <v>9904.9599999999991</v>
      </c>
    </row>
    <row r="335" spans="1:10" x14ac:dyDescent="0.3">
      <c r="A335">
        <v>334</v>
      </c>
      <c r="B335" s="1">
        <v>45062</v>
      </c>
      <c r="C335" t="s">
        <v>18</v>
      </c>
      <c r="D335" t="s">
        <v>19</v>
      </c>
      <c r="E335" t="s">
        <v>12</v>
      </c>
      <c r="F335" t="s">
        <v>24</v>
      </c>
      <c r="G335" t="s">
        <v>29</v>
      </c>
      <c r="H335" s="2">
        <v>24555.21</v>
      </c>
      <c r="I335">
        <v>7</v>
      </c>
      <c r="J335" s="2">
        <v>6048.99</v>
      </c>
    </row>
    <row r="336" spans="1:10" x14ac:dyDescent="0.3">
      <c r="A336">
        <v>335</v>
      </c>
      <c r="B336" s="1">
        <v>45124</v>
      </c>
      <c r="C336" t="s">
        <v>26</v>
      </c>
      <c r="D336" t="s">
        <v>27</v>
      </c>
      <c r="E336" t="s">
        <v>17</v>
      </c>
      <c r="F336" t="s">
        <v>31</v>
      </c>
      <c r="G336" t="s">
        <v>39</v>
      </c>
      <c r="H336" s="2">
        <v>12319.01</v>
      </c>
      <c r="I336">
        <v>8</v>
      </c>
      <c r="J336" s="2">
        <v>2389.34</v>
      </c>
    </row>
    <row r="337" spans="1:10" x14ac:dyDescent="0.3">
      <c r="A337">
        <v>336</v>
      </c>
      <c r="B337" s="1">
        <v>44980</v>
      </c>
      <c r="C337" t="s">
        <v>26</v>
      </c>
      <c r="D337" t="s">
        <v>27</v>
      </c>
      <c r="E337" t="s">
        <v>20</v>
      </c>
      <c r="F337" t="s">
        <v>31</v>
      </c>
      <c r="G337" t="s">
        <v>33</v>
      </c>
      <c r="H337" s="2">
        <v>13647.29</v>
      </c>
      <c r="I337">
        <v>1</v>
      </c>
      <c r="J337" s="2">
        <v>1756.26</v>
      </c>
    </row>
    <row r="338" spans="1:10" x14ac:dyDescent="0.3">
      <c r="A338">
        <v>337</v>
      </c>
      <c r="B338" s="1">
        <v>44931</v>
      </c>
      <c r="C338" t="s">
        <v>26</v>
      </c>
      <c r="D338" t="s">
        <v>27</v>
      </c>
      <c r="E338" t="s">
        <v>20</v>
      </c>
      <c r="F338" t="s">
        <v>24</v>
      </c>
      <c r="G338" t="s">
        <v>29</v>
      </c>
      <c r="H338" s="2">
        <v>47809.440000000002</v>
      </c>
      <c r="I338">
        <v>8</v>
      </c>
      <c r="J338" s="2">
        <v>3486.63</v>
      </c>
    </row>
    <row r="339" spans="1:10" x14ac:dyDescent="0.3">
      <c r="A339">
        <v>338</v>
      </c>
      <c r="B339" s="1">
        <v>45139</v>
      </c>
      <c r="C339" t="s">
        <v>22</v>
      </c>
      <c r="D339" t="s">
        <v>22</v>
      </c>
      <c r="E339" t="s">
        <v>12</v>
      </c>
      <c r="F339" t="s">
        <v>13</v>
      </c>
      <c r="G339" t="s">
        <v>21</v>
      </c>
      <c r="H339" s="2">
        <v>13063.77</v>
      </c>
      <c r="I339">
        <v>7</v>
      </c>
      <c r="J339" s="2">
        <v>919.67</v>
      </c>
    </row>
    <row r="340" spans="1:10" x14ac:dyDescent="0.3">
      <c r="A340">
        <v>339</v>
      </c>
      <c r="B340" s="1">
        <v>45269</v>
      </c>
      <c r="C340" t="s">
        <v>37</v>
      </c>
      <c r="D340" t="s">
        <v>27</v>
      </c>
      <c r="E340" t="s">
        <v>17</v>
      </c>
      <c r="F340" t="s">
        <v>13</v>
      </c>
      <c r="G340" t="s">
        <v>34</v>
      </c>
      <c r="H340" s="2">
        <v>19511.96</v>
      </c>
      <c r="I340">
        <v>9</v>
      </c>
      <c r="J340" s="2">
        <v>3592.28</v>
      </c>
    </row>
    <row r="341" spans="1:10" x14ac:dyDescent="0.3">
      <c r="A341">
        <v>340</v>
      </c>
      <c r="B341" s="1">
        <v>45197</v>
      </c>
      <c r="C341" t="s">
        <v>26</v>
      </c>
      <c r="D341" t="s">
        <v>27</v>
      </c>
      <c r="E341" t="s">
        <v>12</v>
      </c>
      <c r="F341" t="s">
        <v>13</v>
      </c>
      <c r="G341" t="s">
        <v>34</v>
      </c>
      <c r="H341" s="2">
        <v>3861.56</v>
      </c>
      <c r="I341">
        <v>3</v>
      </c>
      <c r="J341" s="2">
        <v>788.54</v>
      </c>
    </row>
    <row r="342" spans="1:10" x14ac:dyDescent="0.3">
      <c r="A342">
        <v>341</v>
      </c>
      <c r="B342" s="1">
        <v>45107</v>
      </c>
      <c r="C342" t="s">
        <v>15</v>
      </c>
      <c r="D342" t="s">
        <v>16</v>
      </c>
      <c r="E342" t="s">
        <v>17</v>
      </c>
      <c r="F342" t="s">
        <v>31</v>
      </c>
      <c r="G342" t="s">
        <v>39</v>
      </c>
      <c r="H342" s="2">
        <v>5630.69</v>
      </c>
      <c r="I342">
        <v>7</v>
      </c>
      <c r="J342" s="2">
        <v>337.23</v>
      </c>
    </row>
    <row r="343" spans="1:10" x14ac:dyDescent="0.3">
      <c r="A343">
        <v>342</v>
      </c>
      <c r="B343" s="1">
        <v>45286</v>
      </c>
      <c r="C343" t="s">
        <v>26</v>
      </c>
      <c r="D343" t="s">
        <v>27</v>
      </c>
      <c r="E343" t="s">
        <v>20</v>
      </c>
      <c r="F343" t="s">
        <v>31</v>
      </c>
      <c r="G343" t="s">
        <v>39</v>
      </c>
      <c r="H343" s="2">
        <v>12929.68</v>
      </c>
      <c r="I343">
        <v>1</v>
      </c>
      <c r="J343" s="2">
        <v>3699.71</v>
      </c>
    </row>
    <row r="344" spans="1:10" x14ac:dyDescent="0.3">
      <c r="A344">
        <v>343</v>
      </c>
      <c r="B344" s="1">
        <v>45136</v>
      </c>
      <c r="C344" t="s">
        <v>22</v>
      </c>
      <c r="D344" t="s">
        <v>22</v>
      </c>
      <c r="E344" t="s">
        <v>20</v>
      </c>
      <c r="F344" t="s">
        <v>13</v>
      </c>
      <c r="G344" t="s">
        <v>21</v>
      </c>
      <c r="H344" s="2">
        <v>2770.4</v>
      </c>
      <c r="I344">
        <v>7</v>
      </c>
      <c r="J344" s="2">
        <v>401.13</v>
      </c>
    </row>
    <row r="345" spans="1:10" x14ac:dyDescent="0.3">
      <c r="A345">
        <v>344</v>
      </c>
      <c r="B345" s="1">
        <v>45076</v>
      </c>
      <c r="C345" t="s">
        <v>38</v>
      </c>
      <c r="D345" t="s">
        <v>27</v>
      </c>
      <c r="E345" t="s">
        <v>12</v>
      </c>
      <c r="F345" t="s">
        <v>31</v>
      </c>
      <c r="G345" t="s">
        <v>32</v>
      </c>
      <c r="H345" s="2">
        <v>44238.62</v>
      </c>
      <c r="I345">
        <v>7</v>
      </c>
      <c r="J345" s="2">
        <v>10311.209999999999</v>
      </c>
    </row>
    <row r="346" spans="1:10" x14ac:dyDescent="0.3">
      <c r="A346">
        <v>345</v>
      </c>
      <c r="B346" s="1">
        <v>45024</v>
      </c>
      <c r="C346" t="s">
        <v>18</v>
      </c>
      <c r="D346" t="s">
        <v>19</v>
      </c>
      <c r="E346" t="s">
        <v>17</v>
      </c>
      <c r="F346" t="s">
        <v>13</v>
      </c>
      <c r="G346" t="s">
        <v>34</v>
      </c>
      <c r="H346" s="2">
        <v>34979.96</v>
      </c>
      <c r="I346">
        <v>3</v>
      </c>
      <c r="J346" s="2">
        <v>6888.91</v>
      </c>
    </row>
    <row r="347" spans="1:10" x14ac:dyDescent="0.3">
      <c r="A347">
        <v>346</v>
      </c>
      <c r="B347" s="1">
        <v>45085</v>
      </c>
      <c r="C347" t="s">
        <v>22</v>
      </c>
      <c r="D347" t="s">
        <v>22</v>
      </c>
      <c r="E347" t="s">
        <v>12</v>
      </c>
      <c r="F347" t="s">
        <v>31</v>
      </c>
      <c r="G347" t="s">
        <v>32</v>
      </c>
      <c r="H347" s="2">
        <v>48862.53</v>
      </c>
      <c r="I347">
        <v>4</v>
      </c>
      <c r="J347" s="2">
        <v>12427.15</v>
      </c>
    </row>
    <row r="348" spans="1:10" x14ac:dyDescent="0.3">
      <c r="A348">
        <v>347</v>
      </c>
      <c r="B348" s="1">
        <v>45207</v>
      </c>
      <c r="C348" t="s">
        <v>37</v>
      </c>
      <c r="D348" t="s">
        <v>27</v>
      </c>
      <c r="E348" t="s">
        <v>17</v>
      </c>
      <c r="F348" t="s">
        <v>13</v>
      </c>
      <c r="G348" t="s">
        <v>21</v>
      </c>
      <c r="H348" s="2">
        <v>8542.52</v>
      </c>
      <c r="I348">
        <v>9</v>
      </c>
      <c r="J348" s="2">
        <v>1149.1300000000001</v>
      </c>
    </row>
    <row r="349" spans="1:10" x14ac:dyDescent="0.3">
      <c r="A349">
        <v>348</v>
      </c>
      <c r="B349" s="1">
        <v>45256</v>
      </c>
      <c r="C349" t="s">
        <v>10</v>
      </c>
      <c r="D349" t="s">
        <v>11</v>
      </c>
      <c r="E349" t="s">
        <v>20</v>
      </c>
      <c r="F349" t="s">
        <v>13</v>
      </c>
      <c r="G349" t="s">
        <v>14</v>
      </c>
      <c r="H349" s="2">
        <v>27306.13</v>
      </c>
      <c r="I349">
        <v>6</v>
      </c>
      <c r="J349" s="2">
        <v>6925.83</v>
      </c>
    </row>
    <row r="350" spans="1:10" x14ac:dyDescent="0.3">
      <c r="A350">
        <v>349</v>
      </c>
      <c r="B350" s="1">
        <v>45192</v>
      </c>
      <c r="C350" t="s">
        <v>26</v>
      </c>
      <c r="D350" t="s">
        <v>27</v>
      </c>
      <c r="E350" t="s">
        <v>20</v>
      </c>
      <c r="F350" t="s">
        <v>13</v>
      </c>
      <c r="G350" t="s">
        <v>14</v>
      </c>
      <c r="H350" s="2">
        <v>6233.07</v>
      </c>
      <c r="I350">
        <v>2</v>
      </c>
      <c r="J350" s="2">
        <v>1160.33</v>
      </c>
    </row>
    <row r="351" spans="1:10" x14ac:dyDescent="0.3">
      <c r="A351">
        <v>350</v>
      </c>
      <c r="B351" s="1">
        <v>44946</v>
      </c>
      <c r="C351" t="s">
        <v>37</v>
      </c>
      <c r="D351" t="s">
        <v>27</v>
      </c>
      <c r="E351" t="s">
        <v>12</v>
      </c>
      <c r="F351" t="s">
        <v>24</v>
      </c>
      <c r="G351" t="s">
        <v>28</v>
      </c>
      <c r="H351" s="2">
        <v>16041.6</v>
      </c>
      <c r="I351">
        <v>4</v>
      </c>
      <c r="J351" s="2">
        <v>3108.36</v>
      </c>
    </row>
    <row r="352" spans="1:10" x14ac:dyDescent="0.3">
      <c r="A352">
        <v>351</v>
      </c>
      <c r="B352" s="1">
        <v>44960</v>
      </c>
      <c r="C352" t="s">
        <v>37</v>
      </c>
      <c r="D352" t="s">
        <v>27</v>
      </c>
      <c r="E352" t="s">
        <v>17</v>
      </c>
      <c r="F352" t="s">
        <v>13</v>
      </c>
      <c r="G352" t="s">
        <v>14</v>
      </c>
      <c r="H352" s="2">
        <v>32906.46</v>
      </c>
      <c r="I352">
        <v>10</v>
      </c>
      <c r="J352" s="2">
        <v>2385.66</v>
      </c>
    </row>
    <row r="353" spans="1:10" x14ac:dyDescent="0.3">
      <c r="A353">
        <v>352</v>
      </c>
      <c r="B353" s="1">
        <v>44988</v>
      </c>
      <c r="C353" t="s">
        <v>22</v>
      </c>
      <c r="D353" t="s">
        <v>22</v>
      </c>
      <c r="E353" t="s">
        <v>12</v>
      </c>
      <c r="F353" t="s">
        <v>31</v>
      </c>
      <c r="G353" t="s">
        <v>39</v>
      </c>
      <c r="H353" s="2">
        <v>37239.54</v>
      </c>
      <c r="I353">
        <v>7</v>
      </c>
      <c r="J353" s="2">
        <v>2504.85</v>
      </c>
    </row>
    <row r="354" spans="1:10" x14ac:dyDescent="0.3">
      <c r="A354">
        <v>353</v>
      </c>
      <c r="B354" s="1">
        <v>45202</v>
      </c>
      <c r="C354" t="s">
        <v>22</v>
      </c>
      <c r="D354" t="s">
        <v>22</v>
      </c>
      <c r="E354" t="s">
        <v>17</v>
      </c>
      <c r="F354" t="s">
        <v>31</v>
      </c>
      <c r="G354" t="s">
        <v>39</v>
      </c>
      <c r="H354" s="2">
        <v>4483.34</v>
      </c>
      <c r="I354">
        <v>9</v>
      </c>
      <c r="J354" s="2">
        <v>1083.8</v>
      </c>
    </row>
    <row r="355" spans="1:10" x14ac:dyDescent="0.3">
      <c r="A355">
        <v>354</v>
      </c>
      <c r="B355" s="1">
        <v>44965</v>
      </c>
      <c r="C355" t="s">
        <v>37</v>
      </c>
      <c r="D355" t="s">
        <v>27</v>
      </c>
      <c r="E355" t="s">
        <v>20</v>
      </c>
      <c r="F355" t="s">
        <v>31</v>
      </c>
      <c r="G355" t="s">
        <v>32</v>
      </c>
      <c r="H355" s="2">
        <v>48213.14</v>
      </c>
      <c r="I355">
        <v>6</v>
      </c>
      <c r="J355" s="2">
        <v>10326.15</v>
      </c>
    </row>
    <row r="356" spans="1:10" x14ac:dyDescent="0.3">
      <c r="A356">
        <v>355</v>
      </c>
      <c r="B356" s="1">
        <v>45087</v>
      </c>
      <c r="C356" t="s">
        <v>22</v>
      </c>
      <c r="D356" t="s">
        <v>22</v>
      </c>
      <c r="E356" t="s">
        <v>20</v>
      </c>
      <c r="F356" t="s">
        <v>24</v>
      </c>
      <c r="G356" t="s">
        <v>29</v>
      </c>
      <c r="H356" s="2">
        <v>42851.99</v>
      </c>
      <c r="I356">
        <v>5</v>
      </c>
      <c r="J356" s="2">
        <v>9496.2099999999991</v>
      </c>
    </row>
    <row r="357" spans="1:10" x14ac:dyDescent="0.3">
      <c r="A357">
        <v>356</v>
      </c>
      <c r="B357" s="1">
        <v>44987</v>
      </c>
      <c r="C357" t="s">
        <v>18</v>
      </c>
      <c r="D357" t="s">
        <v>19</v>
      </c>
      <c r="E357" t="s">
        <v>12</v>
      </c>
      <c r="F357" t="s">
        <v>24</v>
      </c>
      <c r="G357" t="s">
        <v>28</v>
      </c>
      <c r="H357" s="2">
        <v>1320.69</v>
      </c>
      <c r="I357">
        <v>2</v>
      </c>
      <c r="J357" s="2">
        <v>152.43</v>
      </c>
    </row>
    <row r="358" spans="1:10" x14ac:dyDescent="0.3">
      <c r="A358">
        <v>357</v>
      </c>
      <c r="B358" s="1">
        <v>45093</v>
      </c>
      <c r="C358" t="s">
        <v>38</v>
      </c>
      <c r="D358" t="s">
        <v>27</v>
      </c>
      <c r="E358" t="s">
        <v>17</v>
      </c>
      <c r="F358" t="s">
        <v>31</v>
      </c>
      <c r="G358" t="s">
        <v>33</v>
      </c>
      <c r="H358" s="2">
        <v>27600.51</v>
      </c>
      <c r="I358">
        <v>4</v>
      </c>
      <c r="J358" s="2">
        <v>6255.76</v>
      </c>
    </row>
    <row r="359" spans="1:10" x14ac:dyDescent="0.3">
      <c r="A359">
        <v>358</v>
      </c>
      <c r="B359" s="1">
        <v>44942</v>
      </c>
      <c r="C359" t="s">
        <v>15</v>
      </c>
      <c r="D359" t="s">
        <v>16</v>
      </c>
      <c r="E359" t="s">
        <v>12</v>
      </c>
      <c r="F359" t="s">
        <v>13</v>
      </c>
      <c r="G359" t="s">
        <v>21</v>
      </c>
      <c r="H359" s="2">
        <v>36776.78</v>
      </c>
      <c r="I359">
        <v>10</v>
      </c>
      <c r="J359" s="2">
        <v>9228.1200000000008</v>
      </c>
    </row>
    <row r="360" spans="1:10" x14ac:dyDescent="0.3">
      <c r="A360">
        <v>359</v>
      </c>
      <c r="B360" s="1">
        <v>45214</v>
      </c>
      <c r="C360" t="s">
        <v>30</v>
      </c>
      <c r="D360" t="s">
        <v>16</v>
      </c>
      <c r="E360" t="s">
        <v>17</v>
      </c>
      <c r="F360" t="s">
        <v>31</v>
      </c>
      <c r="G360" t="s">
        <v>33</v>
      </c>
      <c r="H360" s="2">
        <v>23572.9</v>
      </c>
      <c r="I360">
        <v>9</v>
      </c>
      <c r="J360" s="2">
        <v>2990.66</v>
      </c>
    </row>
    <row r="361" spans="1:10" x14ac:dyDescent="0.3">
      <c r="A361">
        <v>360</v>
      </c>
      <c r="B361" s="1">
        <v>45259</v>
      </c>
      <c r="C361" t="s">
        <v>30</v>
      </c>
      <c r="D361" t="s">
        <v>16</v>
      </c>
      <c r="E361" t="s">
        <v>20</v>
      </c>
      <c r="F361" t="s">
        <v>13</v>
      </c>
      <c r="G361" t="s">
        <v>21</v>
      </c>
      <c r="H361" s="2">
        <v>47935.1</v>
      </c>
      <c r="I361">
        <v>5</v>
      </c>
      <c r="J361" s="2">
        <v>13700.82</v>
      </c>
    </row>
    <row r="362" spans="1:10" x14ac:dyDescent="0.3">
      <c r="A362">
        <v>361</v>
      </c>
      <c r="B362" s="1">
        <v>45227</v>
      </c>
      <c r="C362" t="s">
        <v>35</v>
      </c>
      <c r="D362" t="s">
        <v>36</v>
      </c>
      <c r="E362" t="s">
        <v>20</v>
      </c>
      <c r="F362" t="s">
        <v>24</v>
      </c>
      <c r="G362" t="s">
        <v>25</v>
      </c>
      <c r="H362" s="2">
        <v>48787.24</v>
      </c>
      <c r="I362">
        <v>5</v>
      </c>
      <c r="J362" s="2">
        <v>4438.05</v>
      </c>
    </row>
    <row r="363" spans="1:10" x14ac:dyDescent="0.3">
      <c r="A363">
        <v>362</v>
      </c>
      <c r="B363" s="1">
        <v>45215</v>
      </c>
      <c r="C363" t="s">
        <v>38</v>
      </c>
      <c r="D363" t="s">
        <v>27</v>
      </c>
      <c r="E363" t="s">
        <v>12</v>
      </c>
      <c r="F363" t="s">
        <v>24</v>
      </c>
      <c r="G363" t="s">
        <v>29</v>
      </c>
      <c r="H363" s="2">
        <v>40509.99</v>
      </c>
      <c r="I363">
        <v>10</v>
      </c>
      <c r="J363" s="2">
        <v>9829.24</v>
      </c>
    </row>
    <row r="364" spans="1:10" x14ac:dyDescent="0.3">
      <c r="A364">
        <v>363</v>
      </c>
      <c r="B364" s="1">
        <v>45006</v>
      </c>
      <c r="C364" t="s">
        <v>22</v>
      </c>
      <c r="D364" t="s">
        <v>22</v>
      </c>
      <c r="E364" t="s">
        <v>17</v>
      </c>
      <c r="F364" t="s">
        <v>13</v>
      </c>
      <c r="G364" t="s">
        <v>34</v>
      </c>
      <c r="H364" s="2">
        <v>48237.08</v>
      </c>
      <c r="I364">
        <v>4</v>
      </c>
      <c r="J364" s="2">
        <v>9886.32</v>
      </c>
    </row>
    <row r="365" spans="1:10" x14ac:dyDescent="0.3">
      <c r="A365">
        <v>364</v>
      </c>
      <c r="B365" s="1">
        <v>45208</v>
      </c>
      <c r="C365" t="s">
        <v>38</v>
      </c>
      <c r="D365" t="s">
        <v>27</v>
      </c>
      <c r="E365" t="s">
        <v>12</v>
      </c>
      <c r="F365" t="s">
        <v>31</v>
      </c>
      <c r="G365" t="s">
        <v>33</v>
      </c>
      <c r="H365" s="2">
        <v>8457.08</v>
      </c>
      <c r="I365">
        <v>3</v>
      </c>
      <c r="J365" s="2">
        <v>618.28</v>
      </c>
    </row>
    <row r="366" spans="1:10" x14ac:dyDescent="0.3">
      <c r="A366">
        <v>365</v>
      </c>
      <c r="B366" s="1">
        <v>45110</v>
      </c>
      <c r="C366" t="s">
        <v>30</v>
      </c>
      <c r="D366" t="s">
        <v>16</v>
      </c>
      <c r="E366" t="s">
        <v>17</v>
      </c>
      <c r="F366" t="s">
        <v>31</v>
      </c>
      <c r="G366" t="s">
        <v>33</v>
      </c>
      <c r="H366" s="2">
        <v>38741.599999999999</v>
      </c>
      <c r="I366">
        <v>2</v>
      </c>
      <c r="J366" s="2">
        <v>3876.42</v>
      </c>
    </row>
    <row r="367" spans="1:10" x14ac:dyDescent="0.3">
      <c r="A367">
        <v>366</v>
      </c>
      <c r="B367" s="1">
        <v>45185</v>
      </c>
      <c r="C367" t="s">
        <v>26</v>
      </c>
      <c r="D367" t="s">
        <v>27</v>
      </c>
      <c r="E367" t="s">
        <v>20</v>
      </c>
      <c r="F367" t="s">
        <v>13</v>
      </c>
      <c r="G367" t="s">
        <v>34</v>
      </c>
      <c r="H367" s="2">
        <v>2389.33</v>
      </c>
      <c r="I367">
        <v>2</v>
      </c>
      <c r="J367" s="2">
        <v>314.41000000000003</v>
      </c>
    </row>
    <row r="368" spans="1:10" x14ac:dyDescent="0.3">
      <c r="A368">
        <v>367</v>
      </c>
      <c r="B368" s="1">
        <v>45271</v>
      </c>
      <c r="C368" t="s">
        <v>18</v>
      </c>
      <c r="D368" t="s">
        <v>19</v>
      </c>
      <c r="E368" t="s">
        <v>20</v>
      </c>
      <c r="F368" t="s">
        <v>13</v>
      </c>
      <c r="G368" t="s">
        <v>21</v>
      </c>
      <c r="H368" s="2">
        <v>49373.38</v>
      </c>
      <c r="I368">
        <v>5</v>
      </c>
      <c r="J368" s="2">
        <v>3614.64</v>
      </c>
    </row>
    <row r="369" spans="1:10" x14ac:dyDescent="0.3">
      <c r="A369">
        <v>368</v>
      </c>
      <c r="B369" s="1">
        <v>45039</v>
      </c>
      <c r="C369" t="s">
        <v>37</v>
      </c>
      <c r="D369" t="s">
        <v>27</v>
      </c>
      <c r="E369" t="s">
        <v>12</v>
      </c>
      <c r="F369" t="s">
        <v>24</v>
      </c>
      <c r="G369" t="s">
        <v>28</v>
      </c>
      <c r="H369" s="2">
        <v>8784.44</v>
      </c>
      <c r="I369">
        <v>3</v>
      </c>
      <c r="J369" s="2">
        <v>2460.11</v>
      </c>
    </row>
    <row r="370" spans="1:10" x14ac:dyDescent="0.3">
      <c r="A370">
        <v>369</v>
      </c>
      <c r="B370" s="1">
        <v>45104</v>
      </c>
      <c r="C370" t="s">
        <v>22</v>
      </c>
      <c r="D370" t="s">
        <v>22</v>
      </c>
      <c r="E370" t="s">
        <v>17</v>
      </c>
      <c r="F370" t="s">
        <v>24</v>
      </c>
      <c r="G370" t="s">
        <v>25</v>
      </c>
      <c r="H370" s="2">
        <v>23978.25</v>
      </c>
      <c r="I370">
        <v>2</v>
      </c>
      <c r="J370" s="2">
        <v>4700.3500000000004</v>
      </c>
    </row>
    <row r="371" spans="1:10" x14ac:dyDescent="0.3">
      <c r="A371">
        <v>370</v>
      </c>
      <c r="B371" s="1">
        <v>45221</v>
      </c>
      <c r="C371" t="s">
        <v>10</v>
      </c>
      <c r="D371" t="s">
        <v>11</v>
      </c>
      <c r="E371" t="s">
        <v>12</v>
      </c>
      <c r="F371" t="s">
        <v>31</v>
      </c>
      <c r="G371" t="s">
        <v>39</v>
      </c>
      <c r="H371" s="2">
        <v>45270.46</v>
      </c>
      <c r="I371">
        <v>3</v>
      </c>
      <c r="J371" s="2">
        <v>8514.58</v>
      </c>
    </row>
    <row r="372" spans="1:10" x14ac:dyDescent="0.3">
      <c r="A372">
        <v>371</v>
      </c>
      <c r="B372" s="1">
        <v>45023</v>
      </c>
      <c r="C372" t="s">
        <v>35</v>
      </c>
      <c r="D372" t="s">
        <v>36</v>
      </c>
      <c r="E372" t="s">
        <v>17</v>
      </c>
      <c r="F372" t="s">
        <v>13</v>
      </c>
      <c r="G372" t="s">
        <v>21</v>
      </c>
      <c r="H372" s="2">
        <v>45850.91</v>
      </c>
      <c r="I372">
        <v>2</v>
      </c>
      <c r="J372" s="2">
        <v>6963.28</v>
      </c>
    </row>
    <row r="373" spans="1:10" x14ac:dyDescent="0.3">
      <c r="A373">
        <v>372</v>
      </c>
      <c r="B373" s="1">
        <v>44927</v>
      </c>
      <c r="C373" t="s">
        <v>22</v>
      </c>
      <c r="D373" t="s">
        <v>22</v>
      </c>
      <c r="E373" t="s">
        <v>20</v>
      </c>
      <c r="F373" t="s">
        <v>13</v>
      </c>
      <c r="G373" t="s">
        <v>34</v>
      </c>
      <c r="H373" s="2">
        <v>49704.45</v>
      </c>
      <c r="I373">
        <v>1</v>
      </c>
      <c r="J373" s="2">
        <v>6338.36</v>
      </c>
    </row>
    <row r="374" spans="1:10" x14ac:dyDescent="0.3">
      <c r="A374">
        <v>373</v>
      </c>
      <c r="B374" s="1">
        <v>45100</v>
      </c>
      <c r="C374" t="s">
        <v>10</v>
      </c>
      <c r="D374" t="s">
        <v>11</v>
      </c>
      <c r="E374" t="s">
        <v>20</v>
      </c>
      <c r="F374" t="s">
        <v>24</v>
      </c>
      <c r="G374" t="s">
        <v>29</v>
      </c>
      <c r="H374" s="2">
        <v>7689.17</v>
      </c>
      <c r="I374">
        <v>2</v>
      </c>
      <c r="J374" s="2">
        <v>2073.4699999999998</v>
      </c>
    </row>
    <row r="375" spans="1:10" x14ac:dyDescent="0.3">
      <c r="A375">
        <v>374</v>
      </c>
      <c r="B375" s="1">
        <v>45020</v>
      </c>
      <c r="C375" t="s">
        <v>37</v>
      </c>
      <c r="D375" t="s">
        <v>27</v>
      </c>
      <c r="E375" t="s">
        <v>12</v>
      </c>
      <c r="F375" t="s">
        <v>13</v>
      </c>
      <c r="G375" t="s">
        <v>21</v>
      </c>
      <c r="H375" s="2">
        <v>11067.26</v>
      </c>
      <c r="I375">
        <v>3</v>
      </c>
      <c r="J375" s="2">
        <v>2295.61</v>
      </c>
    </row>
    <row r="376" spans="1:10" x14ac:dyDescent="0.3">
      <c r="A376">
        <v>375</v>
      </c>
      <c r="B376" s="1">
        <v>45220</v>
      </c>
      <c r="C376" t="s">
        <v>18</v>
      </c>
      <c r="D376" t="s">
        <v>19</v>
      </c>
      <c r="E376" t="s">
        <v>17</v>
      </c>
      <c r="F376" t="s">
        <v>13</v>
      </c>
      <c r="G376" t="s">
        <v>21</v>
      </c>
      <c r="H376" s="2">
        <v>4039.27</v>
      </c>
      <c r="I376">
        <v>4</v>
      </c>
      <c r="J376" s="2">
        <v>706.06</v>
      </c>
    </row>
    <row r="377" spans="1:10" x14ac:dyDescent="0.3">
      <c r="A377">
        <v>376</v>
      </c>
      <c r="B377" s="1">
        <v>45084</v>
      </c>
      <c r="C377" t="s">
        <v>22</v>
      </c>
      <c r="D377" t="s">
        <v>22</v>
      </c>
      <c r="E377" t="s">
        <v>12</v>
      </c>
      <c r="F377" t="s">
        <v>13</v>
      </c>
      <c r="G377" t="s">
        <v>34</v>
      </c>
      <c r="H377" s="2">
        <v>21927.99</v>
      </c>
      <c r="I377">
        <v>1</v>
      </c>
      <c r="J377" s="2">
        <v>3544.98</v>
      </c>
    </row>
    <row r="378" spans="1:10" x14ac:dyDescent="0.3">
      <c r="A378">
        <v>377</v>
      </c>
      <c r="B378" s="1">
        <v>45057</v>
      </c>
      <c r="C378" t="s">
        <v>30</v>
      </c>
      <c r="D378" t="s">
        <v>16</v>
      </c>
      <c r="E378" t="s">
        <v>17</v>
      </c>
      <c r="F378" t="s">
        <v>31</v>
      </c>
      <c r="G378" t="s">
        <v>32</v>
      </c>
      <c r="H378" s="2">
        <v>5975.75</v>
      </c>
      <c r="I378">
        <v>2</v>
      </c>
      <c r="J378" s="2">
        <v>329.14</v>
      </c>
    </row>
    <row r="379" spans="1:10" x14ac:dyDescent="0.3">
      <c r="A379">
        <v>378</v>
      </c>
      <c r="B379" s="1">
        <v>45191</v>
      </c>
      <c r="C379" t="s">
        <v>10</v>
      </c>
      <c r="D379" t="s">
        <v>11</v>
      </c>
      <c r="E379" t="s">
        <v>20</v>
      </c>
      <c r="F379" t="s">
        <v>31</v>
      </c>
      <c r="G379" t="s">
        <v>33</v>
      </c>
      <c r="H379" s="2">
        <v>20190.7</v>
      </c>
      <c r="I379">
        <v>3</v>
      </c>
      <c r="J379" s="2">
        <v>2927.7</v>
      </c>
    </row>
    <row r="380" spans="1:10" x14ac:dyDescent="0.3">
      <c r="A380">
        <v>379</v>
      </c>
      <c r="B380" s="1">
        <v>44967</v>
      </c>
      <c r="C380" t="s">
        <v>22</v>
      </c>
      <c r="D380" t="s">
        <v>22</v>
      </c>
      <c r="E380" t="s">
        <v>20</v>
      </c>
      <c r="F380" t="s">
        <v>31</v>
      </c>
      <c r="G380" t="s">
        <v>33</v>
      </c>
      <c r="H380" s="2">
        <v>13485.54</v>
      </c>
      <c r="I380">
        <v>7</v>
      </c>
      <c r="J380" s="2">
        <v>3010.14</v>
      </c>
    </row>
    <row r="381" spans="1:10" x14ac:dyDescent="0.3">
      <c r="A381">
        <v>380</v>
      </c>
      <c r="B381" s="1">
        <v>45087</v>
      </c>
      <c r="C381" t="s">
        <v>15</v>
      </c>
      <c r="D381" t="s">
        <v>16</v>
      </c>
      <c r="E381" t="s">
        <v>12</v>
      </c>
      <c r="F381" t="s">
        <v>13</v>
      </c>
      <c r="G381" t="s">
        <v>34</v>
      </c>
      <c r="H381" s="2">
        <v>21403.96</v>
      </c>
      <c r="I381">
        <v>2</v>
      </c>
      <c r="J381" s="2">
        <v>5457.97</v>
      </c>
    </row>
    <row r="382" spans="1:10" x14ac:dyDescent="0.3">
      <c r="A382">
        <v>381</v>
      </c>
      <c r="B382" s="1">
        <v>45216</v>
      </c>
      <c r="C382" t="s">
        <v>22</v>
      </c>
      <c r="D382" t="s">
        <v>22</v>
      </c>
      <c r="E382" t="s">
        <v>17</v>
      </c>
      <c r="F382" t="s">
        <v>13</v>
      </c>
      <c r="G382" t="s">
        <v>14</v>
      </c>
      <c r="H382" s="2">
        <v>28745.93</v>
      </c>
      <c r="I382">
        <v>8</v>
      </c>
      <c r="J382" s="2">
        <v>6468.31</v>
      </c>
    </row>
    <row r="383" spans="1:10" x14ac:dyDescent="0.3">
      <c r="A383">
        <v>382</v>
      </c>
      <c r="B383" s="1">
        <v>45116</v>
      </c>
      <c r="C383" t="s">
        <v>30</v>
      </c>
      <c r="D383" t="s">
        <v>16</v>
      </c>
      <c r="E383" t="s">
        <v>12</v>
      </c>
      <c r="F383" t="s">
        <v>24</v>
      </c>
      <c r="G383" t="s">
        <v>29</v>
      </c>
      <c r="H383" s="2">
        <v>7482.71</v>
      </c>
      <c r="I383">
        <v>5</v>
      </c>
      <c r="J383" s="2">
        <v>437.89</v>
      </c>
    </row>
    <row r="384" spans="1:10" x14ac:dyDescent="0.3">
      <c r="A384">
        <v>383</v>
      </c>
      <c r="B384" s="1">
        <v>45266</v>
      </c>
      <c r="C384" t="s">
        <v>37</v>
      </c>
      <c r="D384" t="s">
        <v>27</v>
      </c>
      <c r="E384" t="s">
        <v>17</v>
      </c>
      <c r="F384" t="s">
        <v>24</v>
      </c>
      <c r="G384" t="s">
        <v>25</v>
      </c>
      <c r="H384" s="2">
        <v>46251.07</v>
      </c>
      <c r="I384">
        <v>7</v>
      </c>
      <c r="J384" s="2">
        <v>2777.42</v>
      </c>
    </row>
    <row r="385" spans="1:10" x14ac:dyDescent="0.3">
      <c r="A385">
        <v>384</v>
      </c>
      <c r="B385" s="1">
        <v>45207</v>
      </c>
      <c r="C385" t="s">
        <v>22</v>
      </c>
      <c r="D385" t="s">
        <v>22</v>
      </c>
      <c r="E385" t="s">
        <v>20</v>
      </c>
      <c r="F385" t="s">
        <v>24</v>
      </c>
      <c r="G385" t="s">
        <v>28</v>
      </c>
      <c r="H385" s="2">
        <v>19948.55</v>
      </c>
      <c r="I385">
        <v>4</v>
      </c>
      <c r="J385" s="2">
        <v>1195.3</v>
      </c>
    </row>
    <row r="386" spans="1:10" x14ac:dyDescent="0.3">
      <c r="A386">
        <v>385</v>
      </c>
      <c r="B386" s="1">
        <v>45085</v>
      </c>
      <c r="C386" t="s">
        <v>15</v>
      </c>
      <c r="D386" t="s">
        <v>16</v>
      </c>
      <c r="E386" t="s">
        <v>20</v>
      </c>
      <c r="F386" t="s">
        <v>24</v>
      </c>
      <c r="G386" t="s">
        <v>29</v>
      </c>
      <c r="H386" s="2">
        <v>5721.76</v>
      </c>
      <c r="I386">
        <v>7</v>
      </c>
      <c r="J386" s="2">
        <v>1413.25</v>
      </c>
    </row>
    <row r="387" spans="1:10" x14ac:dyDescent="0.3">
      <c r="A387">
        <v>386</v>
      </c>
      <c r="B387" s="1">
        <v>45204</v>
      </c>
      <c r="C387" t="s">
        <v>30</v>
      </c>
      <c r="D387" t="s">
        <v>16</v>
      </c>
      <c r="E387" t="s">
        <v>12</v>
      </c>
      <c r="F387" t="s">
        <v>24</v>
      </c>
      <c r="G387" t="s">
        <v>29</v>
      </c>
      <c r="H387" s="2">
        <v>20443.47</v>
      </c>
      <c r="I387">
        <v>4</v>
      </c>
      <c r="J387" s="2">
        <v>3275.27</v>
      </c>
    </row>
    <row r="388" spans="1:10" x14ac:dyDescent="0.3">
      <c r="A388">
        <v>387</v>
      </c>
      <c r="B388" s="1">
        <v>45088</v>
      </c>
      <c r="C388" t="s">
        <v>18</v>
      </c>
      <c r="D388" t="s">
        <v>19</v>
      </c>
      <c r="E388" t="s">
        <v>17</v>
      </c>
      <c r="F388" t="s">
        <v>31</v>
      </c>
      <c r="G388" t="s">
        <v>39</v>
      </c>
      <c r="H388" s="2">
        <v>33096.26</v>
      </c>
      <c r="I388">
        <v>6</v>
      </c>
      <c r="J388" s="2">
        <v>3046.86</v>
      </c>
    </row>
    <row r="389" spans="1:10" x14ac:dyDescent="0.3">
      <c r="A389">
        <v>388</v>
      </c>
      <c r="B389" s="1">
        <v>45146</v>
      </c>
      <c r="C389" t="s">
        <v>26</v>
      </c>
      <c r="D389" t="s">
        <v>27</v>
      </c>
      <c r="E389" t="s">
        <v>12</v>
      </c>
      <c r="F389" t="s">
        <v>24</v>
      </c>
      <c r="G389" t="s">
        <v>25</v>
      </c>
      <c r="H389" s="2">
        <v>48615.63</v>
      </c>
      <c r="I389">
        <v>4</v>
      </c>
      <c r="J389" s="2">
        <v>12402.67</v>
      </c>
    </row>
    <row r="390" spans="1:10" x14ac:dyDescent="0.3">
      <c r="A390">
        <v>389</v>
      </c>
      <c r="B390" s="1">
        <v>44976</v>
      </c>
      <c r="C390" t="s">
        <v>22</v>
      </c>
      <c r="D390" t="s">
        <v>22</v>
      </c>
      <c r="E390" t="s">
        <v>17</v>
      </c>
      <c r="F390" t="s">
        <v>13</v>
      </c>
      <c r="G390" t="s">
        <v>14</v>
      </c>
      <c r="H390" s="2">
        <v>41877.24</v>
      </c>
      <c r="I390">
        <v>6</v>
      </c>
      <c r="J390" s="2">
        <v>12432.71</v>
      </c>
    </row>
    <row r="391" spans="1:10" x14ac:dyDescent="0.3">
      <c r="A391">
        <v>390</v>
      </c>
      <c r="B391" s="1">
        <v>45129</v>
      </c>
      <c r="C391" t="s">
        <v>22</v>
      </c>
      <c r="D391" t="s">
        <v>22</v>
      </c>
      <c r="E391" t="s">
        <v>20</v>
      </c>
      <c r="F391" t="s">
        <v>31</v>
      </c>
      <c r="G391" t="s">
        <v>33</v>
      </c>
      <c r="H391" s="2">
        <v>21423.18</v>
      </c>
      <c r="I391">
        <v>6</v>
      </c>
      <c r="J391" s="2">
        <v>2642.67</v>
      </c>
    </row>
    <row r="392" spans="1:10" x14ac:dyDescent="0.3">
      <c r="A392">
        <v>391</v>
      </c>
      <c r="B392" s="1">
        <v>44942</v>
      </c>
      <c r="C392" t="s">
        <v>30</v>
      </c>
      <c r="D392" t="s">
        <v>16</v>
      </c>
      <c r="E392" t="s">
        <v>20</v>
      </c>
      <c r="F392" t="s">
        <v>13</v>
      </c>
      <c r="G392" t="s">
        <v>14</v>
      </c>
      <c r="H392" s="2">
        <v>12449.38</v>
      </c>
      <c r="I392">
        <v>7</v>
      </c>
      <c r="J392" s="2">
        <v>786.53</v>
      </c>
    </row>
    <row r="393" spans="1:10" x14ac:dyDescent="0.3">
      <c r="A393">
        <v>392</v>
      </c>
      <c r="B393" s="1">
        <v>45211</v>
      </c>
      <c r="C393" t="s">
        <v>15</v>
      </c>
      <c r="D393" t="s">
        <v>16</v>
      </c>
      <c r="E393" t="s">
        <v>12</v>
      </c>
      <c r="F393" t="s">
        <v>24</v>
      </c>
      <c r="G393" t="s">
        <v>25</v>
      </c>
      <c r="H393" s="2">
        <v>12941.19</v>
      </c>
      <c r="I393">
        <v>4</v>
      </c>
      <c r="J393" s="2">
        <v>1257.8900000000001</v>
      </c>
    </row>
    <row r="394" spans="1:10" x14ac:dyDescent="0.3">
      <c r="A394">
        <v>393</v>
      </c>
      <c r="B394" s="1">
        <v>45166</v>
      </c>
      <c r="C394" t="s">
        <v>30</v>
      </c>
      <c r="D394" t="s">
        <v>16</v>
      </c>
      <c r="E394" t="s">
        <v>17</v>
      </c>
      <c r="F394" t="s">
        <v>24</v>
      </c>
      <c r="G394" t="s">
        <v>28</v>
      </c>
      <c r="H394" s="2">
        <v>22201.1</v>
      </c>
      <c r="I394">
        <v>6</v>
      </c>
      <c r="J394" s="2">
        <v>4513.6000000000004</v>
      </c>
    </row>
    <row r="395" spans="1:10" x14ac:dyDescent="0.3">
      <c r="A395">
        <v>394</v>
      </c>
      <c r="B395" s="1">
        <v>45112</v>
      </c>
      <c r="C395" t="s">
        <v>37</v>
      </c>
      <c r="D395" t="s">
        <v>27</v>
      </c>
      <c r="E395" t="s">
        <v>12</v>
      </c>
      <c r="F395" t="s">
        <v>13</v>
      </c>
      <c r="G395" t="s">
        <v>14</v>
      </c>
      <c r="H395" s="2">
        <v>32017.52</v>
      </c>
      <c r="I395">
        <v>9</v>
      </c>
      <c r="J395" s="2">
        <v>6657.95</v>
      </c>
    </row>
    <row r="396" spans="1:10" x14ac:dyDescent="0.3">
      <c r="A396">
        <v>395</v>
      </c>
      <c r="B396" s="1">
        <v>45042</v>
      </c>
      <c r="C396" t="s">
        <v>30</v>
      </c>
      <c r="D396" t="s">
        <v>16</v>
      </c>
      <c r="E396" t="s">
        <v>17</v>
      </c>
      <c r="F396" t="s">
        <v>13</v>
      </c>
      <c r="G396" t="s">
        <v>34</v>
      </c>
      <c r="H396" s="2">
        <v>9140.99</v>
      </c>
      <c r="I396">
        <v>9</v>
      </c>
      <c r="J396" s="2">
        <v>1852.84</v>
      </c>
    </row>
    <row r="397" spans="1:10" x14ac:dyDescent="0.3">
      <c r="A397">
        <v>396</v>
      </c>
      <c r="B397" s="1">
        <v>44996</v>
      </c>
      <c r="C397" t="s">
        <v>10</v>
      </c>
      <c r="D397" t="s">
        <v>11</v>
      </c>
      <c r="E397" t="s">
        <v>20</v>
      </c>
      <c r="F397" t="s">
        <v>24</v>
      </c>
      <c r="G397" t="s">
        <v>28</v>
      </c>
      <c r="H397" s="2">
        <v>31801.74</v>
      </c>
      <c r="I397">
        <v>5</v>
      </c>
      <c r="J397" s="2">
        <v>4975.09</v>
      </c>
    </row>
    <row r="398" spans="1:10" x14ac:dyDescent="0.3">
      <c r="A398">
        <v>397</v>
      </c>
      <c r="B398" s="1">
        <v>45180</v>
      </c>
      <c r="C398" t="s">
        <v>22</v>
      </c>
      <c r="D398" t="s">
        <v>22</v>
      </c>
      <c r="E398" t="s">
        <v>20</v>
      </c>
      <c r="F398" t="s">
        <v>13</v>
      </c>
      <c r="G398" t="s">
        <v>34</v>
      </c>
      <c r="H398" s="2">
        <v>18034.93</v>
      </c>
      <c r="I398">
        <v>1</v>
      </c>
      <c r="J398" s="2">
        <v>2248.6999999999998</v>
      </c>
    </row>
    <row r="399" spans="1:10" x14ac:dyDescent="0.3">
      <c r="A399">
        <v>398</v>
      </c>
      <c r="B399" s="1">
        <v>44941</v>
      </c>
      <c r="C399" t="s">
        <v>37</v>
      </c>
      <c r="D399" t="s">
        <v>27</v>
      </c>
      <c r="E399" t="s">
        <v>12</v>
      </c>
      <c r="F399" t="s">
        <v>13</v>
      </c>
      <c r="G399" t="s">
        <v>21</v>
      </c>
      <c r="H399" s="2">
        <v>29008.89</v>
      </c>
      <c r="I399">
        <v>3</v>
      </c>
      <c r="J399" s="2">
        <v>6564.12</v>
      </c>
    </row>
    <row r="400" spans="1:10" x14ac:dyDescent="0.3">
      <c r="A400">
        <v>399</v>
      </c>
      <c r="B400" s="1">
        <v>45171</v>
      </c>
      <c r="C400" t="s">
        <v>22</v>
      </c>
      <c r="D400" t="s">
        <v>22</v>
      </c>
      <c r="E400" t="s">
        <v>17</v>
      </c>
      <c r="F400" t="s">
        <v>13</v>
      </c>
      <c r="G400" t="s">
        <v>34</v>
      </c>
      <c r="H400" s="2">
        <v>23170.27</v>
      </c>
      <c r="I400">
        <v>7</v>
      </c>
      <c r="J400" s="2">
        <v>3487.51</v>
      </c>
    </row>
    <row r="401" spans="1:10" x14ac:dyDescent="0.3">
      <c r="A401">
        <v>400</v>
      </c>
      <c r="B401" s="1">
        <v>45225</v>
      </c>
      <c r="C401" t="s">
        <v>22</v>
      </c>
      <c r="D401" t="s">
        <v>22</v>
      </c>
      <c r="E401" t="s">
        <v>12</v>
      </c>
      <c r="F401" t="s">
        <v>13</v>
      </c>
      <c r="G401" t="s">
        <v>14</v>
      </c>
      <c r="H401" s="2">
        <v>17142.79</v>
      </c>
      <c r="I401">
        <v>5</v>
      </c>
      <c r="J401" s="2">
        <v>4739.3999999999996</v>
      </c>
    </row>
    <row r="402" spans="1:10" x14ac:dyDescent="0.3">
      <c r="A402">
        <v>401</v>
      </c>
      <c r="B402" s="1">
        <v>45188</v>
      </c>
      <c r="C402" t="s">
        <v>22</v>
      </c>
      <c r="D402" t="s">
        <v>22</v>
      </c>
      <c r="E402" t="s">
        <v>17</v>
      </c>
      <c r="F402" t="s">
        <v>13</v>
      </c>
      <c r="G402" t="s">
        <v>34</v>
      </c>
      <c r="H402" s="2">
        <v>2524.96</v>
      </c>
      <c r="I402">
        <v>4</v>
      </c>
      <c r="J402" s="2">
        <v>350.09</v>
      </c>
    </row>
    <row r="403" spans="1:10" x14ac:dyDescent="0.3">
      <c r="A403">
        <v>402</v>
      </c>
      <c r="B403" s="1">
        <v>45155</v>
      </c>
      <c r="C403" t="s">
        <v>18</v>
      </c>
      <c r="D403" t="s">
        <v>19</v>
      </c>
      <c r="E403" t="s">
        <v>20</v>
      </c>
      <c r="F403" t="s">
        <v>24</v>
      </c>
      <c r="G403" t="s">
        <v>28</v>
      </c>
      <c r="H403" s="2">
        <v>42834.37</v>
      </c>
      <c r="I403">
        <v>4</v>
      </c>
      <c r="J403" s="2">
        <v>4416.7700000000004</v>
      </c>
    </row>
    <row r="404" spans="1:10" x14ac:dyDescent="0.3">
      <c r="A404">
        <v>403</v>
      </c>
      <c r="B404" s="1">
        <v>44974</v>
      </c>
      <c r="C404" t="s">
        <v>37</v>
      </c>
      <c r="D404" t="s">
        <v>27</v>
      </c>
      <c r="E404" t="s">
        <v>20</v>
      </c>
      <c r="F404" t="s">
        <v>24</v>
      </c>
      <c r="G404" t="s">
        <v>29</v>
      </c>
      <c r="H404" s="2">
        <v>42841.86</v>
      </c>
      <c r="I404">
        <v>5</v>
      </c>
      <c r="J404" s="2">
        <v>9517.9500000000007</v>
      </c>
    </row>
    <row r="405" spans="1:10" x14ac:dyDescent="0.3">
      <c r="A405">
        <v>404</v>
      </c>
      <c r="B405" s="1">
        <v>45135</v>
      </c>
      <c r="C405" t="s">
        <v>37</v>
      </c>
      <c r="D405" t="s">
        <v>27</v>
      </c>
      <c r="E405" t="s">
        <v>12</v>
      </c>
      <c r="F405" t="s">
        <v>13</v>
      </c>
      <c r="G405" t="s">
        <v>34</v>
      </c>
      <c r="H405" s="2">
        <v>11685.69</v>
      </c>
      <c r="I405">
        <v>7</v>
      </c>
      <c r="J405" s="2">
        <v>1915.68</v>
      </c>
    </row>
    <row r="406" spans="1:10" x14ac:dyDescent="0.3">
      <c r="A406">
        <v>405</v>
      </c>
      <c r="B406" s="1">
        <v>45181</v>
      </c>
      <c r="C406" t="s">
        <v>18</v>
      </c>
      <c r="D406" t="s">
        <v>19</v>
      </c>
      <c r="E406" t="s">
        <v>17</v>
      </c>
      <c r="F406" t="s">
        <v>24</v>
      </c>
      <c r="G406" t="s">
        <v>25</v>
      </c>
      <c r="H406" s="2">
        <v>19564.080000000002</v>
      </c>
      <c r="I406">
        <v>4</v>
      </c>
      <c r="J406" s="2">
        <v>5174.68</v>
      </c>
    </row>
    <row r="407" spans="1:10" x14ac:dyDescent="0.3">
      <c r="A407">
        <v>406</v>
      </c>
      <c r="B407" s="1">
        <v>45190</v>
      </c>
      <c r="C407" t="s">
        <v>30</v>
      </c>
      <c r="D407" t="s">
        <v>16</v>
      </c>
      <c r="E407" t="s">
        <v>12</v>
      </c>
      <c r="F407" t="s">
        <v>13</v>
      </c>
      <c r="G407" t="s">
        <v>34</v>
      </c>
      <c r="H407" s="2">
        <v>19188.95</v>
      </c>
      <c r="I407">
        <v>8</v>
      </c>
      <c r="J407" s="2">
        <v>4252.95</v>
      </c>
    </row>
    <row r="408" spans="1:10" x14ac:dyDescent="0.3">
      <c r="A408">
        <v>407</v>
      </c>
      <c r="B408" s="1">
        <v>45030</v>
      </c>
      <c r="C408" t="s">
        <v>35</v>
      </c>
      <c r="D408" t="s">
        <v>36</v>
      </c>
      <c r="E408" t="s">
        <v>17</v>
      </c>
      <c r="F408" t="s">
        <v>13</v>
      </c>
      <c r="G408" t="s">
        <v>14</v>
      </c>
      <c r="H408" s="2">
        <v>48474.84</v>
      </c>
      <c r="I408">
        <v>10</v>
      </c>
      <c r="J408" s="2">
        <v>4164.55</v>
      </c>
    </row>
    <row r="409" spans="1:10" x14ac:dyDescent="0.3">
      <c r="A409">
        <v>408</v>
      </c>
      <c r="B409" s="1">
        <v>44933</v>
      </c>
      <c r="C409" t="s">
        <v>35</v>
      </c>
      <c r="D409" t="s">
        <v>36</v>
      </c>
      <c r="E409" t="s">
        <v>20</v>
      </c>
      <c r="F409" t="s">
        <v>13</v>
      </c>
      <c r="G409" t="s">
        <v>21</v>
      </c>
      <c r="H409" s="2">
        <v>36147.51</v>
      </c>
      <c r="I409">
        <v>8</v>
      </c>
      <c r="J409" s="2">
        <v>7327.76</v>
      </c>
    </row>
    <row r="410" spans="1:10" x14ac:dyDescent="0.3">
      <c r="A410">
        <v>409</v>
      </c>
      <c r="B410" s="1">
        <v>45154</v>
      </c>
      <c r="C410" t="s">
        <v>15</v>
      </c>
      <c r="D410" t="s">
        <v>16</v>
      </c>
      <c r="E410" t="s">
        <v>20</v>
      </c>
      <c r="F410" t="s">
        <v>13</v>
      </c>
      <c r="G410" t="s">
        <v>21</v>
      </c>
      <c r="H410" s="2">
        <v>15852.65</v>
      </c>
      <c r="I410">
        <v>5</v>
      </c>
      <c r="J410" s="2">
        <v>1225.72</v>
      </c>
    </row>
    <row r="411" spans="1:10" x14ac:dyDescent="0.3">
      <c r="A411">
        <v>410</v>
      </c>
      <c r="B411" s="1">
        <v>45231</v>
      </c>
      <c r="C411" t="s">
        <v>26</v>
      </c>
      <c r="D411" t="s">
        <v>27</v>
      </c>
      <c r="E411" t="s">
        <v>12</v>
      </c>
      <c r="F411" t="s">
        <v>31</v>
      </c>
      <c r="G411" t="s">
        <v>32</v>
      </c>
      <c r="H411" s="2">
        <v>39386.74</v>
      </c>
      <c r="I411">
        <v>8</v>
      </c>
      <c r="J411" s="2">
        <v>5212.04</v>
      </c>
    </row>
    <row r="412" spans="1:10" x14ac:dyDescent="0.3">
      <c r="A412">
        <v>411</v>
      </c>
      <c r="B412" s="1">
        <v>45234</v>
      </c>
      <c r="C412" t="s">
        <v>35</v>
      </c>
      <c r="D412" t="s">
        <v>36</v>
      </c>
      <c r="E412" t="s">
        <v>17</v>
      </c>
      <c r="F412" t="s">
        <v>31</v>
      </c>
      <c r="G412" t="s">
        <v>33</v>
      </c>
      <c r="H412" s="2">
        <v>1072.04</v>
      </c>
      <c r="I412">
        <v>1</v>
      </c>
      <c r="J412" s="2">
        <v>258.16000000000003</v>
      </c>
    </row>
    <row r="413" spans="1:10" x14ac:dyDescent="0.3">
      <c r="A413">
        <v>412</v>
      </c>
      <c r="B413" s="1">
        <v>45107</v>
      </c>
      <c r="C413" t="s">
        <v>30</v>
      </c>
      <c r="D413" t="s">
        <v>16</v>
      </c>
      <c r="E413" t="s">
        <v>12</v>
      </c>
      <c r="F413" t="s">
        <v>13</v>
      </c>
      <c r="G413" t="s">
        <v>21</v>
      </c>
      <c r="H413" s="2">
        <v>34096.050000000003</v>
      </c>
      <c r="I413">
        <v>5</v>
      </c>
      <c r="J413" s="2">
        <v>8352.9</v>
      </c>
    </row>
    <row r="414" spans="1:10" x14ac:dyDescent="0.3">
      <c r="A414">
        <v>413</v>
      </c>
      <c r="B414" s="1">
        <v>44985</v>
      </c>
      <c r="C414" t="s">
        <v>38</v>
      </c>
      <c r="D414" t="s">
        <v>27</v>
      </c>
      <c r="E414" t="s">
        <v>17</v>
      </c>
      <c r="F414" t="s">
        <v>24</v>
      </c>
      <c r="G414" t="s">
        <v>29</v>
      </c>
      <c r="H414" s="2">
        <v>21431.4</v>
      </c>
      <c r="I414">
        <v>6</v>
      </c>
      <c r="J414" s="2">
        <v>3110.02</v>
      </c>
    </row>
    <row r="415" spans="1:10" x14ac:dyDescent="0.3">
      <c r="A415">
        <v>414</v>
      </c>
      <c r="B415" s="1">
        <v>45197</v>
      </c>
      <c r="C415" t="s">
        <v>22</v>
      </c>
      <c r="D415" t="s">
        <v>22</v>
      </c>
      <c r="E415" t="s">
        <v>20</v>
      </c>
      <c r="F415" t="s">
        <v>31</v>
      </c>
      <c r="G415" t="s">
        <v>33</v>
      </c>
      <c r="H415" s="2">
        <v>49809.53</v>
      </c>
      <c r="I415">
        <v>10</v>
      </c>
      <c r="J415" s="2">
        <v>12615.9</v>
      </c>
    </row>
    <row r="416" spans="1:10" x14ac:dyDescent="0.3">
      <c r="A416">
        <v>415</v>
      </c>
      <c r="B416" s="1">
        <v>45168</v>
      </c>
      <c r="C416" t="s">
        <v>10</v>
      </c>
      <c r="D416" t="s">
        <v>11</v>
      </c>
      <c r="E416" t="s">
        <v>20</v>
      </c>
      <c r="F416" t="s">
        <v>13</v>
      </c>
      <c r="G416" t="s">
        <v>21</v>
      </c>
      <c r="H416" s="2">
        <v>37457.269999999997</v>
      </c>
      <c r="I416">
        <v>2</v>
      </c>
      <c r="J416" s="2">
        <v>2038.02</v>
      </c>
    </row>
    <row r="417" spans="1:10" x14ac:dyDescent="0.3">
      <c r="A417">
        <v>416</v>
      </c>
      <c r="B417" s="1">
        <v>45265</v>
      </c>
      <c r="C417" t="s">
        <v>18</v>
      </c>
      <c r="D417" t="s">
        <v>19</v>
      </c>
      <c r="E417" t="s">
        <v>12</v>
      </c>
      <c r="F417" t="s">
        <v>24</v>
      </c>
      <c r="G417" t="s">
        <v>25</v>
      </c>
      <c r="H417" s="2">
        <v>9482.2900000000009</v>
      </c>
      <c r="I417">
        <v>8</v>
      </c>
      <c r="J417" s="2">
        <v>1193.25</v>
      </c>
    </row>
    <row r="418" spans="1:10" x14ac:dyDescent="0.3">
      <c r="A418">
        <v>417</v>
      </c>
      <c r="B418" s="1">
        <v>45099</v>
      </c>
      <c r="C418" t="s">
        <v>26</v>
      </c>
      <c r="D418" t="s">
        <v>27</v>
      </c>
      <c r="E418" t="s">
        <v>17</v>
      </c>
      <c r="F418" t="s">
        <v>24</v>
      </c>
      <c r="G418" t="s">
        <v>28</v>
      </c>
      <c r="H418" s="2">
        <v>35623</v>
      </c>
      <c r="I418">
        <v>7</v>
      </c>
      <c r="J418" s="2">
        <v>6475.03</v>
      </c>
    </row>
    <row r="419" spans="1:10" x14ac:dyDescent="0.3">
      <c r="A419">
        <v>418</v>
      </c>
      <c r="B419" s="1">
        <v>44953</v>
      </c>
      <c r="C419" t="s">
        <v>22</v>
      </c>
      <c r="D419" t="s">
        <v>22</v>
      </c>
      <c r="E419" t="s">
        <v>12</v>
      </c>
      <c r="F419" t="s">
        <v>31</v>
      </c>
      <c r="G419" t="s">
        <v>39</v>
      </c>
      <c r="H419" s="2">
        <v>46161.55</v>
      </c>
      <c r="I419">
        <v>8</v>
      </c>
      <c r="J419" s="2">
        <v>11578.56</v>
      </c>
    </row>
    <row r="420" spans="1:10" x14ac:dyDescent="0.3">
      <c r="A420">
        <v>419</v>
      </c>
      <c r="B420" s="1">
        <v>45039</v>
      </c>
      <c r="C420" t="s">
        <v>15</v>
      </c>
      <c r="D420" t="s">
        <v>16</v>
      </c>
      <c r="E420" t="s">
        <v>17</v>
      </c>
      <c r="F420" t="s">
        <v>24</v>
      </c>
      <c r="G420" t="s">
        <v>25</v>
      </c>
      <c r="H420" s="2">
        <v>14247.34</v>
      </c>
      <c r="I420">
        <v>8</v>
      </c>
      <c r="J420" s="2">
        <v>837.69</v>
      </c>
    </row>
    <row r="421" spans="1:10" x14ac:dyDescent="0.3">
      <c r="A421">
        <v>420</v>
      </c>
      <c r="B421" s="1">
        <v>45292</v>
      </c>
      <c r="C421" t="s">
        <v>22</v>
      </c>
      <c r="D421" t="s">
        <v>22</v>
      </c>
      <c r="E421" t="s">
        <v>20</v>
      </c>
      <c r="F421" t="s">
        <v>31</v>
      </c>
      <c r="G421" t="s">
        <v>33</v>
      </c>
      <c r="H421" s="2">
        <v>2003.36</v>
      </c>
      <c r="I421">
        <v>5</v>
      </c>
      <c r="J421" s="2">
        <v>300.98</v>
      </c>
    </row>
    <row r="422" spans="1:10" x14ac:dyDescent="0.3">
      <c r="A422">
        <v>421</v>
      </c>
      <c r="B422" s="1">
        <v>45029</v>
      </c>
      <c r="C422" t="s">
        <v>35</v>
      </c>
      <c r="D422" t="s">
        <v>36</v>
      </c>
      <c r="E422" t="s">
        <v>20</v>
      </c>
      <c r="F422" t="s">
        <v>13</v>
      </c>
      <c r="G422" t="s">
        <v>14</v>
      </c>
      <c r="H422" s="2">
        <v>25271.97</v>
      </c>
      <c r="I422">
        <v>5</v>
      </c>
      <c r="J422" s="2">
        <v>7144.62</v>
      </c>
    </row>
    <row r="423" spans="1:10" x14ac:dyDescent="0.3">
      <c r="A423">
        <v>422</v>
      </c>
      <c r="B423" s="1">
        <v>44987</v>
      </c>
      <c r="C423" t="s">
        <v>35</v>
      </c>
      <c r="D423" t="s">
        <v>36</v>
      </c>
      <c r="E423" t="s">
        <v>12</v>
      </c>
      <c r="F423" t="s">
        <v>24</v>
      </c>
      <c r="G423" t="s">
        <v>25</v>
      </c>
      <c r="H423" s="2">
        <v>37101.279999999999</v>
      </c>
      <c r="I423">
        <v>10</v>
      </c>
      <c r="J423" s="2">
        <v>7469.11</v>
      </c>
    </row>
    <row r="424" spans="1:10" x14ac:dyDescent="0.3">
      <c r="A424">
        <v>423</v>
      </c>
      <c r="B424" s="1">
        <v>44979</v>
      </c>
      <c r="C424" t="s">
        <v>37</v>
      </c>
      <c r="D424" t="s">
        <v>27</v>
      </c>
      <c r="E424" t="s">
        <v>17</v>
      </c>
      <c r="F424" t="s">
        <v>31</v>
      </c>
      <c r="G424" t="s">
        <v>33</v>
      </c>
      <c r="H424" s="2">
        <v>42041.48</v>
      </c>
      <c r="I424">
        <v>3</v>
      </c>
      <c r="J424" s="2">
        <v>3319.44</v>
      </c>
    </row>
    <row r="425" spans="1:10" x14ac:dyDescent="0.3">
      <c r="A425">
        <v>424</v>
      </c>
      <c r="B425" s="1">
        <v>45179</v>
      </c>
      <c r="C425" t="s">
        <v>18</v>
      </c>
      <c r="D425" t="s">
        <v>19</v>
      </c>
      <c r="E425" t="s">
        <v>12</v>
      </c>
      <c r="F425" t="s">
        <v>24</v>
      </c>
      <c r="G425" t="s">
        <v>28</v>
      </c>
      <c r="H425" s="2">
        <v>20704.54</v>
      </c>
      <c r="I425">
        <v>3</v>
      </c>
      <c r="J425" s="2">
        <v>2503.7199999999998</v>
      </c>
    </row>
    <row r="426" spans="1:10" x14ac:dyDescent="0.3">
      <c r="A426">
        <v>425</v>
      </c>
      <c r="B426" s="1">
        <v>45045</v>
      </c>
      <c r="C426" t="s">
        <v>30</v>
      </c>
      <c r="D426" t="s">
        <v>16</v>
      </c>
      <c r="E426" t="s">
        <v>17</v>
      </c>
      <c r="F426" t="s">
        <v>24</v>
      </c>
      <c r="G426" t="s">
        <v>25</v>
      </c>
      <c r="H426" s="2">
        <v>22455.3</v>
      </c>
      <c r="I426">
        <v>10</v>
      </c>
      <c r="J426" s="2">
        <v>3904.62</v>
      </c>
    </row>
    <row r="427" spans="1:10" x14ac:dyDescent="0.3">
      <c r="A427">
        <v>426</v>
      </c>
      <c r="B427" s="1">
        <v>44991</v>
      </c>
      <c r="C427" t="s">
        <v>35</v>
      </c>
      <c r="D427" t="s">
        <v>36</v>
      </c>
      <c r="E427" t="s">
        <v>20</v>
      </c>
      <c r="F427" t="s">
        <v>31</v>
      </c>
      <c r="G427" t="s">
        <v>33</v>
      </c>
      <c r="H427" s="2">
        <v>6038.12</v>
      </c>
      <c r="I427">
        <v>3</v>
      </c>
      <c r="J427" s="2">
        <v>525.65</v>
      </c>
    </row>
    <row r="428" spans="1:10" x14ac:dyDescent="0.3">
      <c r="A428">
        <v>427</v>
      </c>
      <c r="B428" s="1">
        <v>45058</v>
      </c>
      <c r="C428" t="s">
        <v>35</v>
      </c>
      <c r="D428" t="s">
        <v>36</v>
      </c>
      <c r="E428" t="s">
        <v>20</v>
      </c>
      <c r="F428" t="s">
        <v>31</v>
      </c>
      <c r="G428" t="s">
        <v>33</v>
      </c>
      <c r="H428" s="2">
        <v>48326.83</v>
      </c>
      <c r="I428">
        <v>4</v>
      </c>
      <c r="J428" s="2">
        <v>3436.06</v>
      </c>
    </row>
    <row r="429" spans="1:10" x14ac:dyDescent="0.3">
      <c r="A429">
        <v>428</v>
      </c>
      <c r="B429" s="1">
        <v>45284</v>
      </c>
      <c r="C429" t="s">
        <v>30</v>
      </c>
      <c r="D429" t="s">
        <v>16</v>
      </c>
      <c r="E429" t="s">
        <v>12</v>
      </c>
      <c r="F429" t="s">
        <v>24</v>
      </c>
      <c r="G429" t="s">
        <v>25</v>
      </c>
      <c r="H429" s="2">
        <v>9672.61</v>
      </c>
      <c r="I429">
        <v>2</v>
      </c>
      <c r="J429" s="2">
        <v>984.08</v>
      </c>
    </row>
    <row r="430" spans="1:10" x14ac:dyDescent="0.3">
      <c r="A430">
        <v>429</v>
      </c>
      <c r="B430" s="1">
        <v>45247</v>
      </c>
      <c r="C430" t="s">
        <v>10</v>
      </c>
      <c r="D430" t="s">
        <v>11</v>
      </c>
      <c r="E430" t="s">
        <v>17</v>
      </c>
      <c r="F430" t="s">
        <v>31</v>
      </c>
      <c r="G430" t="s">
        <v>39</v>
      </c>
      <c r="H430" s="2">
        <v>19904.45</v>
      </c>
      <c r="I430">
        <v>9</v>
      </c>
      <c r="J430" s="2">
        <v>5096.17</v>
      </c>
    </row>
    <row r="431" spans="1:10" x14ac:dyDescent="0.3">
      <c r="A431">
        <v>430</v>
      </c>
      <c r="B431" s="1">
        <v>45076</v>
      </c>
      <c r="C431" t="s">
        <v>15</v>
      </c>
      <c r="D431" t="s">
        <v>16</v>
      </c>
      <c r="E431" t="s">
        <v>12</v>
      </c>
      <c r="F431" t="s">
        <v>31</v>
      </c>
      <c r="G431" t="s">
        <v>39</v>
      </c>
      <c r="H431" s="2">
        <v>16944.29</v>
      </c>
      <c r="I431">
        <v>4</v>
      </c>
      <c r="J431" s="2">
        <v>3322.86</v>
      </c>
    </row>
    <row r="432" spans="1:10" x14ac:dyDescent="0.3">
      <c r="A432">
        <v>431</v>
      </c>
      <c r="B432" s="1">
        <v>44987</v>
      </c>
      <c r="C432" t="s">
        <v>26</v>
      </c>
      <c r="D432" t="s">
        <v>27</v>
      </c>
      <c r="E432" t="s">
        <v>17</v>
      </c>
      <c r="F432" t="s">
        <v>31</v>
      </c>
      <c r="G432" t="s">
        <v>33</v>
      </c>
      <c r="H432" s="2">
        <v>26079.08</v>
      </c>
      <c r="I432">
        <v>4</v>
      </c>
      <c r="J432" s="2">
        <v>4882.3900000000003</v>
      </c>
    </row>
    <row r="433" spans="1:10" x14ac:dyDescent="0.3">
      <c r="A433">
        <v>432</v>
      </c>
      <c r="B433" s="1">
        <v>45119</v>
      </c>
      <c r="C433" t="s">
        <v>38</v>
      </c>
      <c r="D433" t="s">
        <v>27</v>
      </c>
      <c r="E433" t="s">
        <v>20</v>
      </c>
      <c r="F433" t="s">
        <v>13</v>
      </c>
      <c r="G433" t="s">
        <v>21</v>
      </c>
      <c r="H433" s="2">
        <v>7671.29</v>
      </c>
      <c r="I433">
        <v>2</v>
      </c>
      <c r="J433" s="2">
        <v>1004.67</v>
      </c>
    </row>
    <row r="434" spans="1:10" x14ac:dyDescent="0.3">
      <c r="A434">
        <v>433</v>
      </c>
      <c r="B434" s="1">
        <v>45015</v>
      </c>
      <c r="C434" t="s">
        <v>38</v>
      </c>
      <c r="D434" t="s">
        <v>27</v>
      </c>
      <c r="E434" t="s">
        <v>20</v>
      </c>
      <c r="F434" t="s">
        <v>13</v>
      </c>
      <c r="G434" t="s">
        <v>34</v>
      </c>
      <c r="H434" s="2">
        <v>1166.95</v>
      </c>
      <c r="I434">
        <v>8</v>
      </c>
      <c r="J434" s="2">
        <v>238.76</v>
      </c>
    </row>
    <row r="435" spans="1:10" x14ac:dyDescent="0.3">
      <c r="A435">
        <v>434</v>
      </c>
      <c r="B435" s="1">
        <v>45026</v>
      </c>
      <c r="C435" t="s">
        <v>10</v>
      </c>
      <c r="D435" t="s">
        <v>11</v>
      </c>
      <c r="E435" t="s">
        <v>12</v>
      </c>
      <c r="F435" t="s">
        <v>24</v>
      </c>
      <c r="G435" t="s">
        <v>29</v>
      </c>
      <c r="H435" s="2">
        <v>35047.11</v>
      </c>
      <c r="I435">
        <v>5</v>
      </c>
      <c r="J435" s="2">
        <v>8499.74</v>
      </c>
    </row>
    <row r="436" spans="1:10" x14ac:dyDescent="0.3">
      <c r="A436">
        <v>435</v>
      </c>
      <c r="B436" s="1">
        <v>45076</v>
      </c>
      <c r="C436" t="s">
        <v>30</v>
      </c>
      <c r="D436" t="s">
        <v>16</v>
      </c>
      <c r="E436" t="s">
        <v>17</v>
      </c>
      <c r="F436" t="s">
        <v>24</v>
      </c>
      <c r="G436" t="s">
        <v>25</v>
      </c>
      <c r="H436" s="2">
        <v>40670.42</v>
      </c>
      <c r="I436">
        <v>2</v>
      </c>
      <c r="J436" s="2">
        <v>2326.37</v>
      </c>
    </row>
    <row r="437" spans="1:10" x14ac:dyDescent="0.3">
      <c r="A437">
        <v>436</v>
      </c>
      <c r="B437" s="1">
        <v>45269</v>
      </c>
      <c r="C437" t="s">
        <v>22</v>
      </c>
      <c r="D437" t="s">
        <v>22</v>
      </c>
      <c r="E437" t="s">
        <v>12</v>
      </c>
      <c r="F437" t="s">
        <v>24</v>
      </c>
      <c r="G437" t="s">
        <v>29</v>
      </c>
      <c r="H437" s="2">
        <v>24434.99</v>
      </c>
      <c r="I437">
        <v>6</v>
      </c>
      <c r="J437" s="2">
        <v>4352.29</v>
      </c>
    </row>
    <row r="438" spans="1:10" x14ac:dyDescent="0.3">
      <c r="A438">
        <v>437</v>
      </c>
      <c r="B438" s="1">
        <v>45292</v>
      </c>
      <c r="C438" t="s">
        <v>35</v>
      </c>
      <c r="D438" t="s">
        <v>36</v>
      </c>
      <c r="E438" t="s">
        <v>17</v>
      </c>
      <c r="F438" t="s">
        <v>24</v>
      </c>
      <c r="G438" t="s">
        <v>25</v>
      </c>
      <c r="H438" s="2">
        <v>46015.08</v>
      </c>
      <c r="I438">
        <v>6</v>
      </c>
      <c r="J438" s="2">
        <v>11461.24</v>
      </c>
    </row>
    <row r="439" spans="1:10" x14ac:dyDescent="0.3">
      <c r="A439">
        <v>438</v>
      </c>
      <c r="B439" s="1">
        <v>45219</v>
      </c>
      <c r="C439" t="s">
        <v>35</v>
      </c>
      <c r="D439" t="s">
        <v>36</v>
      </c>
      <c r="E439" t="s">
        <v>20</v>
      </c>
      <c r="F439" t="s">
        <v>31</v>
      </c>
      <c r="G439" t="s">
        <v>33</v>
      </c>
      <c r="H439" s="2">
        <v>1292.73</v>
      </c>
      <c r="I439">
        <v>7</v>
      </c>
      <c r="J439" s="2">
        <v>383.69</v>
      </c>
    </row>
    <row r="440" spans="1:10" x14ac:dyDescent="0.3">
      <c r="A440">
        <v>439</v>
      </c>
      <c r="B440" s="1">
        <v>45081</v>
      </c>
      <c r="C440" t="s">
        <v>30</v>
      </c>
      <c r="D440" t="s">
        <v>16</v>
      </c>
      <c r="E440" t="s">
        <v>20</v>
      </c>
      <c r="F440" t="s">
        <v>24</v>
      </c>
      <c r="G440" t="s">
        <v>29</v>
      </c>
      <c r="H440" s="2">
        <v>9874.76</v>
      </c>
      <c r="I440">
        <v>3</v>
      </c>
      <c r="J440" s="2">
        <v>1358.17</v>
      </c>
    </row>
    <row r="441" spans="1:10" x14ac:dyDescent="0.3">
      <c r="A441">
        <v>440</v>
      </c>
      <c r="B441" s="1">
        <v>45137</v>
      </c>
      <c r="C441" t="s">
        <v>22</v>
      </c>
      <c r="D441" t="s">
        <v>22</v>
      </c>
      <c r="E441" t="s">
        <v>12</v>
      </c>
      <c r="F441" t="s">
        <v>24</v>
      </c>
      <c r="G441" t="s">
        <v>29</v>
      </c>
      <c r="H441" s="2">
        <v>15146.54</v>
      </c>
      <c r="I441">
        <v>2</v>
      </c>
      <c r="J441" s="2">
        <v>2336.02</v>
      </c>
    </row>
    <row r="442" spans="1:10" x14ac:dyDescent="0.3">
      <c r="A442">
        <v>441</v>
      </c>
      <c r="B442" s="1">
        <v>44959</v>
      </c>
      <c r="C442" t="s">
        <v>38</v>
      </c>
      <c r="D442" t="s">
        <v>27</v>
      </c>
      <c r="E442" t="s">
        <v>17</v>
      </c>
      <c r="F442" t="s">
        <v>31</v>
      </c>
      <c r="G442" t="s">
        <v>32</v>
      </c>
      <c r="H442" s="2">
        <v>34618.480000000003</v>
      </c>
      <c r="I442">
        <v>3</v>
      </c>
      <c r="J442" s="2">
        <v>5814.36</v>
      </c>
    </row>
    <row r="443" spans="1:10" x14ac:dyDescent="0.3">
      <c r="A443">
        <v>442</v>
      </c>
      <c r="B443" s="1">
        <v>45167</v>
      </c>
      <c r="C443" t="s">
        <v>22</v>
      </c>
      <c r="D443" t="s">
        <v>22</v>
      </c>
      <c r="E443" t="s">
        <v>12</v>
      </c>
      <c r="F443" t="s">
        <v>31</v>
      </c>
      <c r="G443" t="s">
        <v>39</v>
      </c>
      <c r="H443" s="2">
        <v>46015.64</v>
      </c>
      <c r="I443">
        <v>2</v>
      </c>
      <c r="J443" s="2">
        <v>6821.68</v>
      </c>
    </row>
    <row r="444" spans="1:10" x14ac:dyDescent="0.3">
      <c r="A444">
        <v>443</v>
      </c>
      <c r="B444" s="1">
        <v>45056</v>
      </c>
      <c r="C444" t="s">
        <v>38</v>
      </c>
      <c r="D444" t="s">
        <v>27</v>
      </c>
      <c r="E444" t="s">
        <v>17</v>
      </c>
      <c r="F444" t="s">
        <v>24</v>
      </c>
      <c r="G444" t="s">
        <v>25</v>
      </c>
      <c r="H444" s="2">
        <v>43471.73</v>
      </c>
      <c r="I444">
        <v>4</v>
      </c>
      <c r="J444" s="2">
        <v>9929.52</v>
      </c>
    </row>
    <row r="445" spans="1:10" x14ac:dyDescent="0.3">
      <c r="A445">
        <v>444</v>
      </c>
      <c r="B445" s="1">
        <v>45108</v>
      </c>
      <c r="C445" t="s">
        <v>10</v>
      </c>
      <c r="D445" t="s">
        <v>11</v>
      </c>
      <c r="E445" t="s">
        <v>20</v>
      </c>
      <c r="F445" t="s">
        <v>13</v>
      </c>
      <c r="G445" t="s">
        <v>14</v>
      </c>
      <c r="H445" s="2">
        <v>27516.51</v>
      </c>
      <c r="I445">
        <v>9</v>
      </c>
      <c r="J445" s="2">
        <v>3418.86</v>
      </c>
    </row>
    <row r="446" spans="1:10" x14ac:dyDescent="0.3">
      <c r="A446">
        <v>445</v>
      </c>
      <c r="B446" s="1">
        <v>45260</v>
      </c>
      <c r="C446" t="s">
        <v>10</v>
      </c>
      <c r="D446" t="s">
        <v>11</v>
      </c>
      <c r="E446" t="s">
        <v>20</v>
      </c>
      <c r="F446" t="s">
        <v>13</v>
      </c>
      <c r="G446" t="s">
        <v>34</v>
      </c>
      <c r="H446" s="2">
        <v>48032.71</v>
      </c>
      <c r="I446">
        <v>4</v>
      </c>
      <c r="J446" s="2">
        <v>6135.71</v>
      </c>
    </row>
    <row r="447" spans="1:10" x14ac:dyDescent="0.3">
      <c r="A447">
        <v>446</v>
      </c>
      <c r="B447" s="1">
        <v>44976</v>
      </c>
      <c r="C447" t="s">
        <v>35</v>
      </c>
      <c r="D447" t="s">
        <v>36</v>
      </c>
      <c r="E447" t="s">
        <v>12</v>
      </c>
      <c r="F447" t="s">
        <v>24</v>
      </c>
      <c r="G447" t="s">
        <v>28</v>
      </c>
      <c r="H447" s="2">
        <v>7864.34</v>
      </c>
      <c r="I447">
        <v>10</v>
      </c>
      <c r="J447" s="2">
        <v>820.53</v>
      </c>
    </row>
    <row r="448" spans="1:10" x14ac:dyDescent="0.3">
      <c r="A448">
        <v>447</v>
      </c>
      <c r="B448" s="1">
        <v>44953</v>
      </c>
      <c r="C448" t="s">
        <v>26</v>
      </c>
      <c r="D448" t="s">
        <v>27</v>
      </c>
      <c r="E448" t="s">
        <v>17</v>
      </c>
      <c r="F448" t="s">
        <v>13</v>
      </c>
      <c r="G448" t="s">
        <v>21</v>
      </c>
      <c r="H448" s="2">
        <v>27123.54</v>
      </c>
      <c r="I448">
        <v>2</v>
      </c>
      <c r="J448" s="2">
        <v>2817.45</v>
      </c>
    </row>
    <row r="449" spans="1:10" x14ac:dyDescent="0.3">
      <c r="A449">
        <v>448</v>
      </c>
      <c r="B449" s="1">
        <v>45062</v>
      </c>
      <c r="C449" t="s">
        <v>26</v>
      </c>
      <c r="D449" t="s">
        <v>27</v>
      </c>
      <c r="E449" t="s">
        <v>12</v>
      </c>
      <c r="F449" t="s">
        <v>13</v>
      </c>
      <c r="G449" t="s">
        <v>34</v>
      </c>
      <c r="H449" s="2">
        <v>24573.8</v>
      </c>
      <c r="I449">
        <v>6</v>
      </c>
      <c r="J449" s="2">
        <v>3674.62</v>
      </c>
    </row>
    <row r="450" spans="1:10" x14ac:dyDescent="0.3">
      <c r="A450">
        <v>449</v>
      </c>
      <c r="B450" s="1">
        <v>44978</v>
      </c>
      <c r="C450" t="s">
        <v>18</v>
      </c>
      <c r="D450" t="s">
        <v>19</v>
      </c>
      <c r="E450" t="s">
        <v>17</v>
      </c>
      <c r="F450" t="s">
        <v>24</v>
      </c>
      <c r="G450" t="s">
        <v>29</v>
      </c>
      <c r="H450" s="2">
        <v>24662.23</v>
      </c>
      <c r="I450">
        <v>3</v>
      </c>
      <c r="J450" s="2">
        <v>3744.45</v>
      </c>
    </row>
    <row r="451" spans="1:10" x14ac:dyDescent="0.3">
      <c r="A451">
        <v>450</v>
      </c>
      <c r="B451" s="1">
        <v>45214</v>
      </c>
      <c r="C451" t="s">
        <v>30</v>
      </c>
      <c r="D451" t="s">
        <v>16</v>
      </c>
      <c r="E451" t="s">
        <v>20</v>
      </c>
      <c r="F451" t="s">
        <v>24</v>
      </c>
      <c r="G451" t="s">
        <v>25</v>
      </c>
      <c r="H451" s="2">
        <v>22932.71</v>
      </c>
      <c r="I451">
        <v>1</v>
      </c>
      <c r="J451" s="2">
        <v>1770.13</v>
      </c>
    </row>
    <row r="452" spans="1:10" x14ac:dyDescent="0.3">
      <c r="A452">
        <v>451</v>
      </c>
      <c r="B452" s="1">
        <v>45241</v>
      </c>
      <c r="C452" t="s">
        <v>10</v>
      </c>
      <c r="D452" t="s">
        <v>11</v>
      </c>
      <c r="E452" t="s">
        <v>20</v>
      </c>
      <c r="F452" t="s">
        <v>31</v>
      </c>
      <c r="G452" t="s">
        <v>33</v>
      </c>
      <c r="H452" s="2">
        <v>2101.9299999999998</v>
      </c>
      <c r="I452">
        <v>6</v>
      </c>
      <c r="J452" s="2">
        <v>507.01</v>
      </c>
    </row>
    <row r="453" spans="1:10" x14ac:dyDescent="0.3">
      <c r="A453">
        <v>452</v>
      </c>
      <c r="B453" s="1">
        <v>45192</v>
      </c>
      <c r="C453" t="s">
        <v>26</v>
      </c>
      <c r="D453" t="s">
        <v>27</v>
      </c>
      <c r="E453" t="s">
        <v>12</v>
      </c>
      <c r="F453" t="s">
        <v>24</v>
      </c>
      <c r="G453" t="s">
        <v>29</v>
      </c>
      <c r="H453" s="2">
        <v>23897.96</v>
      </c>
      <c r="I453">
        <v>7</v>
      </c>
      <c r="J453" s="2">
        <v>4085.47</v>
      </c>
    </row>
    <row r="454" spans="1:10" x14ac:dyDescent="0.3">
      <c r="A454">
        <v>453</v>
      </c>
      <c r="B454" s="1">
        <v>45018</v>
      </c>
      <c r="C454" t="s">
        <v>35</v>
      </c>
      <c r="D454" t="s">
        <v>36</v>
      </c>
      <c r="E454" t="s">
        <v>17</v>
      </c>
      <c r="F454" t="s">
        <v>24</v>
      </c>
      <c r="G454" t="s">
        <v>29</v>
      </c>
      <c r="H454" s="2">
        <v>32507.15</v>
      </c>
      <c r="I454">
        <v>10</v>
      </c>
      <c r="J454" s="2">
        <v>4890.71</v>
      </c>
    </row>
    <row r="455" spans="1:10" x14ac:dyDescent="0.3">
      <c r="A455">
        <v>454</v>
      </c>
      <c r="B455" s="1">
        <v>45053</v>
      </c>
      <c r="C455" t="s">
        <v>30</v>
      </c>
      <c r="D455" t="s">
        <v>16</v>
      </c>
      <c r="E455" t="s">
        <v>12</v>
      </c>
      <c r="F455" t="s">
        <v>13</v>
      </c>
      <c r="G455" t="s">
        <v>14</v>
      </c>
      <c r="H455" s="2">
        <v>8584.92</v>
      </c>
      <c r="I455">
        <v>1</v>
      </c>
      <c r="J455" s="2">
        <v>2560.9699999999998</v>
      </c>
    </row>
    <row r="456" spans="1:10" x14ac:dyDescent="0.3">
      <c r="A456">
        <v>455</v>
      </c>
      <c r="B456" s="1">
        <v>45069</v>
      </c>
      <c r="C456" t="s">
        <v>22</v>
      </c>
      <c r="D456" t="s">
        <v>22</v>
      </c>
      <c r="E456" t="s">
        <v>17</v>
      </c>
      <c r="F456" t="s">
        <v>24</v>
      </c>
      <c r="G456" t="s">
        <v>28</v>
      </c>
      <c r="H456" s="2">
        <v>17850.810000000001</v>
      </c>
      <c r="I456">
        <v>9</v>
      </c>
      <c r="J456" s="2">
        <v>4605.67</v>
      </c>
    </row>
    <row r="457" spans="1:10" x14ac:dyDescent="0.3">
      <c r="A457">
        <v>456</v>
      </c>
      <c r="B457" s="1">
        <v>44976</v>
      </c>
      <c r="C457" t="s">
        <v>10</v>
      </c>
      <c r="D457" t="s">
        <v>11</v>
      </c>
      <c r="E457" t="s">
        <v>20</v>
      </c>
      <c r="F457" t="s">
        <v>13</v>
      </c>
      <c r="G457" t="s">
        <v>21</v>
      </c>
      <c r="H457" s="2">
        <v>33800.74</v>
      </c>
      <c r="I457">
        <v>2</v>
      </c>
      <c r="J457" s="2">
        <v>2747.6</v>
      </c>
    </row>
    <row r="458" spans="1:10" x14ac:dyDescent="0.3">
      <c r="A458">
        <v>457</v>
      </c>
      <c r="B458" s="1">
        <v>45264</v>
      </c>
      <c r="C458" t="s">
        <v>15</v>
      </c>
      <c r="D458" t="s">
        <v>16</v>
      </c>
      <c r="E458" t="s">
        <v>20</v>
      </c>
      <c r="F458" t="s">
        <v>24</v>
      </c>
      <c r="G458" t="s">
        <v>25</v>
      </c>
      <c r="H458" s="2">
        <v>5414.74</v>
      </c>
      <c r="I458">
        <v>4</v>
      </c>
      <c r="J458" s="2">
        <v>976.86</v>
      </c>
    </row>
    <row r="459" spans="1:10" x14ac:dyDescent="0.3">
      <c r="A459">
        <v>458</v>
      </c>
      <c r="B459" s="1">
        <v>44952</v>
      </c>
      <c r="C459" t="s">
        <v>37</v>
      </c>
      <c r="D459" t="s">
        <v>27</v>
      </c>
      <c r="E459" t="s">
        <v>12</v>
      </c>
      <c r="F459" t="s">
        <v>24</v>
      </c>
      <c r="G459" t="s">
        <v>28</v>
      </c>
      <c r="H459" s="2">
        <v>12452.06</v>
      </c>
      <c r="I459">
        <v>2</v>
      </c>
      <c r="J459" s="2">
        <v>2412.8200000000002</v>
      </c>
    </row>
    <row r="460" spans="1:10" x14ac:dyDescent="0.3">
      <c r="A460">
        <v>459</v>
      </c>
      <c r="B460" s="1">
        <v>45132</v>
      </c>
      <c r="C460" t="s">
        <v>10</v>
      </c>
      <c r="D460" t="s">
        <v>11</v>
      </c>
      <c r="E460" t="s">
        <v>17</v>
      </c>
      <c r="F460" t="s">
        <v>24</v>
      </c>
      <c r="G460" t="s">
        <v>29</v>
      </c>
      <c r="H460" s="2">
        <v>15764.96</v>
      </c>
      <c r="I460">
        <v>4</v>
      </c>
      <c r="J460" s="2">
        <v>2352.7399999999998</v>
      </c>
    </row>
    <row r="461" spans="1:10" x14ac:dyDescent="0.3">
      <c r="A461">
        <v>460</v>
      </c>
      <c r="B461" s="1">
        <v>45239</v>
      </c>
      <c r="C461" t="s">
        <v>37</v>
      </c>
      <c r="D461" t="s">
        <v>27</v>
      </c>
      <c r="E461" t="s">
        <v>12</v>
      </c>
      <c r="F461" t="s">
        <v>24</v>
      </c>
      <c r="G461" t="s">
        <v>25</v>
      </c>
      <c r="H461" s="2">
        <v>41835.79</v>
      </c>
      <c r="I461">
        <v>1</v>
      </c>
      <c r="J461" s="2">
        <v>2744.23</v>
      </c>
    </row>
    <row r="462" spans="1:10" x14ac:dyDescent="0.3">
      <c r="A462">
        <v>461</v>
      </c>
      <c r="B462" s="1">
        <v>45075</v>
      </c>
      <c r="C462" t="s">
        <v>18</v>
      </c>
      <c r="D462" t="s">
        <v>19</v>
      </c>
      <c r="E462" t="s">
        <v>17</v>
      </c>
      <c r="F462" t="s">
        <v>31</v>
      </c>
      <c r="G462" t="s">
        <v>33</v>
      </c>
      <c r="H462" s="2">
        <v>23801.25</v>
      </c>
      <c r="I462">
        <v>2</v>
      </c>
      <c r="J462" s="2">
        <v>6445.33</v>
      </c>
    </row>
    <row r="463" spans="1:10" x14ac:dyDescent="0.3">
      <c r="A463">
        <v>462</v>
      </c>
      <c r="B463" s="1">
        <v>45252</v>
      </c>
      <c r="C463" t="s">
        <v>26</v>
      </c>
      <c r="D463" t="s">
        <v>27</v>
      </c>
      <c r="E463" t="s">
        <v>20</v>
      </c>
      <c r="F463" t="s">
        <v>24</v>
      </c>
      <c r="G463" t="s">
        <v>25</v>
      </c>
      <c r="H463" s="2">
        <v>15461.71</v>
      </c>
      <c r="I463">
        <v>3</v>
      </c>
      <c r="J463" s="2">
        <v>3314.59</v>
      </c>
    </row>
    <row r="464" spans="1:10" x14ac:dyDescent="0.3">
      <c r="A464">
        <v>463</v>
      </c>
      <c r="B464" s="1">
        <v>45076</v>
      </c>
      <c r="C464" t="s">
        <v>35</v>
      </c>
      <c r="D464" t="s">
        <v>36</v>
      </c>
      <c r="E464" t="s">
        <v>20</v>
      </c>
      <c r="F464" t="s">
        <v>24</v>
      </c>
      <c r="G464" t="s">
        <v>29</v>
      </c>
      <c r="H464" s="2">
        <v>45619.47</v>
      </c>
      <c r="I464">
        <v>10</v>
      </c>
      <c r="J464" s="2">
        <v>10134.75</v>
      </c>
    </row>
    <row r="465" spans="1:10" x14ac:dyDescent="0.3">
      <c r="A465">
        <v>464</v>
      </c>
      <c r="B465" s="1">
        <v>45000</v>
      </c>
      <c r="C465" t="s">
        <v>10</v>
      </c>
      <c r="D465" t="s">
        <v>11</v>
      </c>
      <c r="E465" t="s">
        <v>12</v>
      </c>
      <c r="F465" t="s">
        <v>31</v>
      </c>
      <c r="G465" t="s">
        <v>33</v>
      </c>
      <c r="H465" s="2">
        <v>15028.38</v>
      </c>
      <c r="I465">
        <v>7</v>
      </c>
      <c r="J465" s="2">
        <v>2910.42</v>
      </c>
    </row>
    <row r="466" spans="1:10" x14ac:dyDescent="0.3">
      <c r="A466">
        <v>465</v>
      </c>
      <c r="B466" s="1">
        <v>45205</v>
      </c>
      <c r="C466" t="s">
        <v>22</v>
      </c>
      <c r="D466" t="s">
        <v>22</v>
      </c>
      <c r="E466" t="s">
        <v>17</v>
      </c>
      <c r="F466" t="s">
        <v>13</v>
      </c>
      <c r="G466" t="s">
        <v>34</v>
      </c>
      <c r="H466" s="2">
        <v>30842.46</v>
      </c>
      <c r="I466">
        <v>1</v>
      </c>
      <c r="J466" s="2">
        <v>3773.49</v>
      </c>
    </row>
    <row r="467" spans="1:10" x14ac:dyDescent="0.3">
      <c r="A467">
        <v>466</v>
      </c>
      <c r="B467" s="1">
        <v>45222</v>
      </c>
      <c r="C467" t="s">
        <v>10</v>
      </c>
      <c r="D467" t="s">
        <v>11</v>
      </c>
      <c r="E467" t="s">
        <v>12</v>
      </c>
      <c r="F467" t="s">
        <v>13</v>
      </c>
      <c r="G467" t="s">
        <v>21</v>
      </c>
      <c r="H467" s="2">
        <v>6318.79</v>
      </c>
      <c r="I467">
        <v>4</v>
      </c>
      <c r="J467" s="2">
        <v>1551.93</v>
      </c>
    </row>
    <row r="468" spans="1:10" x14ac:dyDescent="0.3">
      <c r="A468">
        <v>467</v>
      </c>
      <c r="B468" s="1">
        <v>44974</v>
      </c>
      <c r="C468" t="s">
        <v>38</v>
      </c>
      <c r="D468" t="s">
        <v>27</v>
      </c>
      <c r="E468" t="s">
        <v>17</v>
      </c>
      <c r="F468" t="s">
        <v>31</v>
      </c>
      <c r="G468" t="s">
        <v>33</v>
      </c>
      <c r="H468" s="2">
        <v>14828.09</v>
      </c>
      <c r="I468">
        <v>7</v>
      </c>
      <c r="J468" s="2">
        <v>2884.42</v>
      </c>
    </row>
    <row r="469" spans="1:10" x14ac:dyDescent="0.3">
      <c r="A469">
        <v>468</v>
      </c>
      <c r="B469" s="1">
        <v>45137</v>
      </c>
      <c r="C469" t="s">
        <v>37</v>
      </c>
      <c r="D469" t="s">
        <v>27</v>
      </c>
      <c r="E469" t="s">
        <v>20</v>
      </c>
      <c r="F469" t="s">
        <v>24</v>
      </c>
      <c r="G469" t="s">
        <v>28</v>
      </c>
      <c r="H469" s="2">
        <v>16069.37</v>
      </c>
      <c r="I469">
        <v>2</v>
      </c>
      <c r="J469" s="2">
        <v>3976.35</v>
      </c>
    </row>
    <row r="470" spans="1:10" x14ac:dyDescent="0.3">
      <c r="A470">
        <v>469</v>
      </c>
      <c r="B470" s="1">
        <v>45213</v>
      </c>
      <c r="C470" t="s">
        <v>30</v>
      </c>
      <c r="D470" t="s">
        <v>16</v>
      </c>
      <c r="E470" t="s">
        <v>20</v>
      </c>
      <c r="F470" t="s">
        <v>13</v>
      </c>
      <c r="G470" t="s">
        <v>21</v>
      </c>
      <c r="H470" s="2">
        <v>13770.88</v>
      </c>
      <c r="I470">
        <v>9</v>
      </c>
      <c r="J470" s="2">
        <v>1110.72</v>
      </c>
    </row>
    <row r="471" spans="1:10" x14ac:dyDescent="0.3">
      <c r="A471">
        <v>470</v>
      </c>
      <c r="B471" s="1">
        <v>45016</v>
      </c>
      <c r="C471" t="s">
        <v>37</v>
      </c>
      <c r="D471" t="s">
        <v>27</v>
      </c>
      <c r="E471" t="s">
        <v>12</v>
      </c>
      <c r="F471" t="s">
        <v>24</v>
      </c>
      <c r="G471" t="s">
        <v>29</v>
      </c>
      <c r="H471" s="2">
        <v>24821.75</v>
      </c>
      <c r="I471">
        <v>4</v>
      </c>
      <c r="J471" s="2">
        <v>4789.5600000000004</v>
      </c>
    </row>
    <row r="472" spans="1:10" x14ac:dyDescent="0.3">
      <c r="A472">
        <v>471</v>
      </c>
      <c r="B472" s="1">
        <v>45038</v>
      </c>
      <c r="C472" t="s">
        <v>15</v>
      </c>
      <c r="D472" t="s">
        <v>16</v>
      </c>
      <c r="E472" t="s">
        <v>17</v>
      </c>
      <c r="F472" t="s">
        <v>13</v>
      </c>
      <c r="G472" t="s">
        <v>14</v>
      </c>
      <c r="H472" s="2">
        <v>19819</v>
      </c>
      <c r="I472">
        <v>9</v>
      </c>
      <c r="J472" s="2">
        <v>4493.47</v>
      </c>
    </row>
    <row r="473" spans="1:10" x14ac:dyDescent="0.3">
      <c r="A473">
        <v>472</v>
      </c>
      <c r="B473" s="1">
        <v>45211</v>
      </c>
      <c r="C473" t="s">
        <v>37</v>
      </c>
      <c r="D473" t="s">
        <v>27</v>
      </c>
      <c r="E473" t="s">
        <v>12</v>
      </c>
      <c r="F473" t="s">
        <v>13</v>
      </c>
      <c r="G473" t="s">
        <v>21</v>
      </c>
      <c r="H473" s="2">
        <v>7807.18</v>
      </c>
      <c r="I473">
        <v>9</v>
      </c>
      <c r="J473" s="2">
        <v>893.09</v>
      </c>
    </row>
    <row r="474" spans="1:10" x14ac:dyDescent="0.3">
      <c r="A474">
        <v>473</v>
      </c>
      <c r="B474" s="1">
        <v>45158</v>
      </c>
      <c r="C474" t="s">
        <v>35</v>
      </c>
      <c r="D474" t="s">
        <v>36</v>
      </c>
      <c r="E474" t="s">
        <v>17</v>
      </c>
      <c r="F474" t="s">
        <v>13</v>
      </c>
      <c r="G474" t="s">
        <v>14</v>
      </c>
      <c r="H474" s="2">
        <v>29187.5</v>
      </c>
      <c r="I474">
        <v>3</v>
      </c>
      <c r="J474" s="2">
        <v>2048.9699999999998</v>
      </c>
    </row>
    <row r="475" spans="1:10" x14ac:dyDescent="0.3">
      <c r="A475">
        <v>474</v>
      </c>
      <c r="B475" s="1">
        <v>45287</v>
      </c>
      <c r="C475" t="s">
        <v>10</v>
      </c>
      <c r="D475" t="s">
        <v>11</v>
      </c>
      <c r="E475" t="s">
        <v>20</v>
      </c>
      <c r="F475" t="s">
        <v>24</v>
      </c>
      <c r="G475" t="s">
        <v>28</v>
      </c>
      <c r="H475" s="2">
        <v>30736.28</v>
      </c>
      <c r="I475">
        <v>6</v>
      </c>
      <c r="J475" s="2">
        <v>6419.01</v>
      </c>
    </row>
    <row r="476" spans="1:10" x14ac:dyDescent="0.3">
      <c r="A476">
        <v>475</v>
      </c>
      <c r="B476" s="1">
        <v>44988</v>
      </c>
      <c r="C476" t="s">
        <v>30</v>
      </c>
      <c r="D476" t="s">
        <v>16</v>
      </c>
      <c r="E476" t="s">
        <v>20</v>
      </c>
      <c r="F476" t="s">
        <v>24</v>
      </c>
      <c r="G476" t="s">
        <v>25</v>
      </c>
      <c r="H476" s="2">
        <v>14023.91</v>
      </c>
      <c r="I476">
        <v>7</v>
      </c>
      <c r="J476" s="2">
        <v>1687.3</v>
      </c>
    </row>
    <row r="477" spans="1:10" x14ac:dyDescent="0.3">
      <c r="A477">
        <v>476</v>
      </c>
      <c r="B477" s="1">
        <v>45029</v>
      </c>
      <c r="C477" t="s">
        <v>18</v>
      </c>
      <c r="D477" t="s">
        <v>19</v>
      </c>
      <c r="E477" t="s">
        <v>12</v>
      </c>
      <c r="F477" t="s">
        <v>24</v>
      </c>
      <c r="G477" t="s">
        <v>29</v>
      </c>
      <c r="H477" s="2">
        <v>16267.75</v>
      </c>
      <c r="I477">
        <v>3</v>
      </c>
      <c r="J477" s="2">
        <v>3928.17</v>
      </c>
    </row>
    <row r="478" spans="1:10" x14ac:dyDescent="0.3">
      <c r="A478">
        <v>477</v>
      </c>
      <c r="B478" s="1">
        <v>45129</v>
      </c>
      <c r="C478" t="s">
        <v>38</v>
      </c>
      <c r="D478" t="s">
        <v>27</v>
      </c>
      <c r="E478" t="s">
        <v>17</v>
      </c>
      <c r="F478" t="s">
        <v>31</v>
      </c>
      <c r="G478" t="s">
        <v>39</v>
      </c>
      <c r="H478" s="2">
        <v>17638.95</v>
      </c>
      <c r="I478">
        <v>1</v>
      </c>
      <c r="J478" s="2">
        <v>5267.64</v>
      </c>
    </row>
    <row r="479" spans="1:10" x14ac:dyDescent="0.3">
      <c r="A479">
        <v>478</v>
      </c>
      <c r="B479" s="1">
        <v>45019</v>
      </c>
      <c r="C479" t="s">
        <v>35</v>
      </c>
      <c r="D479" t="s">
        <v>36</v>
      </c>
      <c r="E479" t="s">
        <v>12</v>
      </c>
      <c r="F479" t="s">
        <v>31</v>
      </c>
      <c r="G479" t="s">
        <v>39</v>
      </c>
      <c r="H479" s="2">
        <v>4634.8100000000004</v>
      </c>
      <c r="I479">
        <v>5</v>
      </c>
      <c r="J479" s="2">
        <v>1129.28</v>
      </c>
    </row>
    <row r="480" spans="1:10" x14ac:dyDescent="0.3">
      <c r="A480">
        <v>479</v>
      </c>
      <c r="B480" s="1">
        <v>44994</v>
      </c>
      <c r="C480" t="s">
        <v>38</v>
      </c>
      <c r="D480" t="s">
        <v>27</v>
      </c>
      <c r="E480" t="s">
        <v>17</v>
      </c>
      <c r="F480" t="s">
        <v>31</v>
      </c>
      <c r="G480" t="s">
        <v>32</v>
      </c>
      <c r="H480" s="2">
        <v>38025.67</v>
      </c>
      <c r="I480">
        <v>8</v>
      </c>
      <c r="J480" s="2">
        <v>2827.8</v>
      </c>
    </row>
    <row r="481" spans="1:10" x14ac:dyDescent="0.3">
      <c r="A481">
        <v>480</v>
      </c>
      <c r="B481" s="1">
        <v>45024</v>
      </c>
      <c r="C481" t="s">
        <v>38</v>
      </c>
      <c r="D481" t="s">
        <v>27</v>
      </c>
      <c r="E481" t="s">
        <v>20</v>
      </c>
      <c r="F481" t="s">
        <v>13</v>
      </c>
      <c r="G481" t="s">
        <v>34</v>
      </c>
      <c r="H481" s="2">
        <v>2127.65</v>
      </c>
      <c r="I481">
        <v>9</v>
      </c>
      <c r="J481" s="2">
        <v>181.46</v>
      </c>
    </row>
    <row r="482" spans="1:10" x14ac:dyDescent="0.3">
      <c r="A482">
        <v>481</v>
      </c>
      <c r="B482" s="1">
        <v>44936</v>
      </c>
      <c r="C482" t="s">
        <v>37</v>
      </c>
      <c r="D482" t="s">
        <v>27</v>
      </c>
      <c r="E482" t="s">
        <v>20</v>
      </c>
      <c r="F482" t="s">
        <v>31</v>
      </c>
      <c r="G482" t="s">
        <v>33</v>
      </c>
      <c r="H482" s="2">
        <v>45815.93</v>
      </c>
      <c r="I482">
        <v>8</v>
      </c>
      <c r="J482" s="2">
        <v>2496.91</v>
      </c>
    </row>
    <row r="483" spans="1:10" x14ac:dyDescent="0.3">
      <c r="A483">
        <v>482</v>
      </c>
      <c r="B483" s="1">
        <v>45291</v>
      </c>
      <c r="C483" t="s">
        <v>22</v>
      </c>
      <c r="D483" t="s">
        <v>22</v>
      </c>
      <c r="E483" t="s">
        <v>12</v>
      </c>
      <c r="F483" t="s">
        <v>13</v>
      </c>
      <c r="G483" t="s">
        <v>14</v>
      </c>
      <c r="H483" s="2">
        <v>15944.17</v>
      </c>
      <c r="I483">
        <v>3</v>
      </c>
      <c r="J483" s="2">
        <v>1241.5</v>
      </c>
    </row>
    <row r="484" spans="1:10" x14ac:dyDescent="0.3">
      <c r="A484">
        <v>483</v>
      </c>
      <c r="B484" s="1">
        <v>45127</v>
      </c>
      <c r="C484" t="s">
        <v>30</v>
      </c>
      <c r="D484" t="s">
        <v>16</v>
      </c>
      <c r="E484" t="s">
        <v>17</v>
      </c>
      <c r="F484" t="s">
        <v>31</v>
      </c>
      <c r="G484" t="s">
        <v>39</v>
      </c>
      <c r="H484" s="2">
        <v>13865.4</v>
      </c>
      <c r="I484">
        <v>7</v>
      </c>
      <c r="J484" s="2">
        <v>1146.8599999999999</v>
      </c>
    </row>
    <row r="485" spans="1:10" x14ac:dyDescent="0.3">
      <c r="A485">
        <v>484</v>
      </c>
      <c r="B485" s="1">
        <v>45219</v>
      </c>
      <c r="C485" t="s">
        <v>10</v>
      </c>
      <c r="D485" t="s">
        <v>11</v>
      </c>
      <c r="E485" t="s">
        <v>12</v>
      </c>
      <c r="F485" t="s">
        <v>31</v>
      </c>
      <c r="G485" t="s">
        <v>33</v>
      </c>
      <c r="H485" s="2">
        <v>49401.07</v>
      </c>
      <c r="I485">
        <v>7</v>
      </c>
      <c r="J485" s="2">
        <v>13668.97</v>
      </c>
    </row>
    <row r="486" spans="1:10" x14ac:dyDescent="0.3">
      <c r="A486">
        <v>485</v>
      </c>
      <c r="B486" s="1">
        <v>45222</v>
      </c>
      <c r="C486" t="s">
        <v>38</v>
      </c>
      <c r="D486" t="s">
        <v>27</v>
      </c>
      <c r="E486" t="s">
        <v>17</v>
      </c>
      <c r="F486" t="s">
        <v>24</v>
      </c>
      <c r="G486" t="s">
        <v>28</v>
      </c>
      <c r="H486" s="2">
        <v>6564.48</v>
      </c>
      <c r="I486">
        <v>1</v>
      </c>
      <c r="J486" s="2">
        <v>522.54999999999995</v>
      </c>
    </row>
    <row r="487" spans="1:10" x14ac:dyDescent="0.3">
      <c r="A487">
        <v>486</v>
      </c>
      <c r="B487" s="1">
        <v>45109</v>
      </c>
      <c r="C487" t="s">
        <v>37</v>
      </c>
      <c r="D487" t="s">
        <v>27</v>
      </c>
      <c r="E487" t="s">
        <v>20</v>
      </c>
      <c r="F487" t="s">
        <v>13</v>
      </c>
      <c r="G487" t="s">
        <v>14</v>
      </c>
      <c r="H487" s="2">
        <v>5283.9</v>
      </c>
      <c r="I487">
        <v>9</v>
      </c>
      <c r="J487" s="2">
        <v>1226.3399999999999</v>
      </c>
    </row>
    <row r="488" spans="1:10" x14ac:dyDescent="0.3">
      <c r="A488">
        <v>487</v>
      </c>
      <c r="B488" s="1">
        <v>45011</v>
      </c>
      <c r="C488" t="s">
        <v>15</v>
      </c>
      <c r="D488" t="s">
        <v>16</v>
      </c>
      <c r="E488" t="s">
        <v>20</v>
      </c>
      <c r="F488" t="s">
        <v>24</v>
      </c>
      <c r="G488" t="s">
        <v>29</v>
      </c>
      <c r="H488" s="2">
        <v>36607.199999999997</v>
      </c>
      <c r="I488">
        <v>7</v>
      </c>
      <c r="J488" s="2">
        <v>3454.39</v>
      </c>
    </row>
    <row r="489" spans="1:10" x14ac:dyDescent="0.3">
      <c r="A489">
        <v>488</v>
      </c>
      <c r="B489" s="1">
        <v>44986</v>
      </c>
      <c r="C489" t="s">
        <v>37</v>
      </c>
      <c r="D489" t="s">
        <v>27</v>
      </c>
      <c r="E489" t="s">
        <v>12</v>
      </c>
      <c r="F489" t="s">
        <v>24</v>
      </c>
      <c r="G489" t="s">
        <v>28</v>
      </c>
      <c r="H489" s="2">
        <v>17654.32</v>
      </c>
      <c r="I489">
        <v>9</v>
      </c>
      <c r="J489" s="2">
        <v>1231.93</v>
      </c>
    </row>
    <row r="490" spans="1:10" x14ac:dyDescent="0.3">
      <c r="A490">
        <v>489</v>
      </c>
      <c r="B490" s="1">
        <v>45143</v>
      </c>
      <c r="C490" t="s">
        <v>26</v>
      </c>
      <c r="D490" t="s">
        <v>27</v>
      </c>
      <c r="E490" t="s">
        <v>17</v>
      </c>
      <c r="F490" t="s">
        <v>31</v>
      </c>
      <c r="G490" t="s">
        <v>39</v>
      </c>
      <c r="H490" s="2">
        <v>9433.0400000000009</v>
      </c>
      <c r="I490">
        <v>8</v>
      </c>
      <c r="J490" s="2">
        <v>2046</v>
      </c>
    </row>
    <row r="491" spans="1:10" x14ac:dyDescent="0.3">
      <c r="A491">
        <v>490</v>
      </c>
      <c r="B491" s="1">
        <v>45217</v>
      </c>
      <c r="C491" t="s">
        <v>37</v>
      </c>
      <c r="D491" t="s">
        <v>27</v>
      </c>
      <c r="E491" t="s">
        <v>12</v>
      </c>
      <c r="F491" t="s">
        <v>24</v>
      </c>
      <c r="G491" t="s">
        <v>28</v>
      </c>
      <c r="H491" s="2">
        <v>2839.73</v>
      </c>
      <c r="I491">
        <v>9</v>
      </c>
      <c r="J491" s="2">
        <v>780.48</v>
      </c>
    </row>
    <row r="492" spans="1:10" x14ac:dyDescent="0.3">
      <c r="A492">
        <v>491</v>
      </c>
      <c r="B492" s="1">
        <v>45187</v>
      </c>
      <c r="C492" t="s">
        <v>26</v>
      </c>
      <c r="D492" t="s">
        <v>27</v>
      </c>
      <c r="E492" t="s">
        <v>17</v>
      </c>
      <c r="F492" t="s">
        <v>31</v>
      </c>
      <c r="G492" t="s">
        <v>39</v>
      </c>
      <c r="H492" s="2">
        <v>37729.72</v>
      </c>
      <c r="I492">
        <v>8</v>
      </c>
      <c r="J492" s="2">
        <v>7417.54</v>
      </c>
    </row>
    <row r="493" spans="1:10" x14ac:dyDescent="0.3">
      <c r="A493">
        <v>492</v>
      </c>
      <c r="B493" s="1">
        <v>45082</v>
      </c>
      <c r="C493" t="s">
        <v>35</v>
      </c>
      <c r="D493" t="s">
        <v>36</v>
      </c>
      <c r="E493" t="s">
        <v>20</v>
      </c>
      <c r="F493" t="s">
        <v>13</v>
      </c>
      <c r="G493" t="s">
        <v>14</v>
      </c>
      <c r="H493" s="2">
        <v>42195.65</v>
      </c>
      <c r="I493">
        <v>8</v>
      </c>
      <c r="J493" s="2">
        <v>7879.74</v>
      </c>
    </row>
    <row r="494" spans="1:10" x14ac:dyDescent="0.3">
      <c r="A494">
        <v>493</v>
      </c>
      <c r="B494" s="1">
        <v>45163</v>
      </c>
      <c r="C494" t="s">
        <v>18</v>
      </c>
      <c r="D494" t="s">
        <v>19</v>
      </c>
      <c r="E494" t="s">
        <v>20</v>
      </c>
      <c r="F494" t="s">
        <v>24</v>
      </c>
      <c r="G494" t="s">
        <v>28</v>
      </c>
      <c r="H494" s="2">
        <v>43878.42</v>
      </c>
      <c r="I494">
        <v>7</v>
      </c>
      <c r="J494" s="2">
        <v>6784.49</v>
      </c>
    </row>
    <row r="495" spans="1:10" x14ac:dyDescent="0.3">
      <c r="A495">
        <v>494</v>
      </c>
      <c r="B495" s="1">
        <v>45203</v>
      </c>
      <c r="C495" t="s">
        <v>22</v>
      </c>
      <c r="D495" t="s">
        <v>22</v>
      </c>
      <c r="E495" t="s">
        <v>12</v>
      </c>
      <c r="F495" t="s">
        <v>24</v>
      </c>
      <c r="G495" t="s">
        <v>29</v>
      </c>
      <c r="H495" s="2">
        <v>38660.239999999998</v>
      </c>
      <c r="I495">
        <v>10</v>
      </c>
      <c r="J495" s="2">
        <v>4376.5</v>
      </c>
    </row>
    <row r="496" spans="1:10" x14ac:dyDescent="0.3">
      <c r="A496">
        <v>495</v>
      </c>
      <c r="B496" s="1">
        <v>45086</v>
      </c>
      <c r="C496" t="s">
        <v>38</v>
      </c>
      <c r="D496" t="s">
        <v>27</v>
      </c>
      <c r="E496" t="s">
        <v>17</v>
      </c>
      <c r="F496" t="s">
        <v>31</v>
      </c>
      <c r="G496" t="s">
        <v>32</v>
      </c>
      <c r="H496" s="2">
        <v>21116.26</v>
      </c>
      <c r="I496">
        <v>4</v>
      </c>
      <c r="J496" s="2">
        <v>5256.29</v>
      </c>
    </row>
    <row r="497" spans="1:10" x14ac:dyDescent="0.3">
      <c r="A497">
        <v>496</v>
      </c>
      <c r="B497" s="1">
        <v>45079</v>
      </c>
      <c r="C497" t="s">
        <v>38</v>
      </c>
      <c r="D497" t="s">
        <v>27</v>
      </c>
      <c r="E497" t="s">
        <v>12</v>
      </c>
      <c r="F497" t="s">
        <v>24</v>
      </c>
      <c r="G497" t="s">
        <v>29</v>
      </c>
      <c r="H497" s="2">
        <v>4757.99</v>
      </c>
      <c r="I497">
        <v>10</v>
      </c>
      <c r="J497" s="2">
        <v>1164.3900000000001</v>
      </c>
    </row>
    <row r="498" spans="1:10" x14ac:dyDescent="0.3">
      <c r="A498">
        <v>497</v>
      </c>
      <c r="B498" s="1">
        <v>45195</v>
      </c>
      <c r="C498" t="s">
        <v>30</v>
      </c>
      <c r="D498" t="s">
        <v>16</v>
      </c>
      <c r="E498" t="s">
        <v>17</v>
      </c>
      <c r="F498" t="s">
        <v>31</v>
      </c>
      <c r="G498" t="s">
        <v>33</v>
      </c>
      <c r="H498" s="2">
        <v>8870.2800000000007</v>
      </c>
      <c r="I498">
        <v>2</v>
      </c>
      <c r="J498" s="2">
        <v>1105.6300000000001</v>
      </c>
    </row>
    <row r="499" spans="1:10" x14ac:dyDescent="0.3">
      <c r="A499">
        <v>498</v>
      </c>
      <c r="B499" s="1">
        <v>45252</v>
      </c>
      <c r="C499" t="s">
        <v>30</v>
      </c>
      <c r="D499" t="s">
        <v>16</v>
      </c>
      <c r="E499" t="s">
        <v>20</v>
      </c>
      <c r="F499" t="s">
        <v>31</v>
      </c>
      <c r="G499" t="s">
        <v>33</v>
      </c>
      <c r="H499" s="2">
        <v>46482.94</v>
      </c>
      <c r="I499">
        <v>10</v>
      </c>
      <c r="J499" s="2">
        <v>7712.88</v>
      </c>
    </row>
    <row r="500" spans="1:10" x14ac:dyDescent="0.3">
      <c r="A500">
        <v>499</v>
      </c>
      <c r="B500" s="1">
        <v>45042</v>
      </c>
      <c r="C500" t="s">
        <v>30</v>
      </c>
      <c r="D500" t="s">
        <v>16</v>
      </c>
      <c r="E500" t="s">
        <v>20</v>
      </c>
      <c r="F500" t="s">
        <v>13</v>
      </c>
      <c r="G500" t="s">
        <v>14</v>
      </c>
      <c r="H500" s="2">
        <v>43505.83</v>
      </c>
      <c r="I500">
        <v>7</v>
      </c>
      <c r="J500" s="2">
        <v>7809.91</v>
      </c>
    </row>
    <row r="501" spans="1:10" x14ac:dyDescent="0.3">
      <c r="A501">
        <v>500</v>
      </c>
      <c r="B501" s="1">
        <v>45224</v>
      </c>
      <c r="C501" t="s">
        <v>15</v>
      </c>
      <c r="D501" t="s">
        <v>16</v>
      </c>
      <c r="E501" t="s">
        <v>12</v>
      </c>
      <c r="F501" t="s">
        <v>31</v>
      </c>
      <c r="G501" t="s">
        <v>32</v>
      </c>
      <c r="H501" s="2">
        <v>33463.57</v>
      </c>
      <c r="I501">
        <v>6</v>
      </c>
      <c r="J501" s="2">
        <v>6469.01</v>
      </c>
    </row>
  </sheetData>
  <mergeCells count="9">
    <mergeCell ref="L14:Q14"/>
    <mergeCell ref="L15:Q15"/>
    <mergeCell ref="L16:Q16"/>
    <mergeCell ref="L17:Q17"/>
    <mergeCell ref="N3:S3"/>
    <mergeCell ref="L10:Q10"/>
    <mergeCell ref="L11:Q11"/>
    <mergeCell ref="L12:Q12"/>
    <mergeCell ref="L13:Q13"/>
  </mergeCells>
  <hyperlinks>
    <hyperlink ref="M24" r:id="rId1" xr:uid="{CDBD14EB-0409-4802-8ADE-9CE6210B94FF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Prince Patel</cp:lastModifiedBy>
  <dcterms:created xsi:type="dcterms:W3CDTF">2026-05-10T16:08:44Z</dcterms:created>
  <dcterms:modified xsi:type="dcterms:W3CDTF">2026-05-12T07:46:53Z</dcterms:modified>
</cp:coreProperties>
</file>